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" sheetId="1" state="visible" r:id="rId3"/>
    <sheet name="Constants" sheetId="2" state="visible" r:id="rId4"/>
    <sheet name="Export" sheetId="3" state="visible" r:id="rId5"/>
    <sheet name="Changelog" sheetId="4" state="visible" r:id="rId6"/>
    <sheet name="Vers" sheetId="5" state="visible" r:id="rId7"/>
    <sheet name="Info." sheetId="6" state="visible" r:id="rId8"/>
    <sheet name="Dropdowns" sheetId="7" state="hidden" r:id="rId9"/>
    <sheet name="ExportRaw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<sst xmlns="http://schemas.openxmlformats.org/spreadsheetml/2006/main" count="141" uniqueCount="97">
  <si>
    <t xml:space="preserve">Check-In &amp; Flight Log</t>
  </si>
  <si>
    <t xml:space="preserve">Flight Time</t>
  </si>
  <si>
    <t xml:space="preserve">Breakdown</t>
  </si>
  <si>
    <t xml:space="preserve">Rank for this team with row() bump</t>
  </si>
  <si>
    <t xml:space="preserve">Rank for this team with same ranks split</t>
  </si>
  <si>
    <t xml:space="preserve">Team Number of this team</t>
  </si>
  <si>
    <t xml:space="preserve">Name of this school</t>
  </si>
  <si>
    <t xml:space="preserve">Name of this team</t>
  </si>
  <si>
    <t xml:space="preserve">Tier for this Team</t>
  </si>
  <si>
    <t xml:space="preserve">Score for this team</t>
  </si>
  <si>
    <t xml:space="preserve">Actual Rank for this team</t>
  </si>
  <si>
    <t xml:space="preserve">Final Rankings</t>
  </si>
  <si>
    <t xml:space="preserve">Plane A</t>
  </si>
  <si>
    <t xml:space="preserve">Plane B</t>
  </si>
  <si>
    <t xml:space="preserve">3. Flight Log (Complete / Partial / Not present)</t>
  </si>
  <si>
    <t xml:space="preserve">4. Met All Comp Params (T/F)</t>
  </si>
  <si>
    <t xml:space="preserve">Flight 1</t>
  </si>
  <si>
    <t xml:space="preserve">Flight 2</t>
  </si>
  <si>
    <t xml:space="preserve">9. Disqualify (T/F)</t>
  </si>
  <si>
    <t xml:space="preserve">Scored Flight</t>
  </si>
  <si>
    <t xml:space="preserve">Log Multiplier</t>
  </si>
  <si>
    <t xml:space="preserve">Score</t>
  </si>
  <si>
    <t xml:space="preserve">Tier</t>
  </si>
  <si>
    <t xml:space="preserve">Tiebreaker</t>
  </si>
  <si>
    <t xml:space="preserve">Rank</t>
  </si>
  <si>
    <t xml:space="preserve">Points</t>
  </si>
  <si>
    <t xml:space="preserve">Team #</t>
  </si>
  <si>
    <t xml:space="preserve">School Name</t>
  </si>
  <si>
    <t xml:space="preserve">Team Name</t>
  </si>
  <si>
    <t xml:space="preserve">1. Met All Const Params (T/F)</t>
  </si>
  <si>
    <t xml:space="preserve">2. Met All Const Params (T/F)</t>
  </si>
  <si>
    <t xml:space="preserve">5. Plane (A/B)</t>
  </si>
  <si>
    <t xml:space="preserve">6. Median Flight Time</t>
  </si>
  <si>
    <t xml:space="preserve">7. Plane (A/B)</t>
  </si>
  <si>
    <t xml:space="preserve">8. Median Flight Time</t>
  </si>
  <si>
    <t xml:space="preserve">Mins</t>
  </si>
  <si>
    <t xml:space="preserve">Seconds</t>
  </si>
  <si>
    <t xml:space="preserve">Status</t>
  </si>
  <si>
    <t xml:space="preserve">Flight 1 (s)</t>
  </si>
  <si>
    <t xml:space="preserve">Flight 2 (s)</t>
  </si>
  <si>
    <t xml:space="preserve">Scored Flight #</t>
  </si>
  <si>
    <t xml:space="preserve">Best Flight (s)</t>
  </si>
  <si>
    <t xml:space="preserve">Score Rank</t>
  </si>
  <si>
    <t xml:space="preserve">TB1 (Non-Scored Flight Score)</t>
  </si>
  <si>
    <t xml:space="preserve">TB1 Rank</t>
  </si>
  <si>
    <t xml:space="preserve">Rank w/ TB</t>
  </si>
  <si>
    <t xml:space="preserve">Rank Diff</t>
  </si>
  <si>
    <t xml:space="preserve">Name Desc</t>
  </si>
  <si>
    <t xml:space="preserve">Value</t>
  </si>
  <si>
    <t xml:space="preserve">T</t>
  </si>
  <si>
    <t xml:space="preserve">F</t>
  </si>
  <si>
    <t xml:space="preserve">Disqualified</t>
  </si>
  <si>
    <t xml:space="preserve">DQ</t>
  </si>
  <si>
    <t xml:space="preserve">No-Show</t>
  </si>
  <si>
    <t xml:space="preserve">NS</t>
  </si>
  <si>
    <t xml:space="preserve">Participated</t>
  </si>
  <si>
    <t xml:space="preserve">P</t>
  </si>
  <si>
    <t xml:space="preserve">Competed</t>
  </si>
  <si>
    <t xml:space="preserve">C</t>
  </si>
  <si>
    <t xml:space="preserve">Complete Flight Log Multiplier</t>
  </si>
  <si>
    <t xml:space="preserve">Partial Flight Log Multiplier</t>
  </si>
  <si>
    <t xml:space="preserve">No Flight Log Multiplier</t>
  </si>
  <si>
    <t xml:space="preserve">Tier 1 (all parameters met)</t>
  </si>
  <si>
    <t xml:space="preserve">Tier 2 (construction/competition violation)</t>
  </si>
  <si>
    <t xml:space="preserve">Seconds Assessed for a Missing Flight</t>
  </si>
  <si>
    <t xml:space="preserve">Error Status</t>
  </si>
  <si>
    <t xml:space="preserve">ERR</t>
  </si>
  <si>
    <t xml:space="preserve">Flight Log: Complete</t>
  </si>
  <si>
    <t xml:space="preserve">Complete</t>
  </si>
  <si>
    <t xml:space="preserve">Flight Log: Partial</t>
  </si>
  <si>
    <t xml:space="preserve">Partial</t>
  </si>
  <si>
    <t xml:space="preserve">Flight Log: Not Present</t>
  </si>
  <si>
    <t xml:space="preserve">Not present</t>
  </si>
  <si>
    <t xml:space="preserve">A</t>
  </si>
  <si>
    <t xml:space="preserve">B</t>
  </si>
  <si>
    <t xml:space="preserve">Date</t>
  </si>
  <si>
    <t xml:space="preserve">Version #</t>
  </si>
  <si>
    <t xml:space="preserve">Change</t>
  </si>
  <si>
    <t xml:space="preserve">Event</t>
  </si>
  <si>
    <t xml:space="preserve">Wright Stuff</t>
  </si>
  <si>
    <t xml:space="preserve">Last Updated</t>
  </si>
  <si>
    <t xml:space="preserve">Idx of first .</t>
  </si>
  <si>
    <t xml:space="preserve">Idx of second .</t>
  </si>
  <si>
    <t xml:space="preserve">Major Version</t>
  </si>
  <si>
    <t xml:space="preserve">Minor Version</t>
  </si>
  <si>
    <t xml:space="preserve">Minor Patch</t>
  </si>
  <si>
    <t xml:space="preserve">Version</t>
  </si>
  <si>
    <t xml:space="preserve">0.1.0</t>
  </si>
  <si>
    <t xml:space="preserve">Division</t>
  </si>
  <si>
    <t xml:space="preserve">Year</t>
  </si>
  <si>
    <t xml:space="preserve">VLook</t>
  </si>
  <si>
    <t xml:space="preserve">Latest Version</t>
  </si>
  <si>
    <t xml:space="preserve">Outdated?</t>
  </si>
  <si>
    <t xml:space="preserve">Compliant</t>
  </si>
  <si>
    <t xml:space="preserve">Incomplete</t>
  </si>
  <si>
    <t xml:space="preserve">Non-Compliant</t>
  </si>
  <si>
    <t xml:space="preserve">No Log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</si>
</sst>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0"/>
    <numFmt numFmtId="167" formatCode="0.00"/>
    <numFmt numFmtId="168" formatCode="#,##0"/>
    <numFmt numFmtId="169" formatCode="&quot;TRUE&quot;;&quot;TRUE&quot;;&quot;FALSE&quot;"/>
    <numFmt numFmtId="170" formatCode="#,##0.00"/>
    <numFmt numFmtId="171" formatCode="m/d/yyyy"/>
    <numFmt numFmtId="172" formatCode="mm/dd/yyyy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Overpass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Overpass"/>
      <family val="0"/>
      <charset val="1"/>
    </font>
    <font>
      <b val="true"/>
      <sz val="20"/>
      <color rgb="FF2280BD"/>
      <name val="Overpass"/>
      <family val="0"/>
      <charset val="1"/>
    </font>
    <font>
      <b val="true"/>
      <sz val="11"/>
      <color theme="1"/>
      <name val="Overpass"/>
      <family val="0"/>
      <charset val="1"/>
    </font>
    <font>
      <sz val="13"/>
      <color theme="1"/>
      <name val="Overpass"/>
      <family val="0"/>
      <charset val="1"/>
    </font>
    <font>
      <sz val="11"/>
      <color rgb="FF181A1B"/>
      <name val="Overpass"/>
      <family val="0"/>
      <charset val="1"/>
    </font>
    <font>
      <sz val="11"/>
      <color rgb="FF181A1B"/>
      <name val="Arial"/>
      <family val="0"/>
      <charset val="1"/>
    </font>
    <font>
      <b val="true"/>
      <sz val="11"/>
      <color theme="1"/>
      <name val="Inconsolata"/>
      <family val="0"/>
      <charset val="1"/>
    </font>
    <font>
      <sz val="11"/>
      <color theme="1"/>
      <name val="Inconsolat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5D3E6"/>
        <bgColor rgb="FFB7E1CD"/>
      </patternFill>
    </fill>
    <fill>
      <patternFill patternType="solid">
        <fgColor rgb="FFD9D9D9"/>
        <bgColor rgb="FFDEEBF3"/>
      </patternFill>
    </fill>
    <fill>
      <patternFill patternType="solid">
        <fgColor rgb="FFFFB3B3"/>
        <bgColor rgb="FFF4C7C3"/>
      </patternFill>
    </fill>
    <fill>
      <patternFill patternType="solid">
        <fgColor rgb="FFCEEAAE"/>
        <bgColor rgb="FFB7E1CD"/>
      </patternFill>
    </fill>
    <fill>
      <patternFill patternType="solid">
        <fgColor rgb="FFDEEBF3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E5E5"/>
        <bgColor rgb="FFF2F2F2"/>
      </patternFill>
    </fill>
    <fill>
      <patternFill patternType="solid">
        <fgColor rgb="FFEBF1DE"/>
        <bgColor rgb="FFF2F2F2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9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6" fontId="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6" fillId="0" borderId="6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0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7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0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7C3"/>
        </patternFill>
      </fill>
    </dxf>
    <dxf>
      <font>
        <color rgb="FF000000"/>
      </font>
      <fill>
        <patternFill>
          <bgColor rgb="FFFFB3B3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80BD"/>
      <rgbColor rgb="FFD9D9D9"/>
      <rgbColor rgb="FF808080"/>
      <rgbColor rgb="FF9999FF"/>
      <rgbColor rgb="FF993366"/>
      <rgbColor rgb="FFEBF1DE"/>
      <rgbColor rgb="FFDEEBF3"/>
      <rgbColor rgb="FF660066"/>
      <rgbColor rgb="FFFF8080"/>
      <rgbColor rgb="FF0066CC"/>
      <rgbColor rgb="FFB5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EEAAE"/>
      <rgbColor rgb="FFFFE5E5"/>
      <rgbColor rgb="FFB7E1CD"/>
      <rgbColor rgb="FFFFB3B3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A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L5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G20" activeCellId="0" sqref="G2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.12"/>
    <col collapsed="false" customWidth="true" hidden="false" outlineLevel="0" max="2" min="2" style="1" width="6.88"/>
    <col collapsed="false" customWidth="true" hidden="false" outlineLevel="0" max="3" min="3" style="1" width="30.75"/>
    <col collapsed="false" customWidth="true" hidden="false" outlineLevel="0" max="4" min="4" style="1" width="15.63"/>
    <col collapsed="false" customWidth="true" hidden="false" outlineLevel="0" max="6" min="5" style="1" width="10.71"/>
    <col collapsed="false" customWidth="true" hidden="false" outlineLevel="0" max="7" min="7" style="1" width="12.38"/>
    <col collapsed="false" customWidth="true" hidden="false" outlineLevel="0" max="8" min="8" style="1" width="8.5"/>
    <col collapsed="false" customWidth="true" hidden="false" outlineLevel="0" max="9" min="9" style="1" width="4.59"/>
    <col collapsed="false" customWidth="true" hidden="false" outlineLevel="0" max="10" min="10" style="1" width="8.38"/>
    <col collapsed="false" customWidth="true" hidden="false" outlineLevel="0" max="11" min="11" style="1" width="9.18"/>
    <col collapsed="false" customWidth="true" hidden="false" outlineLevel="0" max="12" min="12" style="1" width="4.59"/>
    <col collapsed="false" customWidth="true" hidden="false" outlineLevel="0" max="13" min="13" style="1" width="8.38"/>
    <col collapsed="false" customWidth="true" hidden="false" outlineLevel="0" max="14" min="14" style="1" width="9.18"/>
    <col collapsed="false" customWidth="true" hidden="false" outlineLevel="0" max="15" min="15" style="1" width="4"/>
    <col collapsed="false" customWidth="true" hidden="true" outlineLevel="0" max="16" min="16" style="1" width="4.63"/>
    <col collapsed="false" customWidth="true" hidden="true" outlineLevel="0" max="25" min="17" style="1" width="7.23"/>
    <col collapsed="false" customWidth="true" hidden="true" outlineLevel="0" max="26" min="26" style="1" width="7.37"/>
    <col collapsed="false" customWidth="true" hidden="true" outlineLevel="0" max="28" min="27" style="1" width="12.38"/>
    <col collapsed="false" customWidth="true" hidden="true" outlineLevel="0" max="29" min="29" style="1" width="11.96"/>
    <col collapsed="false" customWidth="true" hidden="true" outlineLevel="0" max="30" min="30" style="1" width="19.75"/>
    <col collapsed="false" customWidth="true" hidden="true" outlineLevel="0" max="31" min="31" style="1" width="15.58"/>
    <col collapsed="false" customWidth="true" hidden="true" outlineLevel="0" max="32" min="32" style="1" width="7.65"/>
    <col collapsed="false" customWidth="true" hidden="true" outlineLevel="0" max="33" min="33" style="1" width="12.51"/>
    <col collapsed="false" customWidth="true" hidden="true" outlineLevel="0" max="34" min="34" style="1" width="7.09"/>
    <col collapsed="false" customWidth="true" hidden="true" outlineLevel="0" max="35" min="35" style="1" width="30.74"/>
    <col collapsed="false" customWidth="true" hidden="true" outlineLevel="0" max="36" min="36" style="1" width="11.54"/>
    <col collapsed="false" customWidth="true" hidden="true" outlineLevel="0" max="37" min="37" style="1" width="13.22"/>
    <col collapsed="false" customWidth="true" hidden="true" outlineLevel="0" max="38" min="38" style="1" width="10.29"/>
    <col collapsed="false" customWidth="true" hidden="true" outlineLevel="0" max="39" min="39" style="1" width="4.63"/>
    <col collapsed="false" customWidth="true" hidden="false" outlineLevel="0" max="41" min="40" style="1" width="8.68"/>
    <col collapsed="false" customWidth="true" hidden="false" outlineLevel="0" max="42" min="42" style="1" width="8.63"/>
    <col collapsed="false" customWidth="true" hidden="false" outlineLevel="0" max="46" min="43" style="1" width="4"/>
    <col collapsed="false" customWidth="true" hidden="false" outlineLevel="0" max="47" min="47" style="1" width="2"/>
    <col collapsed="false" customWidth="true" hidden="true" outlineLevel="0" max="57" min="48" style="1" width="4.63"/>
    <col collapsed="false" customWidth="true" hidden="false" outlineLevel="0" max="58" min="58" style="1" width="6.81"/>
    <col collapsed="false" customWidth="true" hidden="false" outlineLevel="0" max="59" min="59" style="1" width="9.74"/>
    <col collapsed="false" customWidth="true" hidden="false" outlineLevel="0" max="60" min="60" style="1" width="30.75"/>
    <col collapsed="false" customWidth="true" hidden="false" outlineLevel="0" max="61" min="61" style="1" width="15.63"/>
    <col collapsed="false" customWidth="true" hidden="false" outlineLevel="0" max="62" min="62" style="1" width="4.63"/>
    <col collapsed="false" customWidth="true" hidden="false" outlineLevel="0" max="63" min="63" style="1" width="8.63"/>
    <col collapsed="false" customWidth="true" hidden="true" outlineLevel="0" max="64" min="64" style="1" width="6.63"/>
    <col collapsed="false" customWidth="true" hidden="false" outlineLevel="0" max="16384" min="16369" style="1" width="11.5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3"/>
      <c r="H1" s="2"/>
      <c r="I1" s="2"/>
      <c r="J1" s="3"/>
      <c r="K1" s="3"/>
      <c r="L1" s="2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customFormat="false" ht="15.75" hidden="false" customHeight="false" outlineLevel="0" collapsed="false">
      <c r="A2" s="5"/>
      <c r="B2" s="6" t="str">
        <f aca="false">'Info.'!B1&amp;" "&amp;'Info.'!B4</f>
        <v>Wright Stuff C</v>
      </c>
      <c r="C2" s="6"/>
      <c r="D2" s="6"/>
      <c r="E2" s="7" t="s">
        <v>0</v>
      </c>
      <c r="F2" s="7"/>
      <c r="G2" s="7"/>
      <c r="H2" s="7" t="s">
        <v>1</v>
      </c>
      <c r="I2" s="7"/>
      <c r="J2" s="7"/>
      <c r="K2" s="7"/>
      <c r="L2" s="7"/>
      <c r="M2" s="7"/>
      <c r="N2" s="7"/>
      <c r="O2" s="8"/>
      <c r="P2" s="9"/>
      <c r="Q2" s="10"/>
      <c r="R2" s="10"/>
      <c r="S2" s="10"/>
      <c r="T2" s="10"/>
      <c r="U2" s="10"/>
      <c r="V2" s="10"/>
      <c r="W2" s="10"/>
      <c r="X2" s="10"/>
      <c r="Y2" s="10"/>
      <c r="Z2" s="11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3"/>
      <c r="AN2" s="14" t="s">
        <v>2</v>
      </c>
      <c r="AO2" s="14"/>
      <c r="AP2" s="15"/>
      <c r="AQ2" s="15"/>
      <c r="AR2" s="15"/>
      <c r="AS2" s="15"/>
      <c r="AT2" s="15"/>
      <c r="AU2" s="16"/>
      <c r="AV2" s="12"/>
      <c r="AW2" s="12"/>
      <c r="AX2" s="17" t="s">
        <v>3</v>
      </c>
      <c r="AY2" s="18" t="s">
        <v>4</v>
      </c>
      <c r="AZ2" s="18" t="s">
        <v>5</v>
      </c>
      <c r="BA2" s="18" t="s">
        <v>6</v>
      </c>
      <c r="BB2" s="18" t="s">
        <v>7</v>
      </c>
      <c r="BC2" s="18" t="s">
        <v>8</v>
      </c>
      <c r="BD2" s="18" t="s">
        <v>9</v>
      </c>
      <c r="BE2" s="19" t="s">
        <v>10</v>
      </c>
      <c r="BF2" s="20" t="s">
        <v>11</v>
      </c>
      <c r="BG2" s="20"/>
      <c r="BH2" s="20"/>
      <c r="BI2" s="20"/>
      <c r="BJ2" s="20"/>
      <c r="BK2" s="20"/>
      <c r="BL2" s="12"/>
    </row>
    <row r="3" customFormat="false" ht="20.25" hidden="false" customHeight="true" outlineLevel="0" collapsed="false">
      <c r="A3" s="5"/>
      <c r="B3" s="6"/>
      <c r="C3" s="6"/>
      <c r="D3" s="6"/>
      <c r="E3" s="21" t="s">
        <v>12</v>
      </c>
      <c r="F3" s="22" t="s">
        <v>13</v>
      </c>
      <c r="G3" s="23" t="s">
        <v>14</v>
      </c>
      <c r="H3" s="24" t="s">
        <v>15</v>
      </c>
      <c r="I3" s="22" t="s">
        <v>16</v>
      </c>
      <c r="J3" s="22"/>
      <c r="K3" s="22"/>
      <c r="L3" s="22" t="s">
        <v>17</v>
      </c>
      <c r="M3" s="22"/>
      <c r="N3" s="22"/>
      <c r="O3" s="25" t="s">
        <v>18</v>
      </c>
      <c r="P3" s="9"/>
      <c r="Q3" s="24" t="str">
        <f aca="false">E4</f>
        <v>1. Met All Const Params (T/F)</v>
      </c>
      <c r="R3" s="24" t="str">
        <f aca="false">F4</f>
        <v>2. Met All Const Params (T/F)</v>
      </c>
      <c r="S3" s="24" t="str">
        <f aca="false">G3</f>
        <v>3. Flight Log (Complete / Partial / Not present)</v>
      </c>
      <c r="T3" s="24" t="str">
        <f aca="false">H3</f>
        <v>4. Met All Comp Params (T/F)</v>
      </c>
      <c r="U3" s="24" t="str">
        <f aca="false">I4</f>
        <v>5. Plane (A/B)</v>
      </c>
      <c r="V3" s="24" t="str">
        <f aca="false">J4</f>
        <v>6. Median Flight Time</v>
      </c>
      <c r="W3" s="24" t="str">
        <f aca="false">L4</f>
        <v>7. Plane (A/B)</v>
      </c>
      <c r="X3" s="24" t="str">
        <f aca="false">M4</f>
        <v>8. Median Flight Time</v>
      </c>
      <c r="Y3" s="24" t="str">
        <f aca="false">O3</f>
        <v>9. Disqualify (T/F)</v>
      </c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3"/>
      <c r="AN3" s="26" t="s">
        <v>19</v>
      </c>
      <c r="AO3" s="27" t="s">
        <v>20</v>
      </c>
      <c r="AP3" s="28" t="s">
        <v>21</v>
      </c>
      <c r="AQ3" s="29" t="s">
        <v>22</v>
      </c>
      <c r="AR3" s="30" t="s">
        <v>23</v>
      </c>
      <c r="AS3" s="29" t="s">
        <v>24</v>
      </c>
      <c r="AT3" s="31" t="s">
        <v>25</v>
      </c>
      <c r="AU3" s="32"/>
      <c r="AV3" s="12"/>
      <c r="AW3" s="12"/>
      <c r="AX3" s="17"/>
      <c r="AY3" s="18"/>
      <c r="AZ3" s="18"/>
      <c r="BA3" s="18"/>
      <c r="BB3" s="18"/>
      <c r="BC3" s="18"/>
      <c r="BD3" s="18"/>
      <c r="BE3" s="19"/>
      <c r="BF3" s="33" t="s">
        <v>24</v>
      </c>
      <c r="BG3" s="34" t="s">
        <v>26</v>
      </c>
      <c r="BH3" s="34" t="s">
        <v>27</v>
      </c>
      <c r="BI3" s="34" t="s">
        <v>28</v>
      </c>
      <c r="BJ3" s="34" t="s">
        <v>22</v>
      </c>
      <c r="BK3" s="35" t="s">
        <v>21</v>
      </c>
      <c r="BL3" s="12"/>
    </row>
    <row r="4" customFormat="false" ht="18.65" hidden="false" customHeight="true" outlineLevel="0" collapsed="false">
      <c r="A4" s="5"/>
      <c r="B4" s="36" t="str">
        <f aca="false">"Event Scoresheet - "&amp;'Info.'!B5&amp;IF('Info.'!B8="T","
The scoresheet has been updated; please 
download version v"&amp;'Info.'!B7&amp;" from soinc.org/scoresheets.","")</f>
        <v>Event Scoresheet - 2027</v>
      </c>
      <c r="C4" s="36"/>
      <c r="D4" s="36"/>
      <c r="E4" s="25" t="s">
        <v>29</v>
      </c>
      <c r="F4" s="37" t="s">
        <v>30</v>
      </c>
      <c r="G4" s="23"/>
      <c r="H4" s="24"/>
      <c r="I4" s="38" t="s">
        <v>31</v>
      </c>
      <c r="J4" s="39" t="s">
        <v>32</v>
      </c>
      <c r="K4" s="39"/>
      <c r="L4" s="38" t="s">
        <v>33</v>
      </c>
      <c r="M4" s="39" t="s">
        <v>34</v>
      </c>
      <c r="N4" s="39"/>
      <c r="O4" s="25"/>
      <c r="P4" s="9"/>
      <c r="Q4" s="24"/>
      <c r="R4" s="24"/>
      <c r="S4" s="24"/>
      <c r="T4" s="24"/>
      <c r="U4" s="24"/>
      <c r="V4" s="24"/>
      <c r="W4" s="24"/>
      <c r="X4" s="24"/>
      <c r="Y4" s="24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3"/>
      <c r="AN4" s="26"/>
      <c r="AO4" s="27"/>
      <c r="AP4" s="28"/>
      <c r="AQ4" s="29"/>
      <c r="AR4" s="29"/>
      <c r="AS4" s="29"/>
      <c r="AT4" s="31"/>
      <c r="AU4" s="32"/>
      <c r="AV4" s="12"/>
      <c r="AW4" s="12"/>
      <c r="AX4" s="17"/>
      <c r="AY4" s="18"/>
      <c r="AZ4" s="18"/>
      <c r="BA4" s="18"/>
      <c r="BB4" s="18"/>
      <c r="BC4" s="18"/>
      <c r="BD4" s="18"/>
      <c r="BE4" s="19"/>
      <c r="BF4" s="33"/>
      <c r="BG4" s="34"/>
      <c r="BH4" s="34"/>
      <c r="BI4" s="34"/>
      <c r="BJ4" s="34"/>
      <c r="BK4" s="35"/>
      <c r="BL4" s="12"/>
    </row>
    <row r="5" customFormat="false" ht="118.5" hidden="true" customHeight="true" outlineLevel="0" collapsed="false">
      <c r="A5" s="5"/>
      <c r="B5" s="40"/>
      <c r="C5" s="40"/>
      <c r="D5" s="40"/>
      <c r="E5" s="25"/>
      <c r="F5" s="37"/>
      <c r="G5" s="23"/>
      <c r="H5" s="24"/>
      <c r="I5" s="38"/>
      <c r="J5" s="39"/>
      <c r="K5" s="39"/>
      <c r="L5" s="38"/>
      <c r="M5" s="39"/>
      <c r="N5" s="39"/>
      <c r="O5" s="25"/>
      <c r="P5" s="9"/>
      <c r="Q5" s="24"/>
      <c r="R5" s="24"/>
      <c r="S5" s="24"/>
      <c r="T5" s="24"/>
      <c r="U5" s="24"/>
      <c r="V5" s="24"/>
      <c r="W5" s="24"/>
      <c r="X5" s="24"/>
      <c r="Y5" s="24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3"/>
      <c r="AN5" s="26"/>
      <c r="AO5" s="27"/>
      <c r="AP5" s="28"/>
      <c r="AQ5" s="29"/>
      <c r="AR5" s="29"/>
      <c r="AS5" s="29"/>
      <c r="AT5" s="31"/>
      <c r="AU5" s="32"/>
      <c r="AV5" s="12"/>
      <c r="AW5" s="12"/>
      <c r="AX5" s="17"/>
      <c r="AY5" s="18"/>
      <c r="AZ5" s="18"/>
      <c r="BA5" s="18"/>
      <c r="BB5" s="18"/>
      <c r="BC5" s="18"/>
      <c r="BD5" s="18"/>
      <c r="BE5" s="19"/>
      <c r="BF5" s="33"/>
      <c r="BG5" s="34"/>
      <c r="BH5" s="34"/>
      <c r="BI5" s="34"/>
      <c r="BJ5" s="34"/>
      <c r="BK5" s="35"/>
      <c r="BL5" s="12"/>
    </row>
    <row r="6" customFormat="false" ht="89.25" hidden="false" customHeight="true" outlineLevel="0" collapsed="false">
      <c r="A6" s="5"/>
      <c r="B6" s="41" t="str">
        <f aca="false">"Last Updated: "&amp;TEXT('Info.'!B2, "mm/dd/yyyy")&amp;" (v"&amp;'Info.'!B3&amp;")
Direct all questions to scoresheets@soinc.org."</f>
        <v>Last Updated: 10/01/2026 (v0.1.0)
Direct all questions to scoresheets@soinc.org.</v>
      </c>
      <c r="C6" s="41"/>
      <c r="D6" s="41"/>
      <c r="E6" s="25"/>
      <c r="F6" s="37"/>
      <c r="G6" s="23"/>
      <c r="H6" s="24"/>
      <c r="I6" s="38"/>
      <c r="J6" s="39"/>
      <c r="K6" s="39"/>
      <c r="L6" s="38"/>
      <c r="M6" s="39"/>
      <c r="N6" s="39"/>
      <c r="O6" s="25"/>
      <c r="P6" s="9"/>
      <c r="Q6" s="24"/>
      <c r="R6" s="24"/>
      <c r="S6" s="24"/>
      <c r="T6" s="24"/>
      <c r="U6" s="24"/>
      <c r="V6" s="24"/>
      <c r="W6" s="24"/>
      <c r="X6" s="24"/>
      <c r="Y6" s="24"/>
      <c r="Z6" s="42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12"/>
      <c r="AM6" s="13"/>
      <c r="AN6" s="26"/>
      <c r="AO6" s="27"/>
      <c r="AP6" s="28"/>
      <c r="AQ6" s="29"/>
      <c r="AR6" s="29"/>
      <c r="AS6" s="29"/>
      <c r="AT6" s="31"/>
      <c r="AU6" s="32"/>
      <c r="AV6" s="12"/>
      <c r="AW6" s="12"/>
      <c r="AX6" s="17"/>
      <c r="AY6" s="18"/>
      <c r="AZ6" s="18"/>
      <c r="BA6" s="18"/>
      <c r="BB6" s="18"/>
      <c r="BC6" s="18"/>
      <c r="BD6" s="18"/>
      <c r="BE6" s="19"/>
      <c r="BF6" s="33"/>
      <c r="BG6" s="34"/>
      <c r="BH6" s="34"/>
      <c r="BI6" s="34"/>
      <c r="BJ6" s="34"/>
      <c r="BK6" s="35"/>
      <c r="BL6" s="12"/>
    </row>
    <row r="7" customFormat="false" ht="15.75" hidden="false" customHeight="false" outlineLevel="0" collapsed="false">
      <c r="A7" s="5"/>
      <c r="B7" s="44" t="s">
        <v>26</v>
      </c>
      <c r="C7" s="45" t="s">
        <v>27</v>
      </c>
      <c r="D7" s="46" t="s">
        <v>28</v>
      </c>
      <c r="E7" s="25"/>
      <c r="F7" s="37"/>
      <c r="G7" s="23"/>
      <c r="H7" s="24"/>
      <c r="I7" s="38"/>
      <c r="J7" s="47" t="s">
        <v>35</v>
      </c>
      <c r="K7" s="48" t="s">
        <v>36</v>
      </c>
      <c r="L7" s="38"/>
      <c r="M7" s="47" t="s">
        <v>35</v>
      </c>
      <c r="N7" s="48" t="s">
        <v>36</v>
      </c>
      <c r="O7" s="25"/>
      <c r="P7" s="49"/>
      <c r="Q7" s="24"/>
      <c r="R7" s="24"/>
      <c r="S7" s="24"/>
      <c r="T7" s="24"/>
      <c r="U7" s="24"/>
      <c r="V7" s="24"/>
      <c r="W7" s="24"/>
      <c r="X7" s="24"/>
      <c r="Y7" s="24"/>
      <c r="Z7" s="43" t="s">
        <v>37</v>
      </c>
      <c r="AA7" s="43" t="s">
        <v>22</v>
      </c>
      <c r="AB7" s="43" t="s">
        <v>38</v>
      </c>
      <c r="AC7" s="43" t="s">
        <v>39</v>
      </c>
      <c r="AD7" s="43" t="s">
        <v>40</v>
      </c>
      <c r="AE7" s="43" t="s">
        <v>41</v>
      </c>
      <c r="AF7" s="43" t="s">
        <v>21</v>
      </c>
      <c r="AG7" s="43" t="s">
        <v>42</v>
      </c>
      <c r="AH7" s="43" t="s">
        <v>24</v>
      </c>
      <c r="AI7" s="43" t="s">
        <v>43</v>
      </c>
      <c r="AJ7" s="43" t="s">
        <v>44</v>
      </c>
      <c r="AK7" s="43" t="s">
        <v>45</v>
      </c>
      <c r="AL7" s="43" t="s">
        <v>46</v>
      </c>
      <c r="AM7" s="50"/>
      <c r="AN7" s="26"/>
      <c r="AO7" s="27"/>
      <c r="AP7" s="28"/>
      <c r="AQ7" s="29"/>
      <c r="AR7" s="29"/>
      <c r="AS7" s="29"/>
      <c r="AT7" s="31"/>
      <c r="AU7" s="32"/>
      <c r="AV7" s="12" t="n">
        <f aca="false">SUM(AV8:AV507)</f>
        <v>0</v>
      </c>
      <c r="AW7" s="12"/>
      <c r="AX7" s="17"/>
      <c r="AY7" s="18"/>
      <c r="AZ7" s="18"/>
      <c r="BA7" s="18"/>
      <c r="BB7" s="18"/>
      <c r="BC7" s="18"/>
      <c r="BD7" s="18"/>
      <c r="BE7" s="19"/>
      <c r="BF7" s="33"/>
      <c r="BG7" s="34"/>
      <c r="BH7" s="34"/>
      <c r="BI7" s="34"/>
      <c r="BJ7" s="34"/>
      <c r="BK7" s="35"/>
      <c r="BL7" s="12"/>
    </row>
    <row r="8" customFormat="false" ht="15.75" hidden="false" customHeight="false" outlineLevel="0" collapsed="false">
      <c r="A8" s="5"/>
      <c r="B8" s="51"/>
      <c r="C8" s="52"/>
      <c r="D8" s="53"/>
      <c r="E8" s="54"/>
      <c r="F8" s="55"/>
      <c r="G8" s="56"/>
      <c r="H8" s="57"/>
      <c r="I8" s="58"/>
      <c r="J8" s="59"/>
      <c r="K8" s="60"/>
      <c r="L8" s="58"/>
      <c r="M8" s="61"/>
      <c r="N8" s="62"/>
      <c r="O8" s="63"/>
      <c r="P8" s="64"/>
      <c r="Q8" s="65" t="str">
        <f aca="false">IF(ISBLANK($C8),"",IF(E8=Constants!$B$2, TRUE(), IF(E8=Constants!$B$3, FALSE(), TRUE())))</f>
        <v/>
      </c>
      <c r="R8" s="65" t="str">
        <f aca="false">IF(ISBLANK($C8),"",IF(F8=Constants!$B$2, TRUE(), IF(F8=Constants!$B$3, FALSE(), TRUE())))</f>
        <v/>
      </c>
      <c r="S8" s="65" t="str">
        <f aca="false">IF(ISBLANK($C8),"",IF(G8=Constants!$B$15,Constants!$B$8,IF(G8=Constants!$B$16,Constants!$B$9,Constants!$B$10)))</f>
        <v/>
      </c>
      <c r="T8" s="65" t="str">
        <f aca="false">IF(ISBLANK($C8),"",IF(H8=Constants!$B$2, TRUE(), IF(H8=Constants!$B$3, FALSE(), TRUE())))</f>
        <v/>
      </c>
      <c r="U8" s="65" t="str">
        <f aca="false">IF(ISBLANK($C8),"",IF(I8=Constants!$B$19,Constants!$B$19,Constants!$B$18))</f>
        <v/>
      </c>
      <c r="V8" s="66" t="str">
        <f aca="false">IF(ISBLANK($C8),"",IF(COUNTA(J8:K8)=0,"",IF(AND(OR(ISBLANK(J8),AND(ISNUMBER(J8),J8&gt;=0)),OR(ISBLANK(K8),AND(ISNUMBER(K8),K8&gt;=0))),60*IF(ISBLANK(J8),0,J8)+IF(ISBLANK(K8),0,K8),"")))</f>
        <v/>
      </c>
      <c r="W8" s="65" t="str">
        <f aca="false">IF(ISBLANK($C8),"",IF(L8=Constants!$B$19,Constants!$B$19,Constants!$B$18))</f>
        <v/>
      </c>
      <c r="X8" s="66" t="str">
        <f aca="false">IF(ISBLANK($C8),"",IF(COUNTA(M8:N8)=0,"",IF(AND(OR(ISBLANK(M8),AND(ISNUMBER(M8),M8&gt;=0)),OR(ISBLANK(N8),AND(ISNUMBER(N8),N8&gt;=0))),60*IF(ISBLANK(M8),0,M8)+IF(ISBLANK(N8),0,N8),"")))</f>
        <v/>
      </c>
      <c r="Y8" s="65" t="str">
        <f aca="false">IF(ISBLANK($C8),"",IF(O8=Constants!$B$2, TRUE(), IF(O8=Constants!$B$3, FALSE(), FALSE())))</f>
        <v/>
      </c>
      <c r="Z8" s="65" t="str">
        <f aca="false">IF(ISBLANK($C8),"",IF(Y8,Constants!$B$4,IF(COUNTA(E8:N8)=0,Constants!$B$5,IF(COUNTA(J8:K8,M8:N8)=0,Constants!$B$6,Constants!$B$7))))</f>
        <v/>
      </c>
      <c r="AA8" s="65" t="str">
        <f aca="false">IF(ISBLANK($C8),"",IF($Z8&lt;&gt;Constants!$B$7,$Z8,IF(OR(NOT(T8),AND(NOT(Q8),COUNTIFS(U8:W8,Constants!$B$18,V8:X8,"&gt;=0")&gt;0),AND(NOT(R8),COUNTIFS(U8:W8,Constants!$B$19,V8:X8,"&gt;=0")&gt;0)),Constants!$B$12,Constants!$B$11)))</f>
        <v/>
      </c>
      <c r="AB8" s="66" t="str">
        <f aca="false">IF($Z8=Constants!$B$7,IF(V8="",Constants!$B$13,V8),"")</f>
        <v/>
      </c>
      <c r="AC8" s="66" t="str">
        <f aca="false">IF($Z8=Constants!$B$7,IF(X8="",Constants!$B$13,X8),"")</f>
        <v/>
      </c>
      <c r="AD8" s="65" t="str">
        <f aca="false">IF($Z8=Constants!$B$7,IF($AB8&gt;=$AC8,1,2),"")</f>
        <v/>
      </c>
      <c r="AE8" s="65" t="str">
        <f aca="false">IF($Z8=Constants!$B$7,LARGE(AB8:AC8,1),"")</f>
        <v/>
      </c>
      <c r="AF8" s="65" t="str">
        <f aca="false">IF(ISBLANK($C8),"",IF($Z8&lt;&gt;Constants!$B$7,$Z8,AE8*S8))</f>
        <v/>
      </c>
      <c r="AG8" s="65" t="str">
        <f aca="false">IF(ISBLANK($C8),"",IF($Z8=Constants!$B$7,IF(ISNUMBER(AF8),RANK(AF8,$AF$8:$AF$507),Constants!$B$14),$Z8))</f>
        <v/>
      </c>
      <c r="AH8" s="65" t="str">
        <f aca="false">IF(ISBLANK($C8),"",IF($Z8=Constants!$B$7,IF(ISNUMBER(AG8),COUNTIFS($AA$8:$AA$507,"&lt;"&amp;$AA8)+COUNTIFS($AA$8:$AA$507,$AA8,$AG$8:$AG$507,"&lt;"&amp;$AG8)+1,Constants!$B$14),$Z8))</f>
        <v/>
      </c>
      <c r="AI8" s="65" t="str">
        <f aca="false">IF(ISBLANK($C8),"",IF($Z8=Constants!$B$7,LARGE(AB8:AC8,2)*S8,""))</f>
        <v/>
      </c>
      <c r="AJ8" s="65" t="str">
        <f aca="false">IF(ISBLANK($C8),"",IF($Z8=Constants!$B$7,RANK(AI8,$AI$8:$AI$507),$Z8))</f>
        <v/>
      </c>
      <c r="AK8" s="65" t="str">
        <f aca="false">IF(ISBLANK($C8),"",IF($Z8=Constants!$B$7,IF(ISNUMBER(AG8),COUNTIFS($AA$8:$AA$507,"&lt;"&amp;$AA8)+COUNTIFS($AA$8:$AA$507,$AA8,$AG$8:$AG$507,"&lt;"&amp;$AG8)+COUNTIFS($AA$8:$AA$507,$AA8,$AG$8:$AG$507,$AG8,$AJ$8:$AJ$507,"&lt;"&amp;$AJ8)+1,Constants!$B$14),$Z8))</f>
        <v/>
      </c>
      <c r="AL8" s="65" t="str">
        <f aca="false">IF(ISBLANK($C8),"",IF($Z8=Constants!$B$7,IF(ISNUMBER(AH8),AH8-AK8,Constants!$B$14),$Z8))</f>
        <v/>
      </c>
      <c r="AM8" s="67"/>
      <c r="AN8" s="68" t="str">
        <f aca="false">IF(ISBLANK($C8),"",IF($Z8&lt;&gt;Constants!$B$7,$Z8,AD8))</f>
        <v/>
      </c>
      <c r="AO8" s="69" t="str">
        <f aca="false">IF(ISBLANK($C8),"",IF($Z8&lt;&gt;Constants!$B$7,$Z8,S8))</f>
        <v/>
      </c>
      <c r="AP8" s="70" t="str">
        <f aca="false">IF(ISBLANK($C8),"",IF($Z8&lt;&gt;Constants!$B$7,$Z8,AF8))</f>
        <v/>
      </c>
      <c r="AQ8" s="71" t="str">
        <f aca="false">IF(ISBLANK($C8),"",IF($Z8&lt;&gt;Constants!$B$7,$Z8,AA8))</f>
        <v/>
      </c>
      <c r="AR8" s="69" t="str">
        <f aca="false">IF(ISBLANK($C8),"",AL8)</f>
        <v/>
      </c>
      <c r="AS8" s="69" t="str">
        <f aca="false">IF(ISBLANK($C8),"",AK8)</f>
        <v/>
      </c>
      <c r="AT8" s="72" t="str">
        <f aca="false">IF(ISBLANK($C8),"",IF(AS8=Constants!$B$4,COUNTA($C$8:$C$507)+2,IF(AS8=Constants!$B$5,COUNTA($C$8:$C$507)+1,IF(AS8=Constants!$B$6,COUNTA($C$8:$C$507),AS8))))</f>
        <v/>
      </c>
      <c r="AU8" s="5"/>
      <c r="AV8" s="73" t="n">
        <f aca="false">IF(OR(ISNUMBER(AS8),AS8=Constants!$B$4,AS8=Constants!$B$6,AS8=Constants!$B$5),1,0)</f>
        <v>0</v>
      </c>
      <c r="AW8" s="73" t="n">
        <v>1</v>
      </c>
      <c r="AX8" s="73" t="str">
        <f aca="false">IF(ISBLANK($C8),"",IF(ISNUMBER(AT8),AT8+ROW($B8)/1000,""))</f>
        <v/>
      </c>
      <c r="AY8" s="73" t="str">
        <f aca="false">IF(ISNUMBER(AX8),RANK(AX8,$AX$8:$AX$507,1),"")</f>
        <v/>
      </c>
      <c r="AZ8" s="73" t="str">
        <f aca="false">IF(ISBLANK($C8),"",$B8)</f>
        <v/>
      </c>
      <c r="BA8" s="73" t="str">
        <f aca="false">IF(ISBLANK($C8),"",$C8)</f>
        <v/>
      </c>
      <c r="BB8" s="73" t="str">
        <f aca="false">IF(ISBLANK($C8),"",$D8)</f>
        <v/>
      </c>
      <c r="BC8" s="74" t="str">
        <f aca="false">AQ8</f>
        <v/>
      </c>
      <c r="BD8" s="75" t="str">
        <f aca="false">AP8</f>
        <v/>
      </c>
      <c r="BE8" s="73" t="str">
        <f aca="false">IF(ISBLANK($C8),"",AS8)</f>
        <v/>
      </c>
      <c r="BF8" s="76" t="str">
        <f aca="false">IF($AW8&gt;$AV$7,"",VLOOKUP($AW8,$AY$8:$BE$507,7,FALSE()))</f>
        <v/>
      </c>
      <c r="BG8" s="77" t="str">
        <f aca="false">IF($AW8&gt;$AV$7,"",VLOOKUP($AW8,$AY$8:$BE$507,2,FALSE()))</f>
        <v/>
      </c>
      <c r="BH8" s="77" t="str">
        <f aca="false">IF($AW8&gt;$AV$7,"",VLOOKUP($AW8,$AY$8:$BE$507,3,FALSE()))</f>
        <v/>
      </c>
      <c r="BI8" s="77" t="str">
        <f aca="false">IF($AW8&gt;$AV$7,"",VLOOKUP($AW8,$AY$8:$BE$507,4,FALSE()))</f>
        <v/>
      </c>
      <c r="BJ8" s="77" t="str">
        <f aca="false">IF($AW8&gt;$AV$7,"",VLOOKUP($AW8,$AY$8:$BE$507,5,FALSE()))</f>
        <v/>
      </c>
      <c r="BK8" s="78" t="str">
        <f aca="false">IF($AW8&gt;$AV$7,"",VLOOKUP($AW8,$AY$8:$BE$507,6,FALSE()))</f>
        <v/>
      </c>
      <c r="BL8" s="50"/>
    </row>
    <row r="9" customFormat="false" ht="15.75" hidden="false" customHeight="false" outlineLevel="0" collapsed="false">
      <c r="A9" s="5"/>
      <c r="B9" s="79"/>
      <c r="C9" s="52"/>
      <c r="D9" s="53"/>
      <c r="E9" s="54"/>
      <c r="F9" s="55"/>
      <c r="G9" s="56"/>
      <c r="H9" s="57"/>
      <c r="I9" s="58"/>
      <c r="J9" s="59"/>
      <c r="K9" s="60"/>
      <c r="L9" s="58"/>
      <c r="M9" s="61"/>
      <c r="N9" s="62"/>
      <c r="O9" s="80"/>
      <c r="P9" s="64"/>
      <c r="Q9" s="65" t="str">
        <f aca="false">IF(ISBLANK($C9),"",IF(E9=Constants!$B$2, TRUE(), IF(E9=Constants!$B$3, FALSE(), TRUE())))</f>
        <v/>
      </c>
      <c r="R9" s="65" t="str">
        <f aca="false">IF(ISBLANK($C9),"",IF(F9=Constants!$B$2, TRUE(), IF(F9=Constants!$B$3, FALSE(), TRUE())))</f>
        <v/>
      </c>
      <c r="S9" s="65" t="str">
        <f aca="false">IF(ISBLANK($C9),"",IF(G9=Constants!$B$15,Constants!$B$8,IF(G9=Constants!$B$16,Constants!$B$9,Constants!$B$10)))</f>
        <v/>
      </c>
      <c r="T9" s="65" t="str">
        <f aca="false">IF(ISBLANK($C9),"",IF(H9=Constants!$B$2, TRUE(), IF(H9=Constants!$B$3, FALSE(), TRUE())))</f>
        <v/>
      </c>
      <c r="U9" s="65" t="str">
        <f aca="false">IF(ISBLANK($C9),"",IF(I9=Constants!$B$19,Constants!$B$19,Constants!$B$18))</f>
        <v/>
      </c>
      <c r="V9" s="65" t="str">
        <f aca="false">IF(ISBLANK($C9),"",IF(COUNTA(J9:K9)=0,"",IF(AND(OR(ISBLANK(J9),AND(ISNUMBER(J9),J9&gt;=0)),OR(ISBLANK(K9),AND(ISNUMBER(K9),K9&gt;=0))),60*IF(ISBLANK(J9),0,J9)+IF(ISBLANK(K9),0,K9),"")))</f>
        <v/>
      </c>
      <c r="W9" s="65" t="str">
        <f aca="false">IF(ISBLANK($C9),"",IF(L9=Constants!$B$19,Constants!$B$19,Constants!$B$18))</f>
        <v/>
      </c>
      <c r="X9" s="65" t="str">
        <f aca="false">IF(ISBLANK($C9),"",IF(COUNTA(M9:N9)=0,"",IF(AND(OR(ISBLANK(M9),AND(ISNUMBER(M9),M9&gt;=0)),OR(ISBLANK(N9),AND(ISNUMBER(N9),N9&gt;=0))),60*IF(ISBLANK(M9),0,M9)+IF(ISBLANK(N9),0,N9),"")))</f>
        <v/>
      </c>
      <c r="Y9" s="65" t="str">
        <f aca="false">IF(ISBLANK($C9),"",IF(O9=Constants!$B$2, TRUE(), IF(O9=Constants!$B$3, FALSE(), FALSE())))</f>
        <v/>
      </c>
      <c r="Z9" s="65" t="str">
        <f aca="false">IF(ISBLANK($C9),"",IF(Y9,Constants!$B$4,IF(COUNTA(E9:N9)=0,Constants!$B$5,IF(COUNTA(J9:K9,M9:N9)=0,Constants!$B$6,Constants!$B$7))))</f>
        <v/>
      </c>
      <c r="AA9" s="65" t="str">
        <f aca="false">IF(ISBLANK($C9),"",IF($Z9&lt;&gt;Constants!$B$7,$Z9,IF(OR(NOT(T9),AND(NOT(Q9),COUNTIFS(U9:W9,Constants!$B$18,V9:X9,"&gt;=0")&gt;0),AND(NOT(R9),COUNTIFS(U9:W9,Constants!$B$19,V9:X9,"&gt;=0")&gt;0)),Constants!$B$12,Constants!$B$11)))</f>
        <v/>
      </c>
      <c r="AB9" s="65" t="str">
        <f aca="false">IF($Z9=Constants!$B$7,IF(V9="",Constants!$B$13,V9),"")</f>
        <v/>
      </c>
      <c r="AC9" s="65" t="str">
        <f aca="false">IF($Z9=Constants!$B$7,IF(X9="",Constants!$B$13,X9),"")</f>
        <v/>
      </c>
      <c r="AD9" s="65" t="str">
        <f aca="false">IF($Z9=Constants!$B$7,IF($AB9&gt;=$AC9,1,2),"")</f>
        <v/>
      </c>
      <c r="AE9" s="65" t="str">
        <f aca="false">IF($Z9=Constants!$B$7,LARGE(AB9:AC9,1),"")</f>
        <v/>
      </c>
      <c r="AF9" s="65" t="str">
        <f aca="false">IF(ISBLANK($C9),"",IF($Z9&lt;&gt;Constants!$B$7,$Z9,AE9*S9))</f>
        <v/>
      </c>
      <c r="AG9" s="65" t="str">
        <f aca="false">IF(ISBLANK($C9),"",IF($Z9=Constants!$B$7,IF(ISNUMBER(AF9),RANK(AF9,$AF$8:$AF$507),Constants!$B$14),$Z9))</f>
        <v/>
      </c>
      <c r="AH9" s="65" t="str">
        <f aca="false">IF(ISBLANK($C9),"",IF($Z9=Constants!$B$7,IF(ISNUMBER(AG9),COUNTIFS($AA$8:$AA$507,"&lt;"&amp;$AA9)+COUNTIFS($AA$8:$AA$507,$AA9,$AG$8:$AG$507,"&lt;"&amp;$AG9)+1,Constants!$B$14),$Z9))</f>
        <v/>
      </c>
      <c r="AI9" s="65" t="str">
        <f aca="false">IF(ISBLANK($C9),"",IF($Z9=Constants!$B$7,LARGE(AB9:AC9,2)*S9,""))</f>
        <v/>
      </c>
      <c r="AJ9" s="65" t="str">
        <f aca="false">IF(ISBLANK($C9),"",IF($Z9=Constants!$B$7,RANK(AI9,$AI$8:$AI$507),$Z9))</f>
        <v/>
      </c>
      <c r="AK9" s="65" t="str">
        <f aca="false">IF(ISBLANK($C9),"",IF($Z9=Constants!$B$7,IF(ISNUMBER(AG9),COUNTIFS($AA$8:$AA$507,"&lt;"&amp;$AA9)+COUNTIFS($AA$8:$AA$507,$AA9,$AG$8:$AG$507,"&lt;"&amp;$AG9)+COUNTIFS($AA$8:$AA$507,$AA9,$AG$8:$AG$507,$AG9,$AJ$8:$AJ$507,"&lt;"&amp;$AJ9)+1,Constants!$B$14),$Z9))</f>
        <v/>
      </c>
      <c r="AL9" s="65" t="str">
        <f aca="false">IF(ISBLANK($C9),"",IF($Z9=Constants!$B$7,IF(ISNUMBER(AH9),AH9-AK9,Constants!$B$14),$Z9))</f>
        <v/>
      </c>
      <c r="AM9" s="67"/>
      <c r="AN9" s="68" t="str">
        <f aca="false">IF(ISBLANK($C9),"",IF($Z9&lt;&gt;Constants!$B$7,$Z9,AD9))</f>
        <v/>
      </c>
      <c r="AO9" s="69" t="str">
        <f aca="false">IF(ISBLANK($C9),"",IF($Z9&lt;&gt;Constants!$B$7,$Z9,S9))</f>
        <v/>
      </c>
      <c r="AP9" s="70" t="str">
        <f aca="false">IF(ISBLANK($C9),"",IF($Z9&lt;&gt;Constants!$B$7,$Z9,AF9))</f>
        <v/>
      </c>
      <c r="AQ9" s="71" t="str">
        <f aca="false">IF(ISBLANK($C9),"",IF($Z9&lt;&gt;Constants!$B$7,$Z9,AA9))</f>
        <v/>
      </c>
      <c r="AR9" s="69" t="str">
        <f aca="false">IF(ISBLANK($C9),"",AL9)</f>
        <v/>
      </c>
      <c r="AS9" s="69" t="str">
        <f aca="false">IF(ISBLANK($C9),"",AK9)</f>
        <v/>
      </c>
      <c r="AT9" s="72" t="str">
        <f aca="false">IF(ISBLANK($C9),"",IF(AS9=Constants!$B$4,COUNTA($C$8:$C$507)+2,IF(AS9=Constants!$B$5,COUNTA($C$8:$C$507)+1,IF(AS9=Constants!$B$6,COUNTA($C$8:$C$507),AS9))))</f>
        <v/>
      </c>
      <c r="AU9" s="5"/>
      <c r="AV9" s="73" t="n">
        <f aca="false">IF(OR(ISNUMBER(AS9),AS9=Constants!$B$4,AS9=Constants!$B$6,AS9=Constants!$B$5),1,0)</f>
        <v>0</v>
      </c>
      <c r="AW9" s="73" t="n">
        <v>2</v>
      </c>
      <c r="AX9" s="73" t="str">
        <f aca="false">IF(ISBLANK($C9),"",IF(ISNUMBER(AT9),AT9+ROW($B9)/1000,""))</f>
        <v/>
      </c>
      <c r="AY9" s="73" t="str">
        <f aca="false">IF(ISNUMBER(AX9),RANK(AX9,$AX$8:$AX$507,1),"")</f>
        <v/>
      </c>
      <c r="AZ9" s="73" t="str">
        <f aca="false">IF(ISBLANK($C9),"",$B9)</f>
        <v/>
      </c>
      <c r="BA9" s="73" t="str">
        <f aca="false">IF(ISBLANK($C9),"",$C9)</f>
        <v/>
      </c>
      <c r="BB9" s="73" t="str">
        <f aca="false">IF(ISBLANK($C9),"",$D9)</f>
        <v/>
      </c>
      <c r="BC9" s="74" t="str">
        <f aca="false">AQ9</f>
        <v/>
      </c>
      <c r="BD9" s="75" t="str">
        <f aca="false">AP9</f>
        <v/>
      </c>
      <c r="BE9" s="73" t="str">
        <f aca="false">IF(ISBLANK($C9),"",AS9)</f>
        <v/>
      </c>
      <c r="BF9" s="76" t="str">
        <f aca="false">IF($AW9&gt;$AV$7,"",VLOOKUP($AW9,$AY$8:$BE$507,7,FALSE()))</f>
        <v/>
      </c>
      <c r="BG9" s="77" t="str">
        <f aca="false">IF($AW9&gt;$AV$7,"",VLOOKUP($AW9,$AY$8:$BE$507,2,FALSE()))</f>
        <v/>
      </c>
      <c r="BH9" s="77" t="str">
        <f aca="false">IF($AW9&gt;$AV$7,"",VLOOKUP($AW9,$AY$8:$BE$507,3,FALSE()))</f>
        <v/>
      </c>
      <c r="BI9" s="77" t="str">
        <f aca="false">IF($AW9&gt;$AV$7,"",VLOOKUP($AW9,$AY$8:$BE$507,4,FALSE()))</f>
        <v/>
      </c>
      <c r="BJ9" s="77" t="str">
        <f aca="false">IF($AW9&gt;$AV$7,"",VLOOKUP($AW9,$AY$8:$BE$507,5,FALSE()))</f>
        <v/>
      </c>
      <c r="BK9" s="78" t="str">
        <f aca="false">IF($AW9&gt;$AV$7,"",VLOOKUP($AW9,$AY$8:$BE$507,6,FALSE()))</f>
        <v/>
      </c>
      <c r="BL9" s="50"/>
    </row>
    <row r="10" customFormat="false" ht="15.75" hidden="false" customHeight="false" outlineLevel="0" collapsed="false">
      <c r="A10" s="5"/>
      <c r="B10" s="79"/>
      <c r="C10" s="81"/>
      <c r="D10" s="82"/>
      <c r="E10" s="54"/>
      <c r="F10" s="55"/>
      <c r="G10" s="56"/>
      <c r="H10" s="57"/>
      <c r="I10" s="58"/>
      <c r="J10" s="59"/>
      <c r="K10" s="60"/>
      <c r="L10" s="58"/>
      <c r="M10" s="61"/>
      <c r="N10" s="62"/>
      <c r="O10" s="63"/>
      <c r="P10" s="64"/>
      <c r="Q10" s="65" t="str">
        <f aca="false">IF(ISBLANK($C10),"",IF(E10=Constants!$B$2, TRUE(), IF(E10=Constants!$B$3, FALSE(), TRUE())))</f>
        <v/>
      </c>
      <c r="R10" s="65" t="str">
        <f aca="false">IF(ISBLANK($C10),"",IF(F10=Constants!$B$2, TRUE(), IF(F10=Constants!$B$3, FALSE(), TRUE())))</f>
        <v/>
      </c>
      <c r="S10" s="65" t="str">
        <f aca="false">IF(ISBLANK($C10),"",IF(G10=Constants!$B$15,Constants!$B$8,IF(G10=Constants!$B$16,Constants!$B$9,Constants!$B$10)))</f>
        <v/>
      </c>
      <c r="T10" s="65" t="str">
        <f aca="false">IF(ISBLANK($C10),"",IF(H10=Constants!$B$2, TRUE(), IF(H10=Constants!$B$3, FALSE(), TRUE())))</f>
        <v/>
      </c>
      <c r="U10" s="65" t="str">
        <f aca="false">IF(ISBLANK($C10),"",IF(I10=Constants!$B$19,Constants!$B$19,Constants!$B$18))</f>
        <v/>
      </c>
      <c r="V10" s="65" t="str">
        <f aca="false">IF(ISBLANK($C10),"",IF(COUNTA(J10:K10)=0,"",IF(AND(OR(ISBLANK(J10),AND(ISNUMBER(J10),J10&gt;=0)),OR(ISBLANK(K10),AND(ISNUMBER(K10),K10&gt;=0))),60*IF(ISBLANK(J10),0,J10)+IF(ISBLANK(K10),0,K10),"")))</f>
        <v/>
      </c>
      <c r="W10" s="65" t="str">
        <f aca="false">IF(ISBLANK($C10),"",IF(L10=Constants!$B$19,Constants!$B$19,Constants!$B$18))</f>
        <v/>
      </c>
      <c r="X10" s="65" t="str">
        <f aca="false">IF(ISBLANK($C10),"",IF(COUNTA(M10:N10)=0,"",IF(AND(OR(ISBLANK(M10),AND(ISNUMBER(M10),M10&gt;=0)),OR(ISBLANK(N10),AND(ISNUMBER(N10),N10&gt;=0))),60*IF(ISBLANK(M10),0,M10)+IF(ISBLANK(N10),0,N10),"")))</f>
        <v/>
      </c>
      <c r="Y10" s="65" t="str">
        <f aca="false">IF(ISBLANK($C10),"",IF(O10=Constants!$B$2, TRUE(), IF(O10=Constants!$B$3, FALSE(), FALSE())))</f>
        <v/>
      </c>
      <c r="Z10" s="65" t="str">
        <f aca="false">IF(ISBLANK($C10),"",IF(Y10,Constants!$B$4,IF(COUNTA(E10:N10)=0,Constants!$B$5,IF(COUNTA(J10:K10,M10:N10)=0,Constants!$B$6,Constants!$B$7))))</f>
        <v/>
      </c>
      <c r="AA10" s="65" t="str">
        <f aca="false">IF(ISBLANK($C10),"",IF($Z10&lt;&gt;Constants!$B$7,$Z10,IF(OR(NOT(T10),AND(NOT(Q10),COUNTIFS(U10:W10,Constants!$B$18,V10:X10,"&gt;=0")&gt;0),AND(NOT(R10),COUNTIFS(U10:W10,Constants!$B$19,V10:X10,"&gt;=0")&gt;0)),Constants!$B$12,Constants!$B$11)))</f>
        <v/>
      </c>
      <c r="AB10" s="65" t="str">
        <f aca="false">IF($Z10=Constants!$B$7,IF(V10="",Constants!$B$13,V10),"")</f>
        <v/>
      </c>
      <c r="AC10" s="65" t="str">
        <f aca="false">IF($Z10=Constants!$B$7,IF(X10="",Constants!$B$13,X10),"")</f>
        <v/>
      </c>
      <c r="AD10" s="65" t="str">
        <f aca="false">IF($Z10=Constants!$B$7,IF($AB10&gt;=$AC10,1,2),"")</f>
        <v/>
      </c>
      <c r="AE10" s="65" t="str">
        <f aca="false">IF($Z10=Constants!$B$7,LARGE(AB10:AC10,1),"")</f>
        <v/>
      </c>
      <c r="AF10" s="65" t="str">
        <f aca="false">IF(ISBLANK($C10),"",IF($Z10&lt;&gt;Constants!$B$7,$Z10,AE10*S10))</f>
        <v/>
      </c>
      <c r="AG10" s="65" t="str">
        <f aca="false">IF(ISBLANK($C10),"",IF($Z10=Constants!$B$7,IF(ISNUMBER(AF10),RANK(AF10,$AF$8:$AF$507),Constants!$B$14),$Z10))</f>
        <v/>
      </c>
      <c r="AH10" s="65" t="str">
        <f aca="false">IF(ISBLANK($C10),"",IF($Z10=Constants!$B$7,IF(ISNUMBER(AG10),COUNTIFS($AA$8:$AA$507,"&lt;"&amp;$AA10)+COUNTIFS($AA$8:$AA$507,$AA10,$AG$8:$AG$507,"&lt;"&amp;$AG10)+1,Constants!$B$14),$Z10))</f>
        <v/>
      </c>
      <c r="AI10" s="65" t="str">
        <f aca="false">IF(ISBLANK($C10),"",IF($Z10=Constants!$B$7,LARGE(AB10:AC10,2)*S10,""))</f>
        <v/>
      </c>
      <c r="AJ10" s="65" t="str">
        <f aca="false">IF(ISBLANK($C10),"",IF($Z10=Constants!$B$7,RANK(AI10,$AI$8:$AI$507),$Z10))</f>
        <v/>
      </c>
      <c r="AK10" s="65" t="str">
        <f aca="false">IF(ISBLANK($C10),"",IF($Z10=Constants!$B$7,IF(ISNUMBER(AG10),COUNTIFS($AA$8:$AA$507,"&lt;"&amp;$AA10)+COUNTIFS($AA$8:$AA$507,$AA10,$AG$8:$AG$507,"&lt;"&amp;$AG10)+COUNTIFS($AA$8:$AA$507,$AA10,$AG$8:$AG$507,$AG10,$AJ$8:$AJ$507,"&lt;"&amp;$AJ10)+1,Constants!$B$14),$Z10))</f>
        <v/>
      </c>
      <c r="AL10" s="65" t="str">
        <f aca="false">IF(ISBLANK($C10),"",IF($Z10=Constants!$B$7,IF(ISNUMBER(AH10),AH10-AK10,Constants!$B$14),$Z10))</f>
        <v/>
      </c>
      <c r="AM10" s="67"/>
      <c r="AN10" s="68" t="str">
        <f aca="false">IF(ISBLANK($C10),"",IF($Z10&lt;&gt;Constants!$B$7,$Z10,AD10))</f>
        <v/>
      </c>
      <c r="AO10" s="69" t="str">
        <f aca="false">IF(ISBLANK($C10),"",IF($Z10&lt;&gt;Constants!$B$7,$Z10,S10))</f>
        <v/>
      </c>
      <c r="AP10" s="70" t="str">
        <f aca="false">IF(ISBLANK($C10),"",IF($Z10&lt;&gt;Constants!$B$7,$Z10,AF10))</f>
        <v/>
      </c>
      <c r="AQ10" s="71" t="str">
        <f aca="false">IF(ISBLANK($C10),"",IF($Z10&lt;&gt;Constants!$B$7,$Z10,AA10))</f>
        <v/>
      </c>
      <c r="AR10" s="69" t="str">
        <f aca="false">IF(ISBLANK($C10),"",AL10)</f>
        <v/>
      </c>
      <c r="AS10" s="69" t="str">
        <f aca="false">IF(ISBLANK($C10),"",AK10)</f>
        <v/>
      </c>
      <c r="AT10" s="72" t="str">
        <f aca="false">IF(ISBLANK($C10),"",IF(AS10=Constants!$B$4,COUNTA($C$8:$C$507)+2,IF(AS10=Constants!$B$5,COUNTA($C$8:$C$507)+1,IF(AS10=Constants!$B$6,COUNTA($C$8:$C$507),AS10))))</f>
        <v/>
      </c>
      <c r="AU10" s="5"/>
      <c r="AV10" s="73" t="n">
        <f aca="false">IF(OR(ISNUMBER(AS10),AS10=Constants!$B$4,AS10=Constants!$B$6,AS10=Constants!$B$5),1,0)</f>
        <v>0</v>
      </c>
      <c r="AW10" s="73" t="n">
        <v>3</v>
      </c>
      <c r="AX10" s="73" t="str">
        <f aca="false">IF(ISBLANK($C10),"",IF(ISNUMBER(AT10),AT10+ROW($B10)/1000,""))</f>
        <v/>
      </c>
      <c r="AY10" s="73" t="str">
        <f aca="false">IF(ISNUMBER(AX10),RANK(AX10,$AX$8:$AX$507,1),"")</f>
        <v/>
      </c>
      <c r="AZ10" s="73" t="str">
        <f aca="false">IF(ISBLANK($C10),"",$B10)</f>
        <v/>
      </c>
      <c r="BA10" s="73" t="str">
        <f aca="false">IF(ISBLANK($C10),"",$C10)</f>
        <v/>
      </c>
      <c r="BB10" s="73" t="str">
        <f aca="false">IF(ISBLANK($C10),"",$D10)</f>
        <v/>
      </c>
      <c r="BC10" s="74" t="str">
        <f aca="false">AQ10</f>
        <v/>
      </c>
      <c r="BD10" s="75" t="str">
        <f aca="false">AP10</f>
        <v/>
      </c>
      <c r="BE10" s="73" t="str">
        <f aca="false">IF(ISBLANK($C10),"",AS10)</f>
        <v/>
      </c>
      <c r="BF10" s="76" t="str">
        <f aca="false">IF($AW10&gt;$AV$7,"",VLOOKUP($AW10,$AY$8:$BE$507,7,FALSE()))</f>
        <v/>
      </c>
      <c r="BG10" s="77" t="str">
        <f aca="false">IF($AW10&gt;$AV$7,"",VLOOKUP($AW10,$AY$8:$BE$507,2,FALSE()))</f>
        <v/>
      </c>
      <c r="BH10" s="77" t="str">
        <f aca="false">IF($AW10&gt;$AV$7,"",VLOOKUP($AW10,$AY$8:$BE$507,3,FALSE()))</f>
        <v/>
      </c>
      <c r="BI10" s="77" t="str">
        <f aca="false">IF($AW10&gt;$AV$7,"",VLOOKUP($AW10,$AY$8:$BE$507,4,FALSE()))</f>
        <v/>
      </c>
      <c r="BJ10" s="77" t="str">
        <f aca="false">IF($AW10&gt;$AV$7,"",VLOOKUP($AW10,$AY$8:$BE$507,5,FALSE()))</f>
        <v/>
      </c>
      <c r="BK10" s="78" t="str">
        <f aca="false">IF($AW10&gt;$AV$7,"",VLOOKUP($AW10,$AY$8:$BE$507,6,FALSE()))</f>
        <v/>
      </c>
      <c r="BL10" s="50"/>
    </row>
    <row r="11" customFormat="false" ht="15.75" hidden="false" customHeight="false" outlineLevel="0" collapsed="false">
      <c r="A11" s="5"/>
      <c r="B11" s="83"/>
      <c r="C11" s="84"/>
      <c r="D11" s="85"/>
      <c r="E11" s="86"/>
      <c r="F11" s="87"/>
      <c r="G11" s="88"/>
      <c r="H11" s="89"/>
      <c r="I11" s="90"/>
      <c r="J11" s="91"/>
      <c r="K11" s="92"/>
      <c r="L11" s="90"/>
      <c r="M11" s="93"/>
      <c r="N11" s="94"/>
      <c r="O11" s="95"/>
      <c r="P11" s="96"/>
      <c r="Q11" s="97" t="str">
        <f aca="false">IF(ISBLANK($C11),"",IF(E11=Constants!$B$2, TRUE(), IF(E11=Constants!$B$3, FALSE(), TRUE())))</f>
        <v/>
      </c>
      <c r="R11" s="97" t="str">
        <f aca="false">IF(ISBLANK($C11),"",IF(F11=Constants!$B$2, TRUE(), IF(F11=Constants!$B$3, FALSE(), TRUE())))</f>
        <v/>
      </c>
      <c r="S11" s="97" t="str">
        <f aca="false">IF(ISBLANK($C11),"",IF(G11=Constants!$B$15,Constants!$B$8,IF(G11=Constants!$B$16,Constants!$B$9,Constants!$B$10)))</f>
        <v/>
      </c>
      <c r="T11" s="97" t="str">
        <f aca="false">IF(ISBLANK($C11),"",IF(H11=Constants!$B$2, TRUE(), IF(H11=Constants!$B$3, FALSE(), TRUE())))</f>
        <v/>
      </c>
      <c r="U11" s="97" t="str">
        <f aca="false">IF(ISBLANK($C11),"",IF(I11=Constants!$B$19,Constants!$B$19,Constants!$B$18))</f>
        <v/>
      </c>
      <c r="V11" s="97" t="str">
        <f aca="false">IF(ISBLANK($C11),"",IF(COUNTA(J11:K11)=0,"",IF(AND(OR(ISBLANK(J11),AND(ISNUMBER(J11),J11&gt;=0)),OR(ISBLANK(K11),AND(ISNUMBER(K11),K11&gt;=0))),60*IF(ISBLANK(J11),0,J11)+IF(ISBLANK(K11),0,K11),"")))</f>
        <v/>
      </c>
      <c r="W11" s="97" t="str">
        <f aca="false">IF(ISBLANK($C11),"",IF(L11=Constants!$B$19,Constants!$B$19,Constants!$B$18))</f>
        <v/>
      </c>
      <c r="X11" s="97" t="str">
        <f aca="false">IF(ISBLANK($C11),"",IF(COUNTA(M11:N11)=0,"",IF(AND(OR(ISBLANK(M11),AND(ISNUMBER(M11),M11&gt;=0)),OR(ISBLANK(N11),AND(ISNUMBER(N11),N11&gt;=0))),60*IF(ISBLANK(M11),0,M11)+IF(ISBLANK(N11),0,N11),"")))</f>
        <v/>
      </c>
      <c r="Y11" s="97" t="str">
        <f aca="false">IF(ISBLANK($C11),"",IF(O11=Constants!$B$2, TRUE(), IF(O11=Constants!$B$3, FALSE(), FALSE())))</f>
        <v/>
      </c>
      <c r="Z11" s="97" t="str">
        <f aca="false">IF(ISBLANK($C11),"",IF(Y11,Constants!$B$4,IF(COUNTA(E11:N11)=0,Constants!$B$5,IF(COUNTA(J11:K11,M11:N11)=0,Constants!$B$6,Constants!$B$7))))</f>
        <v/>
      </c>
      <c r="AA11" s="97" t="str">
        <f aca="false">IF(ISBLANK($C11),"",IF($Z11&lt;&gt;Constants!$B$7,$Z11,IF(OR(NOT(T11),AND(NOT(Q11),COUNTIFS(U11:W11,Constants!$B$18,V11:X11,"&gt;=0")&gt;0),AND(NOT(R11),COUNTIFS(U11:W11,Constants!$B$19,V11:X11,"&gt;=0")&gt;0)),Constants!$B$12,Constants!$B$11)))</f>
        <v/>
      </c>
      <c r="AB11" s="97" t="str">
        <f aca="false">IF($Z11=Constants!$B$7,IF(V11="",Constants!$B$13,V11),"")</f>
        <v/>
      </c>
      <c r="AC11" s="97" t="str">
        <f aca="false">IF($Z11=Constants!$B$7,IF(X11="",Constants!$B$13,X11),"")</f>
        <v/>
      </c>
      <c r="AD11" s="97" t="str">
        <f aca="false">IF($Z11=Constants!$B$7,IF($AB11&gt;=$AC11,1,2),"")</f>
        <v/>
      </c>
      <c r="AE11" s="97" t="str">
        <f aca="false">IF($Z11=Constants!$B$7,LARGE(AB11:AC11,1),"")</f>
        <v/>
      </c>
      <c r="AF11" s="97" t="str">
        <f aca="false">IF(ISBLANK($C11),"",IF($Z11&lt;&gt;Constants!$B$7,$Z11,AE11*S11))</f>
        <v/>
      </c>
      <c r="AG11" s="97" t="str">
        <f aca="false">IF(ISBLANK($C11),"",IF($Z11=Constants!$B$7,IF(ISNUMBER(AF11),RANK(AF11,$AF$8:$AF$507),Constants!$B$14),$Z11))</f>
        <v/>
      </c>
      <c r="AH11" s="97" t="str">
        <f aca="false">IF(ISBLANK($C11),"",IF($Z11=Constants!$B$7,IF(ISNUMBER(AG11),COUNTIFS($AA$8:$AA$507,"&lt;"&amp;$AA11)+COUNTIFS($AA$8:$AA$507,$AA11,$AG$8:$AG$507,"&lt;"&amp;$AG11)+1,Constants!$B$14),$Z11))</f>
        <v/>
      </c>
      <c r="AI11" s="97" t="str">
        <f aca="false">IF(ISBLANK($C11),"",IF($Z11=Constants!$B$7,LARGE(AB11:AC11,2)*S11,""))</f>
        <v/>
      </c>
      <c r="AJ11" s="97" t="str">
        <f aca="false">IF(ISBLANK($C11),"",IF($Z11=Constants!$B$7,RANK(AI11,$AI$8:$AI$507),$Z11))</f>
        <v/>
      </c>
      <c r="AK11" s="97" t="str">
        <f aca="false">IF(ISBLANK($C11),"",IF($Z11=Constants!$B$7,IF(ISNUMBER(AG11),COUNTIFS($AA$8:$AA$507,"&lt;"&amp;$AA11)+COUNTIFS($AA$8:$AA$507,$AA11,$AG$8:$AG$507,"&lt;"&amp;$AG11)+COUNTIFS($AA$8:$AA$507,$AA11,$AG$8:$AG$507,$AG11,$AJ$8:$AJ$507,"&lt;"&amp;$AJ11)+1,Constants!$B$14),$Z11))</f>
        <v/>
      </c>
      <c r="AL11" s="97" t="str">
        <f aca="false">IF(ISBLANK($C11),"",IF($Z11=Constants!$B$7,IF(ISNUMBER(AH11),AH11-AK11,Constants!$B$14),$Z11))</f>
        <v/>
      </c>
      <c r="AM11" s="98"/>
      <c r="AN11" s="99" t="str">
        <f aca="false">IF(ISBLANK($C11),"",IF($Z11&lt;&gt;Constants!$B$7,$Z11,AD11))</f>
        <v/>
      </c>
      <c r="AO11" s="100" t="str">
        <f aca="false">IF(ISBLANK($C11),"",IF($Z11&lt;&gt;Constants!$B$7,$Z11,S11))</f>
        <v/>
      </c>
      <c r="AP11" s="101" t="str">
        <f aca="false">IF(ISBLANK($C11),"",IF($Z11&lt;&gt;Constants!$B$7,$Z11,AF11))</f>
        <v/>
      </c>
      <c r="AQ11" s="102" t="str">
        <f aca="false">IF(ISBLANK($C11),"",IF($Z11&lt;&gt;Constants!$B$7,$Z11,AA11))</f>
        <v/>
      </c>
      <c r="AR11" s="100" t="str">
        <f aca="false">IF(ISBLANK($C11),"",AL11)</f>
        <v/>
      </c>
      <c r="AS11" s="100" t="str">
        <f aca="false">IF(ISBLANK($C11),"",AK11)</f>
        <v/>
      </c>
      <c r="AT11" s="103" t="str">
        <f aca="false">IF(ISBLANK($C11),"",IF(AS11=Constants!$B$4,COUNTA($C$8:$C$507)+2,IF(AS11=Constants!$B$5,COUNTA($C$8:$C$507)+1,IF(AS11=Constants!$B$6,COUNTA($C$8:$C$507),AS11))))</f>
        <v/>
      </c>
      <c r="AU11" s="5"/>
      <c r="AV11" s="104" t="n">
        <f aca="false">IF(OR(ISNUMBER(AS11),AS11=Constants!$B$4,AS11=Constants!$B$6,AS11=Constants!$B$5),1,0)</f>
        <v>0</v>
      </c>
      <c r="AW11" s="104" t="n">
        <v>4</v>
      </c>
      <c r="AX11" s="104" t="str">
        <f aca="false">IF(ISBLANK($C11),"",IF(ISNUMBER(AT11),AT11+ROW($B11)/1000,""))</f>
        <v/>
      </c>
      <c r="AY11" s="104" t="str">
        <f aca="false">IF(ISNUMBER(AX11),RANK(AX11,$AX$8:$AX$507,1),"")</f>
        <v/>
      </c>
      <c r="AZ11" s="104" t="str">
        <f aca="false">IF(ISBLANK($C11),"",$B11)</f>
        <v/>
      </c>
      <c r="BA11" s="104" t="str">
        <f aca="false">IF(ISBLANK($C11),"",$C11)</f>
        <v/>
      </c>
      <c r="BB11" s="104" t="str">
        <f aca="false">IF(ISBLANK($C11),"",$D11)</f>
        <v/>
      </c>
      <c r="BC11" s="105" t="str">
        <f aca="false">AQ11</f>
        <v/>
      </c>
      <c r="BD11" s="106" t="str">
        <f aca="false">AP11</f>
        <v/>
      </c>
      <c r="BE11" s="104" t="str">
        <f aca="false">IF(ISBLANK($C11),"",AS11)</f>
        <v/>
      </c>
      <c r="BF11" s="107" t="str">
        <f aca="false">IF($AW11&gt;$AV$7,"",VLOOKUP($AW11,$AY$8:$BE$507,7,FALSE()))</f>
        <v/>
      </c>
      <c r="BG11" s="108" t="str">
        <f aca="false">IF($AW11&gt;$AV$7,"",VLOOKUP($AW11,$AY$8:$BE$507,2,FALSE()))</f>
        <v/>
      </c>
      <c r="BH11" s="108" t="str">
        <f aca="false">IF($AW11&gt;$AV$7,"",VLOOKUP($AW11,$AY$8:$BE$507,3,FALSE()))</f>
        <v/>
      </c>
      <c r="BI11" s="108" t="str">
        <f aca="false">IF($AW11&gt;$AV$7,"",VLOOKUP($AW11,$AY$8:$BE$507,4,FALSE()))</f>
        <v/>
      </c>
      <c r="BJ11" s="108" t="str">
        <f aca="false">IF($AW11&gt;$AV$7,"",VLOOKUP($AW11,$AY$8:$BE$507,5,FALSE()))</f>
        <v/>
      </c>
      <c r="BK11" s="109" t="str">
        <f aca="false">IF($AW11&gt;$AV$7,"",VLOOKUP($AW11,$AY$8:$BE$507,6,FALSE()))</f>
        <v/>
      </c>
      <c r="BL11" s="50"/>
    </row>
    <row r="12" customFormat="false" ht="15.75" hidden="false" customHeight="false" outlineLevel="0" collapsed="false">
      <c r="A12" s="5"/>
      <c r="B12" s="83"/>
      <c r="C12" s="84"/>
      <c r="D12" s="110"/>
      <c r="E12" s="86"/>
      <c r="F12" s="87"/>
      <c r="G12" s="88"/>
      <c r="H12" s="89"/>
      <c r="I12" s="90"/>
      <c r="J12" s="91"/>
      <c r="K12" s="92"/>
      <c r="L12" s="90"/>
      <c r="M12" s="93"/>
      <c r="N12" s="94"/>
      <c r="O12" s="95"/>
      <c r="P12" s="96"/>
      <c r="Q12" s="97" t="str">
        <f aca="false">IF(ISBLANK($C12),"",IF(E12=Constants!$B$2, TRUE(), IF(E12=Constants!$B$3, FALSE(), TRUE())))</f>
        <v/>
      </c>
      <c r="R12" s="97" t="str">
        <f aca="false">IF(ISBLANK($C12),"",IF(F12=Constants!$B$2, TRUE(), IF(F12=Constants!$B$3, FALSE(), TRUE())))</f>
        <v/>
      </c>
      <c r="S12" s="97" t="str">
        <f aca="false">IF(ISBLANK($C12),"",IF(G12=Constants!$B$15,Constants!$B$8,IF(G12=Constants!$B$16,Constants!$B$9,Constants!$B$10)))</f>
        <v/>
      </c>
      <c r="T12" s="97" t="str">
        <f aca="false">IF(ISBLANK($C12),"",IF(H12=Constants!$B$2, TRUE(), IF(H12=Constants!$B$3, FALSE(), TRUE())))</f>
        <v/>
      </c>
      <c r="U12" s="97" t="str">
        <f aca="false">IF(ISBLANK($C12),"",IF(I12=Constants!$B$19,Constants!$B$19,Constants!$B$18))</f>
        <v/>
      </c>
      <c r="V12" s="97" t="str">
        <f aca="false">IF(ISBLANK($C12),"",IF(COUNTA(J12:K12)=0,"",IF(AND(OR(ISBLANK(J12),AND(ISNUMBER(J12),J12&gt;=0)),OR(ISBLANK(K12),AND(ISNUMBER(K12),K12&gt;=0))),60*IF(ISBLANK(J12),0,J12)+IF(ISBLANK(K12),0,K12),"")))</f>
        <v/>
      </c>
      <c r="W12" s="97" t="str">
        <f aca="false">IF(ISBLANK($C12),"",IF(L12=Constants!$B$19,Constants!$B$19,Constants!$B$18))</f>
        <v/>
      </c>
      <c r="X12" s="97" t="str">
        <f aca="false">IF(ISBLANK($C12),"",IF(COUNTA(M12:N12)=0,"",IF(AND(OR(ISBLANK(M12),AND(ISNUMBER(M12),M12&gt;=0)),OR(ISBLANK(N12),AND(ISNUMBER(N12),N12&gt;=0))),60*IF(ISBLANK(M12),0,M12)+IF(ISBLANK(N12),0,N12),"")))</f>
        <v/>
      </c>
      <c r="Y12" s="97" t="str">
        <f aca="false">IF(ISBLANK($C12),"",IF(O12=Constants!$B$2, TRUE(), IF(O12=Constants!$B$3, FALSE(), FALSE())))</f>
        <v/>
      </c>
      <c r="Z12" s="97" t="str">
        <f aca="false">IF(ISBLANK($C12),"",IF(Y12,Constants!$B$4,IF(COUNTA(E12:N12)=0,Constants!$B$5,IF(COUNTA(J12:K12,M12:N12)=0,Constants!$B$6,Constants!$B$7))))</f>
        <v/>
      </c>
      <c r="AA12" s="97" t="str">
        <f aca="false">IF(ISBLANK($C12),"",IF($Z12&lt;&gt;Constants!$B$7,$Z12,IF(OR(NOT(T12),AND(NOT(Q12),COUNTIFS(U12:W12,Constants!$B$18,V12:X12,"&gt;=0")&gt;0),AND(NOT(R12),COUNTIFS(U12:W12,Constants!$B$19,V12:X12,"&gt;=0")&gt;0)),Constants!$B$12,Constants!$B$11)))</f>
        <v/>
      </c>
      <c r="AB12" s="97" t="str">
        <f aca="false">IF($Z12=Constants!$B$7,IF(V12="",Constants!$B$13,V12),"")</f>
        <v/>
      </c>
      <c r="AC12" s="97" t="str">
        <f aca="false">IF($Z12=Constants!$B$7,IF(X12="",Constants!$B$13,X12),"")</f>
        <v/>
      </c>
      <c r="AD12" s="97" t="str">
        <f aca="false">IF($Z12=Constants!$B$7,IF($AB12&gt;=$AC12,1,2),"")</f>
        <v/>
      </c>
      <c r="AE12" s="97" t="str">
        <f aca="false">IF($Z12=Constants!$B$7,LARGE(AB12:AC12,1),"")</f>
        <v/>
      </c>
      <c r="AF12" s="97" t="str">
        <f aca="false">IF(ISBLANK($C12),"",IF($Z12&lt;&gt;Constants!$B$7,$Z12,AE12*S12))</f>
        <v/>
      </c>
      <c r="AG12" s="97" t="str">
        <f aca="false">IF(ISBLANK($C12),"",IF($Z12=Constants!$B$7,IF(ISNUMBER(AF12),RANK(AF12,$AF$8:$AF$507),Constants!$B$14),$Z12))</f>
        <v/>
      </c>
      <c r="AH12" s="97" t="str">
        <f aca="false">IF(ISBLANK($C12),"",IF($Z12=Constants!$B$7,IF(ISNUMBER(AG12),COUNTIFS($AA$8:$AA$507,"&lt;"&amp;$AA12)+COUNTIFS($AA$8:$AA$507,$AA12,$AG$8:$AG$507,"&lt;"&amp;$AG12)+1,Constants!$B$14),$Z12))</f>
        <v/>
      </c>
      <c r="AI12" s="97" t="str">
        <f aca="false">IF(ISBLANK($C12),"",IF($Z12=Constants!$B$7,LARGE(AB12:AC12,2)*S12,""))</f>
        <v/>
      </c>
      <c r="AJ12" s="97" t="str">
        <f aca="false">IF(ISBLANK($C12),"",IF($Z12=Constants!$B$7,RANK(AI12,$AI$8:$AI$507),$Z12))</f>
        <v/>
      </c>
      <c r="AK12" s="97" t="str">
        <f aca="false">IF(ISBLANK($C12),"",IF($Z12=Constants!$B$7,IF(ISNUMBER(AG12),COUNTIFS($AA$8:$AA$507,"&lt;"&amp;$AA12)+COUNTIFS($AA$8:$AA$507,$AA12,$AG$8:$AG$507,"&lt;"&amp;$AG12)+COUNTIFS($AA$8:$AA$507,$AA12,$AG$8:$AG$507,$AG12,$AJ$8:$AJ$507,"&lt;"&amp;$AJ12)+1,Constants!$B$14),$Z12))</f>
        <v/>
      </c>
      <c r="AL12" s="97" t="str">
        <f aca="false">IF(ISBLANK($C12),"",IF($Z12=Constants!$B$7,IF(ISNUMBER(AH12),AH12-AK12,Constants!$B$14),$Z12))</f>
        <v/>
      </c>
      <c r="AM12" s="98"/>
      <c r="AN12" s="99" t="str">
        <f aca="false">IF(ISBLANK($C12),"",IF($Z12&lt;&gt;Constants!$B$7,$Z12,AD12))</f>
        <v/>
      </c>
      <c r="AO12" s="100" t="str">
        <f aca="false">IF(ISBLANK($C12),"",IF($Z12&lt;&gt;Constants!$B$7,$Z12,S12))</f>
        <v/>
      </c>
      <c r="AP12" s="101" t="str">
        <f aca="false">IF(ISBLANK($C12),"",IF($Z12&lt;&gt;Constants!$B$7,$Z12,AF12))</f>
        <v/>
      </c>
      <c r="AQ12" s="102" t="str">
        <f aca="false">IF(ISBLANK($C12),"",IF($Z12&lt;&gt;Constants!$B$7,$Z12,AA12))</f>
        <v/>
      </c>
      <c r="AR12" s="100" t="str">
        <f aca="false">IF(ISBLANK($C12),"",AL12)</f>
        <v/>
      </c>
      <c r="AS12" s="100" t="str">
        <f aca="false">IF(ISBLANK($C12),"",AK12)</f>
        <v/>
      </c>
      <c r="AT12" s="103" t="str">
        <f aca="false">IF(ISBLANK($C12),"",IF(AS12=Constants!$B$4,COUNTA($C$8:$C$507)+2,IF(AS12=Constants!$B$5,COUNTA($C$8:$C$507)+1,IF(AS12=Constants!$B$6,COUNTA($C$8:$C$507),AS12))))</f>
        <v/>
      </c>
      <c r="AU12" s="5"/>
      <c r="AV12" s="104" t="n">
        <f aca="false">IF(OR(ISNUMBER(AS12),AS12=Constants!$B$4,AS12=Constants!$B$6,AS12=Constants!$B$5),1,0)</f>
        <v>0</v>
      </c>
      <c r="AW12" s="104" t="n">
        <v>5</v>
      </c>
      <c r="AX12" s="104" t="str">
        <f aca="false">IF(ISBLANK($C12),"",IF(ISNUMBER(AT12),AT12+ROW($B12)/1000,""))</f>
        <v/>
      </c>
      <c r="AY12" s="104" t="str">
        <f aca="false">IF(ISNUMBER(AX12),RANK(AX12,$AX$8:$AX$507,1),"")</f>
        <v/>
      </c>
      <c r="AZ12" s="104" t="str">
        <f aca="false">IF(ISBLANK($C12),"",$B12)</f>
        <v/>
      </c>
      <c r="BA12" s="104" t="str">
        <f aca="false">IF(ISBLANK($C12),"",$C12)</f>
        <v/>
      </c>
      <c r="BB12" s="104" t="str">
        <f aca="false">IF(ISBLANK($C12),"",$D12)</f>
        <v/>
      </c>
      <c r="BC12" s="105" t="str">
        <f aca="false">AQ12</f>
        <v/>
      </c>
      <c r="BD12" s="106" t="str">
        <f aca="false">AP12</f>
        <v/>
      </c>
      <c r="BE12" s="104" t="str">
        <f aca="false">IF(ISBLANK($C12),"",AS12)</f>
        <v/>
      </c>
      <c r="BF12" s="107" t="str">
        <f aca="false">IF($AW12&gt;$AV$7,"",VLOOKUP($AW12,$AY$8:$BE$507,7,FALSE()))</f>
        <v/>
      </c>
      <c r="BG12" s="108" t="str">
        <f aca="false">IF($AW12&gt;$AV$7,"",VLOOKUP($AW12,$AY$8:$BE$507,2,FALSE()))</f>
        <v/>
      </c>
      <c r="BH12" s="108" t="str">
        <f aca="false">IF($AW12&gt;$AV$7,"",VLOOKUP($AW12,$AY$8:$BE$507,3,FALSE()))</f>
        <v/>
      </c>
      <c r="BI12" s="108" t="str">
        <f aca="false">IF($AW12&gt;$AV$7,"",VLOOKUP($AW12,$AY$8:$BE$507,4,FALSE()))</f>
        <v/>
      </c>
      <c r="BJ12" s="108" t="str">
        <f aca="false">IF($AW12&gt;$AV$7,"",VLOOKUP($AW12,$AY$8:$BE$507,5,FALSE()))</f>
        <v/>
      </c>
      <c r="BK12" s="109" t="str">
        <f aca="false">IF($AW12&gt;$AV$7,"",VLOOKUP($AW12,$AY$8:$BE$507,6,FALSE()))</f>
        <v/>
      </c>
      <c r="BL12" s="50"/>
    </row>
    <row r="13" customFormat="false" ht="15.75" hidden="false" customHeight="false" outlineLevel="0" collapsed="false">
      <c r="A13" s="5"/>
      <c r="B13" s="111"/>
      <c r="C13" s="112"/>
      <c r="D13" s="113"/>
      <c r="E13" s="114"/>
      <c r="F13" s="115"/>
      <c r="G13" s="88"/>
      <c r="H13" s="116"/>
      <c r="I13" s="117"/>
      <c r="J13" s="91"/>
      <c r="K13" s="92"/>
      <c r="L13" s="117"/>
      <c r="M13" s="93"/>
      <c r="N13" s="94"/>
      <c r="O13" s="118"/>
      <c r="P13" s="96"/>
      <c r="Q13" s="97" t="str">
        <f aca="false">IF(ISBLANK($C13),"",IF(E13=Constants!$B$2, TRUE(), IF(E13=Constants!$B$3, FALSE(), TRUE())))</f>
        <v/>
      </c>
      <c r="R13" s="97" t="str">
        <f aca="false">IF(ISBLANK($C13),"",IF(F13=Constants!$B$2, TRUE(), IF(F13=Constants!$B$3, FALSE(), TRUE())))</f>
        <v/>
      </c>
      <c r="S13" s="97" t="str">
        <f aca="false">IF(ISBLANK($C13),"",IF(G13=Constants!$B$15,Constants!$B$8,IF(G13=Constants!$B$16,Constants!$B$9,Constants!$B$10)))</f>
        <v/>
      </c>
      <c r="T13" s="97" t="str">
        <f aca="false">IF(ISBLANK($C13),"",IF(H13=Constants!$B$2, TRUE(), IF(H13=Constants!$B$3, FALSE(), TRUE())))</f>
        <v/>
      </c>
      <c r="U13" s="97" t="str">
        <f aca="false">IF(ISBLANK($C13),"",IF(I13=Constants!$B$19,Constants!$B$19,Constants!$B$18))</f>
        <v/>
      </c>
      <c r="V13" s="97" t="str">
        <f aca="false">IF(ISBLANK($C13),"",IF(COUNTA(J13:K13)=0,"",IF(AND(OR(ISBLANK(J13),AND(ISNUMBER(J13),J13&gt;=0)),OR(ISBLANK(K13),AND(ISNUMBER(K13),K13&gt;=0))),60*IF(ISBLANK(J13),0,J13)+IF(ISBLANK(K13),0,K13),"")))</f>
        <v/>
      </c>
      <c r="W13" s="97" t="str">
        <f aca="false">IF(ISBLANK($C13),"",IF(L13=Constants!$B$19,Constants!$B$19,Constants!$B$18))</f>
        <v/>
      </c>
      <c r="X13" s="97" t="str">
        <f aca="false">IF(ISBLANK($C13),"",IF(COUNTA(M13:N13)=0,"",IF(AND(OR(ISBLANK(M13),AND(ISNUMBER(M13),M13&gt;=0)),OR(ISBLANK(N13),AND(ISNUMBER(N13),N13&gt;=0))),60*IF(ISBLANK(M13),0,M13)+IF(ISBLANK(N13),0,N13),"")))</f>
        <v/>
      </c>
      <c r="Y13" s="97" t="str">
        <f aca="false">IF(ISBLANK($C13),"",IF(O13=Constants!$B$2, TRUE(), IF(O13=Constants!$B$3, FALSE(), FALSE())))</f>
        <v/>
      </c>
      <c r="Z13" s="97" t="str">
        <f aca="false">IF(ISBLANK($C13),"",IF(Y13,Constants!$B$4,IF(COUNTA(E13:N13)=0,Constants!$B$5,IF(COUNTA(J13:K13,M13:N13)=0,Constants!$B$6,Constants!$B$7))))</f>
        <v/>
      </c>
      <c r="AA13" s="97" t="str">
        <f aca="false">IF(ISBLANK($C13),"",IF($Z13&lt;&gt;Constants!$B$7,$Z13,IF(OR(NOT(T13),AND(NOT(Q13),COUNTIFS(U13:W13,Constants!$B$18,V13:X13,"&gt;=0")&gt;0),AND(NOT(R13),COUNTIFS(U13:W13,Constants!$B$19,V13:X13,"&gt;=0")&gt;0)),Constants!$B$12,Constants!$B$11)))</f>
        <v/>
      </c>
      <c r="AB13" s="97" t="str">
        <f aca="false">IF($Z13=Constants!$B$7,IF(V13="",Constants!$B$13,V13),"")</f>
        <v/>
      </c>
      <c r="AC13" s="97" t="str">
        <f aca="false">IF($Z13=Constants!$B$7,IF(X13="",Constants!$B$13,X13),"")</f>
        <v/>
      </c>
      <c r="AD13" s="97" t="str">
        <f aca="false">IF($Z13=Constants!$B$7,IF($AB13&gt;=$AC13,1,2),"")</f>
        <v/>
      </c>
      <c r="AE13" s="97" t="str">
        <f aca="false">IF($Z13=Constants!$B$7,LARGE(AB13:AC13,1),"")</f>
        <v/>
      </c>
      <c r="AF13" s="97" t="str">
        <f aca="false">IF(ISBLANK($C13),"",IF($Z13&lt;&gt;Constants!$B$7,$Z13,AE13*S13))</f>
        <v/>
      </c>
      <c r="AG13" s="97" t="str">
        <f aca="false">IF(ISBLANK($C13),"",IF($Z13=Constants!$B$7,IF(ISNUMBER(AF13),RANK(AF13,$AF$8:$AF$507),Constants!$B$14),$Z13))</f>
        <v/>
      </c>
      <c r="AH13" s="97" t="str">
        <f aca="false">IF(ISBLANK($C13),"",IF($Z13=Constants!$B$7,IF(ISNUMBER(AG13),COUNTIFS($AA$8:$AA$507,"&lt;"&amp;$AA13)+COUNTIFS($AA$8:$AA$507,$AA13,$AG$8:$AG$507,"&lt;"&amp;$AG13)+1,Constants!$B$14),$Z13))</f>
        <v/>
      </c>
      <c r="AI13" s="97" t="str">
        <f aca="false">IF(ISBLANK($C13),"",IF($Z13=Constants!$B$7,LARGE(AB13:AC13,2)*S13,""))</f>
        <v/>
      </c>
      <c r="AJ13" s="97" t="str">
        <f aca="false">IF(ISBLANK($C13),"",IF($Z13=Constants!$B$7,RANK(AI13,$AI$8:$AI$507),$Z13))</f>
        <v/>
      </c>
      <c r="AK13" s="97" t="str">
        <f aca="false">IF(ISBLANK($C13),"",IF($Z13=Constants!$B$7,IF(ISNUMBER(AG13),COUNTIFS($AA$8:$AA$507,"&lt;"&amp;$AA13)+COUNTIFS($AA$8:$AA$507,$AA13,$AG$8:$AG$507,"&lt;"&amp;$AG13)+COUNTIFS($AA$8:$AA$507,$AA13,$AG$8:$AG$507,$AG13,$AJ$8:$AJ$507,"&lt;"&amp;$AJ13)+1,Constants!$B$14),$Z13))</f>
        <v/>
      </c>
      <c r="AL13" s="97" t="str">
        <f aca="false">IF(ISBLANK($C13),"",IF($Z13=Constants!$B$7,IF(ISNUMBER(AH13),AH13-AK13,Constants!$B$14),$Z13))</f>
        <v/>
      </c>
      <c r="AM13" s="98"/>
      <c r="AN13" s="99" t="str">
        <f aca="false">IF(ISBLANK($C13),"",IF($Z13&lt;&gt;Constants!$B$7,$Z13,AD13))</f>
        <v/>
      </c>
      <c r="AO13" s="100" t="str">
        <f aca="false">IF(ISBLANK($C13),"",IF($Z13&lt;&gt;Constants!$B$7,$Z13,S13))</f>
        <v/>
      </c>
      <c r="AP13" s="101" t="str">
        <f aca="false">IF(ISBLANK($C13),"",IF($Z13&lt;&gt;Constants!$B$7,$Z13,AF13))</f>
        <v/>
      </c>
      <c r="AQ13" s="102" t="str">
        <f aca="false">IF(ISBLANK($C13),"",IF($Z13&lt;&gt;Constants!$B$7,$Z13,AA13))</f>
        <v/>
      </c>
      <c r="AR13" s="100" t="str">
        <f aca="false">IF(ISBLANK($C13),"",AL13)</f>
        <v/>
      </c>
      <c r="AS13" s="100" t="str">
        <f aca="false">IF(ISBLANK($C13),"",AK13)</f>
        <v/>
      </c>
      <c r="AT13" s="103" t="str">
        <f aca="false">IF(ISBLANK($C13),"",IF(AS13=Constants!$B$4,COUNTA($C$8:$C$507)+2,IF(AS13=Constants!$B$5,COUNTA($C$8:$C$507)+1,IF(AS13=Constants!$B$6,COUNTA($C$8:$C$507),AS13))))</f>
        <v/>
      </c>
      <c r="AU13" s="5"/>
      <c r="AV13" s="104" t="n">
        <f aca="false">IF(OR(ISNUMBER(AS13),AS13=Constants!$B$4,AS13=Constants!$B$6,AS13=Constants!$B$5),1,0)</f>
        <v>0</v>
      </c>
      <c r="AW13" s="104" t="n">
        <v>6</v>
      </c>
      <c r="AX13" s="104" t="str">
        <f aca="false">IF(ISBLANK($C13),"",IF(ISNUMBER(AT13),AT13+ROW($B13)/1000,""))</f>
        <v/>
      </c>
      <c r="AY13" s="104" t="str">
        <f aca="false">IF(ISNUMBER(AX13),RANK(AX13,$AX$8:$AX$507,1),"")</f>
        <v/>
      </c>
      <c r="AZ13" s="104" t="str">
        <f aca="false">IF(ISBLANK($C13),"",$B13)</f>
        <v/>
      </c>
      <c r="BA13" s="104" t="str">
        <f aca="false">IF(ISBLANK($C13),"",$C13)</f>
        <v/>
      </c>
      <c r="BB13" s="104" t="str">
        <f aca="false">IF(ISBLANK($C13),"",$D13)</f>
        <v/>
      </c>
      <c r="BC13" s="105" t="str">
        <f aca="false">AQ13</f>
        <v/>
      </c>
      <c r="BD13" s="106" t="str">
        <f aca="false">AP13</f>
        <v/>
      </c>
      <c r="BE13" s="104" t="str">
        <f aca="false">IF(ISBLANK($C13),"",AS13)</f>
        <v/>
      </c>
      <c r="BF13" s="107" t="str">
        <f aca="false">IF($AW13&gt;$AV$7,"",VLOOKUP($AW13,$AY$8:$BE$507,7,FALSE()))</f>
        <v/>
      </c>
      <c r="BG13" s="108" t="str">
        <f aca="false">IF($AW13&gt;$AV$7,"",VLOOKUP($AW13,$AY$8:$BE$507,2,FALSE()))</f>
        <v/>
      </c>
      <c r="BH13" s="108" t="str">
        <f aca="false">IF($AW13&gt;$AV$7,"",VLOOKUP($AW13,$AY$8:$BE$507,3,FALSE()))</f>
        <v/>
      </c>
      <c r="BI13" s="108" t="str">
        <f aca="false">IF($AW13&gt;$AV$7,"",VLOOKUP($AW13,$AY$8:$BE$507,4,FALSE()))</f>
        <v/>
      </c>
      <c r="BJ13" s="108" t="str">
        <f aca="false">IF($AW13&gt;$AV$7,"",VLOOKUP($AW13,$AY$8:$BE$507,5,FALSE()))</f>
        <v/>
      </c>
      <c r="BK13" s="109" t="str">
        <f aca="false">IF($AW13&gt;$AV$7,"",VLOOKUP($AW13,$AY$8:$BE$507,6,FALSE()))</f>
        <v/>
      </c>
      <c r="BL13" s="50"/>
    </row>
    <row r="14" customFormat="false" ht="15.75" hidden="false" customHeight="false" outlineLevel="0" collapsed="false">
      <c r="A14" s="5"/>
      <c r="B14" s="119"/>
      <c r="C14" s="81"/>
      <c r="D14" s="82"/>
      <c r="E14" s="54"/>
      <c r="F14" s="55"/>
      <c r="G14" s="56"/>
      <c r="H14" s="57"/>
      <c r="I14" s="58"/>
      <c r="J14" s="59"/>
      <c r="K14" s="60"/>
      <c r="L14" s="58"/>
      <c r="M14" s="61"/>
      <c r="N14" s="62"/>
      <c r="O14" s="63"/>
      <c r="P14" s="64"/>
      <c r="Q14" s="65" t="str">
        <f aca="false">IF(ISBLANK($C14),"",IF(E14=Constants!$B$2, TRUE(), IF(E14=Constants!$B$3, FALSE(), TRUE())))</f>
        <v/>
      </c>
      <c r="R14" s="65" t="str">
        <f aca="false">IF(ISBLANK($C14),"",IF(F14=Constants!$B$2, TRUE(), IF(F14=Constants!$B$3, FALSE(), TRUE())))</f>
        <v/>
      </c>
      <c r="S14" s="65" t="str">
        <f aca="false">IF(ISBLANK($C14),"",IF(G14=Constants!$B$15,Constants!$B$8,IF(G14=Constants!$B$16,Constants!$B$9,Constants!$B$10)))</f>
        <v/>
      </c>
      <c r="T14" s="65" t="str">
        <f aca="false">IF(ISBLANK($C14),"",IF(H14=Constants!$B$2, TRUE(), IF(H14=Constants!$B$3, FALSE(), TRUE())))</f>
        <v/>
      </c>
      <c r="U14" s="65" t="str">
        <f aca="false">IF(ISBLANK($C14),"",IF(I14=Constants!$B$19,Constants!$B$19,Constants!$B$18))</f>
        <v/>
      </c>
      <c r="V14" s="65" t="str">
        <f aca="false">IF(ISBLANK($C14),"",IF(COUNTA(J14:K14)=0,"",IF(AND(OR(ISBLANK(J14),AND(ISNUMBER(J14),J14&gt;=0)),OR(ISBLANK(K14),AND(ISNUMBER(K14),K14&gt;=0))),60*IF(ISBLANK(J14),0,J14)+IF(ISBLANK(K14),0,K14),"")))</f>
        <v/>
      </c>
      <c r="W14" s="65" t="str">
        <f aca="false">IF(ISBLANK($C14),"",IF(L14=Constants!$B$19,Constants!$B$19,Constants!$B$18))</f>
        <v/>
      </c>
      <c r="X14" s="65" t="str">
        <f aca="false">IF(ISBLANK($C14),"",IF(COUNTA(M14:N14)=0,"",IF(AND(OR(ISBLANK(M14),AND(ISNUMBER(M14),M14&gt;=0)),OR(ISBLANK(N14),AND(ISNUMBER(N14),N14&gt;=0))),60*IF(ISBLANK(M14),0,M14)+IF(ISBLANK(N14),0,N14),"")))</f>
        <v/>
      </c>
      <c r="Y14" s="65" t="str">
        <f aca="false">IF(ISBLANK($C14),"",IF(O14=Constants!$B$2, TRUE(), IF(O14=Constants!$B$3, FALSE(), FALSE())))</f>
        <v/>
      </c>
      <c r="Z14" s="65" t="str">
        <f aca="false">IF(ISBLANK($C14),"",IF(Y14,Constants!$B$4,IF(COUNTA(E14:N14)=0,Constants!$B$5,IF(COUNTA(J14:K14,M14:N14)=0,Constants!$B$6,Constants!$B$7))))</f>
        <v/>
      </c>
      <c r="AA14" s="65" t="str">
        <f aca="false">IF(ISBLANK($C14),"",IF($Z14&lt;&gt;Constants!$B$7,$Z14,IF(OR(NOT(T14),AND(NOT(Q14),COUNTIFS(U14:W14,Constants!$B$18,V14:X14,"&gt;=0")&gt;0),AND(NOT(R14),COUNTIFS(U14:W14,Constants!$B$19,V14:X14,"&gt;=0")&gt;0)),Constants!$B$12,Constants!$B$11)))</f>
        <v/>
      </c>
      <c r="AB14" s="65" t="str">
        <f aca="false">IF($Z14=Constants!$B$7,IF(V14="",Constants!$B$13,V14),"")</f>
        <v/>
      </c>
      <c r="AC14" s="65" t="str">
        <f aca="false">IF($Z14=Constants!$B$7,IF(X14="",Constants!$B$13,X14),"")</f>
        <v/>
      </c>
      <c r="AD14" s="65" t="str">
        <f aca="false">IF($Z14=Constants!$B$7,IF($AB14&gt;=$AC14,1,2),"")</f>
        <v/>
      </c>
      <c r="AE14" s="65" t="str">
        <f aca="false">IF($Z14=Constants!$B$7,LARGE(AB14:AC14,1),"")</f>
        <v/>
      </c>
      <c r="AF14" s="65" t="str">
        <f aca="false">IF(ISBLANK($C14),"",IF($Z14&lt;&gt;Constants!$B$7,$Z14,AE14*S14))</f>
        <v/>
      </c>
      <c r="AG14" s="65" t="str">
        <f aca="false">IF(ISBLANK($C14),"",IF($Z14=Constants!$B$7,IF(ISNUMBER(AF14),RANK(AF14,$AF$8:$AF$507),Constants!$B$14),$Z14))</f>
        <v/>
      </c>
      <c r="AH14" s="65" t="str">
        <f aca="false">IF(ISBLANK($C14),"",IF($Z14=Constants!$B$7,IF(ISNUMBER(AG14),COUNTIFS($AA$8:$AA$507,"&lt;"&amp;$AA14)+COUNTIFS($AA$8:$AA$507,$AA14,$AG$8:$AG$507,"&lt;"&amp;$AG14)+1,Constants!$B$14),$Z14))</f>
        <v/>
      </c>
      <c r="AI14" s="65" t="str">
        <f aca="false">IF(ISBLANK($C14),"",IF($Z14=Constants!$B$7,LARGE(AB14:AC14,2)*S14,""))</f>
        <v/>
      </c>
      <c r="AJ14" s="65" t="str">
        <f aca="false">IF(ISBLANK($C14),"",IF($Z14=Constants!$B$7,RANK(AI14,$AI$8:$AI$507),$Z14))</f>
        <v/>
      </c>
      <c r="AK14" s="65" t="str">
        <f aca="false">IF(ISBLANK($C14),"",IF($Z14=Constants!$B$7,IF(ISNUMBER(AG14),COUNTIFS($AA$8:$AA$507,"&lt;"&amp;$AA14)+COUNTIFS($AA$8:$AA$507,$AA14,$AG$8:$AG$507,"&lt;"&amp;$AG14)+COUNTIFS($AA$8:$AA$507,$AA14,$AG$8:$AG$507,$AG14,$AJ$8:$AJ$507,"&lt;"&amp;$AJ14)+1,Constants!$B$14),$Z14))</f>
        <v/>
      </c>
      <c r="AL14" s="65" t="str">
        <f aca="false">IF(ISBLANK($C14),"",IF($Z14=Constants!$B$7,IF(ISNUMBER(AH14),AH14-AK14,Constants!$B$14),$Z14))</f>
        <v/>
      </c>
      <c r="AM14" s="67"/>
      <c r="AN14" s="68" t="str">
        <f aca="false">IF(ISBLANK($C14),"",IF($Z14&lt;&gt;Constants!$B$7,$Z14,AD14))</f>
        <v/>
      </c>
      <c r="AO14" s="69" t="str">
        <f aca="false">IF(ISBLANK($C14),"",IF($Z14&lt;&gt;Constants!$B$7,$Z14,S14))</f>
        <v/>
      </c>
      <c r="AP14" s="70" t="str">
        <f aca="false">IF(ISBLANK($C14),"",IF($Z14&lt;&gt;Constants!$B$7,$Z14,AF14))</f>
        <v/>
      </c>
      <c r="AQ14" s="71" t="str">
        <f aca="false">IF(ISBLANK($C14),"",IF($Z14&lt;&gt;Constants!$B$7,$Z14,AA14))</f>
        <v/>
      </c>
      <c r="AR14" s="69" t="str">
        <f aca="false">IF(ISBLANK($C14),"",AL14)</f>
        <v/>
      </c>
      <c r="AS14" s="69" t="str">
        <f aca="false">IF(ISBLANK($C14),"",AK14)</f>
        <v/>
      </c>
      <c r="AT14" s="72" t="str">
        <f aca="false">IF(ISBLANK($C14),"",IF(AS14=Constants!$B$4,COUNTA($C$8:$C$507)+2,IF(AS14=Constants!$B$5,COUNTA($C$8:$C$507)+1,IF(AS14=Constants!$B$6,COUNTA($C$8:$C$507),AS14))))</f>
        <v/>
      </c>
      <c r="AU14" s="5"/>
      <c r="AV14" s="73" t="n">
        <f aca="false">IF(OR(ISNUMBER(AS14),AS14=Constants!$B$4,AS14=Constants!$B$6,AS14=Constants!$B$5),1,0)</f>
        <v>0</v>
      </c>
      <c r="AW14" s="73" t="n">
        <v>7</v>
      </c>
      <c r="AX14" s="73" t="str">
        <f aca="false">IF(ISBLANK($C14),"",IF(ISNUMBER(AT14),AT14+ROW($B14)/1000,""))</f>
        <v/>
      </c>
      <c r="AY14" s="73" t="str">
        <f aca="false">IF(ISNUMBER(AX14),RANK(AX14,$AX$8:$AX$507,1),"")</f>
        <v/>
      </c>
      <c r="AZ14" s="73" t="str">
        <f aca="false">IF(ISBLANK($C14),"",$B14)</f>
        <v/>
      </c>
      <c r="BA14" s="73" t="str">
        <f aca="false">IF(ISBLANK($C14),"",$C14)</f>
        <v/>
      </c>
      <c r="BB14" s="73" t="str">
        <f aca="false">IF(ISBLANK($C14),"",$D14)</f>
        <v/>
      </c>
      <c r="BC14" s="74" t="str">
        <f aca="false">AQ14</f>
        <v/>
      </c>
      <c r="BD14" s="75" t="str">
        <f aca="false">AP14</f>
        <v/>
      </c>
      <c r="BE14" s="73" t="str">
        <f aca="false">IF(ISBLANK($C14),"",AS14)</f>
        <v/>
      </c>
      <c r="BF14" s="76" t="str">
        <f aca="false">IF($AW14&gt;$AV$7,"",VLOOKUP($AW14,$AY$8:$BE$507,7,FALSE()))</f>
        <v/>
      </c>
      <c r="BG14" s="77" t="str">
        <f aca="false">IF($AW14&gt;$AV$7,"",VLOOKUP($AW14,$AY$8:$BE$507,2,FALSE()))</f>
        <v/>
      </c>
      <c r="BH14" s="77" t="str">
        <f aca="false">IF($AW14&gt;$AV$7,"",VLOOKUP($AW14,$AY$8:$BE$507,3,FALSE()))</f>
        <v/>
      </c>
      <c r="BI14" s="77" t="str">
        <f aca="false">IF($AW14&gt;$AV$7,"",VLOOKUP($AW14,$AY$8:$BE$507,4,FALSE()))</f>
        <v/>
      </c>
      <c r="BJ14" s="77" t="str">
        <f aca="false">IF($AW14&gt;$AV$7,"",VLOOKUP($AW14,$AY$8:$BE$507,5,FALSE()))</f>
        <v/>
      </c>
      <c r="BK14" s="78" t="str">
        <f aca="false">IF($AW14&gt;$AV$7,"",VLOOKUP($AW14,$AY$8:$BE$507,6,FALSE()))</f>
        <v/>
      </c>
      <c r="BL14" s="50"/>
    </row>
    <row r="15" customFormat="false" ht="15.75" hidden="false" customHeight="false" outlineLevel="0" collapsed="false">
      <c r="A15" s="5"/>
      <c r="B15" s="119"/>
      <c r="C15" s="81"/>
      <c r="D15" s="53"/>
      <c r="E15" s="120"/>
      <c r="F15" s="121"/>
      <c r="G15" s="56"/>
      <c r="H15" s="122"/>
      <c r="I15" s="123"/>
      <c r="J15" s="59"/>
      <c r="K15" s="60"/>
      <c r="L15" s="123"/>
      <c r="M15" s="61"/>
      <c r="N15" s="62"/>
      <c r="O15" s="63"/>
      <c r="P15" s="64"/>
      <c r="Q15" s="65" t="str">
        <f aca="false">IF(ISBLANK($C15),"",IF(E15=Constants!$B$2, TRUE(), IF(E15=Constants!$B$3, FALSE(), TRUE())))</f>
        <v/>
      </c>
      <c r="R15" s="65" t="str">
        <f aca="false">IF(ISBLANK($C15),"",IF(F15=Constants!$B$2, TRUE(), IF(F15=Constants!$B$3, FALSE(), TRUE())))</f>
        <v/>
      </c>
      <c r="S15" s="65" t="str">
        <f aca="false">IF(ISBLANK($C15),"",IF(G15=Constants!$B$15,Constants!$B$8,IF(G15=Constants!$B$16,Constants!$B$9,Constants!$B$10)))</f>
        <v/>
      </c>
      <c r="T15" s="65" t="str">
        <f aca="false">IF(ISBLANK($C15),"",IF(H15=Constants!$B$2, TRUE(), IF(H15=Constants!$B$3, FALSE(), TRUE())))</f>
        <v/>
      </c>
      <c r="U15" s="65" t="str">
        <f aca="false">IF(ISBLANK($C15),"",IF(I15=Constants!$B$19,Constants!$B$19,Constants!$B$18))</f>
        <v/>
      </c>
      <c r="V15" s="65" t="str">
        <f aca="false">IF(ISBLANK($C15),"",IF(COUNTA(J15:K15)=0,"",IF(AND(OR(ISBLANK(J15),AND(ISNUMBER(J15),J15&gt;=0)),OR(ISBLANK(K15),AND(ISNUMBER(K15),K15&gt;=0))),60*IF(ISBLANK(J15),0,J15)+IF(ISBLANK(K15),0,K15),"")))</f>
        <v/>
      </c>
      <c r="W15" s="65" t="str">
        <f aca="false">IF(ISBLANK($C15),"",IF(L15=Constants!$B$19,Constants!$B$19,Constants!$B$18))</f>
        <v/>
      </c>
      <c r="X15" s="65" t="str">
        <f aca="false">IF(ISBLANK($C15),"",IF(COUNTA(M15:N15)=0,"",IF(AND(OR(ISBLANK(M15),AND(ISNUMBER(M15),M15&gt;=0)),OR(ISBLANK(N15),AND(ISNUMBER(N15),N15&gt;=0))),60*IF(ISBLANK(M15),0,M15)+IF(ISBLANK(N15),0,N15),"")))</f>
        <v/>
      </c>
      <c r="Y15" s="65" t="str">
        <f aca="false">IF(ISBLANK($C15),"",IF(O15=Constants!$B$2, TRUE(), IF(O15=Constants!$B$3, FALSE(), FALSE())))</f>
        <v/>
      </c>
      <c r="Z15" s="65" t="str">
        <f aca="false">IF(ISBLANK($C15),"",IF(Y15,Constants!$B$4,IF(COUNTA(E15:N15)=0,Constants!$B$5,IF(COUNTA(J15:K15,M15:N15)=0,Constants!$B$6,Constants!$B$7))))</f>
        <v/>
      </c>
      <c r="AA15" s="65" t="str">
        <f aca="false">IF(ISBLANK($C15),"",IF($Z15&lt;&gt;Constants!$B$7,$Z15,IF(OR(NOT(T15),AND(NOT(Q15),COUNTIFS(U15:W15,Constants!$B$18,V15:X15,"&gt;=0")&gt;0),AND(NOT(R15),COUNTIFS(U15:W15,Constants!$B$19,V15:X15,"&gt;=0")&gt;0)),Constants!$B$12,Constants!$B$11)))</f>
        <v/>
      </c>
      <c r="AB15" s="65" t="str">
        <f aca="false">IF($Z15=Constants!$B$7,IF(V15="",Constants!$B$13,V15),"")</f>
        <v/>
      </c>
      <c r="AC15" s="65" t="str">
        <f aca="false">IF($Z15=Constants!$B$7,IF(X15="",Constants!$B$13,X15),"")</f>
        <v/>
      </c>
      <c r="AD15" s="65" t="str">
        <f aca="false">IF($Z15=Constants!$B$7,IF($AB15&gt;=$AC15,1,2),"")</f>
        <v/>
      </c>
      <c r="AE15" s="65" t="str">
        <f aca="false">IF($Z15=Constants!$B$7,LARGE(AB15:AC15,1),"")</f>
        <v/>
      </c>
      <c r="AF15" s="65" t="str">
        <f aca="false">IF(ISBLANK($C15),"",IF($Z15&lt;&gt;Constants!$B$7,$Z15,AE15*S15))</f>
        <v/>
      </c>
      <c r="AG15" s="65" t="str">
        <f aca="false">IF(ISBLANK($C15),"",IF($Z15=Constants!$B$7,IF(ISNUMBER(AF15),RANK(AF15,$AF$8:$AF$507),Constants!$B$14),$Z15))</f>
        <v/>
      </c>
      <c r="AH15" s="65" t="str">
        <f aca="false">IF(ISBLANK($C15),"",IF($Z15=Constants!$B$7,IF(ISNUMBER(AG15),COUNTIFS($AA$8:$AA$507,"&lt;"&amp;$AA15)+COUNTIFS($AA$8:$AA$507,$AA15,$AG$8:$AG$507,"&lt;"&amp;$AG15)+1,Constants!$B$14),$Z15))</f>
        <v/>
      </c>
      <c r="AI15" s="65" t="str">
        <f aca="false">IF(ISBLANK($C15),"",IF($Z15=Constants!$B$7,LARGE(AB15:AC15,2)*S15,""))</f>
        <v/>
      </c>
      <c r="AJ15" s="65" t="str">
        <f aca="false">IF(ISBLANK($C15),"",IF($Z15=Constants!$B$7,RANK(AI15,$AI$8:$AI$507),$Z15))</f>
        <v/>
      </c>
      <c r="AK15" s="65" t="str">
        <f aca="false">IF(ISBLANK($C15),"",IF($Z15=Constants!$B$7,IF(ISNUMBER(AG15),COUNTIFS($AA$8:$AA$507,"&lt;"&amp;$AA15)+COUNTIFS($AA$8:$AA$507,$AA15,$AG$8:$AG$507,"&lt;"&amp;$AG15)+COUNTIFS($AA$8:$AA$507,$AA15,$AG$8:$AG$507,$AG15,$AJ$8:$AJ$507,"&lt;"&amp;$AJ15)+1,Constants!$B$14),$Z15))</f>
        <v/>
      </c>
      <c r="AL15" s="65" t="str">
        <f aca="false">IF(ISBLANK($C15),"",IF($Z15=Constants!$B$7,IF(ISNUMBER(AH15),AH15-AK15,Constants!$B$14),$Z15))</f>
        <v/>
      </c>
      <c r="AM15" s="67"/>
      <c r="AN15" s="68" t="str">
        <f aca="false">IF(ISBLANK($C15),"",IF($Z15&lt;&gt;Constants!$B$7,$Z15,AD15))</f>
        <v/>
      </c>
      <c r="AO15" s="69" t="str">
        <f aca="false">IF(ISBLANK($C15),"",IF($Z15&lt;&gt;Constants!$B$7,$Z15,S15))</f>
        <v/>
      </c>
      <c r="AP15" s="70" t="str">
        <f aca="false">IF(ISBLANK($C15),"",IF($Z15&lt;&gt;Constants!$B$7,$Z15,AF15))</f>
        <v/>
      </c>
      <c r="AQ15" s="71" t="str">
        <f aca="false">IF(ISBLANK($C15),"",IF($Z15&lt;&gt;Constants!$B$7,$Z15,AA15))</f>
        <v/>
      </c>
      <c r="AR15" s="69" t="str">
        <f aca="false">IF(ISBLANK($C15),"",AL15)</f>
        <v/>
      </c>
      <c r="AS15" s="69" t="str">
        <f aca="false">IF(ISBLANK($C15),"",AK15)</f>
        <v/>
      </c>
      <c r="AT15" s="72" t="str">
        <f aca="false">IF(ISBLANK($C15),"",IF(AS15=Constants!$B$4,COUNTA($C$8:$C$507)+2,IF(AS15=Constants!$B$5,COUNTA($C$8:$C$507)+1,IF(AS15=Constants!$B$6,COUNTA($C$8:$C$507),AS15))))</f>
        <v/>
      </c>
      <c r="AU15" s="5"/>
      <c r="AV15" s="73" t="n">
        <f aca="false">IF(OR(ISNUMBER(AS15),AS15=Constants!$B$4,AS15=Constants!$B$6,AS15=Constants!$B$5),1,0)</f>
        <v>0</v>
      </c>
      <c r="AW15" s="73" t="n">
        <v>8</v>
      </c>
      <c r="AX15" s="73" t="str">
        <f aca="false">IF(ISBLANK($C15),"",IF(ISNUMBER(AT15),AT15+ROW($B15)/1000,""))</f>
        <v/>
      </c>
      <c r="AY15" s="73" t="str">
        <f aca="false">IF(ISNUMBER(AX15),RANK(AX15,$AX$8:$AX$507,1),"")</f>
        <v/>
      </c>
      <c r="AZ15" s="73" t="str">
        <f aca="false">IF(ISBLANK($C15),"",$B15)</f>
        <v/>
      </c>
      <c r="BA15" s="73" t="str">
        <f aca="false">IF(ISBLANK($C15),"",$C15)</f>
        <v/>
      </c>
      <c r="BB15" s="73" t="str">
        <f aca="false">IF(ISBLANK($C15),"",$D15)</f>
        <v/>
      </c>
      <c r="BC15" s="74" t="str">
        <f aca="false">AQ15</f>
        <v/>
      </c>
      <c r="BD15" s="75" t="str">
        <f aca="false">AP15</f>
        <v/>
      </c>
      <c r="BE15" s="73" t="str">
        <f aca="false">IF(ISBLANK($C15),"",AS15)</f>
        <v/>
      </c>
      <c r="BF15" s="76" t="str">
        <f aca="false">IF($AW15&gt;$AV$7,"",VLOOKUP($AW15,$AY$8:$BE$507,7,FALSE()))</f>
        <v/>
      </c>
      <c r="BG15" s="77" t="str">
        <f aca="false">IF($AW15&gt;$AV$7,"",VLOOKUP($AW15,$AY$8:$BE$507,2,FALSE()))</f>
        <v/>
      </c>
      <c r="BH15" s="77" t="str">
        <f aca="false">IF($AW15&gt;$AV$7,"",VLOOKUP($AW15,$AY$8:$BE$507,3,FALSE()))</f>
        <v/>
      </c>
      <c r="BI15" s="77" t="str">
        <f aca="false">IF($AW15&gt;$AV$7,"",VLOOKUP($AW15,$AY$8:$BE$507,4,FALSE()))</f>
        <v/>
      </c>
      <c r="BJ15" s="77" t="str">
        <f aca="false">IF($AW15&gt;$AV$7,"",VLOOKUP($AW15,$AY$8:$BE$507,5,FALSE()))</f>
        <v/>
      </c>
      <c r="BK15" s="78" t="str">
        <f aca="false">IF($AW15&gt;$AV$7,"",VLOOKUP($AW15,$AY$8:$BE$507,6,FALSE()))</f>
        <v/>
      </c>
      <c r="BL15" s="50"/>
    </row>
    <row r="16" customFormat="false" ht="15.75" hidden="false" customHeight="false" outlineLevel="0" collapsed="false">
      <c r="A16" s="5"/>
      <c r="B16" s="119"/>
      <c r="C16" s="81"/>
      <c r="D16" s="53"/>
      <c r="E16" s="54"/>
      <c r="F16" s="55"/>
      <c r="G16" s="56"/>
      <c r="H16" s="57"/>
      <c r="I16" s="58"/>
      <c r="J16" s="59"/>
      <c r="K16" s="60"/>
      <c r="L16" s="58"/>
      <c r="M16" s="61"/>
      <c r="N16" s="62"/>
      <c r="O16" s="63"/>
      <c r="P16" s="64"/>
      <c r="Q16" s="65" t="str">
        <f aca="false">IF(ISBLANK($C16),"",IF(E16=Constants!$B$2, TRUE(), IF(E16=Constants!$B$3, FALSE(), TRUE())))</f>
        <v/>
      </c>
      <c r="R16" s="65" t="str">
        <f aca="false">IF(ISBLANK($C16),"",IF(F16=Constants!$B$2, TRUE(), IF(F16=Constants!$B$3, FALSE(), TRUE())))</f>
        <v/>
      </c>
      <c r="S16" s="65" t="str">
        <f aca="false">IF(ISBLANK($C16),"",IF(G16=Constants!$B$15,Constants!$B$8,IF(G16=Constants!$B$16,Constants!$B$9,Constants!$B$10)))</f>
        <v/>
      </c>
      <c r="T16" s="65" t="str">
        <f aca="false">IF(ISBLANK($C16),"",IF(H16=Constants!$B$2, TRUE(), IF(H16=Constants!$B$3, FALSE(), TRUE())))</f>
        <v/>
      </c>
      <c r="U16" s="65" t="str">
        <f aca="false">IF(ISBLANK($C16),"",IF(I16=Constants!$B$19,Constants!$B$19,Constants!$B$18))</f>
        <v/>
      </c>
      <c r="V16" s="65" t="str">
        <f aca="false">IF(ISBLANK($C16),"",IF(COUNTA(J16:K16)=0,"",IF(AND(OR(ISBLANK(J16),AND(ISNUMBER(J16),J16&gt;=0)),OR(ISBLANK(K16),AND(ISNUMBER(K16),K16&gt;=0))),60*IF(ISBLANK(J16),0,J16)+IF(ISBLANK(K16),0,K16),"")))</f>
        <v/>
      </c>
      <c r="W16" s="65" t="str">
        <f aca="false">IF(ISBLANK($C16),"",IF(L16=Constants!$B$19,Constants!$B$19,Constants!$B$18))</f>
        <v/>
      </c>
      <c r="X16" s="65" t="str">
        <f aca="false">IF(ISBLANK($C16),"",IF(COUNTA(M16:N16)=0,"",IF(AND(OR(ISBLANK(M16),AND(ISNUMBER(M16),M16&gt;=0)),OR(ISBLANK(N16),AND(ISNUMBER(N16),N16&gt;=0))),60*IF(ISBLANK(M16),0,M16)+IF(ISBLANK(N16),0,N16),"")))</f>
        <v/>
      </c>
      <c r="Y16" s="65" t="str">
        <f aca="false">IF(ISBLANK($C16),"",IF(O16=Constants!$B$2, TRUE(), IF(O16=Constants!$B$3, FALSE(), FALSE())))</f>
        <v/>
      </c>
      <c r="Z16" s="65" t="str">
        <f aca="false">IF(ISBLANK($C16),"",IF(Y16,Constants!$B$4,IF(COUNTA(E16:N16)=0,Constants!$B$5,IF(COUNTA(J16:K16,M16:N16)=0,Constants!$B$6,Constants!$B$7))))</f>
        <v/>
      </c>
      <c r="AA16" s="65" t="str">
        <f aca="false">IF(ISBLANK($C16),"",IF($Z16&lt;&gt;Constants!$B$7,$Z16,IF(OR(NOT(T16),AND(NOT(Q16),COUNTIFS(U16:W16,Constants!$B$18,V16:X16,"&gt;=0")&gt;0),AND(NOT(R16),COUNTIFS(U16:W16,Constants!$B$19,V16:X16,"&gt;=0")&gt;0)),Constants!$B$12,Constants!$B$11)))</f>
        <v/>
      </c>
      <c r="AB16" s="65" t="str">
        <f aca="false">IF($Z16=Constants!$B$7,IF(V16="",Constants!$B$13,V16),"")</f>
        <v/>
      </c>
      <c r="AC16" s="65" t="str">
        <f aca="false">IF($Z16=Constants!$B$7,IF(X16="",Constants!$B$13,X16),"")</f>
        <v/>
      </c>
      <c r="AD16" s="65" t="str">
        <f aca="false">IF($Z16=Constants!$B$7,IF($AB16&gt;=$AC16,1,2),"")</f>
        <v/>
      </c>
      <c r="AE16" s="65" t="str">
        <f aca="false">IF($Z16=Constants!$B$7,LARGE(AB16:AC16,1),"")</f>
        <v/>
      </c>
      <c r="AF16" s="65" t="str">
        <f aca="false">IF(ISBLANK($C16),"",IF($Z16&lt;&gt;Constants!$B$7,$Z16,AE16*S16))</f>
        <v/>
      </c>
      <c r="AG16" s="65" t="str">
        <f aca="false">IF(ISBLANK($C16),"",IF($Z16=Constants!$B$7,IF(ISNUMBER(AF16),RANK(AF16,$AF$8:$AF$507),Constants!$B$14),$Z16))</f>
        <v/>
      </c>
      <c r="AH16" s="65" t="str">
        <f aca="false">IF(ISBLANK($C16),"",IF($Z16=Constants!$B$7,IF(ISNUMBER(AG16),COUNTIFS($AA$8:$AA$507,"&lt;"&amp;$AA16)+COUNTIFS($AA$8:$AA$507,$AA16,$AG$8:$AG$507,"&lt;"&amp;$AG16)+1,Constants!$B$14),$Z16))</f>
        <v/>
      </c>
      <c r="AI16" s="65" t="str">
        <f aca="false">IF(ISBLANK($C16),"",IF($Z16=Constants!$B$7,LARGE(AB16:AC16,2)*S16,""))</f>
        <v/>
      </c>
      <c r="AJ16" s="65" t="str">
        <f aca="false">IF(ISBLANK($C16),"",IF($Z16=Constants!$B$7,RANK(AI16,$AI$8:$AI$507),$Z16))</f>
        <v/>
      </c>
      <c r="AK16" s="65" t="str">
        <f aca="false">IF(ISBLANK($C16),"",IF($Z16=Constants!$B$7,IF(ISNUMBER(AG16),COUNTIFS($AA$8:$AA$507,"&lt;"&amp;$AA16)+COUNTIFS($AA$8:$AA$507,$AA16,$AG$8:$AG$507,"&lt;"&amp;$AG16)+COUNTIFS($AA$8:$AA$507,$AA16,$AG$8:$AG$507,$AG16,$AJ$8:$AJ$507,"&lt;"&amp;$AJ16)+1,Constants!$B$14),$Z16))</f>
        <v/>
      </c>
      <c r="AL16" s="65" t="str">
        <f aca="false">IF(ISBLANK($C16),"",IF($Z16=Constants!$B$7,IF(ISNUMBER(AH16),AH16-AK16,Constants!$B$14),$Z16))</f>
        <v/>
      </c>
      <c r="AM16" s="67"/>
      <c r="AN16" s="68" t="str">
        <f aca="false">IF(ISBLANK($C16),"",IF($Z16&lt;&gt;Constants!$B$7,$Z16,AD16))</f>
        <v/>
      </c>
      <c r="AO16" s="69" t="str">
        <f aca="false">IF(ISBLANK($C16),"",IF($Z16&lt;&gt;Constants!$B$7,$Z16,S16))</f>
        <v/>
      </c>
      <c r="AP16" s="70" t="str">
        <f aca="false">IF(ISBLANK($C16),"",IF($Z16&lt;&gt;Constants!$B$7,$Z16,AF16))</f>
        <v/>
      </c>
      <c r="AQ16" s="71" t="str">
        <f aca="false">IF(ISBLANK($C16),"",IF($Z16&lt;&gt;Constants!$B$7,$Z16,AA16))</f>
        <v/>
      </c>
      <c r="AR16" s="69" t="str">
        <f aca="false">IF(ISBLANK($C16),"",AL16)</f>
        <v/>
      </c>
      <c r="AS16" s="69" t="str">
        <f aca="false">IF(ISBLANK($C16),"",AK16)</f>
        <v/>
      </c>
      <c r="AT16" s="72" t="str">
        <f aca="false">IF(ISBLANK($C16),"",IF(AS16=Constants!$B$4,COUNTA($C$8:$C$507)+2,IF(AS16=Constants!$B$5,COUNTA($C$8:$C$507)+1,IF(AS16=Constants!$B$6,COUNTA($C$8:$C$507),AS16))))</f>
        <v/>
      </c>
      <c r="AU16" s="5"/>
      <c r="AV16" s="73" t="n">
        <f aca="false">IF(OR(ISNUMBER(AS16),AS16=Constants!$B$4,AS16=Constants!$B$6,AS16=Constants!$B$5),1,0)</f>
        <v>0</v>
      </c>
      <c r="AW16" s="73" t="n">
        <v>9</v>
      </c>
      <c r="AX16" s="73" t="str">
        <f aca="false">IF(ISBLANK($C16),"",IF(ISNUMBER(AT16),AT16+ROW($B16)/1000,""))</f>
        <v/>
      </c>
      <c r="AY16" s="73" t="str">
        <f aca="false">IF(ISNUMBER(AX16),RANK(AX16,$AX$8:$AX$507,1),"")</f>
        <v/>
      </c>
      <c r="AZ16" s="73" t="str">
        <f aca="false">IF(ISBLANK($C16),"",$B16)</f>
        <v/>
      </c>
      <c r="BA16" s="73" t="str">
        <f aca="false">IF(ISBLANK($C16),"",$C16)</f>
        <v/>
      </c>
      <c r="BB16" s="73" t="str">
        <f aca="false">IF(ISBLANK($C16),"",$D16)</f>
        <v/>
      </c>
      <c r="BC16" s="74" t="str">
        <f aca="false">AQ16</f>
        <v/>
      </c>
      <c r="BD16" s="75" t="str">
        <f aca="false">AP16</f>
        <v/>
      </c>
      <c r="BE16" s="73" t="str">
        <f aca="false">IF(ISBLANK($C16),"",AS16)</f>
        <v/>
      </c>
      <c r="BF16" s="76" t="str">
        <f aca="false">IF($AW16&gt;$AV$7,"",VLOOKUP($AW16,$AY$8:$BE$507,7,FALSE()))</f>
        <v/>
      </c>
      <c r="BG16" s="77" t="str">
        <f aca="false">IF($AW16&gt;$AV$7,"",VLOOKUP($AW16,$AY$8:$BE$507,2,FALSE()))</f>
        <v/>
      </c>
      <c r="BH16" s="77" t="str">
        <f aca="false">IF($AW16&gt;$AV$7,"",VLOOKUP($AW16,$AY$8:$BE$507,3,FALSE()))</f>
        <v/>
      </c>
      <c r="BI16" s="77" t="str">
        <f aca="false">IF($AW16&gt;$AV$7,"",VLOOKUP($AW16,$AY$8:$BE$507,4,FALSE()))</f>
        <v/>
      </c>
      <c r="BJ16" s="77" t="str">
        <f aca="false">IF($AW16&gt;$AV$7,"",VLOOKUP($AW16,$AY$8:$BE$507,5,FALSE()))</f>
        <v/>
      </c>
      <c r="BK16" s="78" t="str">
        <f aca="false">IF($AW16&gt;$AV$7,"",VLOOKUP($AW16,$AY$8:$BE$507,6,FALSE()))</f>
        <v/>
      </c>
      <c r="BL16" s="50"/>
    </row>
    <row r="17" customFormat="false" ht="15.75" hidden="false" customHeight="false" outlineLevel="0" collapsed="false">
      <c r="A17" s="5"/>
      <c r="B17" s="124"/>
      <c r="C17" s="125"/>
      <c r="D17" s="110"/>
      <c r="E17" s="126"/>
      <c r="F17" s="127"/>
      <c r="G17" s="88"/>
      <c r="H17" s="128"/>
      <c r="I17" s="129"/>
      <c r="J17" s="91"/>
      <c r="K17" s="92"/>
      <c r="L17" s="129"/>
      <c r="M17" s="93"/>
      <c r="N17" s="94"/>
      <c r="O17" s="130"/>
      <c r="P17" s="96"/>
      <c r="Q17" s="97" t="str">
        <f aca="false">IF(ISBLANK($C17),"",IF(E17=Constants!$B$2, TRUE(), IF(E17=Constants!$B$3, FALSE(), TRUE())))</f>
        <v/>
      </c>
      <c r="R17" s="97" t="str">
        <f aca="false">IF(ISBLANK($C17),"",IF(F17=Constants!$B$2, TRUE(), IF(F17=Constants!$B$3, FALSE(), TRUE())))</f>
        <v/>
      </c>
      <c r="S17" s="97" t="str">
        <f aca="false">IF(ISBLANK($C17),"",IF(G17=Constants!$B$15,Constants!$B$8,IF(G17=Constants!$B$16,Constants!$B$9,Constants!$B$10)))</f>
        <v/>
      </c>
      <c r="T17" s="97" t="str">
        <f aca="false">IF(ISBLANK($C17),"",IF(H17=Constants!$B$2, TRUE(), IF(H17=Constants!$B$3, FALSE(), TRUE())))</f>
        <v/>
      </c>
      <c r="U17" s="97" t="str">
        <f aca="false">IF(ISBLANK($C17),"",IF(I17=Constants!$B$19,Constants!$B$19,Constants!$B$18))</f>
        <v/>
      </c>
      <c r="V17" s="97" t="str">
        <f aca="false">IF(ISBLANK($C17),"",IF(COUNTA(J17:K17)=0,"",IF(AND(OR(ISBLANK(J17),AND(ISNUMBER(J17),J17&gt;=0)),OR(ISBLANK(K17),AND(ISNUMBER(K17),K17&gt;=0))),60*IF(ISBLANK(J17),0,J17)+IF(ISBLANK(K17),0,K17),"")))</f>
        <v/>
      </c>
      <c r="W17" s="97" t="str">
        <f aca="false">IF(ISBLANK($C17),"",IF(L17=Constants!$B$19,Constants!$B$19,Constants!$B$18))</f>
        <v/>
      </c>
      <c r="X17" s="97" t="str">
        <f aca="false">IF(ISBLANK($C17),"",IF(COUNTA(M17:N17)=0,"",IF(AND(OR(ISBLANK(M17),AND(ISNUMBER(M17),M17&gt;=0)),OR(ISBLANK(N17),AND(ISNUMBER(N17),N17&gt;=0))),60*IF(ISBLANK(M17),0,M17)+IF(ISBLANK(N17),0,N17),"")))</f>
        <v/>
      </c>
      <c r="Y17" s="97" t="str">
        <f aca="false">IF(ISBLANK($C17),"",IF(O17=Constants!$B$2, TRUE(), IF(O17=Constants!$B$3, FALSE(), FALSE())))</f>
        <v/>
      </c>
      <c r="Z17" s="97" t="str">
        <f aca="false">IF(ISBLANK($C17),"",IF(Y17,Constants!$B$4,IF(COUNTA(E17:N17)=0,Constants!$B$5,IF(COUNTA(J17:K17,M17:N17)=0,Constants!$B$6,Constants!$B$7))))</f>
        <v/>
      </c>
      <c r="AA17" s="97" t="str">
        <f aca="false">IF(ISBLANK($C17),"",IF($Z17&lt;&gt;Constants!$B$7,$Z17,IF(OR(NOT(T17),AND(NOT(Q17),COUNTIFS(U17:W17,Constants!$B$18,V17:X17,"&gt;=0")&gt;0),AND(NOT(R17),COUNTIFS(U17:W17,Constants!$B$19,V17:X17,"&gt;=0")&gt;0)),Constants!$B$12,Constants!$B$11)))</f>
        <v/>
      </c>
      <c r="AB17" s="97" t="str">
        <f aca="false">IF($Z17=Constants!$B$7,IF(V17="",Constants!$B$13,V17),"")</f>
        <v/>
      </c>
      <c r="AC17" s="97" t="str">
        <f aca="false">IF($Z17=Constants!$B$7,IF(X17="",Constants!$B$13,X17),"")</f>
        <v/>
      </c>
      <c r="AD17" s="97" t="str">
        <f aca="false">IF($Z17=Constants!$B$7,IF($AB17&gt;=$AC17,1,2),"")</f>
        <v/>
      </c>
      <c r="AE17" s="97" t="str">
        <f aca="false">IF($Z17=Constants!$B$7,LARGE(AB17:AC17,1),"")</f>
        <v/>
      </c>
      <c r="AF17" s="97" t="str">
        <f aca="false">IF(ISBLANK($C17),"",IF($Z17&lt;&gt;Constants!$B$7,$Z17,AE17*S17))</f>
        <v/>
      </c>
      <c r="AG17" s="97" t="str">
        <f aca="false">IF(ISBLANK($C17),"",IF($Z17=Constants!$B$7,IF(ISNUMBER(AF17),RANK(AF17,$AF$8:$AF$507),Constants!$B$14),$Z17))</f>
        <v/>
      </c>
      <c r="AH17" s="97" t="str">
        <f aca="false">IF(ISBLANK($C17),"",IF($Z17=Constants!$B$7,IF(ISNUMBER(AG17),COUNTIFS($AA$8:$AA$507,"&lt;"&amp;$AA17)+COUNTIFS($AA$8:$AA$507,$AA17,$AG$8:$AG$507,"&lt;"&amp;$AG17)+1,Constants!$B$14),$Z17))</f>
        <v/>
      </c>
      <c r="AI17" s="97" t="str">
        <f aca="false">IF(ISBLANK($C17),"",IF($Z17=Constants!$B$7,LARGE(AB17:AC17,2)*S17,""))</f>
        <v/>
      </c>
      <c r="AJ17" s="97" t="str">
        <f aca="false">IF(ISBLANK($C17),"",IF($Z17=Constants!$B$7,RANK(AI17,$AI$8:$AI$507),$Z17))</f>
        <v/>
      </c>
      <c r="AK17" s="97" t="str">
        <f aca="false">IF(ISBLANK($C17),"",IF($Z17=Constants!$B$7,IF(ISNUMBER(AG17),COUNTIFS($AA$8:$AA$507,"&lt;"&amp;$AA17)+COUNTIFS($AA$8:$AA$507,$AA17,$AG$8:$AG$507,"&lt;"&amp;$AG17)+COUNTIFS($AA$8:$AA$507,$AA17,$AG$8:$AG$507,$AG17,$AJ$8:$AJ$507,"&lt;"&amp;$AJ17)+1,Constants!$B$14),$Z17))</f>
        <v/>
      </c>
      <c r="AL17" s="97" t="str">
        <f aca="false">IF(ISBLANK($C17),"",IF($Z17=Constants!$B$7,IF(ISNUMBER(AH17),AH17-AK17,Constants!$B$14),$Z17))</f>
        <v/>
      </c>
      <c r="AM17" s="98"/>
      <c r="AN17" s="99" t="str">
        <f aca="false">IF(ISBLANK($C17),"",IF($Z17&lt;&gt;Constants!$B$7,$Z17,AD17))</f>
        <v/>
      </c>
      <c r="AO17" s="100" t="str">
        <f aca="false">IF(ISBLANK($C17),"",IF($Z17&lt;&gt;Constants!$B$7,$Z17,S17))</f>
        <v/>
      </c>
      <c r="AP17" s="101" t="str">
        <f aca="false">IF(ISBLANK($C17),"",IF($Z17&lt;&gt;Constants!$B$7,$Z17,AF17))</f>
        <v/>
      </c>
      <c r="AQ17" s="102" t="str">
        <f aca="false">IF(ISBLANK($C17),"",IF($Z17&lt;&gt;Constants!$B$7,$Z17,AA17))</f>
        <v/>
      </c>
      <c r="AR17" s="100" t="str">
        <f aca="false">IF(ISBLANK($C17),"",AL17)</f>
        <v/>
      </c>
      <c r="AS17" s="100" t="str">
        <f aca="false">IF(ISBLANK($C17),"",AK17)</f>
        <v/>
      </c>
      <c r="AT17" s="103" t="str">
        <f aca="false">IF(ISBLANK($C17),"",IF(AS17=Constants!$B$4,COUNTA($C$8:$C$507)+2,IF(AS17=Constants!$B$5,COUNTA($C$8:$C$507)+1,IF(AS17=Constants!$B$6,COUNTA($C$8:$C$507),AS17))))</f>
        <v/>
      </c>
      <c r="AU17" s="5"/>
      <c r="AV17" s="104" t="n">
        <f aca="false">IF(OR(ISNUMBER(AS17),AS17=Constants!$B$4,AS17=Constants!$B$6,AS17=Constants!$B$5),1,0)</f>
        <v>0</v>
      </c>
      <c r="AW17" s="104" t="n">
        <v>10</v>
      </c>
      <c r="AX17" s="104" t="str">
        <f aca="false">IF(ISBLANK($C17),"",IF(ISNUMBER(AT17),AT17+ROW($B17)/1000,""))</f>
        <v/>
      </c>
      <c r="AY17" s="104" t="str">
        <f aca="false">IF(ISNUMBER(AX17),RANK(AX17,$AX$8:$AX$507,1),"")</f>
        <v/>
      </c>
      <c r="AZ17" s="104" t="str">
        <f aca="false">IF(ISBLANK($C17),"",$B17)</f>
        <v/>
      </c>
      <c r="BA17" s="104" t="str">
        <f aca="false">IF(ISBLANK($C17),"",$C17)</f>
        <v/>
      </c>
      <c r="BB17" s="104" t="str">
        <f aca="false">IF(ISBLANK($C17),"",$D17)</f>
        <v/>
      </c>
      <c r="BC17" s="105" t="str">
        <f aca="false">AQ17</f>
        <v/>
      </c>
      <c r="BD17" s="106" t="str">
        <f aca="false">AP17</f>
        <v/>
      </c>
      <c r="BE17" s="104" t="str">
        <f aca="false">IF(ISBLANK($C17),"",AS17)</f>
        <v/>
      </c>
      <c r="BF17" s="107" t="str">
        <f aca="false">IF($AW17&gt;$AV$7,"",VLOOKUP($AW17,$AY$8:$BE$507,7,FALSE()))</f>
        <v/>
      </c>
      <c r="BG17" s="108" t="str">
        <f aca="false">IF($AW17&gt;$AV$7,"",VLOOKUP($AW17,$AY$8:$BE$507,2,FALSE()))</f>
        <v/>
      </c>
      <c r="BH17" s="108" t="str">
        <f aca="false">IF($AW17&gt;$AV$7,"",VLOOKUP($AW17,$AY$8:$BE$507,3,FALSE()))</f>
        <v/>
      </c>
      <c r="BI17" s="108" t="str">
        <f aca="false">IF($AW17&gt;$AV$7,"",VLOOKUP($AW17,$AY$8:$BE$507,4,FALSE()))</f>
        <v/>
      </c>
      <c r="BJ17" s="108" t="str">
        <f aca="false">IF($AW17&gt;$AV$7,"",VLOOKUP($AW17,$AY$8:$BE$507,5,FALSE()))</f>
        <v/>
      </c>
      <c r="BK17" s="109" t="str">
        <f aca="false">IF($AW17&gt;$AV$7,"",VLOOKUP($AW17,$AY$8:$BE$507,6,FALSE()))</f>
        <v/>
      </c>
      <c r="BL17" s="50"/>
    </row>
    <row r="18" customFormat="false" ht="15.75" hidden="false" customHeight="false" outlineLevel="0" collapsed="false">
      <c r="A18" s="5"/>
      <c r="B18" s="124"/>
      <c r="C18" s="125"/>
      <c r="D18" s="110"/>
      <c r="E18" s="126"/>
      <c r="F18" s="127"/>
      <c r="G18" s="88"/>
      <c r="H18" s="128"/>
      <c r="I18" s="129"/>
      <c r="J18" s="91"/>
      <c r="K18" s="92"/>
      <c r="L18" s="129"/>
      <c r="M18" s="93"/>
      <c r="N18" s="94"/>
      <c r="O18" s="130"/>
      <c r="P18" s="96"/>
      <c r="Q18" s="97" t="str">
        <f aca="false">IF(ISBLANK($C18),"",IF(E18=Constants!$B$2, TRUE(), IF(E18=Constants!$B$3, FALSE(), TRUE())))</f>
        <v/>
      </c>
      <c r="R18" s="97" t="str">
        <f aca="false">IF(ISBLANK($C18),"",IF(F18=Constants!$B$2, TRUE(), IF(F18=Constants!$B$3, FALSE(), TRUE())))</f>
        <v/>
      </c>
      <c r="S18" s="97" t="str">
        <f aca="false">IF(ISBLANK($C18),"",IF(G18=Constants!$B$15,Constants!$B$8,IF(G18=Constants!$B$16,Constants!$B$9,Constants!$B$10)))</f>
        <v/>
      </c>
      <c r="T18" s="97" t="str">
        <f aca="false">IF(ISBLANK($C18),"",IF(H18=Constants!$B$2, TRUE(), IF(H18=Constants!$B$3, FALSE(), TRUE())))</f>
        <v/>
      </c>
      <c r="U18" s="97" t="str">
        <f aca="false">IF(ISBLANK($C18),"",IF(I18=Constants!$B$19,Constants!$B$19,Constants!$B$18))</f>
        <v/>
      </c>
      <c r="V18" s="97" t="str">
        <f aca="false">IF(ISBLANK($C18),"",IF(COUNTA(J18:K18)=0,"",IF(AND(OR(ISBLANK(J18),AND(ISNUMBER(J18),J18&gt;=0)),OR(ISBLANK(K18),AND(ISNUMBER(K18),K18&gt;=0))),60*IF(ISBLANK(J18),0,J18)+IF(ISBLANK(K18),0,K18),"")))</f>
        <v/>
      </c>
      <c r="W18" s="97" t="str">
        <f aca="false">IF(ISBLANK($C18),"",IF(L18=Constants!$B$19,Constants!$B$19,Constants!$B$18))</f>
        <v/>
      </c>
      <c r="X18" s="97" t="str">
        <f aca="false">IF(ISBLANK($C18),"",IF(COUNTA(M18:N18)=0,"",IF(AND(OR(ISBLANK(M18),AND(ISNUMBER(M18),M18&gt;=0)),OR(ISBLANK(N18),AND(ISNUMBER(N18),N18&gt;=0))),60*IF(ISBLANK(M18),0,M18)+IF(ISBLANK(N18),0,N18),"")))</f>
        <v/>
      </c>
      <c r="Y18" s="97" t="str">
        <f aca="false">IF(ISBLANK($C18),"",IF(O18=Constants!$B$2, TRUE(), IF(O18=Constants!$B$3, FALSE(), FALSE())))</f>
        <v/>
      </c>
      <c r="Z18" s="97" t="str">
        <f aca="false">IF(ISBLANK($C18),"",IF(Y18,Constants!$B$4,IF(COUNTA(E18:N18)=0,Constants!$B$5,IF(COUNTA(J18:K18,M18:N18)=0,Constants!$B$6,Constants!$B$7))))</f>
        <v/>
      </c>
      <c r="AA18" s="97" t="str">
        <f aca="false">IF(ISBLANK($C18),"",IF($Z18&lt;&gt;Constants!$B$7,$Z18,IF(OR(NOT(T18),AND(NOT(Q18),COUNTIFS(U18:W18,Constants!$B$18,V18:X18,"&gt;=0")&gt;0),AND(NOT(R18),COUNTIFS(U18:W18,Constants!$B$19,V18:X18,"&gt;=0")&gt;0)),Constants!$B$12,Constants!$B$11)))</f>
        <v/>
      </c>
      <c r="AB18" s="97" t="str">
        <f aca="false">IF($Z18=Constants!$B$7,IF(V18="",Constants!$B$13,V18),"")</f>
        <v/>
      </c>
      <c r="AC18" s="97" t="str">
        <f aca="false">IF($Z18=Constants!$B$7,IF(X18="",Constants!$B$13,X18),"")</f>
        <v/>
      </c>
      <c r="AD18" s="97" t="str">
        <f aca="false">IF($Z18=Constants!$B$7,IF($AB18&gt;=$AC18,1,2),"")</f>
        <v/>
      </c>
      <c r="AE18" s="97" t="str">
        <f aca="false">IF($Z18=Constants!$B$7,LARGE(AB18:AC18,1),"")</f>
        <v/>
      </c>
      <c r="AF18" s="97" t="str">
        <f aca="false">IF(ISBLANK($C18),"",IF($Z18&lt;&gt;Constants!$B$7,$Z18,AE18*S18))</f>
        <v/>
      </c>
      <c r="AG18" s="97" t="str">
        <f aca="false">IF(ISBLANK($C18),"",IF($Z18=Constants!$B$7,IF(ISNUMBER(AF18),RANK(AF18,$AF$8:$AF$507),Constants!$B$14),$Z18))</f>
        <v/>
      </c>
      <c r="AH18" s="97" t="str">
        <f aca="false">IF(ISBLANK($C18),"",IF($Z18=Constants!$B$7,IF(ISNUMBER(AG18),COUNTIFS($AA$8:$AA$507,"&lt;"&amp;$AA18)+COUNTIFS($AA$8:$AA$507,$AA18,$AG$8:$AG$507,"&lt;"&amp;$AG18)+1,Constants!$B$14),$Z18))</f>
        <v/>
      </c>
      <c r="AI18" s="97" t="str">
        <f aca="false">IF(ISBLANK($C18),"",IF($Z18=Constants!$B$7,LARGE(AB18:AC18,2)*S18,""))</f>
        <v/>
      </c>
      <c r="AJ18" s="97" t="str">
        <f aca="false">IF(ISBLANK($C18),"",IF($Z18=Constants!$B$7,RANK(AI18,$AI$8:$AI$507),$Z18))</f>
        <v/>
      </c>
      <c r="AK18" s="97" t="str">
        <f aca="false">IF(ISBLANK($C18),"",IF($Z18=Constants!$B$7,IF(ISNUMBER(AG18),COUNTIFS($AA$8:$AA$507,"&lt;"&amp;$AA18)+COUNTIFS($AA$8:$AA$507,$AA18,$AG$8:$AG$507,"&lt;"&amp;$AG18)+COUNTIFS($AA$8:$AA$507,$AA18,$AG$8:$AG$507,$AG18,$AJ$8:$AJ$507,"&lt;"&amp;$AJ18)+1,Constants!$B$14),$Z18))</f>
        <v/>
      </c>
      <c r="AL18" s="97" t="str">
        <f aca="false">IF(ISBLANK($C18),"",IF($Z18=Constants!$B$7,IF(ISNUMBER(AH18),AH18-AK18,Constants!$B$14),$Z18))</f>
        <v/>
      </c>
      <c r="AM18" s="98"/>
      <c r="AN18" s="99" t="str">
        <f aca="false">IF(ISBLANK($C18),"",IF($Z18&lt;&gt;Constants!$B$7,$Z18,AD18))</f>
        <v/>
      </c>
      <c r="AO18" s="100" t="str">
        <f aca="false">IF(ISBLANK($C18),"",IF($Z18&lt;&gt;Constants!$B$7,$Z18,S18))</f>
        <v/>
      </c>
      <c r="AP18" s="101" t="str">
        <f aca="false">IF(ISBLANK($C18),"",IF($Z18&lt;&gt;Constants!$B$7,$Z18,AF18))</f>
        <v/>
      </c>
      <c r="AQ18" s="102" t="str">
        <f aca="false">IF(ISBLANK($C18),"",IF($Z18&lt;&gt;Constants!$B$7,$Z18,AA18))</f>
        <v/>
      </c>
      <c r="AR18" s="100" t="str">
        <f aca="false">IF(ISBLANK($C18),"",AL18)</f>
        <v/>
      </c>
      <c r="AS18" s="100" t="str">
        <f aca="false">IF(ISBLANK($C18),"",AK18)</f>
        <v/>
      </c>
      <c r="AT18" s="103" t="str">
        <f aca="false">IF(ISBLANK($C18),"",IF(AS18=Constants!$B$4,COUNTA($C$8:$C$507)+2,IF(AS18=Constants!$B$5,COUNTA($C$8:$C$507)+1,IF(AS18=Constants!$B$6,COUNTA($C$8:$C$507),AS18))))</f>
        <v/>
      </c>
      <c r="AU18" s="5"/>
      <c r="AV18" s="104" t="n">
        <f aca="false">IF(OR(ISNUMBER(AS18),AS18=Constants!$B$4,AS18=Constants!$B$6,AS18=Constants!$B$5),1,0)</f>
        <v>0</v>
      </c>
      <c r="AW18" s="104" t="n">
        <v>11</v>
      </c>
      <c r="AX18" s="104" t="str">
        <f aca="false">IF(ISBLANK($C18),"",IF(ISNUMBER(AT18),AT18+ROW($B18)/1000,""))</f>
        <v/>
      </c>
      <c r="AY18" s="104" t="str">
        <f aca="false">IF(ISNUMBER(AX18),RANK(AX18,$AX$8:$AX$507,1),"")</f>
        <v/>
      </c>
      <c r="AZ18" s="104" t="str">
        <f aca="false">IF(ISBLANK($C18),"",$B18)</f>
        <v/>
      </c>
      <c r="BA18" s="104" t="str">
        <f aca="false">IF(ISBLANK($C18),"",$C18)</f>
        <v/>
      </c>
      <c r="BB18" s="104" t="str">
        <f aca="false">IF(ISBLANK($C18),"",$D18)</f>
        <v/>
      </c>
      <c r="BC18" s="105" t="str">
        <f aca="false">AQ18</f>
        <v/>
      </c>
      <c r="BD18" s="106" t="str">
        <f aca="false">AP18</f>
        <v/>
      </c>
      <c r="BE18" s="104" t="str">
        <f aca="false">IF(ISBLANK($C18),"",AS18)</f>
        <v/>
      </c>
      <c r="BF18" s="107" t="str">
        <f aca="false">IF($AW18&gt;$AV$7,"",VLOOKUP($AW18,$AY$8:$BE$507,7,FALSE()))</f>
        <v/>
      </c>
      <c r="BG18" s="108" t="str">
        <f aca="false">IF($AW18&gt;$AV$7,"",VLOOKUP($AW18,$AY$8:$BE$507,2,FALSE()))</f>
        <v/>
      </c>
      <c r="BH18" s="108" t="str">
        <f aca="false">IF($AW18&gt;$AV$7,"",VLOOKUP($AW18,$AY$8:$BE$507,3,FALSE()))</f>
        <v/>
      </c>
      <c r="BI18" s="108" t="str">
        <f aca="false">IF($AW18&gt;$AV$7,"",VLOOKUP($AW18,$AY$8:$BE$507,4,FALSE()))</f>
        <v/>
      </c>
      <c r="BJ18" s="108" t="str">
        <f aca="false">IF($AW18&gt;$AV$7,"",VLOOKUP($AW18,$AY$8:$BE$507,5,FALSE()))</f>
        <v/>
      </c>
      <c r="BK18" s="109" t="str">
        <f aca="false">IF($AW18&gt;$AV$7,"",VLOOKUP($AW18,$AY$8:$BE$507,6,FALSE()))</f>
        <v/>
      </c>
      <c r="BL18" s="50"/>
    </row>
    <row r="19" customFormat="false" ht="15.75" hidden="false" customHeight="false" outlineLevel="0" collapsed="false">
      <c r="A19" s="5"/>
      <c r="B19" s="124"/>
      <c r="C19" s="125"/>
      <c r="D19" s="110"/>
      <c r="E19" s="126"/>
      <c r="F19" s="127"/>
      <c r="G19" s="88"/>
      <c r="H19" s="128"/>
      <c r="I19" s="129"/>
      <c r="J19" s="91"/>
      <c r="K19" s="92"/>
      <c r="L19" s="129"/>
      <c r="M19" s="93"/>
      <c r="N19" s="94"/>
      <c r="O19" s="130"/>
      <c r="P19" s="96"/>
      <c r="Q19" s="97" t="str">
        <f aca="false">IF(ISBLANK($C19),"",IF(E19=Constants!$B$2, TRUE(), IF(E19=Constants!$B$3, FALSE(), TRUE())))</f>
        <v/>
      </c>
      <c r="R19" s="97" t="str">
        <f aca="false">IF(ISBLANK($C19),"",IF(F19=Constants!$B$2, TRUE(), IF(F19=Constants!$B$3, FALSE(), TRUE())))</f>
        <v/>
      </c>
      <c r="S19" s="97" t="str">
        <f aca="false">IF(ISBLANK($C19),"",IF(G19=Constants!$B$15,Constants!$B$8,IF(G19=Constants!$B$16,Constants!$B$9,Constants!$B$10)))</f>
        <v/>
      </c>
      <c r="T19" s="97" t="str">
        <f aca="false">IF(ISBLANK($C19),"",IF(H19=Constants!$B$2, TRUE(), IF(H19=Constants!$B$3, FALSE(), TRUE())))</f>
        <v/>
      </c>
      <c r="U19" s="97" t="str">
        <f aca="false">IF(ISBLANK($C19),"",IF(I19=Constants!$B$19,Constants!$B$19,Constants!$B$18))</f>
        <v/>
      </c>
      <c r="V19" s="97" t="str">
        <f aca="false">IF(ISBLANK($C19),"",IF(COUNTA(J19:K19)=0,"",IF(AND(OR(ISBLANK(J19),AND(ISNUMBER(J19),J19&gt;=0)),OR(ISBLANK(K19),AND(ISNUMBER(K19),K19&gt;=0))),60*IF(ISBLANK(J19),0,J19)+IF(ISBLANK(K19),0,K19),"")))</f>
        <v/>
      </c>
      <c r="W19" s="97" t="str">
        <f aca="false">IF(ISBLANK($C19),"",IF(L19=Constants!$B$19,Constants!$B$19,Constants!$B$18))</f>
        <v/>
      </c>
      <c r="X19" s="97" t="str">
        <f aca="false">IF(ISBLANK($C19),"",IF(COUNTA(M19:N19)=0,"",IF(AND(OR(ISBLANK(M19),AND(ISNUMBER(M19),M19&gt;=0)),OR(ISBLANK(N19),AND(ISNUMBER(N19),N19&gt;=0))),60*IF(ISBLANK(M19),0,M19)+IF(ISBLANK(N19),0,N19),"")))</f>
        <v/>
      </c>
      <c r="Y19" s="97" t="str">
        <f aca="false">IF(ISBLANK($C19),"",IF(O19=Constants!$B$2, TRUE(), IF(O19=Constants!$B$3, FALSE(), FALSE())))</f>
        <v/>
      </c>
      <c r="Z19" s="97" t="str">
        <f aca="false">IF(ISBLANK($C19),"",IF(Y19,Constants!$B$4,IF(COUNTA(E19:N19)=0,Constants!$B$5,IF(COUNTA(J19:K19,M19:N19)=0,Constants!$B$6,Constants!$B$7))))</f>
        <v/>
      </c>
      <c r="AA19" s="97" t="str">
        <f aca="false">IF(ISBLANK($C19),"",IF($Z19&lt;&gt;Constants!$B$7,$Z19,IF(OR(NOT(T19),AND(NOT(Q19),COUNTIFS(U19:W19,Constants!$B$18,V19:X19,"&gt;=0")&gt;0),AND(NOT(R19),COUNTIFS(U19:W19,Constants!$B$19,V19:X19,"&gt;=0")&gt;0)),Constants!$B$12,Constants!$B$11)))</f>
        <v/>
      </c>
      <c r="AB19" s="97" t="str">
        <f aca="false">IF($Z19=Constants!$B$7,IF(V19="",Constants!$B$13,V19),"")</f>
        <v/>
      </c>
      <c r="AC19" s="97" t="str">
        <f aca="false">IF($Z19=Constants!$B$7,IF(X19="",Constants!$B$13,X19),"")</f>
        <v/>
      </c>
      <c r="AD19" s="97" t="str">
        <f aca="false">IF($Z19=Constants!$B$7,IF($AB19&gt;=$AC19,1,2),"")</f>
        <v/>
      </c>
      <c r="AE19" s="97" t="str">
        <f aca="false">IF($Z19=Constants!$B$7,LARGE(AB19:AC19,1),"")</f>
        <v/>
      </c>
      <c r="AF19" s="97" t="str">
        <f aca="false">IF(ISBLANK($C19),"",IF($Z19&lt;&gt;Constants!$B$7,$Z19,AE19*S19))</f>
        <v/>
      </c>
      <c r="AG19" s="97" t="str">
        <f aca="false">IF(ISBLANK($C19),"",IF($Z19=Constants!$B$7,IF(ISNUMBER(AF19),RANK(AF19,$AF$8:$AF$507),Constants!$B$14),$Z19))</f>
        <v/>
      </c>
      <c r="AH19" s="97" t="str">
        <f aca="false">IF(ISBLANK($C19),"",IF($Z19=Constants!$B$7,IF(ISNUMBER(AG19),COUNTIFS($AA$8:$AA$507,"&lt;"&amp;$AA19)+COUNTIFS($AA$8:$AA$507,$AA19,$AG$8:$AG$507,"&lt;"&amp;$AG19)+1,Constants!$B$14),$Z19))</f>
        <v/>
      </c>
      <c r="AI19" s="97" t="str">
        <f aca="false">IF(ISBLANK($C19),"",IF($Z19=Constants!$B$7,LARGE(AB19:AC19,2)*S19,""))</f>
        <v/>
      </c>
      <c r="AJ19" s="97" t="str">
        <f aca="false">IF(ISBLANK($C19),"",IF($Z19=Constants!$B$7,RANK(AI19,$AI$8:$AI$507),$Z19))</f>
        <v/>
      </c>
      <c r="AK19" s="97" t="str">
        <f aca="false">IF(ISBLANK($C19),"",IF($Z19=Constants!$B$7,IF(ISNUMBER(AG19),COUNTIFS($AA$8:$AA$507,"&lt;"&amp;$AA19)+COUNTIFS($AA$8:$AA$507,$AA19,$AG$8:$AG$507,"&lt;"&amp;$AG19)+COUNTIFS($AA$8:$AA$507,$AA19,$AG$8:$AG$507,$AG19,$AJ$8:$AJ$507,"&lt;"&amp;$AJ19)+1,Constants!$B$14),$Z19))</f>
        <v/>
      </c>
      <c r="AL19" s="97" t="str">
        <f aca="false">IF(ISBLANK($C19),"",IF($Z19=Constants!$B$7,IF(ISNUMBER(AH19),AH19-AK19,Constants!$B$14),$Z19))</f>
        <v/>
      </c>
      <c r="AM19" s="98"/>
      <c r="AN19" s="99" t="str">
        <f aca="false">IF(ISBLANK($C19),"",IF($Z19&lt;&gt;Constants!$B$7,$Z19,AD19))</f>
        <v/>
      </c>
      <c r="AO19" s="100" t="str">
        <f aca="false">IF(ISBLANK($C19),"",IF($Z19&lt;&gt;Constants!$B$7,$Z19,S19))</f>
        <v/>
      </c>
      <c r="AP19" s="101" t="str">
        <f aca="false">IF(ISBLANK($C19),"",IF($Z19&lt;&gt;Constants!$B$7,$Z19,AF19))</f>
        <v/>
      </c>
      <c r="AQ19" s="102" t="str">
        <f aca="false">IF(ISBLANK($C19),"",IF($Z19&lt;&gt;Constants!$B$7,$Z19,AA19))</f>
        <v/>
      </c>
      <c r="AR19" s="100" t="str">
        <f aca="false">IF(ISBLANK($C19),"",AL19)</f>
        <v/>
      </c>
      <c r="AS19" s="100" t="str">
        <f aca="false">IF(ISBLANK($C19),"",AK19)</f>
        <v/>
      </c>
      <c r="AT19" s="103" t="str">
        <f aca="false">IF(ISBLANK($C19),"",IF(AS19=Constants!$B$4,COUNTA($C$8:$C$507)+2,IF(AS19=Constants!$B$5,COUNTA($C$8:$C$507)+1,IF(AS19=Constants!$B$6,COUNTA($C$8:$C$507),AS19))))</f>
        <v/>
      </c>
      <c r="AU19" s="5"/>
      <c r="AV19" s="104" t="n">
        <f aca="false">IF(OR(ISNUMBER(AS19),AS19=Constants!$B$4,AS19=Constants!$B$6,AS19=Constants!$B$5),1,0)</f>
        <v>0</v>
      </c>
      <c r="AW19" s="104" t="n">
        <v>12</v>
      </c>
      <c r="AX19" s="104" t="str">
        <f aca="false">IF(ISBLANK($C19),"",IF(ISNUMBER(AT19),AT19+ROW($B19)/1000,""))</f>
        <v/>
      </c>
      <c r="AY19" s="104" t="str">
        <f aca="false">IF(ISNUMBER(AX19),RANK(AX19,$AX$8:$AX$507,1),"")</f>
        <v/>
      </c>
      <c r="AZ19" s="104" t="str">
        <f aca="false">IF(ISBLANK($C19),"",$B19)</f>
        <v/>
      </c>
      <c r="BA19" s="104" t="str">
        <f aca="false">IF(ISBLANK($C19),"",$C19)</f>
        <v/>
      </c>
      <c r="BB19" s="104" t="str">
        <f aca="false">IF(ISBLANK($C19),"",$D19)</f>
        <v/>
      </c>
      <c r="BC19" s="105" t="str">
        <f aca="false">AQ19</f>
        <v/>
      </c>
      <c r="BD19" s="106" t="str">
        <f aca="false">AP19</f>
        <v/>
      </c>
      <c r="BE19" s="104" t="str">
        <f aca="false">IF(ISBLANK($C19),"",AS19)</f>
        <v/>
      </c>
      <c r="BF19" s="107" t="str">
        <f aca="false">IF($AW19&gt;$AV$7,"",VLOOKUP($AW19,$AY$8:$BE$507,7,FALSE()))</f>
        <v/>
      </c>
      <c r="BG19" s="108" t="str">
        <f aca="false">IF($AW19&gt;$AV$7,"",VLOOKUP($AW19,$AY$8:$BE$507,2,FALSE()))</f>
        <v/>
      </c>
      <c r="BH19" s="108" t="str">
        <f aca="false">IF($AW19&gt;$AV$7,"",VLOOKUP($AW19,$AY$8:$BE$507,3,FALSE()))</f>
        <v/>
      </c>
      <c r="BI19" s="108" t="str">
        <f aca="false">IF($AW19&gt;$AV$7,"",VLOOKUP($AW19,$AY$8:$BE$507,4,FALSE()))</f>
        <v/>
      </c>
      <c r="BJ19" s="108" t="str">
        <f aca="false">IF($AW19&gt;$AV$7,"",VLOOKUP($AW19,$AY$8:$BE$507,5,FALSE()))</f>
        <v/>
      </c>
      <c r="BK19" s="109" t="str">
        <f aca="false">IF($AW19&gt;$AV$7,"",VLOOKUP($AW19,$AY$8:$BE$507,6,FALSE()))</f>
        <v/>
      </c>
      <c r="BL19" s="50"/>
    </row>
    <row r="20" customFormat="false" ht="15.75" hidden="false" customHeight="false" outlineLevel="0" collapsed="false">
      <c r="A20" s="5"/>
      <c r="B20" s="131"/>
      <c r="C20" s="52"/>
      <c r="D20" s="53"/>
      <c r="E20" s="120"/>
      <c r="F20" s="121"/>
      <c r="G20" s="56"/>
      <c r="H20" s="122"/>
      <c r="I20" s="123"/>
      <c r="J20" s="59"/>
      <c r="K20" s="60"/>
      <c r="L20" s="123"/>
      <c r="M20" s="61"/>
      <c r="N20" s="62"/>
      <c r="O20" s="80"/>
      <c r="P20" s="64"/>
      <c r="Q20" s="65" t="str">
        <f aca="false">IF(ISBLANK($C20),"",IF(E20=Constants!$B$2, TRUE(), IF(E20=Constants!$B$3, FALSE(), TRUE())))</f>
        <v/>
      </c>
      <c r="R20" s="65" t="str">
        <f aca="false">IF(ISBLANK($C20),"",IF(F20=Constants!$B$2, TRUE(), IF(F20=Constants!$B$3, FALSE(), TRUE())))</f>
        <v/>
      </c>
      <c r="S20" s="65" t="str">
        <f aca="false">IF(ISBLANK($C20),"",IF(G20=Constants!$B$15,Constants!$B$8,IF(G20=Constants!$B$16,Constants!$B$9,Constants!$B$10)))</f>
        <v/>
      </c>
      <c r="T20" s="65" t="str">
        <f aca="false">IF(ISBLANK($C20),"",IF(H20=Constants!$B$2, TRUE(), IF(H20=Constants!$B$3, FALSE(), TRUE())))</f>
        <v/>
      </c>
      <c r="U20" s="65" t="str">
        <f aca="false">IF(ISBLANK($C20),"",IF(I20=Constants!$B$19,Constants!$B$19,Constants!$B$18))</f>
        <v/>
      </c>
      <c r="V20" s="65" t="str">
        <f aca="false">IF(ISBLANK($C20),"",IF(COUNTA(J20:K20)=0,"",IF(AND(OR(ISBLANK(J20),AND(ISNUMBER(J20),J20&gt;=0)),OR(ISBLANK(K20),AND(ISNUMBER(K20),K20&gt;=0))),60*IF(ISBLANK(J20),0,J20)+IF(ISBLANK(K20),0,K20),"")))</f>
        <v/>
      </c>
      <c r="W20" s="65" t="str">
        <f aca="false">IF(ISBLANK($C20),"",IF(L20=Constants!$B$19,Constants!$B$19,Constants!$B$18))</f>
        <v/>
      </c>
      <c r="X20" s="65" t="str">
        <f aca="false">IF(ISBLANK($C20),"",IF(COUNTA(M20:N20)=0,"",IF(AND(OR(ISBLANK(M20),AND(ISNUMBER(M20),M20&gt;=0)),OR(ISBLANK(N20),AND(ISNUMBER(N20),N20&gt;=0))),60*IF(ISBLANK(M20),0,M20)+IF(ISBLANK(N20),0,N20),"")))</f>
        <v/>
      </c>
      <c r="Y20" s="65" t="str">
        <f aca="false">IF(ISBLANK($C20),"",IF(O20=Constants!$B$2, TRUE(), IF(O20=Constants!$B$3, FALSE(), FALSE())))</f>
        <v/>
      </c>
      <c r="Z20" s="65" t="str">
        <f aca="false">IF(ISBLANK($C20),"",IF(Y20,Constants!$B$4,IF(COUNTA(E20:N20)=0,Constants!$B$5,IF(COUNTA(J20:K20,M20:N20)=0,Constants!$B$6,Constants!$B$7))))</f>
        <v/>
      </c>
      <c r="AA20" s="65" t="str">
        <f aca="false">IF(ISBLANK($C20),"",IF($Z20&lt;&gt;Constants!$B$7,$Z20,IF(OR(NOT(T20),AND(NOT(Q20),COUNTIFS(U20:W20,Constants!$B$18,V20:X20,"&gt;=0")&gt;0),AND(NOT(R20),COUNTIFS(U20:W20,Constants!$B$19,V20:X20,"&gt;=0")&gt;0)),Constants!$B$12,Constants!$B$11)))</f>
        <v/>
      </c>
      <c r="AB20" s="65" t="str">
        <f aca="false">IF($Z20=Constants!$B$7,IF(V20="",Constants!$B$13,V20),"")</f>
        <v/>
      </c>
      <c r="AC20" s="65" t="str">
        <f aca="false">IF($Z20=Constants!$B$7,IF(X20="",Constants!$B$13,X20),"")</f>
        <v/>
      </c>
      <c r="AD20" s="65" t="str">
        <f aca="false">IF($Z20=Constants!$B$7,IF($AB20&gt;=$AC20,1,2),"")</f>
        <v/>
      </c>
      <c r="AE20" s="65" t="str">
        <f aca="false">IF($Z20=Constants!$B$7,LARGE(AB20:AC20,1),"")</f>
        <v/>
      </c>
      <c r="AF20" s="65" t="str">
        <f aca="false">IF(ISBLANK($C20),"",IF($Z20&lt;&gt;Constants!$B$7,$Z20,AE20*S20))</f>
        <v/>
      </c>
      <c r="AG20" s="65" t="str">
        <f aca="false">IF(ISBLANK($C20),"",IF($Z20=Constants!$B$7,IF(ISNUMBER(AF20),RANK(AF20,$AF$8:$AF$507),Constants!$B$14),$Z20))</f>
        <v/>
      </c>
      <c r="AH20" s="65" t="str">
        <f aca="false">IF(ISBLANK($C20),"",IF($Z20=Constants!$B$7,IF(ISNUMBER(AG20),COUNTIFS($AA$8:$AA$507,"&lt;"&amp;$AA20)+COUNTIFS($AA$8:$AA$507,$AA20,$AG$8:$AG$507,"&lt;"&amp;$AG20)+1,Constants!$B$14),$Z20))</f>
        <v/>
      </c>
      <c r="AI20" s="65" t="str">
        <f aca="false">IF(ISBLANK($C20),"",IF($Z20=Constants!$B$7,LARGE(AB20:AC20,2)*S20,""))</f>
        <v/>
      </c>
      <c r="AJ20" s="65" t="str">
        <f aca="false">IF(ISBLANK($C20),"",IF($Z20=Constants!$B$7,RANK(AI20,$AI$8:$AI$507),$Z20))</f>
        <v/>
      </c>
      <c r="AK20" s="65" t="str">
        <f aca="false">IF(ISBLANK($C20),"",IF($Z20=Constants!$B$7,IF(ISNUMBER(AG20),COUNTIFS($AA$8:$AA$507,"&lt;"&amp;$AA20)+COUNTIFS($AA$8:$AA$507,$AA20,$AG$8:$AG$507,"&lt;"&amp;$AG20)+COUNTIFS($AA$8:$AA$507,$AA20,$AG$8:$AG$507,$AG20,$AJ$8:$AJ$507,"&lt;"&amp;$AJ20)+1,Constants!$B$14),$Z20))</f>
        <v/>
      </c>
      <c r="AL20" s="65" t="str">
        <f aca="false">IF(ISBLANK($C20),"",IF($Z20=Constants!$B$7,IF(ISNUMBER(AH20),AH20-AK20,Constants!$B$14),$Z20))</f>
        <v/>
      </c>
      <c r="AM20" s="67"/>
      <c r="AN20" s="68" t="str">
        <f aca="false">IF(ISBLANK($C20),"",IF($Z20&lt;&gt;Constants!$B$7,$Z20,AD20))</f>
        <v/>
      </c>
      <c r="AO20" s="69" t="str">
        <f aca="false">IF(ISBLANK($C20),"",IF($Z20&lt;&gt;Constants!$B$7,$Z20,S20))</f>
        <v/>
      </c>
      <c r="AP20" s="70" t="str">
        <f aca="false">IF(ISBLANK($C20),"",IF($Z20&lt;&gt;Constants!$B$7,$Z20,AF20))</f>
        <v/>
      </c>
      <c r="AQ20" s="71" t="str">
        <f aca="false">IF(ISBLANK($C20),"",IF($Z20&lt;&gt;Constants!$B$7,$Z20,AA20))</f>
        <v/>
      </c>
      <c r="AR20" s="69" t="str">
        <f aca="false">IF(ISBLANK($C20),"",AL20)</f>
        <v/>
      </c>
      <c r="AS20" s="69" t="str">
        <f aca="false">IF(ISBLANK($C20),"",AK20)</f>
        <v/>
      </c>
      <c r="AT20" s="72" t="str">
        <f aca="false">IF(ISBLANK($C20),"",IF(AS20=Constants!$B$4,COUNTA($C$8:$C$507)+2,IF(AS20=Constants!$B$5,COUNTA($C$8:$C$507)+1,IF(AS20=Constants!$B$6,COUNTA($C$8:$C$507),AS20))))</f>
        <v/>
      </c>
      <c r="AU20" s="5"/>
      <c r="AV20" s="73" t="n">
        <f aca="false">IF(OR(ISNUMBER(AS20),AS20=Constants!$B$4,AS20=Constants!$B$6,AS20=Constants!$B$5),1,0)</f>
        <v>0</v>
      </c>
      <c r="AW20" s="73" t="n">
        <v>13</v>
      </c>
      <c r="AX20" s="73" t="str">
        <f aca="false">IF(ISBLANK($C20),"",IF(ISNUMBER(AT20),AT20+ROW($B20)/1000,""))</f>
        <v/>
      </c>
      <c r="AY20" s="73" t="str">
        <f aca="false">IF(ISNUMBER(AX20),RANK(AX20,$AX$8:$AX$507,1),"")</f>
        <v/>
      </c>
      <c r="AZ20" s="73" t="str">
        <f aca="false">IF(ISBLANK($C20),"",$B20)</f>
        <v/>
      </c>
      <c r="BA20" s="73" t="str">
        <f aca="false">IF(ISBLANK($C20),"",$C20)</f>
        <v/>
      </c>
      <c r="BB20" s="73" t="str">
        <f aca="false">IF(ISBLANK($C20),"",$D20)</f>
        <v/>
      </c>
      <c r="BC20" s="74" t="str">
        <f aca="false">AQ20</f>
        <v/>
      </c>
      <c r="BD20" s="75" t="str">
        <f aca="false">AP20</f>
        <v/>
      </c>
      <c r="BE20" s="73" t="str">
        <f aca="false">IF(ISBLANK($C20),"",AS20)</f>
        <v/>
      </c>
      <c r="BF20" s="76" t="str">
        <f aca="false">IF($AW20&gt;$AV$7,"",VLOOKUP($AW20,$AY$8:$BE$507,7,FALSE()))</f>
        <v/>
      </c>
      <c r="BG20" s="77" t="str">
        <f aca="false">IF($AW20&gt;$AV$7,"",VLOOKUP($AW20,$AY$8:$BE$507,2,FALSE()))</f>
        <v/>
      </c>
      <c r="BH20" s="77" t="str">
        <f aca="false">IF($AW20&gt;$AV$7,"",VLOOKUP($AW20,$AY$8:$BE$507,3,FALSE()))</f>
        <v/>
      </c>
      <c r="BI20" s="77" t="str">
        <f aca="false">IF($AW20&gt;$AV$7,"",VLOOKUP($AW20,$AY$8:$BE$507,4,FALSE()))</f>
        <v/>
      </c>
      <c r="BJ20" s="77" t="str">
        <f aca="false">IF($AW20&gt;$AV$7,"",VLOOKUP($AW20,$AY$8:$BE$507,5,FALSE()))</f>
        <v/>
      </c>
      <c r="BK20" s="78" t="str">
        <f aca="false">IF($AW20&gt;$AV$7,"",VLOOKUP($AW20,$AY$8:$BE$507,6,FALSE()))</f>
        <v/>
      </c>
      <c r="BL20" s="50"/>
    </row>
    <row r="21" customFormat="false" ht="15.75" hidden="false" customHeight="false" outlineLevel="0" collapsed="false">
      <c r="A21" s="5"/>
      <c r="B21" s="131"/>
      <c r="C21" s="52"/>
      <c r="D21" s="53"/>
      <c r="E21" s="120"/>
      <c r="F21" s="121"/>
      <c r="G21" s="56"/>
      <c r="H21" s="122"/>
      <c r="I21" s="123"/>
      <c r="J21" s="59"/>
      <c r="K21" s="60"/>
      <c r="L21" s="123"/>
      <c r="M21" s="61"/>
      <c r="N21" s="62"/>
      <c r="O21" s="80"/>
      <c r="P21" s="64"/>
      <c r="Q21" s="65" t="str">
        <f aca="false">IF(ISBLANK($C21),"",IF(E21=Constants!$B$2, TRUE(), IF(E21=Constants!$B$3, FALSE(), TRUE())))</f>
        <v/>
      </c>
      <c r="R21" s="65" t="str">
        <f aca="false">IF(ISBLANK($C21),"",IF(F21=Constants!$B$2, TRUE(), IF(F21=Constants!$B$3, FALSE(), TRUE())))</f>
        <v/>
      </c>
      <c r="S21" s="65" t="str">
        <f aca="false">IF(ISBLANK($C21),"",IF(G21=Constants!$B$15,Constants!$B$8,IF(G21=Constants!$B$16,Constants!$B$9,Constants!$B$10)))</f>
        <v/>
      </c>
      <c r="T21" s="65" t="str">
        <f aca="false">IF(ISBLANK($C21),"",IF(H21=Constants!$B$2, TRUE(), IF(H21=Constants!$B$3, FALSE(), TRUE())))</f>
        <v/>
      </c>
      <c r="U21" s="65" t="str">
        <f aca="false">IF(ISBLANK($C21),"",IF(I21=Constants!$B$19,Constants!$B$19,Constants!$B$18))</f>
        <v/>
      </c>
      <c r="V21" s="65" t="str">
        <f aca="false">IF(ISBLANK($C21),"",IF(COUNTA(J21:K21)=0,"",IF(AND(OR(ISBLANK(J21),AND(ISNUMBER(J21),J21&gt;=0)),OR(ISBLANK(K21),AND(ISNUMBER(K21),K21&gt;=0))),60*IF(ISBLANK(J21),0,J21)+IF(ISBLANK(K21),0,K21),"")))</f>
        <v/>
      </c>
      <c r="W21" s="65" t="str">
        <f aca="false">IF(ISBLANK($C21),"",IF(L21=Constants!$B$19,Constants!$B$19,Constants!$B$18))</f>
        <v/>
      </c>
      <c r="X21" s="65" t="str">
        <f aca="false">IF(ISBLANK($C21),"",IF(COUNTA(M21:N21)=0,"",IF(AND(OR(ISBLANK(M21),AND(ISNUMBER(M21),M21&gt;=0)),OR(ISBLANK(N21),AND(ISNUMBER(N21),N21&gt;=0))),60*IF(ISBLANK(M21),0,M21)+IF(ISBLANK(N21),0,N21),"")))</f>
        <v/>
      </c>
      <c r="Y21" s="65" t="str">
        <f aca="false">IF(ISBLANK($C21),"",IF(O21=Constants!$B$2, TRUE(), IF(O21=Constants!$B$3, FALSE(), FALSE())))</f>
        <v/>
      </c>
      <c r="Z21" s="65" t="str">
        <f aca="false">IF(ISBLANK($C21),"",IF(Y21,Constants!$B$4,IF(COUNTA(E21:N21)=0,Constants!$B$5,IF(COUNTA(J21:K21,M21:N21)=0,Constants!$B$6,Constants!$B$7))))</f>
        <v/>
      </c>
      <c r="AA21" s="65" t="str">
        <f aca="false">IF(ISBLANK($C21),"",IF($Z21&lt;&gt;Constants!$B$7,$Z21,IF(OR(NOT(T21),AND(NOT(Q21),COUNTIFS(U21:W21,Constants!$B$18,V21:X21,"&gt;=0")&gt;0),AND(NOT(R21),COUNTIFS(U21:W21,Constants!$B$19,V21:X21,"&gt;=0")&gt;0)),Constants!$B$12,Constants!$B$11)))</f>
        <v/>
      </c>
      <c r="AB21" s="65" t="str">
        <f aca="false">IF($Z21=Constants!$B$7,IF(V21="",Constants!$B$13,V21),"")</f>
        <v/>
      </c>
      <c r="AC21" s="65" t="str">
        <f aca="false">IF($Z21=Constants!$B$7,IF(X21="",Constants!$B$13,X21),"")</f>
        <v/>
      </c>
      <c r="AD21" s="65" t="str">
        <f aca="false">IF($Z21=Constants!$B$7,IF($AB21&gt;=$AC21,1,2),"")</f>
        <v/>
      </c>
      <c r="AE21" s="65" t="str">
        <f aca="false">IF($Z21=Constants!$B$7,LARGE(AB21:AC21,1),"")</f>
        <v/>
      </c>
      <c r="AF21" s="65" t="str">
        <f aca="false">IF(ISBLANK($C21),"",IF($Z21&lt;&gt;Constants!$B$7,$Z21,AE21*S21))</f>
        <v/>
      </c>
      <c r="AG21" s="65" t="str">
        <f aca="false">IF(ISBLANK($C21),"",IF($Z21=Constants!$B$7,IF(ISNUMBER(AF21),RANK(AF21,$AF$8:$AF$507),Constants!$B$14),$Z21))</f>
        <v/>
      </c>
      <c r="AH21" s="65" t="str">
        <f aca="false">IF(ISBLANK($C21),"",IF($Z21=Constants!$B$7,IF(ISNUMBER(AG21),COUNTIFS($AA$8:$AA$507,"&lt;"&amp;$AA21)+COUNTIFS($AA$8:$AA$507,$AA21,$AG$8:$AG$507,"&lt;"&amp;$AG21)+1,Constants!$B$14),$Z21))</f>
        <v/>
      </c>
      <c r="AI21" s="65" t="str">
        <f aca="false">IF(ISBLANK($C21),"",IF($Z21=Constants!$B$7,LARGE(AB21:AC21,2)*S21,""))</f>
        <v/>
      </c>
      <c r="AJ21" s="65" t="str">
        <f aca="false">IF(ISBLANK($C21),"",IF($Z21=Constants!$B$7,RANK(AI21,$AI$8:$AI$507),$Z21))</f>
        <v/>
      </c>
      <c r="AK21" s="65" t="str">
        <f aca="false">IF(ISBLANK($C21),"",IF($Z21=Constants!$B$7,IF(ISNUMBER(AG21),COUNTIFS($AA$8:$AA$507,"&lt;"&amp;$AA21)+COUNTIFS($AA$8:$AA$507,$AA21,$AG$8:$AG$507,"&lt;"&amp;$AG21)+COUNTIFS($AA$8:$AA$507,$AA21,$AG$8:$AG$507,$AG21,$AJ$8:$AJ$507,"&lt;"&amp;$AJ21)+1,Constants!$B$14),$Z21))</f>
        <v/>
      </c>
      <c r="AL21" s="65" t="str">
        <f aca="false">IF(ISBLANK($C21),"",IF($Z21=Constants!$B$7,IF(ISNUMBER(AH21),AH21-AK21,Constants!$B$14),$Z21))</f>
        <v/>
      </c>
      <c r="AM21" s="67"/>
      <c r="AN21" s="68" t="str">
        <f aca="false">IF(ISBLANK($C21),"",IF($Z21&lt;&gt;Constants!$B$7,$Z21,AD21))</f>
        <v/>
      </c>
      <c r="AO21" s="69" t="str">
        <f aca="false">IF(ISBLANK($C21),"",IF($Z21&lt;&gt;Constants!$B$7,$Z21,S21))</f>
        <v/>
      </c>
      <c r="AP21" s="70" t="str">
        <f aca="false">IF(ISBLANK($C21),"",IF($Z21&lt;&gt;Constants!$B$7,$Z21,AF21))</f>
        <v/>
      </c>
      <c r="AQ21" s="71" t="str">
        <f aca="false">IF(ISBLANK($C21),"",IF($Z21&lt;&gt;Constants!$B$7,$Z21,AA21))</f>
        <v/>
      </c>
      <c r="AR21" s="69" t="str">
        <f aca="false">IF(ISBLANK($C21),"",AL21)</f>
        <v/>
      </c>
      <c r="AS21" s="69" t="str">
        <f aca="false">IF(ISBLANK($C21),"",AK21)</f>
        <v/>
      </c>
      <c r="AT21" s="72" t="str">
        <f aca="false">IF(ISBLANK($C21),"",IF(AS21=Constants!$B$4,COUNTA($C$8:$C$507)+2,IF(AS21=Constants!$B$5,COUNTA($C$8:$C$507)+1,IF(AS21=Constants!$B$6,COUNTA($C$8:$C$507),AS21))))</f>
        <v/>
      </c>
      <c r="AU21" s="5"/>
      <c r="AV21" s="73" t="n">
        <f aca="false">IF(OR(ISNUMBER(AS21),AS21=Constants!$B$4,AS21=Constants!$B$6,AS21=Constants!$B$5),1,0)</f>
        <v>0</v>
      </c>
      <c r="AW21" s="73" t="n">
        <v>14</v>
      </c>
      <c r="AX21" s="73" t="str">
        <f aca="false">IF(ISBLANK($C21),"",IF(ISNUMBER(AT21),AT21+ROW($B21)/1000,""))</f>
        <v/>
      </c>
      <c r="AY21" s="73" t="str">
        <f aca="false">IF(ISNUMBER(AX21),RANK(AX21,$AX$8:$AX$507,1),"")</f>
        <v/>
      </c>
      <c r="AZ21" s="73" t="str">
        <f aca="false">IF(ISBLANK($C21),"",$B21)</f>
        <v/>
      </c>
      <c r="BA21" s="73" t="str">
        <f aca="false">IF(ISBLANK($C21),"",$C21)</f>
        <v/>
      </c>
      <c r="BB21" s="73" t="str">
        <f aca="false">IF(ISBLANK($C21),"",$D21)</f>
        <v/>
      </c>
      <c r="BC21" s="74" t="str">
        <f aca="false">AQ21</f>
        <v/>
      </c>
      <c r="BD21" s="75" t="str">
        <f aca="false">AP21</f>
        <v/>
      </c>
      <c r="BE21" s="73" t="str">
        <f aca="false">IF(ISBLANK($C21),"",AS21)</f>
        <v/>
      </c>
      <c r="BF21" s="76" t="str">
        <f aca="false">IF($AW21&gt;$AV$7,"",VLOOKUP($AW21,$AY$8:$BE$507,7,FALSE()))</f>
        <v/>
      </c>
      <c r="BG21" s="77" t="str">
        <f aca="false">IF($AW21&gt;$AV$7,"",VLOOKUP($AW21,$AY$8:$BE$507,2,FALSE()))</f>
        <v/>
      </c>
      <c r="BH21" s="77" t="str">
        <f aca="false">IF($AW21&gt;$AV$7,"",VLOOKUP($AW21,$AY$8:$BE$507,3,FALSE()))</f>
        <v/>
      </c>
      <c r="BI21" s="77" t="str">
        <f aca="false">IF($AW21&gt;$AV$7,"",VLOOKUP($AW21,$AY$8:$BE$507,4,FALSE()))</f>
        <v/>
      </c>
      <c r="BJ21" s="77" t="str">
        <f aca="false">IF($AW21&gt;$AV$7,"",VLOOKUP($AW21,$AY$8:$BE$507,5,FALSE()))</f>
        <v/>
      </c>
      <c r="BK21" s="78" t="str">
        <f aca="false">IF($AW21&gt;$AV$7,"",VLOOKUP($AW21,$AY$8:$BE$507,6,FALSE()))</f>
        <v/>
      </c>
      <c r="BL21" s="50"/>
    </row>
    <row r="22" customFormat="false" ht="15.75" hidden="false" customHeight="false" outlineLevel="0" collapsed="false">
      <c r="A22" s="5"/>
      <c r="B22" s="131"/>
      <c r="C22" s="52"/>
      <c r="D22" s="53"/>
      <c r="E22" s="120"/>
      <c r="F22" s="121"/>
      <c r="G22" s="56"/>
      <c r="H22" s="122"/>
      <c r="I22" s="123"/>
      <c r="J22" s="59"/>
      <c r="K22" s="60"/>
      <c r="L22" s="123"/>
      <c r="M22" s="61"/>
      <c r="N22" s="62"/>
      <c r="O22" s="80"/>
      <c r="P22" s="64"/>
      <c r="Q22" s="65" t="str">
        <f aca="false">IF(ISBLANK($C22),"",IF(E22=Constants!$B$2, TRUE(), IF(E22=Constants!$B$3, FALSE(), TRUE())))</f>
        <v/>
      </c>
      <c r="R22" s="65" t="str">
        <f aca="false">IF(ISBLANK($C22),"",IF(F22=Constants!$B$2, TRUE(), IF(F22=Constants!$B$3, FALSE(), TRUE())))</f>
        <v/>
      </c>
      <c r="S22" s="65" t="str">
        <f aca="false">IF(ISBLANK($C22),"",IF(G22=Constants!$B$15,Constants!$B$8,IF(G22=Constants!$B$16,Constants!$B$9,Constants!$B$10)))</f>
        <v/>
      </c>
      <c r="T22" s="65" t="str">
        <f aca="false">IF(ISBLANK($C22),"",IF(H22=Constants!$B$2, TRUE(), IF(H22=Constants!$B$3, FALSE(), TRUE())))</f>
        <v/>
      </c>
      <c r="U22" s="65" t="str">
        <f aca="false">IF(ISBLANK($C22),"",IF(I22=Constants!$B$19,Constants!$B$19,Constants!$B$18))</f>
        <v/>
      </c>
      <c r="V22" s="65" t="str">
        <f aca="false">IF(ISBLANK($C22),"",IF(COUNTA(J22:K22)=0,"",IF(AND(OR(ISBLANK(J22),AND(ISNUMBER(J22),J22&gt;=0)),OR(ISBLANK(K22),AND(ISNUMBER(K22),K22&gt;=0))),60*IF(ISBLANK(J22),0,J22)+IF(ISBLANK(K22),0,K22),"")))</f>
        <v/>
      </c>
      <c r="W22" s="65" t="str">
        <f aca="false">IF(ISBLANK($C22),"",IF(L22=Constants!$B$19,Constants!$B$19,Constants!$B$18))</f>
        <v/>
      </c>
      <c r="X22" s="65" t="str">
        <f aca="false">IF(ISBLANK($C22),"",IF(COUNTA(M22:N22)=0,"",IF(AND(OR(ISBLANK(M22),AND(ISNUMBER(M22),M22&gt;=0)),OR(ISBLANK(N22),AND(ISNUMBER(N22),N22&gt;=0))),60*IF(ISBLANK(M22),0,M22)+IF(ISBLANK(N22),0,N22),"")))</f>
        <v/>
      </c>
      <c r="Y22" s="65" t="str">
        <f aca="false">IF(ISBLANK($C22),"",IF(O22=Constants!$B$2, TRUE(), IF(O22=Constants!$B$3, FALSE(), FALSE())))</f>
        <v/>
      </c>
      <c r="Z22" s="65" t="str">
        <f aca="false">IF(ISBLANK($C22),"",IF(Y22,Constants!$B$4,IF(COUNTA(E22:N22)=0,Constants!$B$5,IF(COUNTA(J22:K22,M22:N22)=0,Constants!$B$6,Constants!$B$7))))</f>
        <v/>
      </c>
      <c r="AA22" s="65" t="str">
        <f aca="false">IF(ISBLANK($C22),"",IF($Z22&lt;&gt;Constants!$B$7,$Z22,IF(OR(NOT(T22),AND(NOT(Q22),COUNTIFS(U22:W22,Constants!$B$18,V22:X22,"&gt;=0")&gt;0),AND(NOT(R22),COUNTIFS(U22:W22,Constants!$B$19,V22:X22,"&gt;=0")&gt;0)),Constants!$B$12,Constants!$B$11)))</f>
        <v/>
      </c>
      <c r="AB22" s="65" t="str">
        <f aca="false">IF($Z22=Constants!$B$7,IF(V22="",Constants!$B$13,V22),"")</f>
        <v/>
      </c>
      <c r="AC22" s="65" t="str">
        <f aca="false">IF($Z22=Constants!$B$7,IF(X22="",Constants!$B$13,X22),"")</f>
        <v/>
      </c>
      <c r="AD22" s="65" t="str">
        <f aca="false">IF($Z22=Constants!$B$7,IF($AB22&gt;=$AC22,1,2),"")</f>
        <v/>
      </c>
      <c r="AE22" s="65" t="str">
        <f aca="false">IF($Z22=Constants!$B$7,LARGE(AB22:AC22,1),"")</f>
        <v/>
      </c>
      <c r="AF22" s="65" t="str">
        <f aca="false">IF(ISBLANK($C22),"",IF($Z22&lt;&gt;Constants!$B$7,$Z22,AE22*S22))</f>
        <v/>
      </c>
      <c r="AG22" s="65" t="str">
        <f aca="false">IF(ISBLANK($C22),"",IF($Z22=Constants!$B$7,IF(ISNUMBER(AF22),RANK(AF22,$AF$8:$AF$507),Constants!$B$14),$Z22))</f>
        <v/>
      </c>
      <c r="AH22" s="65" t="str">
        <f aca="false">IF(ISBLANK($C22),"",IF($Z22=Constants!$B$7,IF(ISNUMBER(AG22),COUNTIFS($AA$8:$AA$507,"&lt;"&amp;$AA22)+COUNTIFS($AA$8:$AA$507,$AA22,$AG$8:$AG$507,"&lt;"&amp;$AG22)+1,Constants!$B$14),$Z22))</f>
        <v/>
      </c>
      <c r="AI22" s="65" t="str">
        <f aca="false">IF(ISBLANK($C22),"",IF($Z22=Constants!$B$7,LARGE(AB22:AC22,2)*S22,""))</f>
        <v/>
      </c>
      <c r="AJ22" s="65" t="str">
        <f aca="false">IF(ISBLANK($C22),"",IF($Z22=Constants!$B$7,RANK(AI22,$AI$8:$AI$507),$Z22))</f>
        <v/>
      </c>
      <c r="AK22" s="65" t="str">
        <f aca="false">IF(ISBLANK($C22),"",IF($Z22=Constants!$B$7,IF(ISNUMBER(AG22),COUNTIFS($AA$8:$AA$507,"&lt;"&amp;$AA22)+COUNTIFS($AA$8:$AA$507,$AA22,$AG$8:$AG$507,"&lt;"&amp;$AG22)+COUNTIFS($AA$8:$AA$507,$AA22,$AG$8:$AG$507,$AG22,$AJ$8:$AJ$507,"&lt;"&amp;$AJ22)+1,Constants!$B$14),$Z22))</f>
        <v/>
      </c>
      <c r="AL22" s="65" t="str">
        <f aca="false">IF(ISBLANK($C22),"",IF($Z22=Constants!$B$7,IF(ISNUMBER(AH22),AH22-AK22,Constants!$B$14),$Z22))</f>
        <v/>
      </c>
      <c r="AM22" s="67"/>
      <c r="AN22" s="68" t="str">
        <f aca="false">IF(ISBLANK($C22),"",IF($Z22&lt;&gt;Constants!$B$7,$Z22,AD22))</f>
        <v/>
      </c>
      <c r="AO22" s="69" t="str">
        <f aca="false">IF(ISBLANK($C22),"",IF($Z22&lt;&gt;Constants!$B$7,$Z22,S22))</f>
        <v/>
      </c>
      <c r="AP22" s="70" t="str">
        <f aca="false">IF(ISBLANK($C22),"",IF($Z22&lt;&gt;Constants!$B$7,$Z22,AF22))</f>
        <v/>
      </c>
      <c r="AQ22" s="71" t="str">
        <f aca="false">IF(ISBLANK($C22),"",IF($Z22&lt;&gt;Constants!$B$7,$Z22,AA22))</f>
        <v/>
      </c>
      <c r="AR22" s="69" t="str">
        <f aca="false">IF(ISBLANK($C22),"",AL22)</f>
        <v/>
      </c>
      <c r="AS22" s="69" t="str">
        <f aca="false">IF(ISBLANK($C22),"",AK22)</f>
        <v/>
      </c>
      <c r="AT22" s="72" t="str">
        <f aca="false">IF(ISBLANK($C22),"",IF(AS22=Constants!$B$4,COUNTA($C$8:$C$507)+2,IF(AS22=Constants!$B$5,COUNTA($C$8:$C$507)+1,IF(AS22=Constants!$B$6,COUNTA($C$8:$C$507),AS22))))</f>
        <v/>
      </c>
      <c r="AU22" s="5"/>
      <c r="AV22" s="73" t="n">
        <f aca="false">IF(OR(ISNUMBER(AS22),AS22=Constants!$B$4,AS22=Constants!$B$6,AS22=Constants!$B$5),1,0)</f>
        <v>0</v>
      </c>
      <c r="AW22" s="73" t="n">
        <v>15</v>
      </c>
      <c r="AX22" s="73" t="str">
        <f aca="false">IF(ISBLANK($C22),"",IF(ISNUMBER(AT22),AT22+ROW($B22)/1000,""))</f>
        <v/>
      </c>
      <c r="AY22" s="73" t="str">
        <f aca="false">IF(ISNUMBER(AX22),RANK(AX22,$AX$8:$AX$507,1),"")</f>
        <v/>
      </c>
      <c r="AZ22" s="73" t="str">
        <f aca="false">IF(ISBLANK($C22),"",$B22)</f>
        <v/>
      </c>
      <c r="BA22" s="73" t="str">
        <f aca="false">IF(ISBLANK($C22),"",$C22)</f>
        <v/>
      </c>
      <c r="BB22" s="73" t="str">
        <f aca="false">IF(ISBLANK($C22),"",$D22)</f>
        <v/>
      </c>
      <c r="BC22" s="74" t="str">
        <f aca="false">AQ22</f>
        <v/>
      </c>
      <c r="BD22" s="75" t="str">
        <f aca="false">AP22</f>
        <v/>
      </c>
      <c r="BE22" s="73" t="str">
        <f aca="false">IF(ISBLANK($C22),"",AS22)</f>
        <v/>
      </c>
      <c r="BF22" s="76" t="str">
        <f aca="false">IF($AW22&gt;$AV$7,"",VLOOKUP($AW22,$AY$8:$BE$507,7,FALSE()))</f>
        <v/>
      </c>
      <c r="BG22" s="77" t="str">
        <f aca="false">IF($AW22&gt;$AV$7,"",VLOOKUP($AW22,$AY$8:$BE$507,2,FALSE()))</f>
        <v/>
      </c>
      <c r="BH22" s="77" t="str">
        <f aca="false">IF($AW22&gt;$AV$7,"",VLOOKUP($AW22,$AY$8:$BE$507,3,FALSE()))</f>
        <v/>
      </c>
      <c r="BI22" s="77" t="str">
        <f aca="false">IF($AW22&gt;$AV$7,"",VLOOKUP($AW22,$AY$8:$BE$507,4,FALSE()))</f>
        <v/>
      </c>
      <c r="BJ22" s="77" t="str">
        <f aca="false">IF($AW22&gt;$AV$7,"",VLOOKUP($AW22,$AY$8:$BE$507,5,FALSE()))</f>
        <v/>
      </c>
      <c r="BK22" s="78" t="str">
        <f aca="false">IF($AW22&gt;$AV$7,"",VLOOKUP($AW22,$AY$8:$BE$507,6,FALSE()))</f>
        <v/>
      </c>
      <c r="BL22" s="50"/>
    </row>
    <row r="23" customFormat="false" ht="15.75" hidden="false" customHeight="false" outlineLevel="0" collapsed="false">
      <c r="A23" s="5"/>
      <c r="B23" s="124"/>
      <c r="C23" s="125"/>
      <c r="D23" s="110"/>
      <c r="E23" s="126"/>
      <c r="F23" s="127"/>
      <c r="G23" s="88"/>
      <c r="H23" s="128"/>
      <c r="I23" s="129"/>
      <c r="J23" s="91"/>
      <c r="K23" s="92"/>
      <c r="L23" s="129"/>
      <c r="M23" s="93"/>
      <c r="N23" s="94"/>
      <c r="O23" s="130"/>
      <c r="P23" s="96"/>
      <c r="Q23" s="97" t="str">
        <f aca="false">IF(ISBLANK($C23),"",IF(E23=Constants!$B$2, TRUE(), IF(E23=Constants!$B$3, FALSE(), TRUE())))</f>
        <v/>
      </c>
      <c r="R23" s="97" t="str">
        <f aca="false">IF(ISBLANK($C23),"",IF(F23=Constants!$B$2, TRUE(), IF(F23=Constants!$B$3, FALSE(), TRUE())))</f>
        <v/>
      </c>
      <c r="S23" s="97" t="str">
        <f aca="false">IF(ISBLANK($C23),"",IF(G23=Constants!$B$15,Constants!$B$8,IF(G23=Constants!$B$16,Constants!$B$9,Constants!$B$10)))</f>
        <v/>
      </c>
      <c r="T23" s="97" t="str">
        <f aca="false">IF(ISBLANK($C23),"",IF(H23=Constants!$B$2, TRUE(), IF(H23=Constants!$B$3, FALSE(), TRUE())))</f>
        <v/>
      </c>
      <c r="U23" s="97" t="str">
        <f aca="false">IF(ISBLANK($C23),"",IF(I23=Constants!$B$19,Constants!$B$19,Constants!$B$18))</f>
        <v/>
      </c>
      <c r="V23" s="97" t="str">
        <f aca="false">IF(ISBLANK($C23),"",IF(COUNTA(J23:K23)=0,"",IF(AND(OR(ISBLANK(J23),AND(ISNUMBER(J23),J23&gt;=0)),OR(ISBLANK(K23),AND(ISNUMBER(K23),K23&gt;=0))),60*IF(ISBLANK(J23),0,J23)+IF(ISBLANK(K23),0,K23),"")))</f>
        <v/>
      </c>
      <c r="W23" s="97" t="str">
        <f aca="false">IF(ISBLANK($C23),"",IF(L23=Constants!$B$19,Constants!$B$19,Constants!$B$18))</f>
        <v/>
      </c>
      <c r="X23" s="97" t="str">
        <f aca="false">IF(ISBLANK($C23),"",IF(COUNTA(M23:N23)=0,"",IF(AND(OR(ISBLANK(M23),AND(ISNUMBER(M23),M23&gt;=0)),OR(ISBLANK(N23),AND(ISNUMBER(N23),N23&gt;=0))),60*IF(ISBLANK(M23),0,M23)+IF(ISBLANK(N23),0,N23),"")))</f>
        <v/>
      </c>
      <c r="Y23" s="97" t="str">
        <f aca="false">IF(ISBLANK($C23),"",IF(O23=Constants!$B$2, TRUE(), IF(O23=Constants!$B$3, FALSE(), FALSE())))</f>
        <v/>
      </c>
      <c r="Z23" s="97" t="str">
        <f aca="false">IF(ISBLANK($C23),"",IF(Y23,Constants!$B$4,IF(COUNTA(E23:N23)=0,Constants!$B$5,IF(COUNTA(J23:K23,M23:N23)=0,Constants!$B$6,Constants!$B$7))))</f>
        <v/>
      </c>
      <c r="AA23" s="97" t="str">
        <f aca="false">IF(ISBLANK($C23),"",IF($Z23&lt;&gt;Constants!$B$7,$Z23,IF(OR(NOT(T23),AND(NOT(Q23),COUNTIFS(U23:W23,Constants!$B$18,V23:X23,"&gt;=0")&gt;0),AND(NOT(R23),COUNTIFS(U23:W23,Constants!$B$19,V23:X23,"&gt;=0")&gt;0)),Constants!$B$12,Constants!$B$11)))</f>
        <v/>
      </c>
      <c r="AB23" s="97" t="str">
        <f aca="false">IF($Z23=Constants!$B$7,IF(V23="",Constants!$B$13,V23),"")</f>
        <v/>
      </c>
      <c r="AC23" s="97" t="str">
        <f aca="false">IF($Z23=Constants!$B$7,IF(X23="",Constants!$B$13,X23),"")</f>
        <v/>
      </c>
      <c r="AD23" s="97" t="str">
        <f aca="false">IF($Z23=Constants!$B$7,IF($AB23&gt;=$AC23,1,2),"")</f>
        <v/>
      </c>
      <c r="AE23" s="97" t="str">
        <f aca="false">IF($Z23=Constants!$B$7,LARGE(AB23:AC23,1),"")</f>
        <v/>
      </c>
      <c r="AF23" s="97" t="str">
        <f aca="false">IF(ISBLANK($C23),"",IF($Z23&lt;&gt;Constants!$B$7,$Z23,AE23*S23))</f>
        <v/>
      </c>
      <c r="AG23" s="97" t="str">
        <f aca="false">IF(ISBLANK($C23),"",IF($Z23=Constants!$B$7,IF(ISNUMBER(AF23),RANK(AF23,$AF$8:$AF$507),Constants!$B$14),$Z23))</f>
        <v/>
      </c>
      <c r="AH23" s="97" t="str">
        <f aca="false">IF(ISBLANK($C23),"",IF($Z23=Constants!$B$7,IF(ISNUMBER(AG23),COUNTIFS($AA$8:$AA$507,"&lt;"&amp;$AA23)+COUNTIFS($AA$8:$AA$507,$AA23,$AG$8:$AG$507,"&lt;"&amp;$AG23)+1,Constants!$B$14),$Z23))</f>
        <v/>
      </c>
      <c r="AI23" s="97" t="str">
        <f aca="false">IF(ISBLANK($C23),"",IF($Z23=Constants!$B$7,LARGE(AB23:AC23,2)*S23,""))</f>
        <v/>
      </c>
      <c r="AJ23" s="97" t="str">
        <f aca="false">IF(ISBLANK($C23),"",IF($Z23=Constants!$B$7,RANK(AI23,$AI$8:$AI$507),$Z23))</f>
        <v/>
      </c>
      <c r="AK23" s="97" t="str">
        <f aca="false">IF(ISBLANK($C23),"",IF($Z23=Constants!$B$7,IF(ISNUMBER(AG23),COUNTIFS($AA$8:$AA$507,"&lt;"&amp;$AA23)+COUNTIFS($AA$8:$AA$507,$AA23,$AG$8:$AG$507,"&lt;"&amp;$AG23)+COUNTIFS($AA$8:$AA$507,$AA23,$AG$8:$AG$507,$AG23,$AJ$8:$AJ$507,"&lt;"&amp;$AJ23)+1,Constants!$B$14),$Z23))</f>
        <v/>
      </c>
      <c r="AL23" s="97" t="str">
        <f aca="false">IF(ISBLANK($C23),"",IF($Z23=Constants!$B$7,IF(ISNUMBER(AH23),AH23-AK23,Constants!$B$14),$Z23))</f>
        <v/>
      </c>
      <c r="AM23" s="98"/>
      <c r="AN23" s="99" t="str">
        <f aca="false">IF(ISBLANK($C23),"",IF($Z23&lt;&gt;Constants!$B$7,$Z23,AD23))</f>
        <v/>
      </c>
      <c r="AO23" s="100" t="str">
        <f aca="false">IF(ISBLANK($C23),"",IF($Z23&lt;&gt;Constants!$B$7,$Z23,S23))</f>
        <v/>
      </c>
      <c r="AP23" s="101" t="str">
        <f aca="false">IF(ISBLANK($C23),"",IF($Z23&lt;&gt;Constants!$B$7,$Z23,AF23))</f>
        <v/>
      </c>
      <c r="AQ23" s="102" t="str">
        <f aca="false">IF(ISBLANK($C23),"",IF($Z23&lt;&gt;Constants!$B$7,$Z23,AA23))</f>
        <v/>
      </c>
      <c r="AR23" s="100" t="str">
        <f aca="false">IF(ISBLANK($C23),"",AL23)</f>
        <v/>
      </c>
      <c r="AS23" s="100" t="str">
        <f aca="false">IF(ISBLANK($C23),"",AK23)</f>
        <v/>
      </c>
      <c r="AT23" s="103" t="str">
        <f aca="false">IF(ISBLANK($C23),"",IF(AS23=Constants!$B$4,COUNTA($C$8:$C$507)+2,IF(AS23=Constants!$B$5,COUNTA($C$8:$C$507)+1,IF(AS23=Constants!$B$6,COUNTA($C$8:$C$507),AS23))))</f>
        <v/>
      </c>
      <c r="AU23" s="5"/>
      <c r="AV23" s="104" t="n">
        <f aca="false">IF(OR(ISNUMBER(AS23),AS23=Constants!$B$4,AS23=Constants!$B$6,AS23=Constants!$B$5),1,0)</f>
        <v>0</v>
      </c>
      <c r="AW23" s="104" t="n">
        <v>16</v>
      </c>
      <c r="AX23" s="104" t="str">
        <f aca="false">IF(ISBLANK($C23),"",IF(ISNUMBER(AT23),AT23+ROW($B23)/1000,""))</f>
        <v/>
      </c>
      <c r="AY23" s="104" t="str">
        <f aca="false">IF(ISNUMBER(AX23),RANK(AX23,$AX$8:$AX$507,1),"")</f>
        <v/>
      </c>
      <c r="AZ23" s="104" t="str">
        <f aca="false">IF(ISBLANK($C23),"",$B23)</f>
        <v/>
      </c>
      <c r="BA23" s="104" t="str">
        <f aca="false">IF(ISBLANK($C23),"",$C23)</f>
        <v/>
      </c>
      <c r="BB23" s="104" t="str">
        <f aca="false">IF(ISBLANK($C23),"",$D23)</f>
        <v/>
      </c>
      <c r="BC23" s="105" t="str">
        <f aca="false">AQ23</f>
        <v/>
      </c>
      <c r="BD23" s="106" t="str">
        <f aca="false">AP23</f>
        <v/>
      </c>
      <c r="BE23" s="104" t="str">
        <f aca="false">IF(ISBLANK($C23),"",AS23)</f>
        <v/>
      </c>
      <c r="BF23" s="107" t="str">
        <f aca="false">IF($AW23&gt;$AV$7,"",VLOOKUP($AW23,$AY$8:$BE$507,7,FALSE()))</f>
        <v/>
      </c>
      <c r="BG23" s="108" t="str">
        <f aca="false">IF($AW23&gt;$AV$7,"",VLOOKUP($AW23,$AY$8:$BE$507,2,FALSE()))</f>
        <v/>
      </c>
      <c r="BH23" s="108" t="str">
        <f aca="false">IF($AW23&gt;$AV$7,"",VLOOKUP($AW23,$AY$8:$BE$507,3,FALSE()))</f>
        <v/>
      </c>
      <c r="BI23" s="108" t="str">
        <f aca="false">IF($AW23&gt;$AV$7,"",VLOOKUP($AW23,$AY$8:$BE$507,4,FALSE()))</f>
        <v/>
      </c>
      <c r="BJ23" s="108" t="str">
        <f aca="false">IF($AW23&gt;$AV$7,"",VLOOKUP($AW23,$AY$8:$BE$507,5,FALSE()))</f>
        <v/>
      </c>
      <c r="BK23" s="109" t="str">
        <f aca="false">IF($AW23&gt;$AV$7,"",VLOOKUP($AW23,$AY$8:$BE$507,6,FALSE()))</f>
        <v/>
      </c>
      <c r="BL23" s="50"/>
    </row>
    <row r="24" customFormat="false" ht="15.75" hidden="false" customHeight="false" outlineLevel="0" collapsed="false">
      <c r="A24" s="5"/>
      <c r="B24" s="124"/>
      <c r="C24" s="125"/>
      <c r="D24" s="110"/>
      <c r="E24" s="126"/>
      <c r="F24" s="127"/>
      <c r="G24" s="88"/>
      <c r="H24" s="128"/>
      <c r="I24" s="129"/>
      <c r="J24" s="91"/>
      <c r="K24" s="92"/>
      <c r="L24" s="129"/>
      <c r="M24" s="93"/>
      <c r="N24" s="94"/>
      <c r="O24" s="130"/>
      <c r="P24" s="96"/>
      <c r="Q24" s="97" t="str">
        <f aca="false">IF(ISBLANK($C24),"",IF(E24=Constants!$B$2, TRUE(), IF(E24=Constants!$B$3, FALSE(), TRUE())))</f>
        <v/>
      </c>
      <c r="R24" s="97" t="str">
        <f aca="false">IF(ISBLANK($C24),"",IF(F24=Constants!$B$2, TRUE(), IF(F24=Constants!$B$3, FALSE(), TRUE())))</f>
        <v/>
      </c>
      <c r="S24" s="97" t="str">
        <f aca="false">IF(ISBLANK($C24),"",IF(G24=Constants!$B$15,Constants!$B$8,IF(G24=Constants!$B$16,Constants!$B$9,Constants!$B$10)))</f>
        <v/>
      </c>
      <c r="T24" s="97" t="str">
        <f aca="false">IF(ISBLANK($C24),"",IF(H24=Constants!$B$2, TRUE(), IF(H24=Constants!$B$3, FALSE(), TRUE())))</f>
        <v/>
      </c>
      <c r="U24" s="97" t="str">
        <f aca="false">IF(ISBLANK($C24),"",IF(I24=Constants!$B$19,Constants!$B$19,Constants!$B$18))</f>
        <v/>
      </c>
      <c r="V24" s="97" t="str">
        <f aca="false">IF(ISBLANK($C24),"",IF(COUNTA(J24:K24)=0,"",IF(AND(OR(ISBLANK(J24),AND(ISNUMBER(J24),J24&gt;=0)),OR(ISBLANK(K24),AND(ISNUMBER(K24),K24&gt;=0))),60*IF(ISBLANK(J24),0,J24)+IF(ISBLANK(K24),0,K24),"")))</f>
        <v/>
      </c>
      <c r="W24" s="97" t="str">
        <f aca="false">IF(ISBLANK($C24),"",IF(L24=Constants!$B$19,Constants!$B$19,Constants!$B$18))</f>
        <v/>
      </c>
      <c r="X24" s="97" t="str">
        <f aca="false">IF(ISBLANK($C24),"",IF(COUNTA(M24:N24)=0,"",IF(AND(OR(ISBLANK(M24),AND(ISNUMBER(M24),M24&gt;=0)),OR(ISBLANK(N24),AND(ISNUMBER(N24),N24&gt;=0))),60*IF(ISBLANK(M24),0,M24)+IF(ISBLANK(N24),0,N24),"")))</f>
        <v/>
      </c>
      <c r="Y24" s="97" t="str">
        <f aca="false">IF(ISBLANK($C24),"",IF(O24=Constants!$B$2, TRUE(), IF(O24=Constants!$B$3, FALSE(), FALSE())))</f>
        <v/>
      </c>
      <c r="Z24" s="97" t="str">
        <f aca="false">IF(ISBLANK($C24),"",IF(Y24,Constants!$B$4,IF(COUNTA(E24:N24)=0,Constants!$B$5,IF(COUNTA(J24:K24,M24:N24)=0,Constants!$B$6,Constants!$B$7))))</f>
        <v/>
      </c>
      <c r="AA24" s="97" t="str">
        <f aca="false">IF(ISBLANK($C24),"",IF($Z24&lt;&gt;Constants!$B$7,$Z24,IF(OR(NOT(T24),AND(NOT(Q24),COUNTIFS(U24:W24,Constants!$B$18,V24:X24,"&gt;=0")&gt;0),AND(NOT(R24),COUNTIFS(U24:W24,Constants!$B$19,V24:X24,"&gt;=0")&gt;0)),Constants!$B$12,Constants!$B$11)))</f>
        <v/>
      </c>
      <c r="AB24" s="97" t="str">
        <f aca="false">IF($Z24=Constants!$B$7,IF(V24="",Constants!$B$13,V24),"")</f>
        <v/>
      </c>
      <c r="AC24" s="97" t="str">
        <f aca="false">IF($Z24=Constants!$B$7,IF(X24="",Constants!$B$13,X24),"")</f>
        <v/>
      </c>
      <c r="AD24" s="97" t="str">
        <f aca="false">IF($Z24=Constants!$B$7,IF($AB24&gt;=$AC24,1,2),"")</f>
        <v/>
      </c>
      <c r="AE24" s="97" t="str">
        <f aca="false">IF($Z24=Constants!$B$7,LARGE(AB24:AC24,1),"")</f>
        <v/>
      </c>
      <c r="AF24" s="97" t="str">
        <f aca="false">IF(ISBLANK($C24),"",IF($Z24&lt;&gt;Constants!$B$7,$Z24,AE24*S24))</f>
        <v/>
      </c>
      <c r="AG24" s="97" t="str">
        <f aca="false">IF(ISBLANK($C24),"",IF($Z24=Constants!$B$7,IF(ISNUMBER(AF24),RANK(AF24,$AF$8:$AF$507),Constants!$B$14),$Z24))</f>
        <v/>
      </c>
      <c r="AH24" s="97" t="str">
        <f aca="false">IF(ISBLANK($C24),"",IF($Z24=Constants!$B$7,IF(ISNUMBER(AG24),COUNTIFS($AA$8:$AA$507,"&lt;"&amp;$AA24)+COUNTIFS($AA$8:$AA$507,$AA24,$AG$8:$AG$507,"&lt;"&amp;$AG24)+1,Constants!$B$14),$Z24))</f>
        <v/>
      </c>
      <c r="AI24" s="97" t="str">
        <f aca="false">IF(ISBLANK($C24),"",IF($Z24=Constants!$B$7,LARGE(AB24:AC24,2)*S24,""))</f>
        <v/>
      </c>
      <c r="AJ24" s="97" t="str">
        <f aca="false">IF(ISBLANK($C24),"",IF($Z24=Constants!$B$7,RANK(AI24,$AI$8:$AI$507),$Z24))</f>
        <v/>
      </c>
      <c r="AK24" s="97" t="str">
        <f aca="false">IF(ISBLANK($C24),"",IF($Z24=Constants!$B$7,IF(ISNUMBER(AG24),COUNTIFS($AA$8:$AA$507,"&lt;"&amp;$AA24)+COUNTIFS($AA$8:$AA$507,$AA24,$AG$8:$AG$507,"&lt;"&amp;$AG24)+COUNTIFS($AA$8:$AA$507,$AA24,$AG$8:$AG$507,$AG24,$AJ$8:$AJ$507,"&lt;"&amp;$AJ24)+1,Constants!$B$14),$Z24))</f>
        <v/>
      </c>
      <c r="AL24" s="97" t="str">
        <f aca="false">IF(ISBLANK($C24),"",IF($Z24=Constants!$B$7,IF(ISNUMBER(AH24),AH24-AK24,Constants!$B$14),$Z24))</f>
        <v/>
      </c>
      <c r="AM24" s="98"/>
      <c r="AN24" s="99" t="str">
        <f aca="false">IF(ISBLANK($C24),"",IF($Z24&lt;&gt;Constants!$B$7,$Z24,AD24))</f>
        <v/>
      </c>
      <c r="AO24" s="100" t="str">
        <f aca="false">IF(ISBLANK($C24),"",IF($Z24&lt;&gt;Constants!$B$7,$Z24,S24))</f>
        <v/>
      </c>
      <c r="AP24" s="101" t="str">
        <f aca="false">IF(ISBLANK($C24),"",IF($Z24&lt;&gt;Constants!$B$7,$Z24,AF24))</f>
        <v/>
      </c>
      <c r="AQ24" s="102" t="str">
        <f aca="false">IF(ISBLANK($C24),"",IF($Z24&lt;&gt;Constants!$B$7,$Z24,AA24))</f>
        <v/>
      </c>
      <c r="AR24" s="100" t="str">
        <f aca="false">IF(ISBLANK($C24),"",AL24)</f>
        <v/>
      </c>
      <c r="AS24" s="100" t="str">
        <f aca="false">IF(ISBLANK($C24),"",AK24)</f>
        <v/>
      </c>
      <c r="AT24" s="103" t="str">
        <f aca="false">IF(ISBLANK($C24),"",IF(AS24=Constants!$B$4,COUNTA($C$8:$C$507)+2,IF(AS24=Constants!$B$5,COUNTA($C$8:$C$507)+1,IF(AS24=Constants!$B$6,COUNTA($C$8:$C$507),AS24))))</f>
        <v/>
      </c>
      <c r="AU24" s="5"/>
      <c r="AV24" s="104" t="n">
        <f aca="false">IF(OR(ISNUMBER(AS24),AS24=Constants!$B$4,AS24=Constants!$B$6,AS24=Constants!$B$5),1,0)</f>
        <v>0</v>
      </c>
      <c r="AW24" s="104" t="n">
        <v>17</v>
      </c>
      <c r="AX24" s="104" t="str">
        <f aca="false">IF(ISBLANK($C24),"",IF(ISNUMBER(AT24),AT24+ROW($B24)/1000,""))</f>
        <v/>
      </c>
      <c r="AY24" s="104" t="str">
        <f aca="false">IF(ISNUMBER(AX24),RANK(AX24,$AX$8:$AX$507,1),"")</f>
        <v/>
      </c>
      <c r="AZ24" s="104" t="str">
        <f aca="false">IF(ISBLANK($C24),"",$B24)</f>
        <v/>
      </c>
      <c r="BA24" s="104" t="str">
        <f aca="false">IF(ISBLANK($C24),"",$C24)</f>
        <v/>
      </c>
      <c r="BB24" s="104" t="str">
        <f aca="false">IF(ISBLANK($C24),"",$D24)</f>
        <v/>
      </c>
      <c r="BC24" s="105" t="str">
        <f aca="false">AQ24</f>
        <v/>
      </c>
      <c r="BD24" s="106" t="str">
        <f aca="false">AP24</f>
        <v/>
      </c>
      <c r="BE24" s="104" t="str">
        <f aca="false">IF(ISBLANK($C24),"",AS24)</f>
        <v/>
      </c>
      <c r="BF24" s="107" t="str">
        <f aca="false">IF($AW24&gt;$AV$7,"",VLOOKUP($AW24,$AY$8:$BE$507,7,FALSE()))</f>
        <v/>
      </c>
      <c r="BG24" s="108" t="str">
        <f aca="false">IF($AW24&gt;$AV$7,"",VLOOKUP($AW24,$AY$8:$BE$507,2,FALSE()))</f>
        <v/>
      </c>
      <c r="BH24" s="108" t="str">
        <f aca="false">IF($AW24&gt;$AV$7,"",VLOOKUP($AW24,$AY$8:$BE$507,3,FALSE()))</f>
        <v/>
      </c>
      <c r="BI24" s="108" t="str">
        <f aca="false">IF($AW24&gt;$AV$7,"",VLOOKUP($AW24,$AY$8:$BE$507,4,FALSE()))</f>
        <v/>
      </c>
      <c r="BJ24" s="108" t="str">
        <f aca="false">IF($AW24&gt;$AV$7,"",VLOOKUP($AW24,$AY$8:$BE$507,5,FALSE()))</f>
        <v/>
      </c>
      <c r="BK24" s="109" t="str">
        <f aca="false">IF($AW24&gt;$AV$7,"",VLOOKUP($AW24,$AY$8:$BE$507,6,FALSE()))</f>
        <v/>
      </c>
      <c r="BL24" s="50"/>
    </row>
    <row r="25" customFormat="false" ht="15.75" hidden="false" customHeight="false" outlineLevel="0" collapsed="false">
      <c r="A25" s="5"/>
      <c r="B25" s="124"/>
      <c r="C25" s="125"/>
      <c r="D25" s="110"/>
      <c r="E25" s="126"/>
      <c r="F25" s="127"/>
      <c r="G25" s="88"/>
      <c r="H25" s="128"/>
      <c r="I25" s="129"/>
      <c r="J25" s="91"/>
      <c r="K25" s="92"/>
      <c r="L25" s="129"/>
      <c r="M25" s="93"/>
      <c r="N25" s="94"/>
      <c r="O25" s="130"/>
      <c r="P25" s="96"/>
      <c r="Q25" s="97" t="str">
        <f aca="false">IF(ISBLANK($C25),"",IF(E25=Constants!$B$2, TRUE(), IF(E25=Constants!$B$3, FALSE(), TRUE())))</f>
        <v/>
      </c>
      <c r="R25" s="97" t="str">
        <f aca="false">IF(ISBLANK($C25),"",IF(F25=Constants!$B$2, TRUE(), IF(F25=Constants!$B$3, FALSE(), TRUE())))</f>
        <v/>
      </c>
      <c r="S25" s="97" t="str">
        <f aca="false">IF(ISBLANK($C25),"",IF(G25=Constants!$B$15,Constants!$B$8,IF(G25=Constants!$B$16,Constants!$B$9,Constants!$B$10)))</f>
        <v/>
      </c>
      <c r="T25" s="97" t="str">
        <f aca="false">IF(ISBLANK($C25),"",IF(H25=Constants!$B$2, TRUE(), IF(H25=Constants!$B$3, FALSE(), TRUE())))</f>
        <v/>
      </c>
      <c r="U25" s="97" t="str">
        <f aca="false">IF(ISBLANK($C25),"",IF(I25=Constants!$B$19,Constants!$B$19,Constants!$B$18))</f>
        <v/>
      </c>
      <c r="V25" s="97" t="str">
        <f aca="false">IF(ISBLANK($C25),"",IF(COUNTA(J25:K25)=0,"",IF(AND(OR(ISBLANK(J25),AND(ISNUMBER(J25),J25&gt;=0)),OR(ISBLANK(K25),AND(ISNUMBER(K25),K25&gt;=0))),60*IF(ISBLANK(J25),0,J25)+IF(ISBLANK(K25),0,K25),"")))</f>
        <v/>
      </c>
      <c r="W25" s="97" t="str">
        <f aca="false">IF(ISBLANK($C25),"",IF(L25=Constants!$B$19,Constants!$B$19,Constants!$B$18))</f>
        <v/>
      </c>
      <c r="X25" s="97" t="str">
        <f aca="false">IF(ISBLANK($C25),"",IF(COUNTA(M25:N25)=0,"",IF(AND(OR(ISBLANK(M25),AND(ISNUMBER(M25),M25&gt;=0)),OR(ISBLANK(N25),AND(ISNUMBER(N25),N25&gt;=0))),60*IF(ISBLANK(M25),0,M25)+IF(ISBLANK(N25),0,N25),"")))</f>
        <v/>
      </c>
      <c r="Y25" s="97" t="str">
        <f aca="false">IF(ISBLANK($C25),"",IF(O25=Constants!$B$2, TRUE(), IF(O25=Constants!$B$3, FALSE(), FALSE())))</f>
        <v/>
      </c>
      <c r="Z25" s="97" t="str">
        <f aca="false">IF(ISBLANK($C25),"",IF(Y25,Constants!$B$4,IF(COUNTA(E25:N25)=0,Constants!$B$5,IF(COUNTA(J25:K25,M25:N25)=0,Constants!$B$6,Constants!$B$7))))</f>
        <v/>
      </c>
      <c r="AA25" s="97" t="str">
        <f aca="false">IF(ISBLANK($C25),"",IF($Z25&lt;&gt;Constants!$B$7,$Z25,IF(OR(NOT(T25),AND(NOT(Q25),COUNTIFS(U25:W25,Constants!$B$18,V25:X25,"&gt;=0")&gt;0),AND(NOT(R25),COUNTIFS(U25:W25,Constants!$B$19,V25:X25,"&gt;=0")&gt;0)),Constants!$B$12,Constants!$B$11)))</f>
        <v/>
      </c>
      <c r="AB25" s="97" t="str">
        <f aca="false">IF($Z25=Constants!$B$7,IF(V25="",Constants!$B$13,V25),"")</f>
        <v/>
      </c>
      <c r="AC25" s="97" t="str">
        <f aca="false">IF($Z25=Constants!$B$7,IF(X25="",Constants!$B$13,X25),"")</f>
        <v/>
      </c>
      <c r="AD25" s="97" t="str">
        <f aca="false">IF($Z25=Constants!$B$7,IF($AB25&gt;=$AC25,1,2),"")</f>
        <v/>
      </c>
      <c r="AE25" s="97" t="str">
        <f aca="false">IF($Z25=Constants!$B$7,LARGE(AB25:AC25,1),"")</f>
        <v/>
      </c>
      <c r="AF25" s="97" t="str">
        <f aca="false">IF(ISBLANK($C25),"",IF($Z25&lt;&gt;Constants!$B$7,$Z25,AE25*S25))</f>
        <v/>
      </c>
      <c r="AG25" s="97" t="str">
        <f aca="false">IF(ISBLANK($C25),"",IF($Z25=Constants!$B$7,IF(ISNUMBER(AF25),RANK(AF25,$AF$8:$AF$507),Constants!$B$14),$Z25))</f>
        <v/>
      </c>
      <c r="AH25" s="97" t="str">
        <f aca="false">IF(ISBLANK($C25),"",IF($Z25=Constants!$B$7,IF(ISNUMBER(AG25),COUNTIFS($AA$8:$AA$507,"&lt;"&amp;$AA25)+COUNTIFS($AA$8:$AA$507,$AA25,$AG$8:$AG$507,"&lt;"&amp;$AG25)+1,Constants!$B$14),$Z25))</f>
        <v/>
      </c>
      <c r="AI25" s="97" t="str">
        <f aca="false">IF(ISBLANK($C25),"",IF($Z25=Constants!$B$7,LARGE(AB25:AC25,2)*S25,""))</f>
        <v/>
      </c>
      <c r="AJ25" s="97" t="str">
        <f aca="false">IF(ISBLANK($C25),"",IF($Z25=Constants!$B$7,RANK(AI25,$AI$8:$AI$507),$Z25))</f>
        <v/>
      </c>
      <c r="AK25" s="97" t="str">
        <f aca="false">IF(ISBLANK($C25),"",IF($Z25=Constants!$B$7,IF(ISNUMBER(AG25),COUNTIFS($AA$8:$AA$507,"&lt;"&amp;$AA25)+COUNTIFS($AA$8:$AA$507,$AA25,$AG$8:$AG$507,"&lt;"&amp;$AG25)+COUNTIFS($AA$8:$AA$507,$AA25,$AG$8:$AG$507,$AG25,$AJ$8:$AJ$507,"&lt;"&amp;$AJ25)+1,Constants!$B$14),$Z25))</f>
        <v/>
      </c>
      <c r="AL25" s="97" t="str">
        <f aca="false">IF(ISBLANK($C25),"",IF($Z25=Constants!$B$7,IF(ISNUMBER(AH25),AH25-AK25,Constants!$B$14),$Z25))</f>
        <v/>
      </c>
      <c r="AM25" s="98"/>
      <c r="AN25" s="99" t="str">
        <f aca="false">IF(ISBLANK($C25),"",IF($Z25&lt;&gt;Constants!$B$7,$Z25,AD25))</f>
        <v/>
      </c>
      <c r="AO25" s="100" t="str">
        <f aca="false">IF(ISBLANK($C25),"",IF($Z25&lt;&gt;Constants!$B$7,$Z25,S25))</f>
        <v/>
      </c>
      <c r="AP25" s="101" t="str">
        <f aca="false">IF(ISBLANK($C25),"",IF($Z25&lt;&gt;Constants!$B$7,$Z25,AF25))</f>
        <v/>
      </c>
      <c r="AQ25" s="102" t="str">
        <f aca="false">IF(ISBLANK($C25),"",IF($Z25&lt;&gt;Constants!$B$7,$Z25,AA25))</f>
        <v/>
      </c>
      <c r="AR25" s="100" t="str">
        <f aca="false">IF(ISBLANK($C25),"",AL25)</f>
        <v/>
      </c>
      <c r="AS25" s="100" t="str">
        <f aca="false">IF(ISBLANK($C25),"",AK25)</f>
        <v/>
      </c>
      <c r="AT25" s="103" t="str">
        <f aca="false">IF(ISBLANK($C25),"",IF(AS25=Constants!$B$4,COUNTA($C$8:$C$507)+2,IF(AS25=Constants!$B$5,COUNTA($C$8:$C$507)+1,IF(AS25=Constants!$B$6,COUNTA($C$8:$C$507),AS25))))</f>
        <v/>
      </c>
      <c r="AU25" s="5"/>
      <c r="AV25" s="104" t="n">
        <f aca="false">IF(OR(ISNUMBER(AS25),AS25=Constants!$B$4,AS25=Constants!$B$6,AS25=Constants!$B$5),1,0)</f>
        <v>0</v>
      </c>
      <c r="AW25" s="104" t="n">
        <v>18</v>
      </c>
      <c r="AX25" s="104" t="str">
        <f aca="false">IF(ISBLANK($C25),"",IF(ISNUMBER(AT25),AT25+ROW($B25)/1000,""))</f>
        <v/>
      </c>
      <c r="AY25" s="104" t="str">
        <f aca="false">IF(ISNUMBER(AX25),RANK(AX25,$AX$8:$AX$507,1),"")</f>
        <v/>
      </c>
      <c r="AZ25" s="104" t="str">
        <f aca="false">IF(ISBLANK($C25),"",$B25)</f>
        <v/>
      </c>
      <c r="BA25" s="104" t="str">
        <f aca="false">IF(ISBLANK($C25),"",$C25)</f>
        <v/>
      </c>
      <c r="BB25" s="104" t="str">
        <f aca="false">IF(ISBLANK($C25),"",$D25)</f>
        <v/>
      </c>
      <c r="BC25" s="105" t="str">
        <f aca="false">AQ25</f>
        <v/>
      </c>
      <c r="BD25" s="106" t="str">
        <f aca="false">AP25</f>
        <v/>
      </c>
      <c r="BE25" s="104" t="str">
        <f aca="false">IF(ISBLANK($C25),"",AS25)</f>
        <v/>
      </c>
      <c r="BF25" s="107" t="str">
        <f aca="false">IF($AW25&gt;$AV$7,"",VLOOKUP($AW25,$AY$8:$BE$507,7,FALSE()))</f>
        <v/>
      </c>
      <c r="BG25" s="108" t="str">
        <f aca="false">IF($AW25&gt;$AV$7,"",VLOOKUP($AW25,$AY$8:$BE$507,2,FALSE()))</f>
        <v/>
      </c>
      <c r="BH25" s="108" t="str">
        <f aca="false">IF($AW25&gt;$AV$7,"",VLOOKUP($AW25,$AY$8:$BE$507,3,FALSE()))</f>
        <v/>
      </c>
      <c r="BI25" s="108" t="str">
        <f aca="false">IF($AW25&gt;$AV$7,"",VLOOKUP($AW25,$AY$8:$BE$507,4,FALSE()))</f>
        <v/>
      </c>
      <c r="BJ25" s="108" t="str">
        <f aca="false">IF($AW25&gt;$AV$7,"",VLOOKUP($AW25,$AY$8:$BE$507,5,FALSE()))</f>
        <v/>
      </c>
      <c r="BK25" s="109" t="str">
        <f aca="false">IF($AW25&gt;$AV$7,"",VLOOKUP($AW25,$AY$8:$BE$507,6,FALSE()))</f>
        <v/>
      </c>
      <c r="BL25" s="50"/>
    </row>
    <row r="26" customFormat="false" ht="15.75" hidden="false" customHeight="false" outlineLevel="0" collapsed="false">
      <c r="A26" s="5"/>
      <c r="B26" s="131"/>
      <c r="C26" s="52"/>
      <c r="D26" s="53"/>
      <c r="E26" s="120"/>
      <c r="F26" s="121"/>
      <c r="G26" s="56"/>
      <c r="H26" s="122"/>
      <c r="I26" s="123"/>
      <c r="J26" s="59"/>
      <c r="K26" s="60"/>
      <c r="L26" s="123"/>
      <c r="M26" s="61"/>
      <c r="N26" s="62"/>
      <c r="O26" s="80"/>
      <c r="P26" s="64"/>
      <c r="Q26" s="65" t="str">
        <f aca="false">IF(ISBLANK($C26),"",IF(E26=Constants!$B$2, TRUE(), IF(E26=Constants!$B$3, FALSE(), TRUE())))</f>
        <v/>
      </c>
      <c r="R26" s="65" t="str">
        <f aca="false">IF(ISBLANK($C26),"",IF(F26=Constants!$B$2, TRUE(), IF(F26=Constants!$B$3, FALSE(), TRUE())))</f>
        <v/>
      </c>
      <c r="S26" s="65" t="str">
        <f aca="false">IF(ISBLANK($C26),"",IF(G26=Constants!$B$15,Constants!$B$8,IF(G26=Constants!$B$16,Constants!$B$9,Constants!$B$10)))</f>
        <v/>
      </c>
      <c r="T26" s="65" t="str">
        <f aca="false">IF(ISBLANK($C26),"",IF(H26=Constants!$B$2, TRUE(), IF(H26=Constants!$B$3, FALSE(), TRUE())))</f>
        <v/>
      </c>
      <c r="U26" s="65" t="str">
        <f aca="false">IF(ISBLANK($C26),"",IF(I26=Constants!$B$19,Constants!$B$19,Constants!$B$18))</f>
        <v/>
      </c>
      <c r="V26" s="65" t="str">
        <f aca="false">IF(ISBLANK($C26),"",IF(COUNTA(J26:K26)=0,"",IF(AND(OR(ISBLANK(J26),AND(ISNUMBER(J26),J26&gt;=0)),OR(ISBLANK(K26),AND(ISNUMBER(K26),K26&gt;=0))),60*IF(ISBLANK(J26),0,J26)+IF(ISBLANK(K26),0,K26),"")))</f>
        <v/>
      </c>
      <c r="W26" s="65" t="str">
        <f aca="false">IF(ISBLANK($C26),"",IF(L26=Constants!$B$19,Constants!$B$19,Constants!$B$18))</f>
        <v/>
      </c>
      <c r="X26" s="65" t="str">
        <f aca="false">IF(ISBLANK($C26),"",IF(COUNTA(M26:N26)=0,"",IF(AND(OR(ISBLANK(M26),AND(ISNUMBER(M26),M26&gt;=0)),OR(ISBLANK(N26),AND(ISNUMBER(N26),N26&gt;=0))),60*IF(ISBLANK(M26),0,M26)+IF(ISBLANK(N26),0,N26),"")))</f>
        <v/>
      </c>
      <c r="Y26" s="65" t="str">
        <f aca="false">IF(ISBLANK($C26),"",IF(O26=Constants!$B$2, TRUE(), IF(O26=Constants!$B$3, FALSE(), FALSE())))</f>
        <v/>
      </c>
      <c r="Z26" s="65" t="str">
        <f aca="false">IF(ISBLANK($C26),"",IF(Y26,Constants!$B$4,IF(COUNTA(E26:N26)=0,Constants!$B$5,IF(COUNTA(J26:K26,M26:N26)=0,Constants!$B$6,Constants!$B$7))))</f>
        <v/>
      </c>
      <c r="AA26" s="65" t="str">
        <f aca="false">IF(ISBLANK($C26),"",IF($Z26&lt;&gt;Constants!$B$7,$Z26,IF(OR(NOT(T26),AND(NOT(Q26),COUNTIFS(U26:W26,Constants!$B$18,V26:X26,"&gt;=0")&gt;0),AND(NOT(R26),COUNTIFS(U26:W26,Constants!$B$19,V26:X26,"&gt;=0")&gt;0)),Constants!$B$12,Constants!$B$11)))</f>
        <v/>
      </c>
      <c r="AB26" s="65" t="str">
        <f aca="false">IF($Z26=Constants!$B$7,IF(V26="",Constants!$B$13,V26),"")</f>
        <v/>
      </c>
      <c r="AC26" s="65" t="str">
        <f aca="false">IF($Z26=Constants!$B$7,IF(X26="",Constants!$B$13,X26),"")</f>
        <v/>
      </c>
      <c r="AD26" s="65" t="str">
        <f aca="false">IF($Z26=Constants!$B$7,IF($AB26&gt;=$AC26,1,2),"")</f>
        <v/>
      </c>
      <c r="AE26" s="65" t="str">
        <f aca="false">IF($Z26=Constants!$B$7,LARGE(AB26:AC26,1),"")</f>
        <v/>
      </c>
      <c r="AF26" s="65" t="str">
        <f aca="false">IF(ISBLANK($C26),"",IF($Z26&lt;&gt;Constants!$B$7,$Z26,AE26*S26))</f>
        <v/>
      </c>
      <c r="AG26" s="65" t="str">
        <f aca="false">IF(ISBLANK($C26),"",IF($Z26=Constants!$B$7,IF(ISNUMBER(AF26),RANK(AF26,$AF$8:$AF$507),Constants!$B$14),$Z26))</f>
        <v/>
      </c>
      <c r="AH26" s="65" t="str">
        <f aca="false">IF(ISBLANK($C26),"",IF($Z26=Constants!$B$7,IF(ISNUMBER(AG26),COUNTIFS($AA$8:$AA$507,"&lt;"&amp;$AA26)+COUNTIFS($AA$8:$AA$507,$AA26,$AG$8:$AG$507,"&lt;"&amp;$AG26)+1,Constants!$B$14),$Z26))</f>
        <v/>
      </c>
      <c r="AI26" s="65" t="str">
        <f aca="false">IF(ISBLANK($C26),"",IF($Z26=Constants!$B$7,LARGE(AB26:AC26,2)*S26,""))</f>
        <v/>
      </c>
      <c r="AJ26" s="65" t="str">
        <f aca="false">IF(ISBLANK($C26),"",IF($Z26=Constants!$B$7,RANK(AI26,$AI$8:$AI$507),$Z26))</f>
        <v/>
      </c>
      <c r="AK26" s="65" t="str">
        <f aca="false">IF(ISBLANK($C26),"",IF($Z26=Constants!$B$7,IF(ISNUMBER(AG26),COUNTIFS($AA$8:$AA$507,"&lt;"&amp;$AA26)+COUNTIFS($AA$8:$AA$507,$AA26,$AG$8:$AG$507,"&lt;"&amp;$AG26)+COUNTIFS($AA$8:$AA$507,$AA26,$AG$8:$AG$507,$AG26,$AJ$8:$AJ$507,"&lt;"&amp;$AJ26)+1,Constants!$B$14),$Z26))</f>
        <v/>
      </c>
      <c r="AL26" s="65" t="str">
        <f aca="false">IF(ISBLANK($C26),"",IF($Z26=Constants!$B$7,IF(ISNUMBER(AH26),AH26-AK26,Constants!$B$14),$Z26))</f>
        <v/>
      </c>
      <c r="AM26" s="67"/>
      <c r="AN26" s="68" t="str">
        <f aca="false">IF(ISBLANK($C26),"",IF($Z26&lt;&gt;Constants!$B$7,$Z26,AD26))</f>
        <v/>
      </c>
      <c r="AO26" s="69" t="str">
        <f aca="false">IF(ISBLANK($C26),"",IF($Z26&lt;&gt;Constants!$B$7,$Z26,S26))</f>
        <v/>
      </c>
      <c r="AP26" s="70" t="str">
        <f aca="false">IF(ISBLANK($C26),"",IF($Z26&lt;&gt;Constants!$B$7,$Z26,AF26))</f>
        <v/>
      </c>
      <c r="AQ26" s="71" t="str">
        <f aca="false">IF(ISBLANK($C26),"",IF($Z26&lt;&gt;Constants!$B$7,$Z26,AA26))</f>
        <v/>
      </c>
      <c r="AR26" s="69" t="str">
        <f aca="false">IF(ISBLANK($C26),"",AL26)</f>
        <v/>
      </c>
      <c r="AS26" s="69" t="str">
        <f aca="false">IF(ISBLANK($C26),"",AK26)</f>
        <v/>
      </c>
      <c r="AT26" s="72" t="str">
        <f aca="false">IF(ISBLANK($C26),"",IF(AS26=Constants!$B$4,COUNTA($C$8:$C$507)+2,IF(AS26=Constants!$B$5,COUNTA($C$8:$C$507)+1,IF(AS26=Constants!$B$6,COUNTA($C$8:$C$507),AS26))))</f>
        <v/>
      </c>
      <c r="AU26" s="5"/>
      <c r="AV26" s="73" t="n">
        <f aca="false">IF(OR(ISNUMBER(AS26),AS26=Constants!$B$4,AS26=Constants!$B$6,AS26=Constants!$B$5),1,0)</f>
        <v>0</v>
      </c>
      <c r="AW26" s="73" t="n">
        <v>19</v>
      </c>
      <c r="AX26" s="73" t="str">
        <f aca="false">IF(ISBLANK($C26),"",IF(ISNUMBER(AT26),AT26+ROW($B26)/1000,""))</f>
        <v/>
      </c>
      <c r="AY26" s="73" t="str">
        <f aca="false">IF(ISNUMBER(AX26),RANK(AX26,$AX$8:$AX$507,1),"")</f>
        <v/>
      </c>
      <c r="AZ26" s="73" t="str">
        <f aca="false">IF(ISBLANK($C26),"",$B26)</f>
        <v/>
      </c>
      <c r="BA26" s="73" t="str">
        <f aca="false">IF(ISBLANK($C26),"",$C26)</f>
        <v/>
      </c>
      <c r="BB26" s="73" t="str">
        <f aca="false">IF(ISBLANK($C26),"",$D26)</f>
        <v/>
      </c>
      <c r="BC26" s="74" t="str">
        <f aca="false">AQ26</f>
        <v/>
      </c>
      <c r="BD26" s="75" t="str">
        <f aca="false">AP26</f>
        <v/>
      </c>
      <c r="BE26" s="73" t="str">
        <f aca="false">IF(ISBLANK($C26),"",AS26)</f>
        <v/>
      </c>
      <c r="BF26" s="76" t="str">
        <f aca="false">IF($AW26&gt;$AV$7,"",VLOOKUP($AW26,$AY$8:$BE$507,7,FALSE()))</f>
        <v/>
      </c>
      <c r="BG26" s="77" t="str">
        <f aca="false">IF($AW26&gt;$AV$7,"",VLOOKUP($AW26,$AY$8:$BE$507,2,FALSE()))</f>
        <v/>
      </c>
      <c r="BH26" s="77" t="str">
        <f aca="false">IF($AW26&gt;$AV$7,"",VLOOKUP($AW26,$AY$8:$BE$507,3,FALSE()))</f>
        <v/>
      </c>
      <c r="BI26" s="77" t="str">
        <f aca="false">IF($AW26&gt;$AV$7,"",VLOOKUP($AW26,$AY$8:$BE$507,4,FALSE()))</f>
        <v/>
      </c>
      <c r="BJ26" s="77" t="str">
        <f aca="false">IF($AW26&gt;$AV$7,"",VLOOKUP($AW26,$AY$8:$BE$507,5,FALSE()))</f>
        <v/>
      </c>
      <c r="BK26" s="78" t="str">
        <f aca="false">IF($AW26&gt;$AV$7,"",VLOOKUP($AW26,$AY$8:$BE$507,6,FALSE()))</f>
        <v/>
      </c>
      <c r="BL26" s="50"/>
    </row>
    <row r="27" customFormat="false" ht="15.75" hidden="false" customHeight="false" outlineLevel="0" collapsed="false">
      <c r="A27" s="5"/>
      <c r="B27" s="131"/>
      <c r="C27" s="52"/>
      <c r="D27" s="53"/>
      <c r="E27" s="120"/>
      <c r="F27" s="121"/>
      <c r="G27" s="56"/>
      <c r="H27" s="122"/>
      <c r="I27" s="123"/>
      <c r="J27" s="59"/>
      <c r="K27" s="60"/>
      <c r="L27" s="123"/>
      <c r="M27" s="61"/>
      <c r="N27" s="62"/>
      <c r="O27" s="80"/>
      <c r="P27" s="64"/>
      <c r="Q27" s="65" t="str">
        <f aca="false">IF(ISBLANK($C27),"",IF(E27=Constants!$B$2, TRUE(), IF(E27=Constants!$B$3, FALSE(), TRUE())))</f>
        <v/>
      </c>
      <c r="R27" s="65" t="str">
        <f aca="false">IF(ISBLANK($C27),"",IF(F27=Constants!$B$2, TRUE(), IF(F27=Constants!$B$3, FALSE(), TRUE())))</f>
        <v/>
      </c>
      <c r="S27" s="65" t="str">
        <f aca="false">IF(ISBLANK($C27),"",IF(G27=Constants!$B$15,Constants!$B$8,IF(G27=Constants!$B$16,Constants!$B$9,Constants!$B$10)))</f>
        <v/>
      </c>
      <c r="T27" s="65" t="str">
        <f aca="false">IF(ISBLANK($C27),"",IF(H27=Constants!$B$2, TRUE(), IF(H27=Constants!$B$3, FALSE(), TRUE())))</f>
        <v/>
      </c>
      <c r="U27" s="65" t="str">
        <f aca="false">IF(ISBLANK($C27),"",IF(I27=Constants!$B$19,Constants!$B$19,Constants!$B$18))</f>
        <v/>
      </c>
      <c r="V27" s="65" t="str">
        <f aca="false">IF(ISBLANK($C27),"",IF(COUNTA(J27:K27)=0,"",IF(AND(OR(ISBLANK(J27),AND(ISNUMBER(J27),J27&gt;=0)),OR(ISBLANK(K27),AND(ISNUMBER(K27),K27&gt;=0))),60*IF(ISBLANK(J27),0,J27)+IF(ISBLANK(K27),0,K27),"")))</f>
        <v/>
      </c>
      <c r="W27" s="65" t="str">
        <f aca="false">IF(ISBLANK($C27),"",IF(L27=Constants!$B$19,Constants!$B$19,Constants!$B$18))</f>
        <v/>
      </c>
      <c r="X27" s="65" t="str">
        <f aca="false">IF(ISBLANK($C27),"",IF(COUNTA(M27:N27)=0,"",IF(AND(OR(ISBLANK(M27),AND(ISNUMBER(M27),M27&gt;=0)),OR(ISBLANK(N27),AND(ISNUMBER(N27),N27&gt;=0))),60*IF(ISBLANK(M27),0,M27)+IF(ISBLANK(N27),0,N27),"")))</f>
        <v/>
      </c>
      <c r="Y27" s="65" t="str">
        <f aca="false">IF(ISBLANK($C27),"",IF(O27=Constants!$B$2, TRUE(), IF(O27=Constants!$B$3, FALSE(), FALSE())))</f>
        <v/>
      </c>
      <c r="Z27" s="65" t="str">
        <f aca="false">IF(ISBLANK($C27),"",IF(Y27,Constants!$B$4,IF(COUNTA(E27:N27)=0,Constants!$B$5,IF(COUNTA(J27:K27,M27:N27)=0,Constants!$B$6,Constants!$B$7))))</f>
        <v/>
      </c>
      <c r="AA27" s="65" t="str">
        <f aca="false">IF(ISBLANK($C27),"",IF($Z27&lt;&gt;Constants!$B$7,$Z27,IF(OR(NOT(T27),AND(NOT(Q27),COUNTIFS(U27:W27,Constants!$B$18,V27:X27,"&gt;=0")&gt;0),AND(NOT(R27),COUNTIFS(U27:W27,Constants!$B$19,V27:X27,"&gt;=0")&gt;0)),Constants!$B$12,Constants!$B$11)))</f>
        <v/>
      </c>
      <c r="AB27" s="65" t="str">
        <f aca="false">IF($Z27=Constants!$B$7,IF(V27="",Constants!$B$13,V27),"")</f>
        <v/>
      </c>
      <c r="AC27" s="65" t="str">
        <f aca="false">IF($Z27=Constants!$B$7,IF(X27="",Constants!$B$13,X27),"")</f>
        <v/>
      </c>
      <c r="AD27" s="65" t="str">
        <f aca="false">IF($Z27=Constants!$B$7,IF($AB27&gt;=$AC27,1,2),"")</f>
        <v/>
      </c>
      <c r="AE27" s="65" t="str">
        <f aca="false">IF($Z27=Constants!$B$7,LARGE(AB27:AC27,1),"")</f>
        <v/>
      </c>
      <c r="AF27" s="65" t="str">
        <f aca="false">IF(ISBLANK($C27),"",IF($Z27&lt;&gt;Constants!$B$7,$Z27,AE27*S27))</f>
        <v/>
      </c>
      <c r="AG27" s="65" t="str">
        <f aca="false">IF(ISBLANK($C27),"",IF($Z27=Constants!$B$7,IF(ISNUMBER(AF27),RANK(AF27,$AF$8:$AF$507),Constants!$B$14),$Z27))</f>
        <v/>
      </c>
      <c r="AH27" s="65" t="str">
        <f aca="false">IF(ISBLANK($C27),"",IF($Z27=Constants!$B$7,IF(ISNUMBER(AG27),COUNTIFS($AA$8:$AA$507,"&lt;"&amp;$AA27)+COUNTIFS($AA$8:$AA$507,$AA27,$AG$8:$AG$507,"&lt;"&amp;$AG27)+1,Constants!$B$14),$Z27))</f>
        <v/>
      </c>
      <c r="AI27" s="65" t="str">
        <f aca="false">IF(ISBLANK($C27),"",IF($Z27=Constants!$B$7,LARGE(AB27:AC27,2)*S27,""))</f>
        <v/>
      </c>
      <c r="AJ27" s="65" t="str">
        <f aca="false">IF(ISBLANK($C27),"",IF($Z27=Constants!$B$7,RANK(AI27,$AI$8:$AI$507),$Z27))</f>
        <v/>
      </c>
      <c r="AK27" s="65" t="str">
        <f aca="false">IF(ISBLANK($C27),"",IF($Z27=Constants!$B$7,IF(ISNUMBER(AG27),COUNTIFS($AA$8:$AA$507,"&lt;"&amp;$AA27)+COUNTIFS($AA$8:$AA$507,$AA27,$AG$8:$AG$507,"&lt;"&amp;$AG27)+COUNTIFS($AA$8:$AA$507,$AA27,$AG$8:$AG$507,$AG27,$AJ$8:$AJ$507,"&lt;"&amp;$AJ27)+1,Constants!$B$14),$Z27))</f>
        <v/>
      </c>
      <c r="AL27" s="65" t="str">
        <f aca="false">IF(ISBLANK($C27),"",IF($Z27=Constants!$B$7,IF(ISNUMBER(AH27),AH27-AK27,Constants!$B$14),$Z27))</f>
        <v/>
      </c>
      <c r="AM27" s="67"/>
      <c r="AN27" s="68" t="str">
        <f aca="false">IF(ISBLANK($C27),"",IF($Z27&lt;&gt;Constants!$B$7,$Z27,AD27))</f>
        <v/>
      </c>
      <c r="AO27" s="69" t="str">
        <f aca="false">IF(ISBLANK($C27),"",IF($Z27&lt;&gt;Constants!$B$7,$Z27,S27))</f>
        <v/>
      </c>
      <c r="AP27" s="70" t="str">
        <f aca="false">IF(ISBLANK($C27),"",IF($Z27&lt;&gt;Constants!$B$7,$Z27,AF27))</f>
        <v/>
      </c>
      <c r="AQ27" s="71" t="str">
        <f aca="false">IF(ISBLANK($C27),"",IF($Z27&lt;&gt;Constants!$B$7,$Z27,AA27))</f>
        <v/>
      </c>
      <c r="AR27" s="69" t="str">
        <f aca="false">IF(ISBLANK($C27),"",AL27)</f>
        <v/>
      </c>
      <c r="AS27" s="69" t="str">
        <f aca="false">IF(ISBLANK($C27),"",AK27)</f>
        <v/>
      </c>
      <c r="AT27" s="72" t="str">
        <f aca="false">IF(ISBLANK($C27),"",IF(AS27=Constants!$B$4,COUNTA($C$8:$C$507)+2,IF(AS27=Constants!$B$5,COUNTA($C$8:$C$507)+1,IF(AS27=Constants!$B$6,COUNTA($C$8:$C$507),AS27))))</f>
        <v/>
      </c>
      <c r="AU27" s="5"/>
      <c r="AV27" s="73" t="n">
        <f aca="false">IF(OR(ISNUMBER(AS27),AS27=Constants!$B$4,AS27=Constants!$B$6,AS27=Constants!$B$5),1,0)</f>
        <v>0</v>
      </c>
      <c r="AW27" s="73" t="n">
        <v>20</v>
      </c>
      <c r="AX27" s="73" t="str">
        <f aca="false">IF(ISBLANK($C27),"",IF(ISNUMBER(AT27),AT27+ROW($B27)/1000,""))</f>
        <v/>
      </c>
      <c r="AY27" s="73" t="str">
        <f aca="false">IF(ISNUMBER(AX27),RANK(AX27,$AX$8:$AX$507,1),"")</f>
        <v/>
      </c>
      <c r="AZ27" s="73" t="str">
        <f aca="false">IF(ISBLANK($C27),"",$B27)</f>
        <v/>
      </c>
      <c r="BA27" s="73" t="str">
        <f aca="false">IF(ISBLANK($C27),"",$C27)</f>
        <v/>
      </c>
      <c r="BB27" s="73" t="str">
        <f aca="false">IF(ISBLANK($C27),"",$D27)</f>
        <v/>
      </c>
      <c r="BC27" s="74" t="str">
        <f aca="false">AQ27</f>
        <v/>
      </c>
      <c r="BD27" s="75" t="str">
        <f aca="false">AP27</f>
        <v/>
      </c>
      <c r="BE27" s="73" t="str">
        <f aca="false">IF(ISBLANK($C27),"",AS27)</f>
        <v/>
      </c>
      <c r="BF27" s="76" t="str">
        <f aca="false">IF($AW27&gt;$AV$7,"",VLOOKUP($AW27,$AY$8:$BE$507,7,FALSE()))</f>
        <v/>
      </c>
      <c r="BG27" s="77" t="str">
        <f aca="false">IF($AW27&gt;$AV$7,"",VLOOKUP($AW27,$AY$8:$BE$507,2,FALSE()))</f>
        <v/>
      </c>
      <c r="BH27" s="77" t="str">
        <f aca="false">IF($AW27&gt;$AV$7,"",VLOOKUP($AW27,$AY$8:$BE$507,3,FALSE()))</f>
        <v/>
      </c>
      <c r="BI27" s="77" t="str">
        <f aca="false">IF($AW27&gt;$AV$7,"",VLOOKUP($AW27,$AY$8:$BE$507,4,FALSE()))</f>
        <v/>
      </c>
      <c r="BJ27" s="77" t="str">
        <f aca="false">IF($AW27&gt;$AV$7,"",VLOOKUP($AW27,$AY$8:$BE$507,5,FALSE()))</f>
        <v/>
      </c>
      <c r="BK27" s="78" t="str">
        <f aca="false">IF($AW27&gt;$AV$7,"",VLOOKUP($AW27,$AY$8:$BE$507,6,FALSE()))</f>
        <v/>
      </c>
      <c r="BL27" s="50"/>
    </row>
    <row r="28" customFormat="false" ht="15.75" hidden="false" customHeight="false" outlineLevel="0" collapsed="false">
      <c r="A28" s="5"/>
      <c r="B28" s="131"/>
      <c r="C28" s="52"/>
      <c r="D28" s="53"/>
      <c r="E28" s="120"/>
      <c r="F28" s="121"/>
      <c r="G28" s="56"/>
      <c r="H28" s="122"/>
      <c r="I28" s="123"/>
      <c r="J28" s="59"/>
      <c r="K28" s="60"/>
      <c r="L28" s="123"/>
      <c r="M28" s="61"/>
      <c r="N28" s="62"/>
      <c r="O28" s="80"/>
      <c r="P28" s="64"/>
      <c r="Q28" s="65" t="str">
        <f aca="false">IF(ISBLANK($C28),"",IF(E28=Constants!$B$2, TRUE(), IF(E28=Constants!$B$3, FALSE(), TRUE())))</f>
        <v/>
      </c>
      <c r="R28" s="65" t="str">
        <f aca="false">IF(ISBLANK($C28),"",IF(F28=Constants!$B$2, TRUE(), IF(F28=Constants!$B$3, FALSE(), TRUE())))</f>
        <v/>
      </c>
      <c r="S28" s="65" t="str">
        <f aca="false">IF(ISBLANK($C28),"",IF(G28=Constants!$B$15,Constants!$B$8,IF(G28=Constants!$B$16,Constants!$B$9,Constants!$B$10)))</f>
        <v/>
      </c>
      <c r="T28" s="65" t="str">
        <f aca="false">IF(ISBLANK($C28),"",IF(H28=Constants!$B$2, TRUE(), IF(H28=Constants!$B$3, FALSE(), TRUE())))</f>
        <v/>
      </c>
      <c r="U28" s="65" t="str">
        <f aca="false">IF(ISBLANK($C28),"",IF(I28=Constants!$B$19,Constants!$B$19,Constants!$B$18))</f>
        <v/>
      </c>
      <c r="V28" s="65" t="str">
        <f aca="false">IF(ISBLANK($C28),"",IF(COUNTA(J28:K28)=0,"",IF(AND(OR(ISBLANK(J28),AND(ISNUMBER(J28),J28&gt;=0)),OR(ISBLANK(K28),AND(ISNUMBER(K28),K28&gt;=0))),60*IF(ISBLANK(J28),0,J28)+IF(ISBLANK(K28),0,K28),"")))</f>
        <v/>
      </c>
      <c r="W28" s="65" t="str">
        <f aca="false">IF(ISBLANK($C28),"",IF(L28=Constants!$B$19,Constants!$B$19,Constants!$B$18))</f>
        <v/>
      </c>
      <c r="X28" s="65" t="str">
        <f aca="false">IF(ISBLANK($C28),"",IF(COUNTA(M28:N28)=0,"",IF(AND(OR(ISBLANK(M28),AND(ISNUMBER(M28),M28&gt;=0)),OR(ISBLANK(N28),AND(ISNUMBER(N28),N28&gt;=0))),60*IF(ISBLANK(M28),0,M28)+IF(ISBLANK(N28),0,N28),"")))</f>
        <v/>
      </c>
      <c r="Y28" s="65" t="str">
        <f aca="false">IF(ISBLANK($C28),"",IF(O28=Constants!$B$2, TRUE(), IF(O28=Constants!$B$3, FALSE(), FALSE())))</f>
        <v/>
      </c>
      <c r="Z28" s="65" t="str">
        <f aca="false">IF(ISBLANK($C28),"",IF(Y28,Constants!$B$4,IF(COUNTA(E28:N28)=0,Constants!$B$5,IF(COUNTA(J28:K28,M28:N28)=0,Constants!$B$6,Constants!$B$7))))</f>
        <v/>
      </c>
      <c r="AA28" s="65" t="str">
        <f aca="false">IF(ISBLANK($C28),"",IF($Z28&lt;&gt;Constants!$B$7,$Z28,IF(OR(NOT(T28),AND(NOT(Q28),COUNTIFS(U28:W28,Constants!$B$18,V28:X28,"&gt;=0")&gt;0),AND(NOT(R28),COUNTIFS(U28:W28,Constants!$B$19,V28:X28,"&gt;=0")&gt;0)),Constants!$B$12,Constants!$B$11)))</f>
        <v/>
      </c>
      <c r="AB28" s="65" t="str">
        <f aca="false">IF($Z28=Constants!$B$7,IF(V28="",Constants!$B$13,V28),"")</f>
        <v/>
      </c>
      <c r="AC28" s="65" t="str">
        <f aca="false">IF($Z28=Constants!$B$7,IF(X28="",Constants!$B$13,X28),"")</f>
        <v/>
      </c>
      <c r="AD28" s="65" t="str">
        <f aca="false">IF($Z28=Constants!$B$7,IF($AB28&gt;=$AC28,1,2),"")</f>
        <v/>
      </c>
      <c r="AE28" s="65" t="str">
        <f aca="false">IF($Z28=Constants!$B$7,LARGE(AB28:AC28,1),"")</f>
        <v/>
      </c>
      <c r="AF28" s="65" t="str">
        <f aca="false">IF(ISBLANK($C28),"",IF($Z28&lt;&gt;Constants!$B$7,$Z28,AE28*S28))</f>
        <v/>
      </c>
      <c r="AG28" s="65" t="str">
        <f aca="false">IF(ISBLANK($C28),"",IF($Z28=Constants!$B$7,IF(ISNUMBER(AF28),RANK(AF28,$AF$8:$AF$507),Constants!$B$14),$Z28))</f>
        <v/>
      </c>
      <c r="AH28" s="65" t="str">
        <f aca="false">IF(ISBLANK($C28),"",IF($Z28=Constants!$B$7,IF(ISNUMBER(AG28),COUNTIFS($AA$8:$AA$507,"&lt;"&amp;$AA28)+COUNTIFS($AA$8:$AA$507,$AA28,$AG$8:$AG$507,"&lt;"&amp;$AG28)+1,Constants!$B$14),$Z28))</f>
        <v/>
      </c>
      <c r="AI28" s="65" t="str">
        <f aca="false">IF(ISBLANK($C28),"",IF($Z28=Constants!$B$7,LARGE(AB28:AC28,2)*S28,""))</f>
        <v/>
      </c>
      <c r="AJ28" s="65" t="str">
        <f aca="false">IF(ISBLANK($C28),"",IF($Z28=Constants!$B$7,RANK(AI28,$AI$8:$AI$507),$Z28))</f>
        <v/>
      </c>
      <c r="AK28" s="65" t="str">
        <f aca="false">IF(ISBLANK($C28),"",IF($Z28=Constants!$B$7,IF(ISNUMBER(AG28),COUNTIFS($AA$8:$AA$507,"&lt;"&amp;$AA28)+COUNTIFS($AA$8:$AA$507,$AA28,$AG$8:$AG$507,"&lt;"&amp;$AG28)+COUNTIFS($AA$8:$AA$507,$AA28,$AG$8:$AG$507,$AG28,$AJ$8:$AJ$507,"&lt;"&amp;$AJ28)+1,Constants!$B$14),$Z28))</f>
        <v/>
      </c>
      <c r="AL28" s="65" t="str">
        <f aca="false">IF(ISBLANK($C28),"",IF($Z28=Constants!$B$7,IF(ISNUMBER(AH28),AH28-AK28,Constants!$B$14),$Z28))</f>
        <v/>
      </c>
      <c r="AM28" s="67"/>
      <c r="AN28" s="68" t="str">
        <f aca="false">IF(ISBLANK($C28),"",IF($Z28&lt;&gt;Constants!$B$7,$Z28,AD28))</f>
        <v/>
      </c>
      <c r="AO28" s="69" t="str">
        <f aca="false">IF(ISBLANK($C28),"",IF($Z28&lt;&gt;Constants!$B$7,$Z28,S28))</f>
        <v/>
      </c>
      <c r="AP28" s="70" t="str">
        <f aca="false">IF(ISBLANK($C28),"",IF($Z28&lt;&gt;Constants!$B$7,$Z28,AF28))</f>
        <v/>
      </c>
      <c r="AQ28" s="71" t="str">
        <f aca="false">IF(ISBLANK($C28),"",IF($Z28&lt;&gt;Constants!$B$7,$Z28,AA28))</f>
        <v/>
      </c>
      <c r="AR28" s="69" t="str">
        <f aca="false">IF(ISBLANK($C28),"",AL28)</f>
        <v/>
      </c>
      <c r="AS28" s="69" t="str">
        <f aca="false">IF(ISBLANK($C28),"",AK28)</f>
        <v/>
      </c>
      <c r="AT28" s="72" t="str">
        <f aca="false">IF(ISBLANK($C28),"",IF(AS28=Constants!$B$4,COUNTA($C$8:$C$507)+2,IF(AS28=Constants!$B$5,COUNTA($C$8:$C$507)+1,IF(AS28=Constants!$B$6,COUNTA($C$8:$C$507),AS28))))</f>
        <v/>
      </c>
      <c r="AU28" s="5"/>
      <c r="AV28" s="73" t="n">
        <f aca="false">IF(OR(ISNUMBER(AS28),AS28=Constants!$B$4,AS28=Constants!$B$6,AS28=Constants!$B$5),1,0)</f>
        <v>0</v>
      </c>
      <c r="AW28" s="73" t="n">
        <v>21</v>
      </c>
      <c r="AX28" s="73" t="str">
        <f aca="false">IF(ISBLANK($C28),"",IF(ISNUMBER(AT28),AT28+ROW($B28)/1000,""))</f>
        <v/>
      </c>
      <c r="AY28" s="73" t="str">
        <f aca="false">IF(ISNUMBER(AX28),RANK(AX28,$AX$8:$AX$507,1),"")</f>
        <v/>
      </c>
      <c r="AZ28" s="73" t="str">
        <f aca="false">IF(ISBLANK($C28),"",$B28)</f>
        <v/>
      </c>
      <c r="BA28" s="73" t="str">
        <f aca="false">IF(ISBLANK($C28),"",$C28)</f>
        <v/>
      </c>
      <c r="BB28" s="73" t="str">
        <f aca="false">IF(ISBLANK($C28),"",$D28)</f>
        <v/>
      </c>
      <c r="BC28" s="74" t="str">
        <f aca="false">AQ28</f>
        <v/>
      </c>
      <c r="BD28" s="75" t="str">
        <f aca="false">AP28</f>
        <v/>
      </c>
      <c r="BE28" s="73" t="str">
        <f aca="false">IF(ISBLANK($C28),"",AS28)</f>
        <v/>
      </c>
      <c r="BF28" s="76" t="str">
        <f aca="false">IF($AW28&gt;$AV$7,"",VLOOKUP($AW28,$AY$8:$BE$507,7,FALSE()))</f>
        <v/>
      </c>
      <c r="BG28" s="77" t="str">
        <f aca="false">IF($AW28&gt;$AV$7,"",VLOOKUP($AW28,$AY$8:$BE$507,2,FALSE()))</f>
        <v/>
      </c>
      <c r="BH28" s="77" t="str">
        <f aca="false">IF($AW28&gt;$AV$7,"",VLOOKUP($AW28,$AY$8:$BE$507,3,FALSE()))</f>
        <v/>
      </c>
      <c r="BI28" s="77" t="str">
        <f aca="false">IF($AW28&gt;$AV$7,"",VLOOKUP($AW28,$AY$8:$BE$507,4,FALSE()))</f>
        <v/>
      </c>
      <c r="BJ28" s="77" t="str">
        <f aca="false">IF($AW28&gt;$AV$7,"",VLOOKUP($AW28,$AY$8:$BE$507,5,FALSE()))</f>
        <v/>
      </c>
      <c r="BK28" s="78" t="str">
        <f aca="false">IF($AW28&gt;$AV$7,"",VLOOKUP($AW28,$AY$8:$BE$507,6,FALSE()))</f>
        <v/>
      </c>
      <c r="BL28" s="50"/>
    </row>
    <row r="29" customFormat="false" ht="15.75" hidden="false" customHeight="false" outlineLevel="0" collapsed="false">
      <c r="A29" s="5"/>
      <c r="B29" s="124"/>
      <c r="C29" s="125"/>
      <c r="D29" s="110"/>
      <c r="E29" s="126"/>
      <c r="F29" s="127"/>
      <c r="G29" s="88"/>
      <c r="H29" s="128"/>
      <c r="I29" s="129"/>
      <c r="J29" s="91"/>
      <c r="K29" s="92"/>
      <c r="L29" s="129"/>
      <c r="M29" s="93"/>
      <c r="N29" s="94"/>
      <c r="O29" s="130"/>
      <c r="P29" s="96"/>
      <c r="Q29" s="97" t="str">
        <f aca="false">IF(ISBLANK($C29),"",IF(E29=Constants!$B$2, TRUE(), IF(E29=Constants!$B$3, FALSE(), TRUE())))</f>
        <v/>
      </c>
      <c r="R29" s="97" t="str">
        <f aca="false">IF(ISBLANK($C29),"",IF(F29=Constants!$B$2, TRUE(), IF(F29=Constants!$B$3, FALSE(), TRUE())))</f>
        <v/>
      </c>
      <c r="S29" s="97" t="str">
        <f aca="false">IF(ISBLANK($C29),"",IF(G29=Constants!$B$15,Constants!$B$8,IF(G29=Constants!$B$16,Constants!$B$9,Constants!$B$10)))</f>
        <v/>
      </c>
      <c r="T29" s="97" t="str">
        <f aca="false">IF(ISBLANK($C29),"",IF(H29=Constants!$B$2, TRUE(), IF(H29=Constants!$B$3, FALSE(), TRUE())))</f>
        <v/>
      </c>
      <c r="U29" s="97" t="str">
        <f aca="false">IF(ISBLANK($C29),"",IF(I29=Constants!$B$19,Constants!$B$19,Constants!$B$18))</f>
        <v/>
      </c>
      <c r="V29" s="97" t="str">
        <f aca="false">IF(ISBLANK($C29),"",IF(COUNTA(J29:K29)=0,"",IF(AND(OR(ISBLANK(J29),AND(ISNUMBER(J29),J29&gt;=0)),OR(ISBLANK(K29),AND(ISNUMBER(K29),K29&gt;=0))),60*IF(ISBLANK(J29),0,J29)+IF(ISBLANK(K29),0,K29),"")))</f>
        <v/>
      </c>
      <c r="W29" s="97" t="str">
        <f aca="false">IF(ISBLANK($C29),"",IF(L29=Constants!$B$19,Constants!$B$19,Constants!$B$18))</f>
        <v/>
      </c>
      <c r="X29" s="97" t="str">
        <f aca="false">IF(ISBLANK($C29),"",IF(COUNTA(M29:N29)=0,"",IF(AND(OR(ISBLANK(M29),AND(ISNUMBER(M29),M29&gt;=0)),OR(ISBLANK(N29),AND(ISNUMBER(N29),N29&gt;=0))),60*IF(ISBLANK(M29),0,M29)+IF(ISBLANK(N29),0,N29),"")))</f>
        <v/>
      </c>
      <c r="Y29" s="97" t="str">
        <f aca="false">IF(ISBLANK($C29),"",IF(O29=Constants!$B$2, TRUE(), IF(O29=Constants!$B$3, FALSE(), FALSE())))</f>
        <v/>
      </c>
      <c r="Z29" s="97" t="str">
        <f aca="false">IF(ISBLANK($C29),"",IF(Y29,Constants!$B$4,IF(COUNTA(E29:N29)=0,Constants!$B$5,IF(COUNTA(J29:K29,M29:N29)=0,Constants!$B$6,Constants!$B$7))))</f>
        <v/>
      </c>
      <c r="AA29" s="97" t="str">
        <f aca="false">IF(ISBLANK($C29),"",IF($Z29&lt;&gt;Constants!$B$7,$Z29,IF(OR(NOT(T29),AND(NOT(Q29),COUNTIFS(U29:W29,Constants!$B$18,V29:X29,"&gt;=0")&gt;0),AND(NOT(R29),COUNTIFS(U29:W29,Constants!$B$19,V29:X29,"&gt;=0")&gt;0)),Constants!$B$12,Constants!$B$11)))</f>
        <v/>
      </c>
      <c r="AB29" s="97" t="str">
        <f aca="false">IF($Z29=Constants!$B$7,IF(V29="",Constants!$B$13,V29),"")</f>
        <v/>
      </c>
      <c r="AC29" s="97" t="str">
        <f aca="false">IF($Z29=Constants!$B$7,IF(X29="",Constants!$B$13,X29),"")</f>
        <v/>
      </c>
      <c r="AD29" s="97" t="str">
        <f aca="false">IF($Z29=Constants!$B$7,IF($AB29&gt;=$AC29,1,2),"")</f>
        <v/>
      </c>
      <c r="AE29" s="97" t="str">
        <f aca="false">IF($Z29=Constants!$B$7,LARGE(AB29:AC29,1),"")</f>
        <v/>
      </c>
      <c r="AF29" s="97" t="str">
        <f aca="false">IF(ISBLANK($C29),"",IF($Z29&lt;&gt;Constants!$B$7,$Z29,AE29*S29))</f>
        <v/>
      </c>
      <c r="AG29" s="97" t="str">
        <f aca="false">IF(ISBLANK($C29),"",IF($Z29=Constants!$B$7,IF(ISNUMBER(AF29),RANK(AF29,$AF$8:$AF$507),Constants!$B$14),$Z29))</f>
        <v/>
      </c>
      <c r="AH29" s="97" t="str">
        <f aca="false">IF(ISBLANK($C29),"",IF($Z29=Constants!$B$7,IF(ISNUMBER(AG29),COUNTIFS($AA$8:$AA$507,"&lt;"&amp;$AA29)+COUNTIFS($AA$8:$AA$507,$AA29,$AG$8:$AG$507,"&lt;"&amp;$AG29)+1,Constants!$B$14),$Z29))</f>
        <v/>
      </c>
      <c r="AI29" s="97" t="str">
        <f aca="false">IF(ISBLANK($C29),"",IF($Z29=Constants!$B$7,LARGE(AB29:AC29,2)*S29,""))</f>
        <v/>
      </c>
      <c r="AJ29" s="97" t="str">
        <f aca="false">IF(ISBLANK($C29),"",IF($Z29=Constants!$B$7,RANK(AI29,$AI$8:$AI$507),$Z29))</f>
        <v/>
      </c>
      <c r="AK29" s="97" t="str">
        <f aca="false">IF(ISBLANK($C29),"",IF($Z29=Constants!$B$7,IF(ISNUMBER(AG29),COUNTIFS($AA$8:$AA$507,"&lt;"&amp;$AA29)+COUNTIFS($AA$8:$AA$507,$AA29,$AG$8:$AG$507,"&lt;"&amp;$AG29)+COUNTIFS($AA$8:$AA$507,$AA29,$AG$8:$AG$507,$AG29,$AJ$8:$AJ$507,"&lt;"&amp;$AJ29)+1,Constants!$B$14),$Z29))</f>
        <v/>
      </c>
      <c r="AL29" s="97" t="str">
        <f aca="false">IF(ISBLANK($C29),"",IF($Z29=Constants!$B$7,IF(ISNUMBER(AH29),AH29-AK29,Constants!$B$14),$Z29))</f>
        <v/>
      </c>
      <c r="AM29" s="98"/>
      <c r="AN29" s="99" t="str">
        <f aca="false">IF(ISBLANK($C29),"",IF($Z29&lt;&gt;Constants!$B$7,$Z29,AD29))</f>
        <v/>
      </c>
      <c r="AO29" s="100" t="str">
        <f aca="false">IF(ISBLANK($C29),"",IF($Z29&lt;&gt;Constants!$B$7,$Z29,S29))</f>
        <v/>
      </c>
      <c r="AP29" s="101" t="str">
        <f aca="false">IF(ISBLANK($C29),"",IF($Z29&lt;&gt;Constants!$B$7,$Z29,AF29))</f>
        <v/>
      </c>
      <c r="AQ29" s="102" t="str">
        <f aca="false">IF(ISBLANK($C29),"",IF($Z29&lt;&gt;Constants!$B$7,$Z29,AA29))</f>
        <v/>
      </c>
      <c r="AR29" s="100" t="str">
        <f aca="false">IF(ISBLANK($C29),"",AL29)</f>
        <v/>
      </c>
      <c r="AS29" s="100" t="str">
        <f aca="false">IF(ISBLANK($C29),"",AK29)</f>
        <v/>
      </c>
      <c r="AT29" s="103" t="str">
        <f aca="false">IF(ISBLANK($C29),"",IF(AS29=Constants!$B$4,COUNTA($C$8:$C$507)+2,IF(AS29=Constants!$B$5,COUNTA($C$8:$C$507)+1,IF(AS29=Constants!$B$6,COUNTA($C$8:$C$507),AS29))))</f>
        <v/>
      </c>
      <c r="AU29" s="5"/>
      <c r="AV29" s="104" t="n">
        <f aca="false">IF(OR(ISNUMBER(AS29),AS29=Constants!$B$4,AS29=Constants!$B$6,AS29=Constants!$B$5),1,0)</f>
        <v>0</v>
      </c>
      <c r="AW29" s="104" t="n">
        <v>22</v>
      </c>
      <c r="AX29" s="104" t="str">
        <f aca="false">IF(ISBLANK($C29),"",IF(ISNUMBER(AT29),AT29+ROW($B29)/1000,""))</f>
        <v/>
      </c>
      <c r="AY29" s="104" t="str">
        <f aca="false">IF(ISNUMBER(AX29),RANK(AX29,$AX$8:$AX$507,1),"")</f>
        <v/>
      </c>
      <c r="AZ29" s="104" t="str">
        <f aca="false">IF(ISBLANK($C29),"",$B29)</f>
        <v/>
      </c>
      <c r="BA29" s="104" t="str">
        <f aca="false">IF(ISBLANK($C29),"",$C29)</f>
        <v/>
      </c>
      <c r="BB29" s="104" t="str">
        <f aca="false">IF(ISBLANK($C29),"",$D29)</f>
        <v/>
      </c>
      <c r="BC29" s="105" t="str">
        <f aca="false">AQ29</f>
        <v/>
      </c>
      <c r="BD29" s="106" t="str">
        <f aca="false">AP29</f>
        <v/>
      </c>
      <c r="BE29" s="104" t="str">
        <f aca="false">IF(ISBLANK($C29),"",AS29)</f>
        <v/>
      </c>
      <c r="BF29" s="107" t="str">
        <f aca="false">IF($AW29&gt;$AV$7,"",VLOOKUP($AW29,$AY$8:$BE$507,7,FALSE()))</f>
        <v/>
      </c>
      <c r="BG29" s="108" t="str">
        <f aca="false">IF($AW29&gt;$AV$7,"",VLOOKUP($AW29,$AY$8:$BE$507,2,FALSE()))</f>
        <v/>
      </c>
      <c r="BH29" s="108" t="str">
        <f aca="false">IF($AW29&gt;$AV$7,"",VLOOKUP($AW29,$AY$8:$BE$507,3,FALSE()))</f>
        <v/>
      </c>
      <c r="BI29" s="108" t="str">
        <f aca="false">IF($AW29&gt;$AV$7,"",VLOOKUP($AW29,$AY$8:$BE$507,4,FALSE()))</f>
        <v/>
      </c>
      <c r="BJ29" s="108" t="str">
        <f aca="false">IF($AW29&gt;$AV$7,"",VLOOKUP($AW29,$AY$8:$BE$507,5,FALSE()))</f>
        <v/>
      </c>
      <c r="BK29" s="109" t="str">
        <f aca="false">IF($AW29&gt;$AV$7,"",VLOOKUP($AW29,$AY$8:$BE$507,6,FALSE()))</f>
        <v/>
      </c>
      <c r="BL29" s="50"/>
    </row>
    <row r="30" customFormat="false" ht="15.75" hidden="false" customHeight="false" outlineLevel="0" collapsed="false">
      <c r="A30" s="5"/>
      <c r="B30" s="124"/>
      <c r="C30" s="125"/>
      <c r="D30" s="110"/>
      <c r="E30" s="126"/>
      <c r="F30" s="127"/>
      <c r="G30" s="88"/>
      <c r="H30" s="128"/>
      <c r="I30" s="129"/>
      <c r="J30" s="91"/>
      <c r="K30" s="92"/>
      <c r="L30" s="129"/>
      <c r="M30" s="93"/>
      <c r="N30" s="94"/>
      <c r="O30" s="130"/>
      <c r="P30" s="96"/>
      <c r="Q30" s="97" t="str">
        <f aca="false">IF(ISBLANK($C30),"",IF(E30=Constants!$B$2, TRUE(), IF(E30=Constants!$B$3, FALSE(), TRUE())))</f>
        <v/>
      </c>
      <c r="R30" s="97" t="str">
        <f aca="false">IF(ISBLANK($C30),"",IF(F30=Constants!$B$2, TRUE(), IF(F30=Constants!$B$3, FALSE(), TRUE())))</f>
        <v/>
      </c>
      <c r="S30" s="97" t="str">
        <f aca="false">IF(ISBLANK($C30),"",IF(G30=Constants!$B$15,Constants!$B$8,IF(G30=Constants!$B$16,Constants!$B$9,Constants!$B$10)))</f>
        <v/>
      </c>
      <c r="T30" s="97" t="str">
        <f aca="false">IF(ISBLANK($C30),"",IF(H30=Constants!$B$2, TRUE(), IF(H30=Constants!$B$3, FALSE(), TRUE())))</f>
        <v/>
      </c>
      <c r="U30" s="97" t="str">
        <f aca="false">IF(ISBLANK($C30),"",IF(I30=Constants!$B$19,Constants!$B$19,Constants!$B$18))</f>
        <v/>
      </c>
      <c r="V30" s="97" t="str">
        <f aca="false">IF(ISBLANK($C30),"",IF(COUNTA(J30:K30)=0,"",IF(AND(OR(ISBLANK(J30),AND(ISNUMBER(J30),J30&gt;=0)),OR(ISBLANK(K30),AND(ISNUMBER(K30),K30&gt;=0))),60*IF(ISBLANK(J30),0,J30)+IF(ISBLANK(K30),0,K30),"")))</f>
        <v/>
      </c>
      <c r="W30" s="97" t="str">
        <f aca="false">IF(ISBLANK($C30),"",IF(L30=Constants!$B$19,Constants!$B$19,Constants!$B$18))</f>
        <v/>
      </c>
      <c r="X30" s="97" t="str">
        <f aca="false">IF(ISBLANK($C30),"",IF(COUNTA(M30:N30)=0,"",IF(AND(OR(ISBLANK(M30),AND(ISNUMBER(M30),M30&gt;=0)),OR(ISBLANK(N30),AND(ISNUMBER(N30),N30&gt;=0))),60*IF(ISBLANK(M30),0,M30)+IF(ISBLANK(N30),0,N30),"")))</f>
        <v/>
      </c>
      <c r="Y30" s="97" t="str">
        <f aca="false">IF(ISBLANK($C30),"",IF(O30=Constants!$B$2, TRUE(), IF(O30=Constants!$B$3, FALSE(), FALSE())))</f>
        <v/>
      </c>
      <c r="Z30" s="97" t="str">
        <f aca="false">IF(ISBLANK($C30),"",IF(Y30,Constants!$B$4,IF(COUNTA(E30:N30)=0,Constants!$B$5,IF(COUNTA(J30:K30,M30:N30)=0,Constants!$B$6,Constants!$B$7))))</f>
        <v/>
      </c>
      <c r="AA30" s="97" t="str">
        <f aca="false">IF(ISBLANK($C30),"",IF($Z30&lt;&gt;Constants!$B$7,$Z30,IF(OR(NOT(T30),AND(NOT(Q30),COUNTIFS(U30:W30,Constants!$B$18,V30:X30,"&gt;=0")&gt;0),AND(NOT(R30),COUNTIFS(U30:W30,Constants!$B$19,V30:X30,"&gt;=0")&gt;0)),Constants!$B$12,Constants!$B$11)))</f>
        <v/>
      </c>
      <c r="AB30" s="97" t="str">
        <f aca="false">IF($Z30=Constants!$B$7,IF(V30="",Constants!$B$13,V30),"")</f>
        <v/>
      </c>
      <c r="AC30" s="97" t="str">
        <f aca="false">IF($Z30=Constants!$B$7,IF(X30="",Constants!$B$13,X30),"")</f>
        <v/>
      </c>
      <c r="AD30" s="97" t="str">
        <f aca="false">IF($Z30=Constants!$B$7,IF($AB30&gt;=$AC30,1,2),"")</f>
        <v/>
      </c>
      <c r="AE30" s="97" t="str">
        <f aca="false">IF($Z30=Constants!$B$7,LARGE(AB30:AC30,1),"")</f>
        <v/>
      </c>
      <c r="AF30" s="97" t="str">
        <f aca="false">IF(ISBLANK($C30),"",IF($Z30&lt;&gt;Constants!$B$7,$Z30,AE30*S30))</f>
        <v/>
      </c>
      <c r="AG30" s="97" t="str">
        <f aca="false">IF(ISBLANK($C30),"",IF($Z30=Constants!$B$7,IF(ISNUMBER(AF30),RANK(AF30,$AF$8:$AF$507),Constants!$B$14),$Z30))</f>
        <v/>
      </c>
      <c r="AH30" s="97" t="str">
        <f aca="false">IF(ISBLANK($C30),"",IF($Z30=Constants!$B$7,IF(ISNUMBER(AG30),COUNTIFS($AA$8:$AA$507,"&lt;"&amp;$AA30)+COUNTIFS($AA$8:$AA$507,$AA30,$AG$8:$AG$507,"&lt;"&amp;$AG30)+1,Constants!$B$14),$Z30))</f>
        <v/>
      </c>
      <c r="AI30" s="97" t="str">
        <f aca="false">IF(ISBLANK($C30),"",IF($Z30=Constants!$B$7,LARGE(AB30:AC30,2)*S30,""))</f>
        <v/>
      </c>
      <c r="AJ30" s="97" t="str">
        <f aca="false">IF(ISBLANK($C30),"",IF($Z30=Constants!$B$7,RANK(AI30,$AI$8:$AI$507),$Z30))</f>
        <v/>
      </c>
      <c r="AK30" s="97" t="str">
        <f aca="false">IF(ISBLANK($C30),"",IF($Z30=Constants!$B$7,IF(ISNUMBER(AG30),COUNTIFS($AA$8:$AA$507,"&lt;"&amp;$AA30)+COUNTIFS($AA$8:$AA$507,$AA30,$AG$8:$AG$507,"&lt;"&amp;$AG30)+COUNTIFS($AA$8:$AA$507,$AA30,$AG$8:$AG$507,$AG30,$AJ$8:$AJ$507,"&lt;"&amp;$AJ30)+1,Constants!$B$14),$Z30))</f>
        <v/>
      </c>
      <c r="AL30" s="97" t="str">
        <f aca="false">IF(ISBLANK($C30),"",IF($Z30=Constants!$B$7,IF(ISNUMBER(AH30),AH30-AK30,Constants!$B$14),$Z30))</f>
        <v/>
      </c>
      <c r="AM30" s="98"/>
      <c r="AN30" s="99" t="str">
        <f aca="false">IF(ISBLANK($C30),"",IF($Z30&lt;&gt;Constants!$B$7,$Z30,AD30))</f>
        <v/>
      </c>
      <c r="AO30" s="100" t="str">
        <f aca="false">IF(ISBLANK($C30),"",IF($Z30&lt;&gt;Constants!$B$7,$Z30,S30))</f>
        <v/>
      </c>
      <c r="AP30" s="101" t="str">
        <f aca="false">IF(ISBLANK($C30),"",IF($Z30&lt;&gt;Constants!$B$7,$Z30,AF30))</f>
        <v/>
      </c>
      <c r="AQ30" s="102" t="str">
        <f aca="false">IF(ISBLANK($C30),"",IF($Z30&lt;&gt;Constants!$B$7,$Z30,AA30))</f>
        <v/>
      </c>
      <c r="AR30" s="100" t="str">
        <f aca="false">IF(ISBLANK($C30),"",AL30)</f>
        <v/>
      </c>
      <c r="AS30" s="100" t="str">
        <f aca="false">IF(ISBLANK($C30),"",AK30)</f>
        <v/>
      </c>
      <c r="AT30" s="103" t="str">
        <f aca="false">IF(ISBLANK($C30),"",IF(AS30=Constants!$B$4,COUNTA($C$8:$C$507)+2,IF(AS30=Constants!$B$5,COUNTA($C$8:$C$507)+1,IF(AS30=Constants!$B$6,COUNTA($C$8:$C$507),AS30))))</f>
        <v/>
      </c>
      <c r="AU30" s="5"/>
      <c r="AV30" s="104" t="n">
        <f aca="false">IF(OR(ISNUMBER(AS30),AS30=Constants!$B$4,AS30=Constants!$B$6,AS30=Constants!$B$5),1,0)</f>
        <v>0</v>
      </c>
      <c r="AW30" s="104" t="n">
        <v>23</v>
      </c>
      <c r="AX30" s="104" t="str">
        <f aca="false">IF(ISBLANK($C30),"",IF(ISNUMBER(AT30),AT30+ROW($B30)/1000,""))</f>
        <v/>
      </c>
      <c r="AY30" s="104" t="str">
        <f aca="false">IF(ISNUMBER(AX30),RANK(AX30,$AX$8:$AX$507,1),"")</f>
        <v/>
      </c>
      <c r="AZ30" s="104" t="str">
        <f aca="false">IF(ISBLANK($C30),"",$B30)</f>
        <v/>
      </c>
      <c r="BA30" s="104" t="str">
        <f aca="false">IF(ISBLANK($C30),"",$C30)</f>
        <v/>
      </c>
      <c r="BB30" s="104" t="str">
        <f aca="false">IF(ISBLANK($C30),"",$D30)</f>
        <v/>
      </c>
      <c r="BC30" s="105" t="str">
        <f aca="false">AQ30</f>
        <v/>
      </c>
      <c r="BD30" s="106" t="str">
        <f aca="false">AP30</f>
        <v/>
      </c>
      <c r="BE30" s="104" t="str">
        <f aca="false">IF(ISBLANK($C30),"",AS30)</f>
        <v/>
      </c>
      <c r="BF30" s="107" t="str">
        <f aca="false">IF($AW30&gt;$AV$7,"",VLOOKUP($AW30,$AY$8:$BE$507,7,FALSE()))</f>
        <v/>
      </c>
      <c r="BG30" s="108" t="str">
        <f aca="false">IF($AW30&gt;$AV$7,"",VLOOKUP($AW30,$AY$8:$BE$507,2,FALSE()))</f>
        <v/>
      </c>
      <c r="BH30" s="108" t="str">
        <f aca="false">IF($AW30&gt;$AV$7,"",VLOOKUP($AW30,$AY$8:$BE$507,3,FALSE()))</f>
        <v/>
      </c>
      <c r="BI30" s="108" t="str">
        <f aca="false">IF($AW30&gt;$AV$7,"",VLOOKUP($AW30,$AY$8:$BE$507,4,FALSE()))</f>
        <v/>
      </c>
      <c r="BJ30" s="108" t="str">
        <f aca="false">IF($AW30&gt;$AV$7,"",VLOOKUP($AW30,$AY$8:$BE$507,5,FALSE()))</f>
        <v/>
      </c>
      <c r="BK30" s="109" t="str">
        <f aca="false">IF($AW30&gt;$AV$7,"",VLOOKUP($AW30,$AY$8:$BE$507,6,FALSE()))</f>
        <v/>
      </c>
      <c r="BL30" s="50"/>
    </row>
    <row r="31" customFormat="false" ht="15.75" hidden="false" customHeight="false" outlineLevel="0" collapsed="false">
      <c r="A31" s="5"/>
      <c r="B31" s="124"/>
      <c r="C31" s="125"/>
      <c r="D31" s="110"/>
      <c r="E31" s="126"/>
      <c r="F31" s="127"/>
      <c r="G31" s="88"/>
      <c r="H31" s="128"/>
      <c r="I31" s="129"/>
      <c r="J31" s="91"/>
      <c r="K31" s="92"/>
      <c r="L31" s="129"/>
      <c r="M31" s="93"/>
      <c r="N31" s="94"/>
      <c r="O31" s="130"/>
      <c r="P31" s="96"/>
      <c r="Q31" s="97" t="str">
        <f aca="false">IF(ISBLANK($C31),"",IF(E31=Constants!$B$2, TRUE(), IF(E31=Constants!$B$3, FALSE(), TRUE())))</f>
        <v/>
      </c>
      <c r="R31" s="97" t="str">
        <f aca="false">IF(ISBLANK($C31),"",IF(F31=Constants!$B$2, TRUE(), IF(F31=Constants!$B$3, FALSE(), TRUE())))</f>
        <v/>
      </c>
      <c r="S31" s="97" t="str">
        <f aca="false">IF(ISBLANK($C31),"",IF(G31=Constants!$B$15,Constants!$B$8,IF(G31=Constants!$B$16,Constants!$B$9,Constants!$B$10)))</f>
        <v/>
      </c>
      <c r="T31" s="97" t="str">
        <f aca="false">IF(ISBLANK($C31),"",IF(H31=Constants!$B$2, TRUE(), IF(H31=Constants!$B$3, FALSE(), TRUE())))</f>
        <v/>
      </c>
      <c r="U31" s="97" t="str">
        <f aca="false">IF(ISBLANK($C31),"",IF(I31=Constants!$B$19,Constants!$B$19,Constants!$B$18))</f>
        <v/>
      </c>
      <c r="V31" s="97" t="str">
        <f aca="false">IF(ISBLANK($C31),"",IF(COUNTA(J31:K31)=0,"",IF(AND(OR(ISBLANK(J31),AND(ISNUMBER(J31),J31&gt;=0)),OR(ISBLANK(K31),AND(ISNUMBER(K31),K31&gt;=0))),60*IF(ISBLANK(J31),0,J31)+IF(ISBLANK(K31),0,K31),"")))</f>
        <v/>
      </c>
      <c r="W31" s="97" t="str">
        <f aca="false">IF(ISBLANK($C31),"",IF(L31=Constants!$B$19,Constants!$B$19,Constants!$B$18))</f>
        <v/>
      </c>
      <c r="X31" s="97" t="str">
        <f aca="false">IF(ISBLANK($C31),"",IF(COUNTA(M31:N31)=0,"",IF(AND(OR(ISBLANK(M31),AND(ISNUMBER(M31),M31&gt;=0)),OR(ISBLANK(N31),AND(ISNUMBER(N31),N31&gt;=0))),60*IF(ISBLANK(M31),0,M31)+IF(ISBLANK(N31),0,N31),"")))</f>
        <v/>
      </c>
      <c r="Y31" s="97" t="str">
        <f aca="false">IF(ISBLANK($C31),"",IF(O31=Constants!$B$2, TRUE(), IF(O31=Constants!$B$3, FALSE(), FALSE())))</f>
        <v/>
      </c>
      <c r="Z31" s="97" t="str">
        <f aca="false">IF(ISBLANK($C31),"",IF(Y31,Constants!$B$4,IF(COUNTA(E31:N31)=0,Constants!$B$5,IF(COUNTA(J31:K31,M31:N31)=0,Constants!$B$6,Constants!$B$7))))</f>
        <v/>
      </c>
      <c r="AA31" s="97" t="str">
        <f aca="false">IF(ISBLANK($C31),"",IF($Z31&lt;&gt;Constants!$B$7,$Z31,IF(OR(NOT(T31),AND(NOT(Q31),COUNTIFS(U31:W31,Constants!$B$18,V31:X31,"&gt;=0")&gt;0),AND(NOT(R31),COUNTIFS(U31:W31,Constants!$B$19,V31:X31,"&gt;=0")&gt;0)),Constants!$B$12,Constants!$B$11)))</f>
        <v/>
      </c>
      <c r="AB31" s="97" t="str">
        <f aca="false">IF($Z31=Constants!$B$7,IF(V31="",Constants!$B$13,V31),"")</f>
        <v/>
      </c>
      <c r="AC31" s="97" t="str">
        <f aca="false">IF($Z31=Constants!$B$7,IF(X31="",Constants!$B$13,X31),"")</f>
        <v/>
      </c>
      <c r="AD31" s="97" t="str">
        <f aca="false">IF($Z31=Constants!$B$7,IF($AB31&gt;=$AC31,1,2),"")</f>
        <v/>
      </c>
      <c r="AE31" s="97" t="str">
        <f aca="false">IF($Z31=Constants!$B$7,LARGE(AB31:AC31,1),"")</f>
        <v/>
      </c>
      <c r="AF31" s="97" t="str">
        <f aca="false">IF(ISBLANK($C31),"",IF($Z31&lt;&gt;Constants!$B$7,$Z31,AE31*S31))</f>
        <v/>
      </c>
      <c r="AG31" s="97" t="str">
        <f aca="false">IF(ISBLANK($C31),"",IF($Z31=Constants!$B$7,IF(ISNUMBER(AF31),RANK(AF31,$AF$8:$AF$507),Constants!$B$14),$Z31))</f>
        <v/>
      </c>
      <c r="AH31" s="97" t="str">
        <f aca="false">IF(ISBLANK($C31),"",IF($Z31=Constants!$B$7,IF(ISNUMBER(AG31),COUNTIFS($AA$8:$AA$507,"&lt;"&amp;$AA31)+COUNTIFS($AA$8:$AA$507,$AA31,$AG$8:$AG$507,"&lt;"&amp;$AG31)+1,Constants!$B$14),$Z31))</f>
        <v/>
      </c>
      <c r="AI31" s="97" t="str">
        <f aca="false">IF(ISBLANK($C31),"",IF($Z31=Constants!$B$7,LARGE(AB31:AC31,2)*S31,""))</f>
        <v/>
      </c>
      <c r="AJ31" s="97" t="str">
        <f aca="false">IF(ISBLANK($C31),"",IF($Z31=Constants!$B$7,RANK(AI31,$AI$8:$AI$507),$Z31))</f>
        <v/>
      </c>
      <c r="AK31" s="97" t="str">
        <f aca="false">IF(ISBLANK($C31),"",IF($Z31=Constants!$B$7,IF(ISNUMBER(AG31),COUNTIFS($AA$8:$AA$507,"&lt;"&amp;$AA31)+COUNTIFS($AA$8:$AA$507,$AA31,$AG$8:$AG$507,"&lt;"&amp;$AG31)+COUNTIFS($AA$8:$AA$507,$AA31,$AG$8:$AG$507,$AG31,$AJ$8:$AJ$507,"&lt;"&amp;$AJ31)+1,Constants!$B$14),$Z31))</f>
        <v/>
      </c>
      <c r="AL31" s="97" t="str">
        <f aca="false">IF(ISBLANK($C31),"",IF($Z31=Constants!$B$7,IF(ISNUMBER(AH31),AH31-AK31,Constants!$B$14),$Z31))</f>
        <v/>
      </c>
      <c r="AM31" s="98"/>
      <c r="AN31" s="99" t="str">
        <f aca="false">IF(ISBLANK($C31),"",IF($Z31&lt;&gt;Constants!$B$7,$Z31,AD31))</f>
        <v/>
      </c>
      <c r="AO31" s="100" t="str">
        <f aca="false">IF(ISBLANK($C31),"",IF($Z31&lt;&gt;Constants!$B$7,$Z31,S31))</f>
        <v/>
      </c>
      <c r="AP31" s="101" t="str">
        <f aca="false">IF(ISBLANK($C31),"",IF($Z31&lt;&gt;Constants!$B$7,$Z31,AF31))</f>
        <v/>
      </c>
      <c r="AQ31" s="102" t="str">
        <f aca="false">IF(ISBLANK($C31),"",IF($Z31&lt;&gt;Constants!$B$7,$Z31,AA31))</f>
        <v/>
      </c>
      <c r="AR31" s="100" t="str">
        <f aca="false">IF(ISBLANK($C31),"",AL31)</f>
        <v/>
      </c>
      <c r="AS31" s="100" t="str">
        <f aca="false">IF(ISBLANK($C31),"",AK31)</f>
        <v/>
      </c>
      <c r="AT31" s="103" t="str">
        <f aca="false">IF(ISBLANK($C31),"",IF(AS31=Constants!$B$4,COUNTA($C$8:$C$507)+2,IF(AS31=Constants!$B$5,COUNTA($C$8:$C$507)+1,IF(AS31=Constants!$B$6,COUNTA($C$8:$C$507),AS31))))</f>
        <v/>
      </c>
      <c r="AU31" s="5"/>
      <c r="AV31" s="104" t="n">
        <f aca="false">IF(OR(ISNUMBER(AS31),AS31=Constants!$B$4,AS31=Constants!$B$6,AS31=Constants!$B$5),1,0)</f>
        <v>0</v>
      </c>
      <c r="AW31" s="104" t="n">
        <v>24</v>
      </c>
      <c r="AX31" s="104" t="str">
        <f aca="false">IF(ISBLANK($C31),"",IF(ISNUMBER(AT31),AT31+ROW($B31)/1000,""))</f>
        <v/>
      </c>
      <c r="AY31" s="104" t="str">
        <f aca="false">IF(ISNUMBER(AX31),RANK(AX31,$AX$8:$AX$507,1),"")</f>
        <v/>
      </c>
      <c r="AZ31" s="104" t="str">
        <f aca="false">IF(ISBLANK($C31),"",$B31)</f>
        <v/>
      </c>
      <c r="BA31" s="104" t="str">
        <f aca="false">IF(ISBLANK($C31),"",$C31)</f>
        <v/>
      </c>
      <c r="BB31" s="104" t="str">
        <f aca="false">IF(ISBLANK($C31),"",$D31)</f>
        <v/>
      </c>
      <c r="BC31" s="105" t="str">
        <f aca="false">AQ31</f>
        <v/>
      </c>
      <c r="BD31" s="106" t="str">
        <f aca="false">AP31</f>
        <v/>
      </c>
      <c r="BE31" s="104" t="str">
        <f aca="false">IF(ISBLANK($C31),"",AS31)</f>
        <v/>
      </c>
      <c r="BF31" s="107" t="str">
        <f aca="false">IF($AW31&gt;$AV$7,"",VLOOKUP($AW31,$AY$8:$BE$507,7,FALSE()))</f>
        <v/>
      </c>
      <c r="BG31" s="108" t="str">
        <f aca="false">IF($AW31&gt;$AV$7,"",VLOOKUP($AW31,$AY$8:$BE$507,2,FALSE()))</f>
        <v/>
      </c>
      <c r="BH31" s="108" t="str">
        <f aca="false">IF($AW31&gt;$AV$7,"",VLOOKUP($AW31,$AY$8:$BE$507,3,FALSE()))</f>
        <v/>
      </c>
      <c r="BI31" s="108" t="str">
        <f aca="false">IF($AW31&gt;$AV$7,"",VLOOKUP($AW31,$AY$8:$BE$507,4,FALSE()))</f>
        <v/>
      </c>
      <c r="BJ31" s="108" t="str">
        <f aca="false">IF($AW31&gt;$AV$7,"",VLOOKUP($AW31,$AY$8:$BE$507,5,FALSE()))</f>
        <v/>
      </c>
      <c r="BK31" s="109" t="str">
        <f aca="false">IF($AW31&gt;$AV$7,"",VLOOKUP($AW31,$AY$8:$BE$507,6,FALSE()))</f>
        <v/>
      </c>
      <c r="BL31" s="50"/>
    </row>
    <row r="32" customFormat="false" ht="15.75" hidden="false" customHeight="false" outlineLevel="0" collapsed="false">
      <c r="A32" s="5"/>
      <c r="B32" s="131"/>
      <c r="C32" s="52"/>
      <c r="D32" s="53"/>
      <c r="E32" s="120"/>
      <c r="F32" s="121"/>
      <c r="G32" s="56"/>
      <c r="H32" s="122"/>
      <c r="I32" s="123"/>
      <c r="J32" s="59"/>
      <c r="K32" s="60"/>
      <c r="L32" s="123"/>
      <c r="M32" s="61"/>
      <c r="N32" s="62"/>
      <c r="O32" s="80"/>
      <c r="P32" s="64"/>
      <c r="Q32" s="65" t="str">
        <f aca="false">IF(ISBLANK($C32),"",IF(E32=Constants!$B$2, TRUE(), IF(E32=Constants!$B$3, FALSE(), TRUE())))</f>
        <v/>
      </c>
      <c r="R32" s="65" t="str">
        <f aca="false">IF(ISBLANK($C32),"",IF(F32=Constants!$B$2, TRUE(), IF(F32=Constants!$B$3, FALSE(), TRUE())))</f>
        <v/>
      </c>
      <c r="S32" s="65" t="str">
        <f aca="false">IF(ISBLANK($C32),"",IF(G32=Constants!$B$15,Constants!$B$8,IF(G32=Constants!$B$16,Constants!$B$9,Constants!$B$10)))</f>
        <v/>
      </c>
      <c r="T32" s="65" t="str">
        <f aca="false">IF(ISBLANK($C32),"",IF(H32=Constants!$B$2, TRUE(), IF(H32=Constants!$B$3, FALSE(), TRUE())))</f>
        <v/>
      </c>
      <c r="U32" s="65" t="str">
        <f aca="false">IF(ISBLANK($C32),"",IF(I32=Constants!$B$19,Constants!$B$19,Constants!$B$18))</f>
        <v/>
      </c>
      <c r="V32" s="65" t="str">
        <f aca="false">IF(ISBLANK($C32),"",IF(COUNTA(J32:K32)=0,"",IF(AND(OR(ISBLANK(J32),AND(ISNUMBER(J32),J32&gt;=0)),OR(ISBLANK(K32),AND(ISNUMBER(K32),K32&gt;=0))),60*IF(ISBLANK(J32),0,J32)+IF(ISBLANK(K32),0,K32),"")))</f>
        <v/>
      </c>
      <c r="W32" s="65" t="str">
        <f aca="false">IF(ISBLANK($C32),"",IF(L32=Constants!$B$19,Constants!$B$19,Constants!$B$18))</f>
        <v/>
      </c>
      <c r="X32" s="65" t="str">
        <f aca="false">IF(ISBLANK($C32),"",IF(COUNTA(M32:N32)=0,"",IF(AND(OR(ISBLANK(M32),AND(ISNUMBER(M32),M32&gt;=0)),OR(ISBLANK(N32),AND(ISNUMBER(N32),N32&gt;=0))),60*IF(ISBLANK(M32),0,M32)+IF(ISBLANK(N32),0,N32),"")))</f>
        <v/>
      </c>
      <c r="Y32" s="65" t="str">
        <f aca="false">IF(ISBLANK($C32),"",IF(O32=Constants!$B$2, TRUE(), IF(O32=Constants!$B$3, FALSE(), FALSE())))</f>
        <v/>
      </c>
      <c r="Z32" s="65" t="str">
        <f aca="false">IF(ISBLANK($C32),"",IF(Y32,Constants!$B$4,IF(COUNTA(E32:N32)=0,Constants!$B$5,IF(COUNTA(J32:K32,M32:N32)=0,Constants!$B$6,Constants!$B$7))))</f>
        <v/>
      </c>
      <c r="AA32" s="65" t="str">
        <f aca="false">IF(ISBLANK($C32),"",IF($Z32&lt;&gt;Constants!$B$7,$Z32,IF(OR(NOT(T32),AND(NOT(Q32),COUNTIFS(U32:W32,Constants!$B$18,V32:X32,"&gt;=0")&gt;0),AND(NOT(R32),COUNTIFS(U32:W32,Constants!$B$19,V32:X32,"&gt;=0")&gt;0)),Constants!$B$12,Constants!$B$11)))</f>
        <v/>
      </c>
      <c r="AB32" s="65" t="str">
        <f aca="false">IF($Z32=Constants!$B$7,IF(V32="",Constants!$B$13,V32),"")</f>
        <v/>
      </c>
      <c r="AC32" s="65" t="str">
        <f aca="false">IF($Z32=Constants!$B$7,IF(X32="",Constants!$B$13,X32),"")</f>
        <v/>
      </c>
      <c r="AD32" s="65" t="str">
        <f aca="false">IF($Z32=Constants!$B$7,IF($AB32&gt;=$AC32,1,2),"")</f>
        <v/>
      </c>
      <c r="AE32" s="65" t="str">
        <f aca="false">IF($Z32=Constants!$B$7,LARGE(AB32:AC32,1),"")</f>
        <v/>
      </c>
      <c r="AF32" s="65" t="str">
        <f aca="false">IF(ISBLANK($C32),"",IF($Z32&lt;&gt;Constants!$B$7,$Z32,AE32*S32))</f>
        <v/>
      </c>
      <c r="AG32" s="65" t="str">
        <f aca="false">IF(ISBLANK($C32),"",IF($Z32=Constants!$B$7,IF(ISNUMBER(AF32),RANK(AF32,$AF$8:$AF$507),Constants!$B$14),$Z32))</f>
        <v/>
      </c>
      <c r="AH32" s="65" t="str">
        <f aca="false">IF(ISBLANK($C32),"",IF($Z32=Constants!$B$7,IF(ISNUMBER(AG32),COUNTIFS($AA$8:$AA$507,"&lt;"&amp;$AA32)+COUNTIFS($AA$8:$AA$507,$AA32,$AG$8:$AG$507,"&lt;"&amp;$AG32)+1,Constants!$B$14),$Z32))</f>
        <v/>
      </c>
      <c r="AI32" s="65" t="str">
        <f aca="false">IF(ISBLANK($C32),"",IF($Z32=Constants!$B$7,LARGE(AB32:AC32,2)*S32,""))</f>
        <v/>
      </c>
      <c r="AJ32" s="65" t="str">
        <f aca="false">IF(ISBLANK($C32),"",IF($Z32=Constants!$B$7,RANK(AI32,$AI$8:$AI$507),$Z32))</f>
        <v/>
      </c>
      <c r="AK32" s="65" t="str">
        <f aca="false">IF(ISBLANK($C32),"",IF($Z32=Constants!$B$7,IF(ISNUMBER(AG32),COUNTIFS($AA$8:$AA$507,"&lt;"&amp;$AA32)+COUNTIFS($AA$8:$AA$507,$AA32,$AG$8:$AG$507,"&lt;"&amp;$AG32)+COUNTIFS($AA$8:$AA$507,$AA32,$AG$8:$AG$507,$AG32,$AJ$8:$AJ$507,"&lt;"&amp;$AJ32)+1,Constants!$B$14),$Z32))</f>
        <v/>
      </c>
      <c r="AL32" s="65" t="str">
        <f aca="false">IF(ISBLANK($C32),"",IF($Z32=Constants!$B$7,IF(ISNUMBER(AH32),AH32-AK32,Constants!$B$14),$Z32))</f>
        <v/>
      </c>
      <c r="AM32" s="67"/>
      <c r="AN32" s="68" t="str">
        <f aca="false">IF(ISBLANK($C32),"",IF($Z32&lt;&gt;Constants!$B$7,$Z32,AD32))</f>
        <v/>
      </c>
      <c r="AO32" s="69" t="str">
        <f aca="false">IF(ISBLANK($C32),"",IF($Z32&lt;&gt;Constants!$B$7,$Z32,S32))</f>
        <v/>
      </c>
      <c r="AP32" s="70" t="str">
        <f aca="false">IF(ISBLANK($C32),"",IF($Z32&lt;&gt;Constants!$B$7,$Z32,AF32))</f>
        <v/>
      </c>
      <c r="AQ32" s="71" t="str">
        <f aca="false">IF(ISBLANK($C32),"",IF($Z32&lt;&gt;Constants!$B$7,$Z32,AA32))</f>
        <v/>
      </c>
      <c r="AR32" s="69" t="str">
        <f aca="false">IF(ISBLANK($C32),"",AL32)</f>
        <v/>
      </c>
      <c r="AS32" s="69" t="str">
        <f aca="false">IF(ISBLANK($C32),"",AK32)</f>
        <v/>
      </c>
      <c r="AT32" s="72" t="str">
        <f aca="false">IF(ISBLANK($C32),"",IF(AS32=Constants!$B$4,COUNTA($C$8:$C$507)+2,IF(AS32=Constants!$B$5,COUNTA($C$8:$C$507)+1,IF(AS32=Constants!$B$6,COUNTA($C$8:$C$507),AS32))))</f>
        <v/>
      </c>
      <c r="AU32" s="5"/>
      <c r="AV32" s="73" t="n">
        <f aca="false">IF(OR(ISNUMBER(AS32),AS32=Constants!$B$4,AS32=Constants!$B$6,AS32=Constants!$B$5),1,0)</f>
        <v>0</v>
      </c>
      <c r="AW32" s="73" t="n">
        <v>25</v>
      </c>
      <c r="AX32" s="73" t="str">
        <f aca="false">IF(ISBLANK($C32),"",IF(ISNUMBER(AT32),AT32+ROW($B32)/1000,""))</f>
        <v/>
      </c>
      <c r="AY32" s="73" t="str">
        <f aca="false">IF(ISNUMBER(AX32),RANK(AX32,$AX$8:$AX$507,1),"")</f>
        <v/>
      </c>
      <c r="AZ32" s="73" t="str">
        <f aca="false">IF(ISBLANK($C32),"",$B32)</f>
        <v/>
      </c>
      <c r="BA32" s="73" t="str">
        <f aca="false">IF(ISBLANK($C32),"",$C32)</f>
        <v/>
      </c>
      <c r="BB32" s="73" t="str">
        <f aca="false">IF(ISBLANK($C32),"",$D32)</f>
        <v/>
      </c>
      <c r="BC32" s="74" t="str">
        <f aca="false">AQ32</f>
        <v/>
      </c>
      <c r="BD32" s="75" t="str">
        <f aca="false">AP32</f>
        <v/>
      </c>
      <c r="BE32" s="73" t="str">
        <f aca="false">IF(ISBLANK($C32),"",AS32)</f>
        <v/>
      </c>
      <c r="BF32" s="76" t="str">
        <f aca="false">IF($AW32&gt;$AV$7,"",VLOOKUP($AW32,$AY$8:$BE$507,7,FALSE()))</f>
        <v/>
      </c>
      <c r="BG32" s="77" t="str">
        <f aca="false">IF($AW32&gt;$AV$7,"",VLOOKUP($AW32,$AY$8:$BE$507,2,FALSE()))</f>
        <v/>
      </c>
      <c r="BH32" s="77" t="str">
        <f aca="false">IF($AW32&gt;$AV$7,"",VLOOKUP($AW32,$AY$8:$BE$507,3,FALSE()))</f>
        <v/>
      </c>
      <c r="BI32" s="77" t="str">
        <f aca="false">IF($AW32&gt;$AV$7,"",VLOOKUP($AW32,$AY$8:$BE$507,4,FALSE()))</f>
        <v/>
      </c>
      <c r="BJ32" s="77" t="str">
        <f aca="false">IF($AW32&gt;$AV$7,"",VLOOKUP($AW32,$AY$8:$BE$507,5,FALSE()))</f>
        <v/>
      </c>
      <c r="BK32" s="78" t="str">
        <f aca="false">IF($AW32&gt;$AV$7,"",VLOOKUP($AW32,$AY$8:$BE$507,6,FALSE()))</f>
        <v/>
      </c>
      <c r="BL32" s="50"/>
    </row>
    <row r="33" customFormat="false" ht="15.75" hidden="false" customHeight="false" outlineLevel="0" collapsed="false">
      <c r="A33" s="5"/>
      <c r="B33" s="131"/>
      <c r="C33" s="52"/>
      <c r="D33" s="53"/>
      <c r="E33" s="120"/>
      <c r="F33" s="121"/>
      <c r="G33" s="56"/>
      <c r="H33" s="122"/>
      <c r="I33" s="123"/>
      <c r="J33" s="59"/>
      <c r="K33" s="60"/>
      <c r="L33" s="123"/>
      <c r="M33" s="61"/>
      <c r="N33" s="62"/>
      <c r="O33" s="80"/>
      <c r="P33" s="64"/>
      <c r="Q33" s="65" t="str">
        <f aca="false">IF(ISBLANK($C33),"",IF(E33=Constants!$B$2, TRUE(), IF(E33=Constants!$B$3, FALSE(), TRUE())))</f>
        <v/>
      </c>
      <c r="R33" s="65" t="str">
        <f aca="false">IF(ISBLANK($C33),"",IF(F33=Constants!$B$2, TRUE(), IF(F33=Constants!$B$3, FALSE(), TRUE())))</f>
        <v/>
      </c>
      <c r="S33" s="65" t="str">
        <f aca="false">IF(ISBLANK($C33),"",IF(G33=Constants!$B$15,Constants!$B$8,IF(G33=Constants!$B$16,Constants!$B$9,Constants!$B$10)))</f>
        <v/>
      </c>
      <c r="T33" s="65" t="str">
        <f aca="false">IF(ISBLANK($C33),"",IF(H33=Constants!$B$2, TRUE(), IF(H33=Constants!$B$3, FALSE(), TRUE())))</f>
        <v/>
      </c>
      <c r="U33" s="65" t="str">
        <f aca="false">IF(ISBLANK($C33),"",IF(I33=Constants!$B$19,Constants!$B$19,Constants!$B$18))</f>
        <v/>
      </c>
      <c r="V33" s="65" t="str">
        <f aca="false">IF(ISBLANK($C33),"",IF(COUNTA(J33:K33)=0,"",IF(AND(OR(ISBLANK(J33),AND(ISNUMBER(J33),J33&gt;=0)),OR(ISBLANK(K33),AND(ISNUMBER(K33),K33&gt;=0))),60*IF(ISBLANK(J33),0,J33)+IF(ISBLANK(K33),0,K33),"")))</f>
        <v/>
      </c>
      <c r="W33" s="65" t="str">
        <f aca="false">IF(ISBLANK($C33),"",IF(L33=Constants!$B$19,Constants!$B$19,Constants!$B$18))</f>
        <v/>
      </c>
      <c r="X33" s="65" t="str">
        <f aca="false">IF(ISBLANK($C33),"",IF(COUNTA(M33:N33)=0,"",IF(AND(OR(ISBLANK(M33),AND(ISNUMBER(M33),M33&gt;=0)),OR(ISBLANK(N33),AND(ISNUMBER(N33),N33&gt;=0))),60*IF(ISBLANK(M33),0,M33)+IF(ISBLANK(N33),0,N33),"")))</f>
        <v/>
      </c>
      <c r="Y33" s="65" t="str">
        <f aca="false">IF(ISBLANK($C33),"",IF(O33=Constants!$B$2, TRUE(), IF(O33=Constants!$B$3, FALSE(), FALSE())))</f>
        <v/>
      </c>
      <c r="Z33" s="65" t="str">
        <f aca="false">IF(ISBLANK($C33),"",IF(Y33,Constants!$B$4,IF(COUNTA(E33:N33)=0,Constants!$B$5,IF(COUNTA(J33:K33,M33:N33)=0,Constants!$B$6,Constants!$B$7))))</f>
        <v/>
      </c>
      <c r="AA33" s="65" t="str">
        <f aca="false">IF(ISBLANK($C33),"",IF($Z33&lt;&gt;Constants!$B$7,$Z33,IF(OR(NOT(T33),AND(NOT(Q33),COUNTIFS(U33:W33,Constants!$B$18,V33:X33,"&gt;=0")&gt;0),AND(NOT(R33),COUNTIFS(U33:W33,Constants!$B$19,V33:X33,"&gt;=0")&gt;0)),Constants!$B$12,Constants!$B$11)))</f>
        <v/>
      </c>
      <c r="AB33" s="65" t="str">
        <f aca="false">IF($Z33=Constants!$B$7,IF(V33="",Constants!$B$13,V33),"")</f>
        <v/>
      </c>
      <c r="AC33" s="65" t="str">
        <f aca="false">IF($Z33=Constants!$B$7,IF(X33="",Constants!$B$13,X33),"")</f>
        <v/>
      </c>
      <c r="AD33" s="65" t="str">
        <f aca="false">IF($Z33=Constants!$B$7,IF($AB33&gt;=$AC33,1,2),"")</f>
        <v/>
      </c>
      <c r="AE33" s="65" t="str">
        <f aca="false">IF($Z33=Constants!$B$7,LARGE(AB33:AC33,1),"")</f>
        <v/>
      </c>
      <c r="AF33" s="65" t="str">
        <f aca="false">IF(ISBLANK($C33),"",IF($Z33&lt;&gt;Constants!$B$7,$Z33,AE33*S33))</f>
        <v/>
      </c>
      <c r="AG33" s="65" t="str">
        <f aca="false">IF(ISBLANK($C33),"",IF($Z33=Constants!$B$7,IF(ISNUMBER(AF33),RANK(AF33,$AF$8:$AF$507),Constants!$B$14),$Z33))</f>
        <v/>
      </c>
      <c r="AH33" s="65" t="str">
        <f aca="false">IF(ISBLANK($C33),"",IF($Z33=Constants!$B$7,IF(ISNUMBER(AG33),COUNTIFS($AA$8:$AA$507,"&lt;"&amp;$AA33)+COUNTIFS($AA$8:$AA$507,$AA33,$AG$8:$AG$507,"&lt;"&amp;$AG33)+1,Constants!$B$14),$Z33))</f>
        <v/>
      </c>
      <c r="AI33" s="65" t="str">
        <f aca="false">IF(ISBLANK($C33),"",IF($Z33=Constants!$B$7,LARGE(AB33:AC33,2)*S33,""))</f>
        <v/>
      </c>
      <c r="AJ33" s="65" t="str">
        <f aca="false">IF(ISBLANK($C33),"",IF($Z33=Constants!$B$7,RANK(AI33,$AI$8:$AI$507),$Z33))</f>
        <v/>
      </c>
      <c r="AK33" s="65" t="str">
        <f aca="false">IF(ISBLANK($C33),"",IF($Z33=Constants!$B$7,IF(ISNUMBER(AG33),COUNTIFS($AA$8:$AA$507,"&lt;"&amp;$AA33)+COUNTIFS($AA$8:$AA$507,$AA33,$AG$8:$AG$507,"&lt;"&amp;$AG33)+COUNTIFS($AA$8:$AA$507,$AA33,$AG$8:$AG$507,$AG33,$AJ$8:$AJ$507,"&lt;"&amp;$AJ33)+1,Constants!$B$14),$Z33))</f>
        <v/>
      </c>
      <c r="AL33" s="65" t="str">
        <f aca="false">IF(ISBLANK($C33),"",IF($Z33=Constants!$B$7,IF(ISNUMBER(AH33),AH33-AK33,Constants!$B$14),$Z33))</f>
        <v/>
      </c>
      <c r="AM33" s="67"/>
      <c r="AN33" s="68" t="str">
        <f aca="false">IF(ISBLANK($C33),"",IF($Z33&lt;&gt;Constants!$B$7,$Z33,AD33))</f>
        <v/>
      </c>
      <c r="AO33" s="69" t="str">
        <f aca="false">IF(ISBLANK($C33),"",IF($Z33&lt;&gt;Constants!$B$7,$Z33,S33))</f>
        <v/>
      </c>
      <c r="AP33" s="70" t="str">
        <f aca="false">IF(ISBLANK($C33),"",IF($Z33&lt;&gt;Constants!$B$7,$Z33,AF33))</f>
        <v/>
      </c>
      <c r="AQ33" s="71" t="str">
        <f aca="false">IF(ISBLANK($C33),"",IF($Z33&lt;&gt;Constants!$B$7,$Z33,AA33))</f>
        <v/>
      </c>
      <c r="AR33" s="69" t="str">
        <f aca="false">IF(ISBLANK($C33),"",AL33)</f>
        <v/>
      </c>
      <c r="AS33" s="69" t="str">
        <f aca="false">IF(ISBLANK($C33),"",AK33)</f>
        <v/>
      </c>
      <c r="AT33" s="72" t="str">
        <f aca="false">IF(ISBLANK($C33),"",IF(AS33=Constants!$B$4,COUNTA($C$8:$C$507)+2,IF(AS33=Constants!$B$5,COUNTA($C$8:$C$507)+1,IF(AS33=Constants!$B$6,COUNTA($C$8:$C$507),AS33))))</f>
        <v/>
      </c>
      <c r="AU33" s="5"/>
      <c r="AV33" s="73" t="n">
        <f aca="false">IF(OR(ISNUMBER(AS33),AS33=Constants!$B$4,AS33=Constants!$B$6,AS33=Constants!$B$5),1,0)</f>
        <v>0</v>
      </c>
      <c r="AW33" s="73" t="n">
        <v>26</v>
      </c>
      <c r="AX33" s="73" t="str">
        <f aca="false">IF(ISBLANK($C33),"",IF(ISNUMBER(AT33),AT33+ROW($B33)/1000,""))</f>
        <v/>
      </c>
      <c r="AY33" s="73" t="str">
        <f aca="false">IF(ISNUMBER(AX33),RANK(AX33,$AX$8:$AX$507,1),"")</f>
        <v/>
      </c>
      <c r="AZ33" s="73" t="str">
        <f aca="false">IF(ISBLANK($C33),"",$B33)</f>
        <v/>
      </c>
      <c r="BA33" s="73" t="str">
        <f aca="false">IF(ISBLANK($C33),"",$C33)</f>
        <v/>
      </c>
      <c r="BB33" s="73" t="str">
        <f aca="false">IF(ISBLANK($C33),"",$D33)</f>
        <v/>
      </c>
      <c r="BC33" s="74" t="str">
        <f aca="false">AQ33</f>
        <v/>
      </c>
      <c r="BD33" s="75" t="str">
        <f aca="false">AP33</f>
        <v/>
      </c>
      <c r="BE33" s="73" t="str">
        <f aca="false">IF(ISBLANK($C33),"",AS33)</f>
        <v/>
      </c>
      <c r="BF33" s="76" t="str">
        <f aca="false">IF($AW33&gt;$AV$7,"",VLOOKUP($AW33,$AY$8:$BE$507,7,FALSE()))</f>
        <v/>
      </c>
      <c r="BG33" s="77" t="str">
        <f aca="false">IF($AW33&gt;$AV$7,"",VLOOKUP($AW33,$AY$8:$BE$507,2,FALSE()))</f>
        <v/>
      </c>
      <c r="BH33" s="77" t="str">
        <f aca="false">IF($AW33&gt;$AV$7,"",VLOOKUP($AW33,$AY$8:$BE$507,3,FALSE()))</f>
        <v/>
      </c>
      <c r="BI33" s="77" t="str">
        <f aca="false">IF($AW33&gt;$AV$7,"",VLOOKUP($AW33,$AY$8:$BE$507,4,FALSE()))</f>
        <v/>
      </c>
      <c r="BJ33" s="77" t="str">
        <f aca="false">IF($AW33&gt;$AV$7,"",VLOOKUP($AW33,$AY$8:$BE$507,5,FALSE()))</f>
        <v/>
      </c>
      <c r="BK33" s="78" t="str">
        <f aca="false">IF($AW33&gt;$AV$7,"",VLOOKUP($AW33,$AY$8:$BE$507,6,FALSE()))</f>
        <v/>
      </c>
      <c r="BL33" s="50"/>
    </row>
    <row r="34" customFormat="false" ht="15.75" hidden="false" customHeight="false" outlineLevel="0" collapsed="false">
      <c r="A34" s="5"/>
      <c r="B34" s="131"/>
      <c r="C34" s="52"/>
      <c r="D34" s="53"/>
      <c r="E34" s="120"/>
      <c r="F34" s="121"/>
      <c r="G34" s="56"/>
      <c r="H34" s="122"/>
      <c r="I34" s="123"/>
      <c r="J34" s="59"/>
      <c r="K34" s="60"/>
      <c r="L34" s="123"/>
      <c r="M34" s="61"/>
      <c r="N34" s="62"/>
      <c r="O34" s="80"/>
      <c r="P34" s="64"/>
      <c r="Q34" s="65" t="str">
        <f aca="false">IF(ISBLANK($C34),"",IF(E34=Constants!$B$2, TRUE(), IF(E34=Constants!$B$3, FALSE(), TRUE())))</f>
        <v/>
      </c>
      <c r="R34" s="65" t="str">
        <f aca="false">IF(ISBLANK($C34),"",IF(F34=Constants!$B$2, TRUE(), IF(F34=Constants!$B$3, FALSE(), TRUE())))</f>
        <v/>
      </c>
      <c r="S34" s="65" t="str">
        <f aca="false">IF(ISBLANK($C34),"",IF(G34=Constants!$B$15,Constants!$B$8,IF(G34=Constants!$B$16,Constants!$B$9,Constants!$B$10)))</f>
        <v/>
      </c>
      <c r="T34" s="65" t="str">
        <f aca="false">IF(ISBLANK($C34),"",IF(H34=Constants!$B$2, TRUE(), IF(H34=Constants!$B$3, FALSE(), TRUE())))</f>
        <v/>
      </c>
      <c r="U34" s="65" t="str">
        <f aca="false">IF(ISBLANK($C34),"",IF(I34=Constants!$B$19,Constants!$B$19,Constants!$B$18))</f>
        <v/>
      </c>
      <c r="V34" s="65" t="str">
        <f aca="false">IF(ISBLANK($C34),"",IF(COUNTA(J34:K34)=0,"",IF(AND(OR(ISBLANK(J34),AND(ISNUMBER(J34),J34&gt;=0)),OR(ISBLANK(K34),AND(ISNUMBER(K34),K34&gt;=0))),60*IF(ISBLANK(J34),0,J34)+IF(ISBLANK(K34),0,K34),"")))</f>
        <v/>
      </c>
      <c r="W34" s="65" t="str">
        <f aca="false">IF(ISBLANK($C34),"",IF(L34=Constants!$B$19,Constants!$B$19,Constants!$B$18))</f>
        <v/>
      </c>
      <c r="X34" s="65" t="str">
        <f aca="false">IF(ISBLANK($C34),"",IF(COUNTA(M34:N34)=0,"",IF(AND(OR(ISBLANK(M34),AND(ISNUMBER(M34),M34&gt;=0)),OR(ISBLANK(N34),AND(ISNUMBER(N34),N34&gt;=0))),60*IF(ISBLANK(M34),0,M34)+IF(ISBLANK(N34),0,N34),"")))</f>
        <v/>
      </c>
      <c r="Y34" s="65" t="str">
        <f aca="false">IF(ISBLANK($C34),"",IF(O34=Constants!$B$2, TRUE(), IF(O34=Constants!$B$3, FALSE(), FALSE())))</f>
        <v/>
      </c>
      <c r="Z34" s="65" t="str">
        <f aca="false">IF(ISBLANK($C34),"",IF(Y34,Constants!$B$4,IF(COUNTA(E34:N34)=0,Constants!$B$5,IF(COUNTA(J34:K34,M34:N34)=0,Constants!$B$6,Constants!$B$7))))</f>
        <v/>
      </c>
      <c r="AA34" s="65" t="str">
        <f aca="false">IF(ISBLANK($C34),"",IF($Z34&lt;&gt;Constants!$B$7,$Z34,IF(OR(NOT(T34),AND(NOT(Q34),COUNTIFS(U34:W34,Constants!$B$18,V34:X34,"&gt;=0")&gt;0),AND(NOT(R34),COUNTIFS(U34:W34,Constants!$B$19,V34:X34,"&gt;=0")&gt;0)),Constants!$B$12,Constants!$B$11)))</f>
        <v/>
      </c>
      <c r="AB34" s="65" t="str">
        <f aca="false">IF($Z34=Constants!$B$7,IF(V34="",Constants!$B$13,V34),"")</f>
        <v/>
      </c>
      <c r="AC34" s="65" t="str">
        <f aca="false">IF($Z34=Constants!$B$7,IF(X34="",Constants!$B$13,X34),"")</f>
        <v/>
      </c>
      <c r="AD34" s="65" t="str">
        <f aca="false">IF($Z34=Constants!$B$7,IF($AB34&gt;=$AC34,1,2),"")</f>
        <v/>
      </c>
      <c r="AE34" s="65" t="str">
        <f aca="false">IF($Z34=Constants!$B$7,LARGE(AB34:AC34,1),"")</f>
        <v/>
      </c>
      <c r="AF34" s="65" t="str">
        <f aca="false">IF(ISBLANK($C34),"",IF($Z34&lt;&gt;Constants!$B$7,$Z34,AE34*S34))</f>
        <v/>
      </c>
      <c r="AG34" s="65" t="str">
        <f aca="false">IF(ISBLANK($C34),"",IF($Z34=Constants!$B$7,IF(ISNUMBER(AF34),RANK(AF34,$AF$8:$AF$507),Constants!$B$14),$Z34))</f>
        <v/>
      </c>
      <c r="AH34" s="65" t="str">
        <f aca="false">IF(ISBLANK($C34),"",IF($Z34=Constants!$B$7,IF(ISNUMBER(AG34),COUNTIFS($AA$8:$AA$507,"&lt;"&amp;$AA34)+COUNTIFS($AA$8:$AA$507,$AA34,$AG$8:$AG$507,"&lt;"&amp;$AG34)+1,Constants!$B$14),$Z34))</f>
        <v/>
      </c>
      <c r="AI34" s="65" t="str">
        <f aca="false">IF(ISBLANK($C34),"",IF($Z34=Constants!$B$7,LARGE(AB34:AC34,2)*S34,""))</f>
        <v/>
      </c>
      <c r="AJ34" s="65" t="str">
        <f aca="false">IF(ISBLANK($C34),"",IF($Z34=Constants!$B$7,RANK(AI34,$AI$8:$AI$507),$Z34))</f>
        <v/>
      </c>
      <c r="AK34" s="65" t="str">
        <f aca="false">IF(ISBLANK($C34),"",IF($Z34=Constants!$B$7,IF(ISNUMBER(AG34),COUNTIFS($AA$8:$AA$507,"&lt;"&amp;$AA34)+COUNTIFS($AA$8:$AA$507,$AA34,$AG$8:$AG$507,"&lt;"&amp;$AG34)+COUNTIFS($AA$8:$AA$507,$AA34,$AG$8:$AG$507,$AG34,$AJ$8:$AJ$507,"&lt;"&amp;$AJ34)+1,Constants!$B$14),$Z34))</f>
        <v/>
      </c>
      <c r="AL34" s="65" t="str">
        <f aca="false">IF(ISBLANK($C34),"",IF($Z34=Constants!$B$7,IF(ISNUMBER(AH34),AH34-AK34,Constants!$B$14),$Z34))</f>
        <v/>
      </c>
      <c r="AM34" s="67"/>
      <c r="AN34" s="68" t="str">
        <f aca="false">IF(ISBLANK($C34),"",IF($Z34&lt;&gt;Constants!$B$7,$Z34,AD34))</f>
        <v/>
      </c>
      <c r="AO34" s="69" t="str">
        <f aca="false">IF(ISBLANK($C34),"",IF($Z34&lt;&gt;Constants!$B$7,$Z34,S34))</f>
        <v/>
      </c>
      <c r="AP34" s="70" t="str">
        <f aca="false">IF(ISBLANK($C34),"",IF($Z34&lt;&gt;Constants!$B$7,$Z34,AF34))</f>
        <v/>
      </c>
      <c r="AQ34" s="71" t="str">
        <f aca="false">IF(ISBLANK($C34),"",IF($Z34&lt;&gt;Constants!$B$7,$Z34,AA34))</f>
        <v/>
      </c>
      <c r="AR34" s="69" t="str">
        <f aca="false">IF(ISBLANK($C34),"",AL34)</f>
        <v/>
      </c>
      <c r="AS34" s="69" t="str">
        <f aca="false">IF(ISBLANK($C34),"",AK34)</f>
        <v/>
      </c>
      <c r="AT34" s="72" t="str">
        <f aca="false">IF(ISBLANK($C34),"",IF(AS34=Constants!$B$4,COUNTA($C$8:$C$507)+2,IF(AS34=Constants!$B$5,COUNTA($C$8:$C$507)+1,IF(AS34=Constants!$B$6,COUNTA($C$8:$C$507),AS34))))</f>
        <v/>
      </c>
      <c r="AU34" s="5"/>
      <c r="AV34" s="73" t="n">
        <f aca="false">IF(OR(ISNUMBER(AS34),AS34=Constants!$B$4,AS34=Constants!$B$6,AS34=Constants!$B$5),1,0)</f>
        <v>0</v>
      </c>
      <c r="AW34" s="73" t="n">
        <v>27</v>
      </c>
      <c r="AX34" s="73" t="str">
        <f aca="false">IF(ISBLANK($C34),"",IF(ISNUMBER(AT34),AT34+ROW($B34)/1000,""))</f>
        <v/>
      </c>
      <c r="AY34" s="73" t="str">
        <f aca="false">IF(ISNUMBER(AX34),RANK(AX34,$AX$8:$AX$507,1),"")</f>
        <v/>
      </c>
      <c r="AZ34" s="73" t="str">
        <f aca="false">IF(ISBLANK($C34),"",$B34)</f>
        <v/>
      </c>
      <c r="BA34" s="73" t="str">
        <f aca="false">IF(ISBLANK($C34),"",$C34)</f>
        <v/>
      </c>
      <c r="BB34" s="73" t="str">
        <f aca="false">IF(ISBLANK($C34),"",$D34)</f>
        <v/>
      </c>
      <c r="BC34" s="74" t="str">
        <f aca="false">AQ34</f>
        <v/>
      </c>
      <c r="BD34" s="75" t="str">
        <f aca="false">AP34</f>
        <v/>
      </c>
      <c r="BE34" s="73" t="str">
        <f aca="false">IF(ISBLANK($C34),"",AS34)</f>
        <v/>
      </c>
      <c r="BF34" s="76" t="str">
        <f aca="false">IF($AW34&gt;$AV$7,"",VLOOKUP($AW34,$AY$8:$BE$507,7,FALSE()))</f>
        <v/>
      </c>
      <c r="BG34" s="77" t="str">
        <f aca="false">IF($AW34&gt;$AV$7,"",VLOOKUP($AW34,$AY$8:$BE$507,2,FALSE()))</f>
        <v/>
      </c>
      <c r="BH34" s="77" t="str">
        <f aca="false">IF($AW34&gt;$AV$7,"",VLOOKUP($AW34,$AY$8:$BE$507,3,FALSE()))</f>
        <v/>
      </c>
      <c r="BI34" s="77" t="str">
        <f aca="false">IF($AW34&gt;$AV$7,"",VLOOKUP($AW34,$AY$8:$BE$507,4,FALSE()))</f>
        <v/>
      </c>
      <c r="BJ34" s="77" t="str">
        <f aca="false">IF($AW34&gt;$AV$7,"",VLOOKUP($AW34,$AY$8:$BE$507,5,FALSE()))</f>
        <v/>
      </c>
      <c r="BK34" s="78" t="str">
        <f aca="false">IF($AW34&gt;$AV$7,"",VLOOKUP($AW34,$AY$8:$BE$507,6,FALSE()))</f>
        <v/>
      </c>
      <c r="BL34" s="50"/>
    </row>
    <row r="35" customFormat="false" ht="15.75" hidden="false" customHeight="false" outlineLevel="0" collapsed="false">
      <c r="A35" s="5"/>
      <c r="B35" s="124"/>
      <c r="C35" s="125"/>
      <c r="D35" s="110"/>
      <c r="E35" s="126"/>
      <c r="F35" s="127"/>
      <c r="G35" s="88"/>
      <c r="H35" s="128"/>
      <c r="I35" s="129"/>
      <c r="J35" s="91"/>
      <c r="K35" s="92"/>
      <c r="L35" s="129"/>
      <c r="M35" s="93"/>
      <c r="N35" s="94"/>
      <c r="O35" s="130"/>
      <c r="P35" s="96"/>
      <c r="Q35" s="97" t="str">
        <f aca="false">IF(ISBLANK($C35),"",IF(E35=Constants!$B$2, TRUE(), IF(E35=Constants!$B$3, FALSE(), TRUE())))</f>
        <v/>
      </c>
      <c r="R35" s="97" t="str">
        <f aca="false">IF(ISBLANK($C35),"",IF(F35=Constants!$B$2, TRUE(), IF(F35=Constants!$B$3, FALSE(), TRUE())))</f>
        <v/>
      </c>
      <c r="S35" s="97" t="str">
        <f aca="false">IF(ISBLANK($C35),"",IF(G35=Constants!$B$15,Constants!$B$8,IF(G35=Constants!$B$16,Constants!$B$9,Constants!$B$10)))</f>
        <v/>
      </c>
      <c r="T35" s="97" t="str">
        <f aca="false">IF(ISBLANK($C35),"",IF(H35=Constants!$B$2, TRUE(), IF(H35=Constants!$B$3, FALSE(), TRUE())))</f>
        <v/>
      </c>
      <c r="U35" s="97" t="str">
        <f aca="false">IF(ISBLANK($C35),"",IF(I35=Constants!$B$19,Constants!$B$19,Constants!$B$18))</f>
        <v/>
      </c>
      <c r="V35" s="97" t="str">
        <f aca="false">IF(ISBLANK($C35),"",IF(COUNTA(J35:K35)=0,"",IF(AND(OR(ISBLANK(J35),AND(ISNUMBER(J35),J35&gt;=0)),OR(ISBLANK(K35),AND(ISNUMBER(K35),K35&gt;=0))),60*IF(ISBLANK(J35),0,J35)+IF(ISBLANK(K35),0,K35),"")))</f>
        <v/>
      </c>
      <c r="W35" s="97" t="str">
        <f aca="false">IF(ISBLANK($C35),"",IF(L35=Constants!$B$19,Constants!$B$19,Constants!$B$18))</f>
        <v/>
      </c>
      <c r="X35" s="97" t="str">
        <f aca="false">IF(ISBLANK($C35),"",IF(COUNTA(M35:N35)=0,"",IF(AND(OR(ISBLANK(M35),AND(ISNUMBER(M35),M35&gt;=0)),OR(ISBLANK(N35),AND(ISNUMBER(N35),N35&gt;=0))),60*IF(ISBLANK(M35),0,M35)+IF(ISBLANK(N35),0,N35),"")))</f>
        <v/>
      </c>
      <c r="Y35" s="97" t="str">
        <f aca="false">IF(ISBLANK($C35),"",IF(O35=Constants!$B$2, TRUE(), IF(O35=Constants!$B$3, FALSE(), FALSE())))</f>
        <v/>
      </c>
      <c r="Z35" s="97" t="str">
        <f aca="false">IF(ISBLANK($C35),"",IF(Y35,Constants!$B$4,IF(COUNTA(E35:N35)=0,Constants!$B$5,IF(COUNTA(J35:K35,M35:N35)=0,Constants!$B$6,Constants!$B$7))))</f>
        <v/>
      </c>
      <c r="AA35" s="97" t="str">
        <f aca="false">IF(ISBLANK($C35),"",IF($Z35&lt;&gt;Constants!$B$7,$Z35,IF(OR(NOT(T35),AND(NOT(Q35),COUNTIFS(U35:W35,Constants!$B$18,V35:X35,"&gt;=0")&gt;0),AND(NOT(R35),COUNTIFS(U35:W35,Constants!$B$19,V35:X35,"&gt;=0")&gt;0)),Constants!$B$12,Constants!$B$11)))</f>
        <v/>
      </c>
      <c r="AB35" s="97" t="str">
        <f aca="false">IF($Z35=Constants!$B$7,IF(V35="",Constants!$B$13,V35),"")</f>
        <v/>
      </c>
      <c r="AC35" s="97" t="str">
        <f aca="false">IF($Z35=Constants!$B$7,IF(X35="",Constants!$B$13,X35),"")</f>
        <v/>
      </c>
      <c r="AD35" s="97" t="str">
        <f aca="false">IF($Z35=Constants!$B$7,IF($AB35&gt;=$AC35,1,2),"")</f>
        <v/>
      </c>
      <c r="AE35" s="97" t="str">
        <f aca="false">IF($Z35=Constants!$B$7,LARGE(AB35:AC35,1),"")</f>
        <v/>
      </c>
      <c r="AF35" s="97" t="str">
        <f aca="false">IF(ISBLANK($C35),"",IF($Z35&lt;&gt;Constants!$B$7,$Z35,AE35*S35))</f>
        <v/>
      </c>
      <c r="AG35" s="97" t="str">
        <f aca="false">IF(ISBLANK($C35),"",IF($Z35=Constants!$B$7,IF(ISNUMBER(AF35),RANK(AF35,$AF$8:$AF$507),Constants!$B$14),$Z35))</f>
        <v/>
      </c>
      <c r="AH35" s="97" t="str">
        <f aca="false">IF(ISBLANK($C35),"",IF($Z35=Constants!$B$7,IF(ISNUMBER(AG35),COUNTIFS($AA$8:$AA$507,"&lt;"&amp;$AA35)+COUNTIFS($AA$8:$AA$507,$AA35,$AG$8:$AG$507,"&lt;"&amp;$AG35)+1,Constants!$B$14),$Z35))</f>
        <v/>
      </c>
      <c r="AI35" s="97" t="str">
        <f aca="false">IF(ISBLANK($C35),"",IF($Z35=Constants!$B$7,LARGE(AB35:AC35,2)*S35,""))</f>
        <v/>
      </c>
      <c r="AJ35" s="97" t="str">
        <f aca="false">IF(ISBLANK($C35),"",IF($Z35=Constants!$B$7,RANK(AI35,$AI$8:$AI$507),$Z35))</f>
        <v/>
      </c>
      <c r="AK35" s="97" t="str">
        <f aca="false">IF(ISBLANK($C35),"",IF($Z35=Constants!$B$7,IF(ISNUMBER(AG35),COUNTIFS($AA$8:$AA$507,"&lt;"&amp;$AA35)+COUNTIFS($AA$8:$AA$507,$AA35,$AG$8:$AG$507,"&lt;"&amp;$AG35)+COUNTIFS($AA$8:$AA$507,$AA35,$AG$8:$AG$507,$AG35,$AJ$8:$AJ$507,"&lt;"&amp;$AJ35)+1,Constants!$B$14),$Z35))</f>
        <v/>
      </c>
      <c r="AL35" s="97" t="str">
        <f aca="false">IF(ISBLANK($C35),"",IF($Z35=Constants!$B$7,IF(ISNUMBER(AH35),AH35-AK35,Constants!$B$14),$Z35))</f>
        <v/>
      </c>
      <c r="AM35" s="98"/>
      <c r="AN35" s="99" t="str">
        <f aca="false">IF(ISBLANK($C35),"",IF($Z35&lt;&gt;Constants!$B$7,$Z35,AD35))</f>
        <v/>
      </c>
      <c r="AO35" s="100" t="str">
        <f aca="false">IF(ISBLANK($C35),"",IF($Z35&lt;&gt;Constants!$B$7,$Z35,S35))</f>
        <v/>
      </c>
      <c r="AP35" s="101" t="str">
        <f aca="false">IF(ISBLANK($C35),"",IF($Z35&lt;&gt;Constants!$B$7,$Z35,AF35))</f>
        <v/>
      </c>
      <c r="AQ35" s="102" t="str">
        <f aca="false">IF(ISBLANK($C35),"",IF($Z35&lt;&gt;Constants!$B$7,$Z35,AA35))</f>
        <v/>
      </c>
      <c r="AR35" s="100" t="str">
        <f aca="false">IF(ISBLANK($C35),"",AL35)</f>
        <v/>
      </c>
      <c r="AS35" s="100" t="str">
        <f aca="false">IF(ISBLANK($C35),"",AK35)</f>
        <v/>
      </c>
      <c r="AT35" s="103" t="str">
        <f aca="false">IF(ISBLANK($C35),"",IF(AS35=Constants!$B$4,COUNTA($C$8:$C$507)+2,IF(AS35=Constants!$B$5,COUNTA($C$8:$C$507)+1,IF(AS35=Constants!$B$6,COUNTA($C$8:$C$507),AS35))))</f>
        <v/>
      </c>
      <c r="AU35" s="5"/>
      <c r="AV35" s="104" t="n">
        <f aca="false">IF(OR(ISNUMBER(AS35),AS35=Constants!$B$4,AS35=Constants!$B$6,AS35=Constants!$B$5),1,0)</f>
        <v>0</v>
      </c>
      <c r="AW35" s="104" t="n">
        <v>28</v>
      </c>
      <c r="AX35" s="104" t="str">
        <f aca="false">IF(ISBLANK($C35),"",IF(ISNUMBER(AT35),AT35+ROW($B35)/1000,""))</f>
        <v/>
      </c>
      <c r="AY35" s="104" t="str">
        <f aca="false">IF(ISNUMBER(AX35),RANK(AX35,$AX$8:$AX$507,1),"")</f>
        <v/>
      </c>
      <c r="AZ35" s="104" t="str">
        <f aca="false">IF(ISBLANK($C35),"",$B35)</f>
        <v/>
      </c>
      <c r="BA35" s="104" t="str">
        <f aca="false">IF(ISBLANK($C35),"",$C35)</f>
        <v/>
      </c>
      <c r="BB35" s="104" t="str">
        <f aca="false">IF(ISBLANK($C35),"",$D35)</f>
        <v/>
      </c>
      <c r="BC35" s="105" t="str">
        <f aca="false">AQ35</f>
        <v/>
      </c>
      <c r="BD35" s="106" t="str">
        <f aca="false">AP35</f>
        <v/>
      </c>
      <c r="BE35" s="104" t="str">
        <f aca="false">IF(ISBLANK($C35),"",AS35)</f>
        <v/>
      </c>
      <c r="BF35" s="107" t="str">
        <f aca="false">IF($AW35&gt;$AV$7,"",VLOOKUP($AW35,$AY$8:$BE$507,7,FALSE()))</f>
        <v/>
      </c>
      <c r="BG35" s="108" t="str">
        <f aca="false">IF($AW35&gt;$AV$7,"",VLOOKUP($AW35,$AY$8:$BE$507,2,FALSE()))</f>
        <v/>
      </c>
      <c r="BH35" s="108" t="str">
        <f aca="false">IF($AW35&gt;$AV$7,"",VLOOKUP($AW35,$AY$8:$BE$507,3,FALSE()))</f>
        <v/>
      </c>
      <c r="BI35" s="108" t="str">
        <f aca="false">IF($AW35&gt;$AV$7,"",VLOOKUP($AW35,$AY$8:$BE$507,4,FALSE()))</f>
        <v/>
      </c>
      <c r="BJ35" s="108" t="str">
        <f aca="false">IF($AW35&gt;$AV$7,"",VLOOKUP($AW35,$AY$8:$BE$507,5,FALSE()))</f>
        <v/>
      </c>
      <c r="BK35" s="109" t="str">
        <f aca="false">IF($AW35&gt;$AV$7,"",VLOOKUP($AW35,$AY$8:$BE$507,6,FALSE()))</f>
        <v/>
      </c>
      <c r="BL35" s="50"/>
    </row>
    <row r="36" customFormat="false" ht="15.75" hidden="false" customHeight="false" outlineLevel="0" collapsed="false">
      <c r="A36" s="5"/>
      <c r="B36" s="124"/>
      <c r="C36" s="125"/>
      <c r="D36" s="110"/>
      <c r="E36" s="126"/>
      <c r="F36" s="127"/>
      <c r="G36" s="88"/>
      <c r="H36" s="128"/>
      <c r="I36" s="129"/>
      <c r="J36" s="91"/>
      <c r="K36" s="92"/>
      <c r="L36" s="129"/>
      <c r="M36" s="93"/>
      <c r="N36" s="94"/>
      <c r="O36" s="130"/>
      <c r="P36" s="96"/>
      <c r="Q36" s="97" t="str">
        <f aca="false">IF(ISBLANK($C36),"",IF(E36=Constants!$B$2, TRUE(), IF(E36=Constants!$B$3, FALSE(), TRUE())))</f>
        <v/>
      </c>
      <c r="R36" s="97" t="str">
        <f aca="false">IF(ISBLANK($C36),"",IF(F36=Constants!$B$2, TRUE(), IF(F36=Constants!$B$3, FALSE(), TRUE())))</f>
        <v/>
      </c>
      <c r="S36" s="97" t="str">
        <f aca="false">IF(ISBLANK($C36),"",IF(G36=Constants!$B$15,Constants!$B$8,IF(G36=Constants!$B$16,Constants!$B$9,Constants!$B$10)))</f>
        <v/>
      </c>
      <c r="T36" s="97" t="str">
        <f aca="false">IF(ISBLANK($C36),"",IF(H36=Constants!$B$2, TRUE(), IF(H36=Constants!$B$3, FALSE(), TRUE())))</f>
        <v/>
      </c>
      <c r="U36" s="97" t="str">
        <f aca="false">IF(ISBLANK($C36),"",IF(I36=Constants!$B$19,Constants!$B$19,Constants!$B$18))</f>
        <v/>
      </c>
      <c r="V36" s="97" t="str">
        <f aca="false">IF(ISBLANK($C36),"",IF(COUNTA(J36:K36)=0,"",IF(AND(OR(ISBLANK(J36),AND(ISNUMBER(J36),J36&gt;=0)),OR(ISBLANK(K36),AND(ISNUMBER(K36),K36&gt;=0))),60*IF(ISBLANK(J36),0,J36)+IF(ISBLANK(K36),0,K36),"")))</f>
        <v/>
      </c>
      <c r="W36" s="97" t="str">
        <f aca="false">IF(ISBLANK($C36),"",IF(L36=Constants!$B$19,Constants!$B$19,Constants!$B$18))</f>
        <v/>
      </c>
      <c r="X36" s="97" t="str">
        <f aca="false">IF(ISBLANK($C36),"",IF(COUNTA(M36:N36)=0,"",IF(AND(OR(ISBLANK(M36),AND(ISNUMBER(M36),M36&gt;=0)),OR(ISBLANK(N36),AND(ISNUMBER(N36),N36&gt;=0))),60*IF(ISBLANK(M36),0,M36)+IF(ISBLANK(N36),0,N36),"")))</f>
        <v/>
      </c>
      <c r="Y36" s="97" t="str">
        <f aca="false">IF(ISBLANK($C36),"",IF(O36=Constants!$B$2, TRUE(), IF(O36=Constants!$B$3, FALSE(), FALSE())))</f>
        <v/>
      </c>
      <c r="Z36" s="97" t="str">
        <f aca="false">IF(ISBLANK($C36),"",IF(Y36,Constants!$B$4,IF(COUNTA(E36:N36)=0,Constants!$B$5,IF(COUNTA(J36:K36,M36:N36)=0,Constants!$B$6,Constants!$B$7))))</f>
        <v/>
      </c>
      <c r="AA36" s="97" t="str">
        <f aca="false">IF(ISBLANK($C36),"",IF($Z36&lt;&gt;Constants!$B$7,$Z36,IF(OR(NOT(T36),AND(NOT(Q36),COUNTIFS(U36:W36,Constants!$B$18,V36:X36,"&gt;=0")&gt;0),AND(NOT(R36),COUNTIFS(U36:W36,Constants!$B$19,V36:X36,"&gt;=0")&gt;0)),Constants!$B$12,Constants!$B$11)))</f>
        <v/>
      </c>
      <c r="AB36" s="97" t="str">
        <f aca="false">IF($Z36=Constants!$B$7,IF(V36="",Constants!$B$13,V36),"")</f>
        <v/>
      </c>
      <c r="AC36" s="97" t="str">
        <f aca="false">IF($Z36=Constants!$B$7,IF(X36="",Constants!$B$13,X36),"")</f>
        <v/>
      </c>
      <c r="AD36" s="97" t="str">
        <f aca="false">IF($Z36=Constants!$B$7,IF($AB36&gt;=$AC36,1,2),"")</f>
        <v/>
      </c>
      <c r="AE36" s="97" t="str">
        <f aca="false">IF($Z36=Constants!$B$7,LARGE(AB36:AC36,1),"")</f>
        <v/>
      </c>
      <c r="AF36" s="97" t="str">
        <f aca="false">IF(ISBLANK($C36),"",IF($Z36&lt;&gt;Constants!$B$7,$Z36,AE36*S36))</f>
        <v/>
      </c>
      <c r="AG36" s="97" t="str">
        <f aca="false">IF(ISBLANK($C36),"",IF($Z36=Constants!$B$7,IF(ISNUMBER(AF36),RANK(AF36,$AF$8:$AF$507),Constants!$B$14),$Z36))</f>
        <v/>
      </c>
      <c r="AH36" s="97" t="str">
        <f aca="false">IF(ISBLANK($C36),"",IF($Z36=Constants!$B$7,IF(ISNUMBER(AG36),COUNTIFS($AA$8:$AA$507,"&lt;"&amp;$AA36)+COUNTIFS($AA$8:$AA$507,$AA36,$AG$8:$AG$507,"&lt;"&amp;$AG36)+1,Constants!$B$14),$Z36))</f>
        <v/>
      </c>
      <c r="AI36" s="97" t="str">
        <f aca="false">IF(ISBLANK($C36),"",IF($Z36=Constants!$B$7,LARGE(AB36:AC36,2)*S36,""))</f>
        <v/>
      </c>
      <c r="AJ36" s="97" t="str">
        <f aca="false">IF(ISBLANK($C36),"",IF($Z36=Constants!$B$7,RANK(AI36,$AI$8:$AI$507),$Z36))</f>
        <v/>
      </c>
      <c r="AK36" s="97" t="str">
        <f aca="false">IF(ISBLANK($C36),"",IF($Z36=Constants!$B$7,IF(ISNUMBER(AG36),COUNTIFS($AA$8:$AA$507,"&lt;"&amp;$AA36)+COUNTIFS($AA$8:$AA$507,$AA36,$AG$8:$AG$507,"&lt;"&amp;$AG36)+COUNTIFS($AA$8:$AA$507,$AA36,$AG$8:$AG$507,$AG36,$AJ$8:$AJ$507,"&lt;"&amp;$AJ36)+1,Constants!$B$14),$Z36))</f>
        <v/>
      </c>
      <c r="AL36" s="97" t="str">
        <f aca="false">IF(ISBLANK($C36),"",IF($Z36=Constants!$B$7,IF(ISNUMBER(AH36),AH36-AK36,Constants!$B$14),$Z36))</f>
        <v/>
      </c>
      <c r="AM36" s="98"/>
      <c r="AN36" s="99" t="str">
        <f aca="false">IF(ISBLANK($C36),"",IF($Z36&lt;&gt;Constants!$B$7,$Z36,AD36))</f>
        <v/>
      </c>
      <c r="AO36" s="100" t="str">
        <f aca="false">IF(ISBLANK($C36),"",IF($Z36&lt;&gt;Constants!$B$7,$Z36,S36))</f>
        <v/>
      </c>
      <c r="AP36" s="101" t="str">
        <f aca="false">IF(ISBLANK($C36),"",IF($Z36&lt;&gt;Constants!$B$7,$Z36,AF36))</f>
        <v/>
      </c>
      <c r="AQ36" s="102" t="str">
        <f aca="false">IF(ISBLANK($C36),"",IF($Z36&lt;&gt;Constants!$B$7,$Z36,AA36))</f>
        <v/>
      </c>
      <c r="AR36" s="100" t="str">
        <f aca="false">IF(ISBLANK($C36),"",AL36)</f>
        <v/>
      </c>
      <c r="AS36" s="100" t="str">
        <f aca="false">IF(ISBLANK($C36),"",AK36)</f>
        <v/>
      </c>
      <c r="AT36" s="103" t="str">
        <f aca="false">IF(ISBLANK($C36),"",IF(AS36=Constants!$B$4,COUNTA($C$8:$C$507)+2,IF(AS36=Constants!$B$5,COUNTA($C$8:$C$507)+1,IF(AS36=Constants!$B$6,COUNTA($C$8:$C$507),AS36))))</f>
        <v/>
      </c>
      <c r="AU36" s="5"/>
      <c r="AV36" s="104" t="n">
        <f aca="false">IF(OR(ISNUMBER(AS36),AS36=Constants!$B$4,AS36=Constants!$B$6,AS36=Constants!$B$5),1,0)</f>
        <v>0</v>
      </c>
      <c r="AW36" s="104" t="n">
        <v>29</v>
      </c>
      <c r="AX36" s="104" t="str">
        <f aca="false">IF(ISBLANK($C36),"",IF(ISNUMBER(AT36),AT36+ROW($B36)/1000,""))</f>
        <v/>
      </c>
      <c r="AY36" s="104" t="str">
        <f aca="false">IF(ISNUMBER(AX36),RANK(AX36,$AX$8:$AX$507,1),"")</f>
        <v/>
      </c>
      <c r="AZ36" s="104" t="str">
        <f aca="false">IF(ISBLANK($C36),"",$B36)</f>
        <v/>
      </c>
      <c r="BA36" s="104" t="str">
        <f aca="false">IF(ISBLANK($C36),"",$C36)</f>
        <v/>
      </c>
      <c r="BB36" s="104" t="str">
        <f aca="false">IF(ISBLANK($C36),"",$D36)</f>
        <v/>
      </c>
      <c r="BC36" s="105" t="str">
        <f aca="false">AQ36</f>
        <v/>
      </c>
      <c r="BD36" s="106" t="str">
        <f aca="false">AP36</f>
        <v/>
      </c>
      <c r="BE36" s="104" t="str">
        <f aca="false">IF(ISBLANK($C36),"",AS36)</f>
        <v/>
      </c>
      <c r="BF36" s="107" t="str">
        <f aca="false">IF($AW36&gt;$AV$7,"",VLOOKUP($AW36,$AY$8:$BE$507,7,FALSE()))</f>
        <v/>
      </c>
      <c r="BG36" s="108" t="str">
        <f aca="false">IF($AW36&gt;$AV$7,"",VLOOKUP($AW36,$AY$8:$BE$507,2,FALSE()))</f>
        <v/>
      </c>
      <c r="BH36" s="108" t="str">
        <f aca="false">IF($AW36&gt;$AV$7,"",VLOOKUP($AW36,$AY$8:$BE$507,3,FALSE()))</f>
        <v/>
      </c>
      <c r="BI36" s="108" t="str">
        <f aca="false">IF($AW36&gt;$AV$7,"",VLOOKUP($AW36,$AY$8:$BE$507,4,FALSE()))</f>
        <v/>
      </c>
      <c r="BJ36" s="108" t="str">
        <f aca="false">IF($AW36&gt;$AV$7,"",VLOOKUP($AW36,$AY$8:$BE$507,5,FALSE()))</f>
        <v/>
      </c>
      <c r="BK36" s="109" t="str">
        <f aca="false">IF($AW36&gt;$AV$7,"",VLOOKUP($AW36,$AY$8:$BE$507,6,FALSE()))</f>
        <v/>
      </c>
      <c r="BL36" s="50"/>
    </row>
    <row r="37" customFormat="false" ht="15.75" hidden="false" customHeight="false" outlineLevel="0" collapsed="false">
      <c r="A37" s="5"/>
      <c r="B37" s="124"/>
      <c r="C37" s="125"/>
      <c r="D37" s="110"/>
      <c r="E37" s="126"/>
      <c r="F37" s="127"/>
      <c r="G37" s="88"/>
      <c r="H37" s="128"/>
      <c r="I37" s="129"/>
      <c r="J37" s="91"/>
      <c r="K37" s="92"/>
      <c r="L37" s="129"/>
      <c r="M37" s="93"/>
      <c r="N37" s="94"/>
      <c r="O37" s="130"/>
      <c r="P37" s="96"/>
      <c r="Q37" s="97" t="str">
        <f aca="false">IF(ISBLANK($C37),"",IF(E37=Constants!$B$2, TRUE(), IF(E37=Constants!$B$3, FALSE(), TRUE())))</f>
        <v/>
      </c>
      <c r="R37" s="97" t="str">
        <f aca="false">IF(ISBLANK($C37),"",IF(F37=Constants!$B$2, TRUE(), IF(F37=Constants!$B$3, FALSE(), TRUE())))</f>
        <v/>
      </c>
      <c r="S37" s="97" t="str">
        <f aca="false">IF(ISBLANK($C37),"",IF(G37=Constants!$B$15,Constants!$B$8,IF(G37=Constants!$B$16,Constants!$B$9,Constants!$B$10)))</f>
        <v/>
      </c>
      <c r="T37" s="97" t="str">
        <f aca="false">IF(ISBLANK($C37),"",IF(H37=Constants!$B$2, TRUE(), IF(H37=Constants!$B$3, FALSE(), TRUE())))</f>
        <v/>
      </c>
      <c r="U37" s="97" t="str">
        <f aca="false">IF(ISBLANK($C37),"",IF(I37=Constants!$B$19,Constants!$B$19,Constants!$B$18))</f>
        <v/>
      </c>
      <c r="V37" s="97" t="str">
        <f aca="false">IF(ISBLANK($C37),"",IF(COUNTA(J37:K37)=0,"",IF(AND(OR(ISBLANK(J37),AND(ISNUMBER(J37),J37&gt;=0)),OR(ISBLANK(K37),AND(ISNUMBER(K37),K37&gt;=0))),60*IF(ISBLANK(J37),0,J37)+IF(ISBLANK(K37),0,K37),"")))</f>
        <v/>
      </c>
      <c r="W37" s="97" t="str">
        <f aca="false">IF(ISBLANK($C37),"",IF(L37=Constants!$B$19,Constants!$B$19,Constants!$B$18))</f>
        <v/>
      </c>
      <c r="X37" s="97" t="str">
        <f aca="false">IF(ISBLANK($C37),"",IF(COUNTA(M37:N37)=0,"",IF(AND(OR(ISBLANK(M37),AND(ISNUMBER(M37),M37&gt;=0)),OR(ISBLANK(N37),AND(ISNUMBER(N37),N37&gt;=0))),60*IF(ISBLANK(M37),0,M37)+IF(ISBLANK(N37),0,N37),"")))</f>
        <v/>
      </c>
      <c r="Y37" s="97" t="str">
        <f aca="false">IF(ISBLANK($C37),"",IF(O37=Constants!$B$2, TRUE(), IF(O37=Constants!$B$3, FALSE(), FALSE())))</f>
        <v/>
      </c>
      <c r="Z37" s="97" t="str">
        <f aca="false">IF(ISBLANK($C37),"",IF(Y37,Constants!$B$4,IF(COUNTA(E37:N37)=0,Constants!$B$5,IF(COUNTA(J37:K37,M37:N37)=0,Constants!$B$6,Constants!$B$7))))</f>
        <v/>
      </c>
      <c r="AA37" s="97" t="str">
        <f aca="false">IF(ISBLANK($C37),"",IF($Z37&lt;&gt;Constants!$B$7,$Z37,IF(OR(NOT(T37),AND(NOT(Q37),COUNTIFS(U37:W37,Constants!$B$18,V37:X37,"&gt;=0")&gt;0),AND(NOT(R37),COUNTIFS(U37:W37,Constants!$B$19,V37:X37,"&gt;=0")&gt;0)),Constants!$B$12,Constants!$B$11)))</f>
        <v/>
      </c>
      <c r="AB37" s="97" t="str">
        <f aca="false">IF($Z37=Constants!$B$7,IF(V37="",Constants!$B$13,V37),"")</f>
        <v/>
      </c>
      <c r="AC37" s="97" t="str">
        <f aca="false">IF($Z37=Constants!$B$7,IF(X37="",Constants!$B$13,X37),"")</f>
        <v/>
      </c>
      <c r="AD37" s="97" t="str">
        <f aca="false">IF($Z37=Constants!$B$7,IF($AB37&gt;=$AC37,1,2),"")</f>
        <v/>
      </c>
      <c r="AE37" s="97" t="str">
        <f aca="false">IF($Z37=Constants!$B$7,LARGE(AB37:AC37,1),"")</f>
        <v/>
      </c>
      <c r="AF37" s="97" t="str">
        <f aca="false">IF(ISBLANK($C37),"",IF($Z37&lt;&gt;Constants!$B$7,$Z37,AE37*S37))</f>
        <v/>
      </c>
      <c r="AG37" s="97" t="str">
        <f aca="false">IF(ISBLANK($C37),"",IF($Z37=Constants!$B$7,IF(ISNUMBER(AF37),RANK(AF37,$AF$8:$AF$507),Constants!$B$14),$Z37))</f>
        <v/>
      </c>
      <c r="AH37" s="97" t="str">
        <f aca="false">IF(ISBLANK($C37),"",IF($Z37=Constants!$B$7,IF(ISNUMBER(AG37),COUNTIFS($AA$8:$AA$507,"&lt;"&amp;$AA37)+COUNTIFS($AA$8:$AA$507,$AA37,$AG$8:$AG$507,"&lt;"&amp;$AG37)+1,Constants!$B$14),$Z37))</f>
        <v/>
      </c>
      <c r="AI37" s="97" t="str">
        <f aca="false">IF(ISBLANK($C37),"",IF($Z37=Constants!$B$7,LARGE(AB37:AC37,2)*S37,""))</f>
        <v/>
      </c>
      <c r="AJ37" s="97" t="str">
        <f aca="false">IF(ISBLANK($C37),"",IF($Z37=Constants!$B$7,RANK(AI37,$AI$8:$AI$507),$Z37))</f>
        <v/>
      </c>
      <c r="AK37" s="97" t="str">
        <f aca="false">IF(ISBLANK($C37),"",IF($Z37=Constants!$B$7,IF(ISNUMBER(AG37),COUNTIFS($AA$8:$AA$507,"&lt;"&amp;$AA37)+COUNTIFS($AA$8:$AA$507,$AA37,$AG$8:$AG$507,"&lt;"&amp;$AG37)+COUNTIFS($AA$8:$AA$507,$AA37,$AG$8:$AG$507,$AG37,$AJ$8:$AJ$507,"&lt;"&amp;$AJ37)+1,Constants!$B$14),$Z37))</f>
        <v/>
      </c>
      <c r="AL37" s="97" t="str">
        <f aca="false">IF(ISBLANK($C37),"",IF($Z37=Constants!$B$7,IF(ISNUMBER(AH37),AH37-AK37,Constants!$B$14),$Z37))</f>
        <v/>
      </c>
      <c r="AM37" s="98"/>
      <c r="AN37" s="99" t="str">
        <f aca="false">IF(ISBLANK($C37),"",IF($Z37&lt;&gt;Constants!$B$7,$Z37,AD37))</f>
        <v/>
      </c>
      <c r="AO37" s="100" t="str">
        <f aca="false">IF(ISBLANK($C37),"",IF($Z37&lt;&gt;Constants!$B$7,$Z37,S37))</f>
        <v/>
      </c>
      <c r="AP37" s="101" t="str">
        <f aca="false">IF(ISBLANK($C37),"",IF($Z37&lt;&gt;Constants!$B$7,$Z37,AF37))</f>
        <v/>
      </c>
      <c r="AQ37" s="102" t="str">
        <f aca="false">IF(ISBLANK($C37),"",IF($Z37&lt;&gt;Constants!$B$7,$Z37,AA37))</f>
        <v/>
      </c>
      <c r="AR37" s="100" t="str">
        <f aca="false">IF(ISBLANK($C37),"",AL37)</f>
        <v/>
      </c>
      <c r="AS37" s="100" t="str">
        <f aca="false">IF(ISBLANK($C37),"",AK37)</f>
        <v/>
      </c>
      <c r="AT37" s="103" t="str">
        <f aca="false">IF(ISBLANK($C37),"",IF(AS37=Constants!$B$4,COUNTA($C$8:$C$507)+2,IF(AS37=Constants!$B$5,COUNTA($C$8:$C$507)+1,IF(AS37=Constants!$B$6,COUNTA($C$8:$C$507),AS37))))</f>
        <v/>
      </c>
      <c r="AU37" s="5"/>
      <c r="AV37" s="104" t="n">
        <f aca="false">IF(OR(ISNUMBER(AS37),AS37=Constants!$B$4,AS37=Constants!$B$6,AS37=Constants!$B$5),1,0)</f>
        <v>0</v>
      </c>
      <c r="AW37" s="104" t="n">
        <v>30</v>
      </c>
      <c r="AX37" s="104" t="str">
        <f aca="false">IF(ISBLANK($C37),"",IF(ISNUMBER(AT37),AT37+ROW($B37)/1000,""))</f>
        <v/>
      </c>
      <c r="AY37" s="104" t="str">
        <f aca="false">IF(ISNUMBER(AX37),RANK(AX37,$AX$8:$AX$507,1),"")</f>
        <v/>
      </c>
      <c r="AZ37" s="104" t="str">
        <f aca="false">IF(ISBLANK($C37),"",$B37)</f>
        <v/>
      </c>
      <c r="BA37" s="104" t="str">
        <f aca="false">IF(ISBLANK($C37),"",$C37)</f>
        <v/>
      </c>
      <c r="BB37" s="104" t="str">
        <f aca="false">IF(ISBLANK($C37),"",$D37)</f>
        <v/>
      </c>
      <c r="BC37" s="105" t="str">
        <f aca="false">AQ37</f>
        <v/>
      </c>
      <c r="BD37" s="106" t="str">
        <f aca="false">AP37</f>
        <v/>
      </c>
      <c r="BE37" s="104" t="str">
        <f aca="false">IF(ISBLANK($C37),"",AS37)</f>
        <v/>
      </c>
      <c r="BF37" s="107" t="str">
        <f aca="false">IF($AW37&gt;$AV$7,"",VLOOKUP($AW37,$AY$8:$BE$507,7,FALSE()))</f>
        <v/>
      </c>
      <c r="BG37" s="108" t="str">
        <f aca="false">IF($AW37&gt;$AV$7,"",VLOOKUP($AW37,$AY$8:$BE$507,2,FALSE()))</f>
        <v/>
      </c>
      <c r="BH37" s="108" t="str">
        <f aca="false">IF($AW37&gt;$AV$7,"",VLOOKUP($AW37,$AY$8:$BE$507,3,FALSE()))</f>
        <v/>
      </c>
      <c r="BI37" s="108" t="str">
        <f aca="false">IF($AW37&gt;$AV$7,"",VLOOKUP($AW37,$AY$8:$BE$507,4,FALSE()))</f>
        <v/>
      </c>
      <c r="BJ37" s="108" t="str">
        <f aca="false">IF($AW37&gt;$AV$7,"",VLOOKUP($AW37,$AY$8:$BE$507,5,FALSE()))</f>
        <v/>
      </c>
      <c r="BK37" s="109" t="str">
        <f aca="false">IF($AW37&gt;$AV$7,"",VLOOKUP($AW37,$AY$8:$BE$507,6,FALSE()))</f>
        <v/>
      </c>
      <c r="BL37" s="50"/>
    </row>
    <row r="38" customFormat="false" ht="15.75" hidden="false" customHeight="false" outlineLevel="0" collapsed="false">
      <c r="A38" s="5"/>
      <c r="B38" s="131"/>
      <c r="C38" s="52"/>
      <c r="D38" s="53"/>
      <c r="E38" s="120"/>
      <c r="F38" s="121"/>
      <c r="G38" s="56"/>
      <c r="H38" s="122"/>
      <c r="I38" s="123"/>
      <c r="J38" s="59"/>
      <c r="K38" s="60"/>
      <c r="L38" s="123"/>
      <c r="M38" s="61"/>
      <c r="N38" s="62"/>
      <c r="O38" s="80"/>
      <c r="P38" s="64"/>
      <c r="Q38" s="65" t="str">
        <f aca="false">IF(ISBLANK($C38),"",IF(E38=Constants!$B$2, TRUE(), IF(E38=Constants!$B$3, FALSE(), TRUE())))</f>
        <v/>
      </c>
      <c r="R38" s="65" t="str">
        <f aca="false">IF(ISBLANK($C38),"",IF(F38=Constants!$B$2, TRUE(), IF(F38=Constants!$B$3, FALSE(), TRUE())))</f>
        <v/>
      </c>
      <c r="S38" s="65" t="str">
        <f aca="false">IF(ISBLANK($C38),"",IF(G38=Constants!$B$15,Constants!$B$8,IF(G38=Constants!$B$16,Constants!$B$9,Constants!$B$10)))</f>
        <v/>
      </c>
      <c r="T38" s="65" t="str">
        <f aca="false">IF(ISBLANK($C38),"",IF(H38=Constants!$B$2, TRUE(), IF(H38=Constants!$B$3, FALSE(), TRUE())))</f>
        <v/>
      </c>
      <c r="U38" s="65" t="str">
        <f aca="false">IF(ISBLANK($C38),"",IF(I38=Constants!$B$19,Constants!$B$19,Constants!$B$18))</f>
        <v/>
      </c>
      <c r="V38" s="65" t="str">
        <f aca="false">IF(ISBLANK($C38),"",IF(COUNTA(J38:K38)=0,"",IF(AND(OR(ISBLANK(J38),AND(ISNUMBER(J38),J38&gt;=0)),OR(ISBLANK(K38),AND(ISNUMBER(K38),K38&gt;=0))),60*IF(ISBLANK(J38),0,J38)+IF(ISBLANK(K38),0,K38),"")))</f>
        <v/>
      </c>
      <c r="W38" s="65" t="str">
        <f aca="false">IF(ISBLANK($C38),"",IF(L38=Constants!$B$19,Constants!$B$19,Constants!$B$18))</f>
        <v/>
      </c>
      <c r="X38" s="65" t="str">
        <f aca="false">IF(ISBLANK($C38),"",IF(COUNTA(M38:N38)=0,"",IF(AND(OR(ISBLANK(M38),AND(ISNUMBER(M38),M38&gt;=0)),OR(ISBLANK(N38),AND(ISNUMBER(N38),N38&gt;=0))),60*IF(ISBLANK(M38),0,M38)+IF(ISBLANK(N38),0,N38),"")))</f>
        <v/>
      </c>
      <c r="Y38" s="65" t="str">
        <f aca="false">IF(ISBLANK($C38),"",IF(O38=Constants!$B$2, TRUE(), IF(O38=Constants!$B$3, FALSE(), FALSE())))</f>
        <v/>
      </c>
      <c r="Z38" s="65" t="str">
        <f aca="false">IF(ISBLANK($C38),"",IF(Y38,Constants!$B$4,IF(COUNTA(E38:N38)=0,Constants!$B$5,IF(COUNTA(J38:K38,M38:N38)=0,Constants!$B$6,Constants!$B$7))))</f>
        <v/>
      </c>
      <c r="AA38" s="65" t="str">
        <f aca="false">IF(ISBLANK($C38),"",IF($Z38&lt;&gt;Constants!$B$7,$Z38,IF(OR(NOT(T38),AND(NOT(Q38),COUNTIFS(U38:W38,Constants!$B$18,V38:X38,"&gt;=0")&gt;0),AND(NOT(R38),COUNTIFS(U38:W38,Constants!$B$19,V38:X38,"&gt;=0")&gt;0)),Constants!$B$12,Constants!$B$11)))</f>
        <v/>
      </c>
      <c r="AB38" s="65" t="str">
        <f aca="false">IF($Z38=Constants!$B$7,IF(V38="",Constants!$B$13,V38),"")</f>
        <v/>
      </c>
      <c r="AC38" s="65" t="str">
        <f aca="false">IF($Z38=Constants!$B$7,IF(X38="",Constants!$B$13,X38),"")</f>
        <v/>
      </c>
      <c r="AD38" s="65" t="str">
        <f aca="false">IF($Z38=Constants!$B$7,IF($AB38&gt;=$AC38,1,2),"")</f>
        <v/>
      </c>
      <c r="AE38" s="65" t="str">
        <f aca="false">IF($Z38=Constants!$B$7,LARGE(AB38:AC38,1),"")</f>
        <v/>
      </c>
      <c r="AF38" s="65" t="str">
        <f aca="false">IF(ISBLANK($C38),"",IF($Z38&lt;&gt;Constants!$B$7,$Z38,AE38*S38))</f>
        <v/>
      </c>
      <c r="AG38" s="65" t="str">
        <f aca="false">IF(ISBLANK($C38),"",IF($Z38=Constants!$B$7,IF(ISNUMBER(AF38),RANK(AF38,$AF$8:$AF$507),Constants!$B$14),$Z38))</f>
        <v/>
      </c>
      <c r="AH38" s="65" t="str">
        <f aca="false">IF(ISBLANK($C38),"",IF($Z38=Constants!$B$7,IF(ISNUMBER(AG38),COUNTIFS($AA$8:$AA$507,"&lt;"&amp;$AA38)+COUNTIFS($AA$8:$AA$507,$AA38,$AG$8:$AG$507,"&lt;"&amp;$AG38)+1,Constants!$B$14),$Z38))</f>
        <v/>
      </c>
      <c r="AI38" s="65" t="str">
        <f aca="false">IF(ISBLANK($C38),"",IF($Z38=Constants!$B$7,LARGE(AB38:AC38,2)*S38,""))</f>
        <v/>
      </c>
      <c r="AJ38" s="65" t="str">
        <f aca="false">IF(ISBLANK($C38),"",IF($Z38=Constants!$B$7,RANK(AI38,$AI$8:$AI$507),$Z38))</f>
        <v/>
      </c>
      <c r="AK38" s="65" t="str">
        <f aca="false">IF(ISBLANK($C38),"",IF($Z38=Constants!$B$7,IF(ISNUMBER(AG38),COUNTIFS($AA$8:$AA$507,"&lt;"&amp;$AA38)+COUNTIFS($AA$8:$AA$507,$AA38,$AG$8:$AG$507,"&lt;"&amp;$AG38)+COUNTIFS($AA$8:$AA$507,$AA38,$AG$8:$AG$507,$AG38,$AJ$8:$AJ$507,"&lt;"&amp;$AJ38)+1,Constants!$B$14),$Z38))</f>
        <v/>
      </c>
      <c r="AL38" s="65" t="str">
        <f aca="false">IF(ISBLANK($C38),"",IF($Z38=Constants!$B$7,IF(ISNUMBER(AH38),AH38-AK38,Constants!$B$14),$Z38))</f>
        <v/>
      </c>
      <c r="AM38" s="67"/>
      <c r="AN38" s="68" t="str">
        <f aca="false">IF(ISBLANK($C38),"",IF($Z38&lt;&gt;Constants!$B$7,$Z38,AD38))</f>
        <v/>
      </c>
      <c r="AO38" s="69" t="str">
        <f aca="false">IF(ISBLANK($C38),"",IF($Z38&lt;&gt;Constants!$B$7,$Z38,S38))</f>
        <v/>
      </c>
      <c r="AP38" s="70" t="str">
        <f aca="false">IF(ISBLANK($C38),"",IF($Z38&lt;&gt;Constants!$B$7,$Z38,AF38))</f>
        <v/>
      </c>
      <c r="AQ38" s="71" t="str">
        <f aca="false">IF(ISBLANK($C38),"",IF($Z38&lt;&gt;Constants!$B$7,$Z38,AA38))</f>
        <v/>
      </c>
      <c r="AR38" s="69" t="str">
        <f aca="false">IF(ISBLANK($C38),"",AL38)</f>
        <v/>
      </c>
      <c r="AS38" s="69" t="str">
        <f aca="false">IF(ISBLANK($C38),"",AK38)</f>
        <v/>
      </c>
      <c r="AT38" s="72" t="str">
        <f aca="false">IF(ISBLANK($C38),"",IF(AS38=Constants!$B$4,COUNTA($C$8:$C$507)+2,IF(AS38=Constants!$B$5,COUNTA($C$8:$C$507)+1,IF(AS38=Constants!$B$6,COUNTA($C$8:$C$507),AS38))))</f>
        <v/>
      </c>
      <c r="AU38" s="5"/>
      <c r="AV38" s="73" t="n">
        <f aca="false">IF(OR(ISNUMBER(AS38),AS38=Constants!$B$4,AS38=Constants!$B$6,AS38=Constants!$B$5),1,0)</f>
        <v>0</v>
      </c>
      <c r="AW38" s="73" t="n">
        <v>31</v>
      </c>
      <c r="AX38" s="73" t="str">
        <f aca="false">IF(ISBLANK($C38),"",IF(ISNUMBER(AT38),AT38+ROW($B38)/1000,""))</f>
        <v/>
      </c>
      <c r="AY38" s="73" t="str">
        <f aca="false">IF(ISNUMBER(AX38),RANK(AX38,$AX$8:$AX$507,1),"")</f>
        <v/>
      </c>
      <c r="AZ38" s="73" t="str">
        <f aca="false">IF(ISBLANK($C38),"",$B38)</f>
        <v/>
      </c>
      <c r="BA38" s="73" t="str">
        <f aca="false">IF(ISBLANK($C38),"",$C38)</f>
        <v/>
      </c>
      <c r="BB38" s="73" t="str">
        <f aca="false">IF(ISBLANK($C38),"",$D38)</f>
        <v/>
      </c>
      <c r="BC38" s="74" t="str">
        <f aca="false">AQ38</f>
        <v/>
      </c>
      <c r="BD38" s="75" t="str">
        <f aca="false">AP38</f>
        <v/>
      </c>
      <c r="BE38" s="73" t="str">
        <f aca="false">IF(ISBLANK($C38),"",AS38)</f>
        <v/>
      </c>
      <c r="BF38" s="76" t="str">
        <f aca="false">IF($AW38&gt;$AV$7,"",VLOOKUP($AW38,$AY$8:$BE$507,7,FALSE()))</f>
        <v/>
      </c>
      <c r="BG38" s="77" t="str">
        <f aca="false">IF($AW38&gt;$AV$7,"",VLOOKUP($AW38,$AY$8:$BE$507,2,FALSE()))</f>
        <v/>
      </c>
      <c r="BH38" s="77" t="str">
        <f aca="false">IF($AW38&gt;$AV$7,"",VLOOKUP($AW38,$AY$8:$BE$507,3,FALSE()))</f>
        <v/>
      </c>
      <c r="BI38" s="77" t="str">
        <f aca="false">IF($AW38&gt;$AV$7,"",VLOOKUP($AW38,$AY$8:$BE$507,4,FALSE()))</f>
        <v/>
      </c>
      <c r="BJ38" s="77" t="str">
        <f aca="false">IF($AW38&gt;$AV$7,"",VLOOKUP($AW38,$AY$8:$BE$507,5,FALSE()))</f>
        <v/>
      </c>
      <c r="BK38" s="78" t="str">
        <f aca="false">IF($AW38&gt;$AV$7,"",VLOOKUP($AW38,$AY$8:$BE$507,6,FALSE()))</f>
        <v/>
      </c>
      <c r="BL38" s="50"/>
    </row>
    <row r="39" customFormat="false" ht="15.75" hidden="false" customHeight="false" outlineLevel="0" collapsed="false">
      <c r="A39" s="5"/>
      <c r="B39" s="131"/>
      <c r="C39" s="52"/>
      <c r="D39" s="53"/>
      <c r="E39" s="80"/>
      <c r="F39" s="132"/>
      <c r="G39" s="56"/>
      <c r="H39" s="133"/>
      <c r="I39" s="134"/>
      <c r="J39" s="59"/>
      <c r="K39" s="60"/>
      <c r="L39" s="134"/>
      <c r="M39" s="61"/>
      <c r="N39" s="62"/>
      <c r="O39" s="80"/>
      <c r="P39" s="64"/>
      <c r="Q39" s="65" t="str">
        <f aca="false">IF(ISBLANK($C39),"",IF(E39=Constants!$B$2, TRUE(), IF(E39=Constants!$B$3, FALSE(), TRUE())))</f>
        <v/>
      </c>
      <c r="R39" s="65" t="str">
        <f aca="false">IF(ISBLANK($C39),"",IF(F39=Constants!$B$2, TRUE(), IF(F39=Constants!$B$3, FALSE(), TRUE())))</f>
        <v/>
      </c>
      <c r="S39" s="65" t="str">
        <f aca="false">IF(ISBLANK($C39),"",IF(G39=Constants!$B$15,Constants!$B$8,IF(G39=Constants!$B$16,Constants!$B$9,Constants!$B$10)))</f>
        <v/>
      </c>
      <c r="T39" s="65" t="str">
        <f aca="false">IF(ISBLANK($C39),"",IF(H39=Constants!$B$2, TRUE(), IF(H39=Constants!$B$3, FALSE(), TRUE())))</f>
        <v/>
      </c>
      <c r="U39" s="65" t="str">
        <f aca="false">IF(ISBLANK($C39),"",IF(I39=Constants!$B$19,Constants!$B$19,Constants!$B$18))</f>
        <v/>
      </c>
      <c r="V39" s="65" t="str">
        <f aca="false">IF(ISBLANK($C39),"",IF(COUNTA(J39:K39)=0,"",IF(AND(OR(ISBLANK(J39),AND(ISNUMBER(J39),J39&gt;=0)),OR(ISBLANK(K39),AND(ISNUMBER(K39),K39&gt;=0))),60*IF(ISBLANK(J39),0,J39)+IF(ISBLANK(K39),0,K39),"")))</f>
        <v/>
      </c>
      <c r="W39" s="65" t="str">
        <f aca="false">IF(ISBLANK($C39),"",IF(L39=Constants!$B$19,Constants!$B$19,Constants!$B$18))</f>
        <v/>
      </c>
      <c r="X39" s="65" t="str">
        <f aca="false">IF(ISBLANK($C39),"",IF(COUNTA(M39:N39)=0,"",IF(AND(OR(ISBLANK(M39),AND(ISNUMBER(M39),M39&gt;=0)),OR(ISBLANK(N39),AND(ISNUMBER(N39),N39&gt;=0))),60*IF(ISBLANK(M39),0,M39)+IF(ISBLANK(N39),0,N39),"")))</f>
        <v/>
      </c>
      <c r="Y39" s="65" t="str">
        <f aca="false">IF(ISBLANK($C39),"",IF(O39=Constants!$B$2, TRUE(), IF(O39=Constants!$B$3, FALSE(), FALSE())))</f>
        <v/>
      </c>
      <c r="Z39" s="65" t="str">
        <f aca="false">IF(ISBLANK($C39),"",IF(Y39,Constants!$B$4,IF(COUNTA(E39:N39)=0,Constants!$B$5,IF(COUNTA(J39:K39,M39:N39)=0,Constants!$B$6,Constants!$B$7))))</f>
        <v/>
      </c>
      <c r="AA39" s="65" t="str">
        <f aca="false">IF(ISBLANK($C39),"",IF($Z39&lt;&gt;Constants!$B$7,$Z39,IF(OR(NOT(T39),AND(NOT(Q39),COUNTIFS(U39:W39,Constants!$B$18,V39:X39,"&gt;=0")&gt;0),AND(NOT(R39),COUNTIFS(U39:W39,Constants!$B$19,V39:X39,"&gt;=0")&gt;0)),Constants!$B$12,Constants!$B$11)))</f>
        <v/>
      </c>
      <c r="AB39" s="65" t="str">
        <f aca="false">IF($Z39=Constants!$B$7,IF(V39="",Constants!$B$13,V39),"")</f>
        <v/>
      </c>
      <c r="AC39" s="65" t="str">
        <f aca="false">IF($Z39=Constants!$B$7,IF(X39="",Constants!$B$13,X39),"")</f>
        <v/>
      </c>
      <c r="AD39" s="65" t="str">
        <f aca="false">IF($Z39=Constants!$B$7,IF($AB39&gt;=$AC39,1,2),"")</f>
        <v/>
      </c>
      <c r="AE39" s="65" t="str">
        <f aca="false">IF($Z39=Constants!$B$7,LARGE(AB39:AC39,1),"")</f>
        <v/>
      </c>
      <c r="AF39" s="65" t="str">
        <f aca="false">IF(ISBLANK($C39),"",IF($Z39&lt;&gt;Constants!$B$7,$Z39,AE39*S39))</f>
        <v/>
      </c>
      <c r="AG39" s="65" t="str">
        <f aca="false">IF(ISBLANK($C39),"",IF($Z39=Constants!$B$7,IF(ISNUMBER(AF39),RANK(AF39,$AF$8:$AF$507),Constants!$B$14),$Z39))</f>
        <v/>
      </c>
      <c r="AH39" s="65" t="str">
        <f aca="false">IF(ISBLANK($C39),"",IF($Z39=Constants!$B$7,IF(ISNUMBER(AG39),COUNTIFS($AA$8:$AA$507,"&lt;"&amp;$AA39)+COUNTIFS($AA$8:$AA$507,$AA39,$AG$8:$AG$507,"&lt;"&amp;$AG39)+1,Constants!$B$14),$Z39))</f>
        <v/>
      </c>
      <c r="AI39" s="65" t="str">
        <f aca="false">IF(ISBLANK($C39),"",IF($Z39=Constants!$B$7,LARGE(AB39:AC39,2)*S39,""))</f>
        <v/>
      </c>
      <c r="AJ39" s="65" t="str">
        <f aca="false">IF(ISBLANK($C39),"",IF($Z39=Constants!$B$7,RANK(AI39,$AI$8:$AI$507),$Z39))</f>
        <v/>
      </c>
      <c r="AK39" s="65" t="str">
        <f aca="false">IF(ISBLANK($C39),"",IF($Z39=Constants!$B$7,IF(ISNUMBER(AG39),COUNTIFS($AA$8:$AA$507,"&lt;"&amp;$AA39)+COUNTIFS($AA$8:$AA$507,$AA39,$AG$8:$AG$507,"&lt;"&amp;$AG39)+COUNTIFS($AA$8:$AA$507,$AA39,$AG$8:$AG$507,$AG39,$AJ$8:$AJ$507,"&lt;"&amp;$AJ39)+1,Constants!$B$14),$Z39))</f>
        <v/>
      </c>
      <c r="AL39" s="65" t="str">
        <f aca="false">IF(ISBLANK($C39),"",IF($Z39=Constants!$B$7,IF(ISNUMBER(AH39),AH39-AK39,Constants!$B$14),$Z39))</f>
        <v/>
      </c>
      <c r="AM39" s="67"/>
      <c r="AN39" s="68" t="str">
        <f aca="false">IF(ISBLANK($C39),"",IF($Z39&lt;&gt;Constants!$B$7,$Z39,AD39))</f>
        <v/>
      </c>
      <c r="AO39" s="69" t="str">
        <f aca="false">IF(ISBLANK($C39),"",IF($Z39&lt;&gt;Constants!$B$7,$Z39,S39))</f>
        <v/>
      </c>
      <c r="AP39" s="70" t="str">
        <f aca="false">IF(ISBLANK($C39),"",IF($Z39&lt;&gt;Constants!$B$7,$Z39,AF39))</f>
        <v/>
      </c>
      <c r="AQ39" s="71" t="str">
        <f aca="false">IF(ISBLANK($C39),"",IF($Z39&lt;&gt;Constants!$B$7,$Z39,AA39))</f>
        <v/>
      </c>
      <c r="AR39" s="69" t="str">
        <f aca="false">IF(ISBLANK($C39),"",AL39)</f>
        <v/>
      </c>
      <c r="AS39" s="69" t="str">
        <f aca="false">IF(ISBLANK($C39),"",AK39)</f>
        <v/>
      </c>
      <c r="AT39" s="72" t="str">
        <f aca="false">IF(ISBLANK($C39),"",IF(AS39=Constants!$B$4,COUNTA($C$8:$C$507)+2,IF(AS39=Constants!$B$5,COUNTA($C$8:$C$507)+1,IF(AS39=Constants!$B$6,COUNTA($C$8:$C$507),AS39))))</f>
        <v/>
      </c>
      <c r="AU39" s="5"/>
      <c r="AV39" s="73" t="n">
        <f aca="false">IF(OR(ISNUMBER(AS39),AS39=Constants!$B$4,AS39=Constants!$B$6,AS39=Constants!$B$5),1,0)</f>
        <v>0</v>
      </c>
      <c r="AW39" s="73" t="n">
        <v>32</v>
      </c>
      <c r="AX39" s="73" t="str">
        <f aca="false">IF(ISBLANK($C39),"",IF(ISNUMBER(AT39),AT39+ROW($B39)/1000,""))</f>
        <v/>
      </c>
      <c r="AY39" s="73" t="str">
        <f aca="false">IF(ISNUMBER(AX39),RANK(AX39,$AX$8:$AX$507,1),"")</f>
        <v/>
      </c>
      <c r="AZ39" s="73" t="str">
        <f aca="false">IF(ISBLANK($C39),"",$B39)</f>
        <v/>
      </c>
      <c r="BA39" s="73" t="str">
        <f aca="false">IF(ISBLANK($C39),"",$C39)</f>
        <v/>
      </c>
      <c r="BB39" s="73" t="str">
        <f aca="false">IF(ISBLANK($C39),"",$D39)</f>
        <v/>
      </c>
      <c r="BC39" s="74" t="str">
        <f aca="false">AQ39</f>
        <v/>
      </c>
      <c r="BD39" s="75" t="str">
        <f aca="false">AP39</f>
        <v/>
      </c>
      <c r="BE39" s="73" t="str">
        <f aca="false">IF(ISBLANK($C39),"",AS39)</f>
        <v/>
      </c>
      <c r="BF39" s="76" t="str">
        <f aca="false">IF($AW39&gt;$AV$7,"",VLOOKUP($AW39,$AY$8:$BE$507,7,FALSE()))</f>
        <v/>
      </c>
      <c r="BG39" s="77" t="str">
        <f aca="false">IF($AW39&gt;$AV$7,"",VLOOKUP($AW39,$AY$8:$BE$507,2,FALSE()))</f>
        <v/>
      </c>
      <c r="BH39" s="77" t="str">
        <f aca="false">IF($AW39&gt;$AV$7,"",VLOOKUP($AW39,$AY$8:$BE$507,3,FALSE()))</f>
        <v/>
      </c>
      <c r="BI39" s="77" t="str">
        <f aca="false">IF($AW39&gt;$AV$7,"",VLOOKUP($AW39,$AY$8:$BE$507,4,FALSE()))</f>
        <v/>
      </c>
      <c r="BJ39" s="77" t="str">
        <f aca="false">IF($AW39&gt;$AV$7,"",VLOOKUP($AW39,$AY$8:$BE$507,5,FALSE()))</f>
        <v/>
      </c>
      <c r="BK39" s="78" t="str">
        <f aca="false">IF($AW39&gt;$AV$7,"",VLOOKUP($AW39,$AY$8:$BE$507,6,FALSE()))</f>
        <v/>
      </c>
      <c r="BL39" s="50"/>
    </row>
    <row r="40" customFormat="false" ht="15.75" hidden="false" customHeight="false" outlineLevel="0" collapsed="false">
      <c r="A40" s="5"/>
      <c r="B40" s="131"/>
      <c r="C40" s="52"/>
      <c r="D40" s="53"/>
      <c r="E40" s="80"/>
      <c r="F40" s="132"/>
      <c r="G40" s="56"/>
      <c r="H40" s="133"/>
      <c r="I40" s="134"/>
      <c r="J40" s="59"/>
      <c r="K40" s="60"/>
      <c r="L40" s="134"/>
      <c r="M40" s="61"/>
      <c r="N40" s="62"/>
      <c r="O40" s="80"/>
      <c r="P40" s="64"/>
      <c r="Q40" s="65" t="str">
        <f aca="false">IF(ISBLANK($C40),"",IF(E40=Constants!$B$2, TRUE(), IF(E40=Constants!$B$3, FALSE(), TRUE())))</f>
        <v/>
      </c>
      <c r="R40" s="65" t="str">
        <f aca="false">IF(ISBLANK($C40),"",IF(F40=Constants!$B$2, TRUE(), IF(F40=Constants!$B$3, FALSE(), TRUE())))</f>
        <v/>
      </c>
      <c r="S40" s="65" t="str">
        <f aca="false">IF(ISBLANK($C40),"",IF(G40=Constants!$B$15,Constants!$B$8,IF(G40=Constants!$B$16,Constants!$B$9,Constants!$B$10)))</f>
        <v/>
      </c>
      <c r="T40" s="65" t="str">
        <f aca="false">IF(ISBLANK($C40),"",IF(H40=Constants!$B$2, TRUE(), IF(H40=Constants!$B$3, FALSE(), TRUE())))</f>
        <v/>
      </c>
      <c r="U40" s="65" t="str">
        <f aca="false">IF(ISBLANK($C40),"",IF(I40=Constants!$B$19,Constants!$B$19,Constants!$B$18))</f>
        <v/>
      </c>
      <c r="V40" s="65" t="str">
        <f aca="false">IF(ISBLANK($C40),"",IF(COUNTA(J40:K40)=0,"",IF(AND(OR(ISBLANK(J40),AND(ISNUMBER(J40),J40&gt;=0)),OR(ISBLANK(K40),AND(ISNUMBER(K40),K40&gt;=0))),60*IF(ISBLANK(J40),0,J40)+IF(ISBLANK(K40),0,K40),"")))</f>
        <v/>
      </c>
      <c r="W40" s="65" t="str">
        <f aca="false">IF(ISBLANK($C40),"",IF(L40=Constants!$B$19,Constants!$B$19,Constants!$B$18))</f>
        <v/>
      </c>
      <c r="X40" s="65" t="str">
        <f aca="false">IF(ISBLANK($C40),"",IF(COUNTA(M40:N40)=0,"",IF(AND(OR(ISBLANK(M40),AND(ISNUMBER(M40),M40&gt;=0)),OR(ISBLANK(N40),AND(ISNUMBER(N40),N40&gt;=0))),60*IF(ISBLANK(M40),0,M40)+IF(ISBLANK(N40),0,N40),"")))</f>
        <v/>
      </c>
      <c r="Y40" s="65" t="str">
        <f aca="false">IF(ISBLANK($C40),"",IF(O40=Constants!$B$2, TRUE(), IF(O40=Constants!$B$3, FALSE(), FALSE())))</f>
        <v/>
      </c>
      <c r="Z40" s="65" t="str">
        <f aca="false">IF(ISBLANK($C40),"",IF(Y40,Constants!$B$4,IF(COUNTA(E40:N40)=0,Constants!$B$5,IF(COUNTA(J40:K40,M40:N40)=0,Constants!$B$6,Constants!$B$7))))</f>
        <v/>
      </c>
      <c r="AA40" s="65" t="str">
        <f aca="false">IF(ISBLANK($C40),"",IF($Z40&lt;&gt;Constants!$B$7,$Z40,IF(OR(NOT(T40),AND(NOT(Q40),COUNTIFS(U40:W40,Constants!$B$18,V40:X40,"&gt;=0")&gt;0),AND(NOT(R40),COUNTIFS(U40:W40,Constants!$B$19,V40:X40,"&gt;=0")&gt;0)),Constants!$B$12,Constants!$B$11)))</f>
        <v/>
      </c>
      <c r="AB40" s="65" t="str">
        <f aca="false">IF($Z40=Constants!$B$7,IF(V40="",Constants!$B$13,V40),"")</f>
        <v/>
      </c>
      <c r="AC40" s="65" t="str">
        <f aca="false">IF($Z40=Constants!$B$7,IF(X40="",Constants!$B$13,X40),"")</f>
        <v/>
      </c>
      <c r="AD40" s="65" t="str">
        <f aca="false">IF($Z40=Constants!$B$7,IF($AB40&gt;=$AC40,1,2),"")</f>
        <v/>
      </c>
      <c r="AE40" s="65" t="str">
        <f aca="false">IF($Z40=Constants!$B$7,LARGE(AB40:AC40,1),"")</f>
        <v/>
      </c>
      <c r="AF40" s="65" t="str">
        <f aca="false">IF(ISBLANK($C40),"",IF($Z40&lt;&gt;Constants!$B$7,$Z40,AE40*S40))</f>
        <v/>
      </c>
      <c r="AG40" s="65" t="str">
        <f aca="false">IF(ISBLANK($C40),"",IF($Z40=Constants!$B$7,IF(ISNUMBER(AF40),RANK(AF40,$AF$8:$AF$507),Constants!$B$14),$Z40))</f>
        <v/>
      </c>
      <c r="AH40" s="65" t="str">
        <f aca="false">IF(ISBLANK($C40),"",IF($Z40=Constants!$B$7,IF(ISNUMBER(AG40),COUNTIFS($AA$8:$AA$507,"&lt;"&amp;$AA40)+COUNTIFS($AA$8:$AA$507,$AA40,$AG$8:$AG$507,"&lt;"&amp;$AG40)+1,Constants!$B$14),$Z40))</f>
        <v/>
      </c>
      <c r="AI40" s="65" t="str">
        <f aca="false">IF(ISBLANK($C40),"",IF($Z40=Constants!$B$7,LARGE(AB40:AC40,2)*S40,""))</f>
        <v/>
      </c>
      <c r="AJ40" s="65" t="str">
        <f aca="false">IF(ISBLANK($C40),"",IF($Z40=Constants!$B$7,RANK(AI40,$AI$8:$AI$507),$Z40))</f>
        <v/>
      </c>
      <c r="AK40" s="65" t="str">
        <f aca="false">IF(ISBLANK($C40),"",IF($Z40=Constants!$B$7,IF(ISNUMBER(AG40),COUNTIFS($AA$8:$AA$507,"&lt;"&amp;$AA40)+COUNTIFS($AA$8:$AA$507,$AA40,$AG$8:$AG$507,"&lt;"&amp;$AG40)+COUNTIFS($AA$8:$AA$507,$AA40,$AG$8:$AG$507,$AG40,$AJ$8:$AJ$507,"&lt;"&amp;$AJ40)+1,Constants!$B$14),$Z40))</f>
        <v/>
      </c>
      <c r="AL40" s="65" t="str">
        <f aca="false">IF(ISBLANK($C40),"",IF($Z40=Constants!$B$7,IF(ISNUMBER(AH40),AH40-AK40,Constants!$B$14),$Z40))</f>
        <v/>
      </c>
      <c r="AM40" s="67"/>
      <c r="AN40" s="68" t="str">
        <f aca="false">IF(ISBLANK($C40),"",IF($Z40&lt;&gt;Constants!$B$7,$Z40,AD40))</f>
        <v/>
      </c>
      <c r="AO40" s="69" t="str">
        <f aca="false">IF(ISBLANK($C40),"",IF($Z40&lt;&gt;Constants!$B$7,$Z40,S40))</f>
        <v/>
      </c>
      <c r="AP40" s="70" t="str">
        <f aca="false">IF(ISBLANK($C40),"",IF($Z40&lt;&gt;Constants!$B$7,$Z40,AF40))</f>
        <v/>
      </c>
      <c r="AQ40" s="71" t="str">
        <f aca="false">IF(ISBLANK($C40),"",IF($Z40&lt;&gt;Constants!$B$7,$Z40,AA40))</f>
        <v/>
      </c>
      <c r="AR40" s="69" t="str">
        <f aca="false">IF(ISBLANK($C40),"",AL40)</f>
        <v/>
      </c>
      <c r="AS40" s="69" t="str">
        <f aca="false">IF(ISBLANK($C40),"",AK40)</f>
        <v/>
      </c>
      <c r="AT40" s="72" t="str">
        <f aca="false">IF(ISBLANK($C40),"",IF(AS40=Constants!$B$4,COUNTA($C$8:$C$507)+2,IF(AS40=Constants!$B$5,COUNTA($C$8:$C$507)+1,IF(AS40=Constants!$B$6,COUNTA($C$8:$C$507),AS40))))</f>
        <v/>
      </c>
      <c r="AU40" s="5"/>
      <c r="AV40" s="73" t="n">
        <f aca="false">IF(OR(ISNUMBER(AS40),AS40=Constants!$B$4,AS40=Constants!$B$6,AS40=Constants!$B$5),1,0)</f>
        <v>0</v>
      </c>
      <c r="AW40" s="73" t="n">
        <v>33</v>
      </c>
      <c r="AX40" s="73" t="str">
        <f aca="false">IF(ISBLANK($C40),"",IF(ISNUMBER(AT40),AT40+ROW($B40)/1000,""))</f>
        <v/>
      </c>
      <c r="AY40" s="73" t="str">
        <f aca="false">IF(ISNUMBER(AX40),RANK(AX40,$AX$8:$AX$507,1),"")</f>
        <v/>
      </c>
      <c r="AZ40" s="73" t="str">
        <f aca="false">IF(ISBLANK($C40),"",$B40)</f>
        <v/>
      </c>
      <c r="BA40" s="73" t="str">
        <f aca="false">IF(ISBLANK($C40),"",$C40)</f>
        <v/>
      </c>
      <c r="BB40" s="73" t="str">
        <f aca="false">IF(ISBLANK($C40),"",$D40)</f>
        <v/>
      </c>
      <c r="BC40" s="74" t="str">
        <f aca="false">AQ40</f>
        <v/>
      </c>
      <c r="BD40" s="75" t="str">
        <f aca="false">AP40</f>
        <v/>
      </c>
      <c r="BE40" s="73" t="str">
        <f aca="false">IF(ISBLANK($C40),"",AS40)</f>
        <v/>
      </c>
      <c r="BF40" s="76" t="str">
        <f aca="false">IF($AW40&gt;$AV$7,"",VLOOKUP($AW40,$AY$8:$BE$507,7,FALSE()))</f>
        <v/>
      </c>
      <c r="BG40" s="77" t="str">
        <f aca="false">IF($AW40&gt;$AV$7,"",VLOOKUP($AW40,$AY$8:$BE$507,2,FALSE()))</f>
        <v/>
      </c>
      <c r="BH40" s="77" t="str">
        <f aca="false">IF($AW40&gt;$AV$7,"",VLOOKUP($AW40,$AY$8:$BE$507,3,FALSE()))</f>
        <v/>
      </c>
      <c r="BI40" s="77" t="str">
        <f aca="false">IF($AW40&gt;$AV$7,"",VLOOKUP($AW40,$AY$8:$BE$507,4,FALSE()))</f>
        <v/>
      </c>
      <c r="BJ40" s="77" t="str">
        <f aca="false">IF($AW40&gt;$AV$7,"",VLOOKUP($AW40,$AY$8:$BE$507,5,FALSE()))</f>
        <v/>
      </c>
      <c r="BK40" s="78" t="str">
        <f aca="false">IF($AW40&gt;$AV$7,"",VLOOKUP($AW40,$AY$8:$BE$507,6,FALSE()))</f>
        <v/>
      </c>
      <c r="BL40" s="50"/>
    </row>
    <row r="41" customFormat="false" ht="15.75" hidden="false" customHeight="false" outlineLevel="0" collapsed="false">
      <c r="A41" s="5"/>
      <c r="B41" s="124"/>
      <c r="C41" s="125"/>
      <c r="D41" s="110"/>
      <c r="E41" s="130"/>
      <c r="F41" s="135"/>
      <c r="G41" s="88"/>
      <c r="H41" s="136"/>
      <c r="I41" s="137"/>
      <c r="J41" s="91"/>
      <c r="K41" s="92"/>
      <c r="L41" s="137"/>
      <c r="M41" s="93"/>
      <c r="N41" s="94"/>
      <c r="O41" s="130"/>
      <c r="P41" s="96"/>
      <c r="Q41" s="97" t="str">
        <f aca="false">IF(ISBLANK($C41),"",IF(E41=Constants!$B$2, TRUE(), IF(E41=Constants!$B$3, FALSE(), TRUE())))</f>
        <v/>
      </c>
      <c r="R41" s="97" t="str">
        <f aca="false">IF(ISBLANK($C41),"",IF(F41=Constants!$B$2, TRUE(), IF(F41=Constants!$B$3, FALSE(), TRUE())))</f>
        <v/>
      </c>
      <c r="S41" s="97" t="str">
        <f aca="false">IF(ISBLANK($C41),"",IF(G41=Constants!$B$15,Constants!$B$8,IF(G41=Constants!$B$16,Constants!$B$9,Constants!$B$10)))</f>
        <v/>
      </c>
      <c r="T41" s="97" t="str">
        <f aca="false">IF(ISBLANK($C41),"",IF(H41=Constants!$B$2, TRUE(), IF(H41=Constants!$B$3, FALSE(), TRUE())))</f>
        <v/>
      </c>
      <c r="U41" s="97" t="str">
        <f aca="false">IF(ISBLANK($C41),"",IF(I41=Constants!$B$19,Constants!$B$19,Constants!$B$18))</f>
        <v/>
      </c>
      <c r="V41" s="97" t="str">
        <f aca="false">IF(ISBLANK($C41),"",IF(COUNTA(J41:K41)=0,"",IF(AND(OR(ISBLANK(J41),AND(ISNUMBER(J41),J41&gt;=0)),OR(ISBLANK(K41),AND(ISNUMBER(K41),K41&gt;=0))),60*IF(ISBLANK(J41),0,J41)+IF(ISBLANK(K41),0,K41),"")))</f>
        <v/>
      </c>
      <c r="W41" s="97" t="str">
        <f aca="false">IF(ISBLANK($C41),"",IF(L41=Constants!$B$19,Constants!$B$19,Constants!$B$18))</f>
        <v/>
      </c>
      <c r="X41" s="97" t="str">
        <f aca="false">IF(ISBLANK($C41),"",IF(COUNTA(M41:N41)=0,"",IF(AND(OR(ISBLANK(M41),AND(ISNUMBER(M41),M41&gt;=0)),OR(ISBLANK(N41),AND(ISNUMBER(N41),N41&gt;=0))),60*IF(ISBLANK(M41),0,M41)+IF(ISBLANK(N41),0,N41),"")))</f>
        <v/>
      </c>
      <c r="Y41" s="97" t="str">
        <f aca="false">IF(ISBLANK($C41),"",IF(O41=Constants!$B$2, TRUE(), IF(O41=Constants!$B$3, FALSE(), FALSE())))</f>
        <v/>
      </c>
      <c r="Z41" s="97" t="str">
        <f aca="false">IF(ISBLANK($C41),"",IF(Y41,Constants!$B$4,IF(COUNTA(E41:N41)=0,Constants!$B$5,IF(COUNTA(J41:K41,M41:N41)=0,Constants!$B$6,Constants!$B$7))))</f>
        <v/>
      </c>
      <c r="AA41" s="97" t="str">
        <f aca="false">IF(ISBLANK($C41),"",IF($Z41&lt;&gt;Constants!$B$7,$Z41,IF(OR(NOT(T41),AND(NOT(Q41),COUNTIFS(U41:W41,Constants!$B$18,V41:X41,"&gt;=0")&gt;0),AND(NOT(R41),COUNTIFS(U41:W41,Constants!$B$19,V41:X41,"&gt;=0")&gt;0)),Constants!$B$12,Constants!$B$11)))</f>
        <v/>
      </c>
      <c r="AB41" s="97" t="str">
        <f aca="false">IF($Z41=Constants!$B$7,IF(V41="",Constants!$B$13,V41),"")</f>
        <v/>
      </c>
      <c r="AC41" s="97" t="str">
        <f aca="false">IF($Z41=Constants!$B$7,IF(X41="",Constants!$B$13,X41),"")</f>
        <v/>
      </c>
      <c r="AD41" s="97" t="str">
        <f aca="false">IF($Z41=Constants!$B$7,IF($AB41&gt;=$AC41,1,2),"")</f>
        <v/>
      </c>
      <c r="AE41" s="97" t="str">
        <f aca="false">IF($Z41=Constants!$B$7,LARGE(AB41:AC41,1),"")</f>
        <v/>
      </c>
      <c r="AF41" s="97" t="str">
        <f aca="false">IF(ISBLANK($C41),"",IF($Z41&lt;&gt;Constants!$B$7,$Z41,AE41*S41))</f>
        <v/>
      </c>
      <c r="AG41" s="97" t="str">
        <f aca="false">IF(ISBLANK($C41),"",IF($Z41=Constants!$B$7,IF(ISNUMBER(AF41),RANK(AF41,$AF$8:$AF$507),Constants!$B$14),$Z41))</f>
        <v/>
      </c>
      <c r="AH41" s="97" t="str">
        <f aca="false">IF(ISBLANK($C41),"",IF($Z41=Constants!$B$7,IF(ISNUMBER(AG41),COUNTIFS($AA$8:$AA$507,"&lt;"&amp;$AA41)+COUNTIFS($AA$8:$AA$507,$AA41,$AG$8:$AG$507,"&lt;"&amp;$AG41)+1,Constants!$B$14),$Z41))</f>
        <v/>
      </c>
      <c r="AI41" s="97" t="str">
        <f aca="false">IF(ISBLANK($C41),"",IF($Z41=Constants!$B$7,LARGE(AB41:AC41,2)*S41,""))</f>
        <v/>
      </c>
      <c r="AJ41" s="97" t="str">
        <f aca="false">IF(ISBLANK($C41),"",IF($Z41=Constants!$B$7,RANK(AI41,$AI$8:$AI$507),$Z41))</f>
        <v/>
      </c>
      <c r="AK41" s="97" t="str">
        <f aca="false">IF(ISBLANK($C41),"",IF($Z41=Constants!$B$7,IF(ISNUMBER(AG41),COUNTIFS($AA$8:$AA$507,"&lt;"&amp;$AA41)+COUNTIFS($AA$8:$AA$507,$AA41,$AG$8:$AG$507,"&lt;"&amp;$AG41)+COUNTIFS($AA$8:$AA$507,$AA41,$AG$8:$AG$507,$AG41,$AJ$8:$AJ$507,"&lt;"&amp;$AJ41)+1,Constants!$B$14),$Z41))</f>
        <v/>
      </c>
      <c r="AL41" s="97" t="str">
        <f aca="false">IF(ISBLANK($C41),"",IF($Z41=Constants!$B$7,IF(ISNUMBER(AH41),AH41-AK41,Constants!$B$14),$Z41))</f>
        <v/>
      </c>
      <c r="AM41" s="98"/>
      <c r="AN41" s="99" t="str">
        <f aca="false">IF(ISBLANK($C41),"",IF($Z41&lt;&gt;Constants!$B$7,$Z41,AD41))</f>
        <v/>
      </c>
      <c r="AO41" s="100" t="str">
        <f aca="false">IF(ISBLANK($C41),"",IF($Z41&lt;&gt;Constants!$B$7,$Z41,S41))</f>
        <v/>
      </c>
      <c r="AP41" s="101" t="str">
        <f aca="false">IF(ISBLANK($C41),"",IF($Z41&lt;&gt;Constants!$B$7,$Z41,AF41))</f>
        <v/>
      </c>
      <c r="AQ41" s="102" t="str">
        <f aca="false">IF(ISBLANK($C41),"",IF($Z41&lt;&gt;Constants!$B$7,$Z41,AA41))</f>
        <v/>
      </c>
      <c r="AR41" s="100" t="str">
        <f aca="false">IF(ISBLANK($C41),"",AL41)</f>
        <v/>
      </c>
      <c r="AS41" s="100" t="str">
        <f aca="false">IF(ISBLANK($C41),"",AK41)</f>
        <v/>
      </c>
      <c r="AT41" s="103" t="str">
        <f aca="false">IF(ISBLANK($C41),"",IF(AS41=Constants!$B$4,COUNTA($C$8:$C$507)+2,IF(AS41=Constants!$B$5,COUNTA($C$8:$C$507)+1,IF(AS41=Constants!$B$6,COUNTA($C$8:$C$507),AS41))))</f>
        <v/>
      </c>
      <c r="AU41" s="5"/>
      <c r="AV41" s="104" t="n">
        <f aca="false">IF(OR(ISNUMBER(AS41),AS41=Constants!$B$4,AS41=Constants!$B$6,AS41=Constants!$B$5),1,0)</f>
        <v>0</v>
      </c>
      <c r="AW41" s="104" t="n">
        <v>34</v>
      </c>
      <c r="AX41" s="104" t="str">
        <f aca="false">IF(ISBLANK($C41),"",IF(ISNUMBER(AT41),AT41+ROW($B41)/1000,""))</f>
        <v/>
      </c>
      <c r="AY41" s="104" t="str">
        <f aca="false">IF(ISNUMBER(AX41),RANK(AX41,$AX$8:$AX$507,1),"")</f>
        <v/>
      </c>
      <c r="AZ41" s="104" t="str">
        <f aca="false">IF(ISBLANK($C41),"",$B41)</f>
        <v/>
      </c>
      <c r="BA41" s="104" t="str">
        <f aca="false">IF(ISBLANK($C41),"",$C41)</f>
        <v/>
      </c>
      <c r="BB41" s="104" t="str">
        <f aca="false">IF(ISBLANK($C41),"",$D41)</f>
        <v/>
      </c>
      <c r="BC41" s="105" t="str">
        <f aca="false">AQ41</f>
        <v/>
      </c>
      <c r="BD41" s="106" t="str">
        <f aca="false">AP41</f>
        <v/>
      </c>
      <c r="BE41" s="104" t="str">
        <f aca="false">IF(ISBLANK($C41),"",AS41)</f>
        <v/>
      </c>
      <c r="BF41" s="107" t="str">
        <f aca="false">IF($AW41&gt;$AV$7,"",VLOOKUP($AW41,$AY$8:$BE$507,7,FALSE()))</f>
        <v/>
      </c>
      <c r="BG41" s="108" t="str">
        <f aca="false">IF($AW41&gt;$AV$7,"",VLOOKUP($AW41,$AY$8:$BE$507,2,FALSE()))</f>
        <v/>
      </c>
      <c r="BH41" s="108" t="str">
        <f aca="false">IF($AW41&gt;$AV$7,"",VLOOKUP($AW41,$AY$8:$BE$507,3,FALSE()))</f>
        <v/>
      </c>
      <c r="BI41" s="108" t="str">
        <f aca="false">IF($AW41&gt;$AV$7,"",VLOOKUP($AW41,$AY$8:$BE$507,4,FALSE()))</f>
        <v/>
      </c>
      <c r="BJ41" s="108" t="str">
        <f aca="false">IF($AW41&gt;$AV$7,"",VLOOKUP($AW41,$AY$8:$BE$507,5,FALSE()))</f>
        <v/>
      </c>
      <c r="BK41" s="109" t="str">
        <f aca="false">IF($AW41&gt;$AV$7,"",VLOOKUP($AW41,$AY$8:$BE$507,6,FALSE()))</f>
        <v/>
      </c>
      <c r="BL41" s="50"/>
    </row>
    <row r="42" customFormat="false" ht="15.75" hidden="false" customHeight="false" outlineLevel="0" collapsed="false">
      <c r="A42" s="5"/>
      <c r="B42" s="124"/>
      <c r="C42" s="125"/>
      <c r="D42" s="110"/>
      <c r="E42" s="130"/>
      <c r="F42" s="135"/>
      <c r="G42" s="88"/>
      <c r="H42" s="136"/>
      <c r="I42" s="137"/>
      <c r="J42" s="91"/>
      <c r="K42" s="92"/>
      <c r="L42" s="137"/>
      <c r="M42" s="93"/>
      <c r="N42" s="94"/>
      <c r="O42" s="130"/>
      <c r="P42" s="96"/>
      <c r="Q42" s="97" t="str">
        <f aca="false">IF(ISBLANK($C42),"",IF(E42=Constants!$B$2, TRUE(), IF(E42=Constants!$B$3, FALSE(), TRUE())))</f>
        <v/>
      </c>
      <c r="R42" s="97" t="str">
        <f aca="false">IF(ISBLANK($C42),"",IF(F42=Constants!$B$2, TRUE(), IF(F42=Constants!$B$3, FALSE(), TRUE())))</f>
        <v/>
      </c>
      <c r="S42" s="97" t="str">
        <f aca="false">IF(ISBLANK($C42),"",IF(G42=Constants!$B$15,Constants!$B$8,IF(G42=Constants!$B$16,Constants!$B$9,Constants!$B$10)))</f>
        <v/>
      </c>
      <c r="T42" s="97" t="str">
        <f aca="false">IF(ISBLANK($C42),"",IF(H42=Constants!$B$2, TRUE(), IF(H42=Constants!$B$3, FALSE(), TRUE())))</f>
        <v/>
      </c>
      <c r="U42" s="97" t="str">
        <f aca="false">IF(ISBLANK($C42),"",IF(I42=Constants!$B$19,Constants!$B$19,Constants!$B$18))</f>
        <v/>
      </c>
      <c r="V42" s="97" t="str">
        <f aca="false">IF(ISBLANK($C42),"",IF(COUNTA(J42:K42)=0,"",IF(AND(OR(ISBLANK(J42),AND(ISNUMBER(J42),J42&gt;=0)),OR(ISBLANK(K42),AND(ISNUMBER(K42),K42&gt;=0))),60*IF(ISBLANK(J42),0,J42)+IF(ISBLANK(K42),0,K42),"")))</f>
        <v/>
      </c>
      <c r="W42" s="97" t="str">
        <f aca="false">IF(ISBLANK($C42),"",IF(L42=Constants!$B$19,Constants!$B$19,Constants!$B$18))</f>
        <v/>
      </c>
      <c r="X42" s="97" t="str">
        <f aca="false">IF(ISBLANK($C42),"",IF(COUNTA(M42:N42)=0,"",IF(AND(OR(ISBLANK(M42),AND(ISNUMBER(M42),M42&gt;=0)),OR(ISBLANK(N42),AND(ISNUMBER(N42),N42&gt;=0))),60*IF(ISBLANK(M42),0,M42)+IF(ISBLANK(N42),0,N42),"")))</f>
        <v/>
      </c>
      <c r="Y42" s="97" t="str">
        <f aca="false">IF(ISBLANK($C42),"",IF(O42=Constants!$B$2, TRUE(), IF(O42=Constants!$B$3, FALSE(), FALSE())))</f>
        <v/>
      </c>
      <c r="Z42" s="97" t="str">
        <f aca="false">IF(ISBLANK($C42),"",IF(Y42,Constants!$B$4,IF(COUNTA(E42:N42)=0,Constants!$B$5,IF(COUNTA(J42:K42,M42:N42)=0,Constants!$B$6,Constants!$B$7))))</f>
        <v/>
      </c>
      <c r="AA42" s="97" t="str">
        <f aca="false">IF(ISBLANK($C42),"",IF($Z42&lt;&gt;Constants!$B$7,$Z42,IF(OR(NOT(T42),AND(NOT(Q42),COUNTIFS(U42:W42,Constants!$B$18,V42:X42,"&gt;=0")&gt;0),AND(NOT(R42),COUNTIFS(U42:W42,Constants!$B$19,V42:X42,"&gt;=0")&gt;0)),Constants!$B$12,Constants!$B$11)))</f>
        <v/>
      </c>
      <c r="AB42" s="97" t="str">
        <f aca="false">IF($Z42=Constants!$B$7,IF(V42="",Constants!$B$13,V42),"")</f>
        <v/>
      </c>
      <c r="AC42" s="97" t="str">
        <f aca="false">IF($Z42=Constants!$B$7,IF(X42="",Constants!$B$13,X42),"")</f>
        <v/>
      </c>
      <c r="AD42" s="97" t="str">
        <f aca="false">IF($Z42=Constants!$B$7,IF($AB42&gt;=$AC42,1,2),"")</f>
        <v/>
      </c>
      <c r="AE42" s="97" t="str">
        <f aca="false">IF($Z42=Constants!$B$7,LARGE(AB42:AC42,1),"")</f>
        <v/>
      </c>
      <c r="AF42" s="97" t="str">
        <f aca="false">IF(ISBLANK($C42),"",IF($Z42&lt;&gt;Constants!$B$7,$Z42,AE42*S42))</f>
        <v/>
      </c>
      <c r="AG42" s="97" t="str">
        <f aca="false">IF(ISBLANK($C42),"",IF($Z42=Constants!$B$7,IF(ISNUMBER(AF42),RANK(AF42,$AF$8:$AF$507),Constants!$B$14),$Z42))</f>
        <v/>
      </c>
      <c r="AH42" s="97" t="str">
        <f aca="false">IF(ISBLANK($C42),"",IF($Z42=Constants!$B$7,IF(ISNUMBER(AG42),COUNTIFS($AA$8:$AA$507,"&lt;"&amp;$AA42)+COUNTIFS($AA$8:$AA$507,$AA42,$AG$8:$AG$507,"&lt;"&amp;$AG42)+1,Constants!$B$14),$Z42))</f>
        <v/>
      </c>
      <c r="AI42" s="97" t="str">
        <f aca="false">IF(ISBLANK($C42),"",IF($Z42=Constants!$B$7,LARGE(AB42:AC42,2)*S42,""))</f>
        <v/>
      </c>
      <c r="AJ42" s="97" t="str">
        <f aca="false">IF(ISBLANK($C42),"",IF($Z42=Constants!$B$7,RANK(AI42,$AI$8:$AI$507),$Z42))</f>
        <v/>
      </c>
      <c r="AK42" s="97" t="str">
        <f aca="false">IF(ISBLANK($C42),"",IF($Z42=Constants!$B$7,IF(ISNUMBER(AG42),COUNTIFS($AA$8:$AA$507,"&lt;"&amp;$AA42)+COUNTIFS($AA$8:$AA$507,$AA42,$AG$8:$AG$507,"&lt;"&amp;$AG42)+COUNTIFS($AA$8:$AA$507,$AA42,$AG$8:$AG$507,$AG42,$AJ$8:$AJ$507,"&lt;"&amp;$AJ42)+1,Constants!$B$14),$Z42))</f>
        <v/>
      </c>
      <c r="AL42" s="97" t="str">
        <f aca="false">IF(ISBLANK($C42),"",IF($Z42=Constants!$B$7,IF(ISNUMBER(AH42),AH42-AK42,Constants!$B$14),$Z42))</f>
        <v/>
      </c>
      <c r="AM42" s="98"/>
      <c r="AN42" s="99" t="str">
        <f aca="false">IF(ISBLANK($C42),"",IF($Z42&lt;&gt;Constants!$B$7,$Z42,AD42))</f>
        <v/>
      </c>
      <c r="AO42" s="100" t="str">
        <f aca="false">IF(ISBLANK($C42),"",IF($Z42&lt;&gt;Constants!$B$7,$Z42,S42))</f>
        <v/>
      </c>
      <c r="AP42" s="101" t="str">
        <f aca="false">IF(ISBLANK($C42),"",IF($Z42&lt;&gt;Constants!$B$7,$Z42,AF42))</f>
        <v/>
      </c>
      <c r="AQ42" s="102" t="str">
        <f aca="false">IF(ISBLANK($C42),"",IF($Z42&lt;&gt;Constants!$B$7,$Z42,AA42))</f>
        <v/>
      </c>
      <c r="AR42" s="100" t="str">
        <f aca="false">IF(ISBLANK($C42),"",AL42)</f>
        <v/>
      </c>
      <c r="AS42" s="100" t="str">
        <f aca="false">IF(ISBLANK($C42),"",AK42)</f>
        <v/>
      </c>
      <c r="AT42" s="103" t="str">
        <f aca="false">IF(ISBLANK($C42),"",IF(AS42=Constants!$B$4,COUNTA($C$8:$C$507)+2,IF(AS42=Constants!$B$5,COUNTA($C$8:$C$507)+1,IF(AS42=Constants!$B$6,COUNTA($C$8:$C$507),AS42))))</f>
        <v/>
      </c>
      <c r="AU42" s="5"/>
      <c r="AV42" s="104" t="n">
        <f aca="false">IF(OR(ISNUMBER(AS42),AS42=Constants!$B$4,AS42=Constants!$B$6,AS42=Constants!$B$5),1,0)</f>
        <v>0</v>
      </c>
      <c r="AW42" s="104" t="n">
        <v>35</v>
      </c>
      <c r="AX42" s="104" t="str">
        <f aca="false">IF(ISBLANK($C42),"",IF(ISNUMBER(AT42),AT42+ROW($B42)/1000,""))</f>
        <v/>
      </c>
      <c r="AY42" s="104" t="str">
        <f aca="false">IF(ISNUMBER(AX42),RANK(AX42,$AX$8:$AX$507,1),"")</f>
        <v/>
      </c>
      <c r="AZ42" s="104" t="str">
        <f aca="false">IF(ISBLANK($C42),"",$B42)</f>
        <v/>
      </c>
      <c r="BA42" s="104" t="str">
        <f aca="false">IF(ISBLANK($C42),"",$C42)</f>
        <v/>
      </c>
      <c r="BB42" s="104" t="str">
        <f aca="false">IF(ISBLANK($C42),"",$D42)</f>
        <v/>
      </c>
      <c r="BC42" s="105" t="str">
        <f aca="false">AQ42</f>
        <v/>
      </c>
      <c r="BD42" s="106" t="str">
        <f aca="false">AP42</f>
        <v/>
      </c>
      <c r="BE42" s="104" t="str">
        <f aca="false">IF(ISBLANK($C42),"",AS42)</f>
        <v/>
      </c>
      <c r="BF42" s="107" t="str">
        <f aca="false">IF($AW42&gt;$AV$7,"",VLOOKUP($AW42,$AY$8:$BE$507,7,FALSE()))</f>
        <v/>
      </c>
      <c r="BG42" s="108" t="str">
        <f aca="false">IF($AW42&gt;$AV$7,"",VLOOKUP($AW42,$AY$8:$BE$507,2,FALSE()))</f>
        <v/>
      </c>
      <c r="BH42" s="108" t="str">
        <f aca="false">IF($AW42&gt;$AV$7,"",VLOOKUP($AW42,$AY$8:$BE$507,3,FALSE()))</f>
        <v/>
      </c>
      <c r="BI42" s="108" t="str">
        <f aca="false">IF($AW42&gt;$AV$7,"",VLOOKUP($AW42,$AY$8:$BE$507,4,FALSE()))</f>
        <v/>
      </c>
      <c r="BJ42" s="108" t="str">
        <f aca="false">IF($AW42&gt;$AV$7,"",VLOOKUP($AW42,$AY$8:$BE$507,5,FALSE()))</f>
        <v/>
      </c>
      <c r="BK42" s="109" t="str">
        <f aca="false">IF($AW42&gt;$AV$7,"",VLOOKUP($AW42,$AY$8:$BE$507,6,FALSE()))</f>
        <v/>
      </c>
      <c r="BL42" s="50"/>
    </row>
    <row r="43" customFormat="false" ht="15.75" hidden="false" customHeight="false" outlineLevel="0" collapsed="false">
      <c r="A43" s="5"/>
      <c r="B43" s="124"/>
      <c r="C43" s="125"/>
      <c r="D43" s="110"/>
      <c r="E43" s="130"/>
      <c r="F43" s="135"/>
      <c r="G43" s="88"/>
      <c r="H43" s="136"/>
      <c r="I43" s="137"/>
      <c r="J43" s="91"/>
      <c r="K43" s="92"/>
      <c r="L43" s="137"/>
      <c r="M43" s="93"/>
      <c r="N43" s="94"/>
      <c r="O43" s="130"/>
      <c r="P43" s="96"/>
      <c r="Q43" s="97" t="str">
        <f aca="false">IF(ISBLANK($C43),"",IF(E43=Constants!$B$2, TRUE(), IF(E43=Constants!$B$3, FALSE(), TRUE())))</f>
        <v/>
      </c>
      <c r="R43" s="97" t="str">
        <f aca="false">IF(ISBLANK($C43),"",IF(F43=Constants!$B$2, TRUE(), IF(F43=Constants!$B$3, FALSE(), TRUE())))</f>
        <v/>
      </c>
      <c r="S43" s="97" t="str">
        <f aca="false">IF(ISBLANK($C43),"",IF(G43=Constants!$B$15,Constants!$B$8,IF(G43=Constants!$B$16,Constants!$B$9,Constants!$B$10)))</f>
        <v/>
      </c>
      <c r="T43" s="97" t="str">
        <f aca="false">IF(ISBLANK($C43),"",IF(H43=Constants!$B$2, TRUE(), IF(H43=Constants!$B$3, FALSE(), TRUE())))</f>
        <v/>
      </c>
      <c r="U43" s="97" t="str">
        <f aca="false">IF(ISBLANK($C43),"",IF(I43=Constants!$B$19,Constants!$B$19,Constants!$B$18))</f>
        <v/>
      </c>
      <c r="V43" s="97" t="str">
        <f aca="false">IF(ISBLANK($C43),"",IF(COUNTA(J43:K43)=0,"",IF(AND(OR(ISBLANK(J43),AND(ISNUMBER(J43),J43&gt;=0)),OR(ISBLANK(K43),AND(ISNUMBER(K43),K43&gt;=0))),60*IF(ISBLANK(J43),0,J43)+IF(ISBLANK(K43),0,K43),"")))</f>
        <v/>
      </c>
      <c r="W43" s="97" t="str">
        <f aca="false">IF(ISBLANK($C43),"",IF(L43=Constants!$B$19,Constants!$B$19,Constants!$B$18))</f>
        <v/>
      </c>
      <c r="X43" s="97" t="str">
        <f aca="false">IF(ISBLANK($C43),"",IF(COUNTA(M43:N43)=0,"",IF(AND(OR(ISBLANK(M43),AND(ISNUMBER(M43),M43&gt;=0)),OR(ISBLANK(N43),AND(ISNUMBER(N43),N43&gt;=0))),60*IF(ISBLANK(M43),0,M43)+IF(ISBLANK(N43),0,N43),"")))</f>
        <v/>
      </c>
      <c r="Y43" s="97" t="str">
        <f aca="false">IF(ISBLANK($C43),"",IF(O43=Constants!$B$2, TRUE(), IF(O43=Constants!$B$3, FALSE(), FALSE())))</f>
        <v/>
      </c>
      <c r="Z43" s="97" t="str">
        <f aca="false">IF(ISBLANK($C43),"",IF(Y43,Constants!$B$4,IF(COUNTA(E43:N43)=0,Constants!$B$5,IF(COUNTA(J43:K43,M43:N43)=0,Constants!$B$6,Constants!$B$7))))</f>
        <v/>
      </c>
      <c r="AA43" s="97" t="str">
        <f aca="false">IF(ISBLANK($C43),"",IF($Z43&lt;&gt;Constants!$B$7,$Z43,IF(OR(NOT(T43),AND(NOT(Q43),COUNTIFS(U43:W43,Constants!$B$18,V43:X43,"&gt;=0")&gt;0),AND(NOT(R43),COUNTIFS(U43:W43,Constants!$B$19,V43:X43,"&gt;=0")&gt;0)),Constants!$B$12,Constants!$B$11)))</f>
        <v/>
      </c>
      <c r="AB43" s="97" t="str">
        <f aca="false">IF($Z43=Constants!$B$7,IF(V43="",Constants!$B$13,V43),"")</f>
        <v/>
      </c>
      <c r="AC43" s="97" t="str">
        <f aca="false">IF($Z43=Constants!$B$7,IF(X43="",Constants!$B$13,X43),"")</f>
        <v/>
      </c>
      <c r="AD43" s="97" t="str">
        <f aca="false">IF($Z43=Constants!$B$7,IF($AB43&gt;=$AC43,1,2),"")</f>
        <v/>
      </c>
      <c r="AE43" s="97" t="str">
        <f aca="false">IF($Z43=Constants!$B$7,LARGE(AB43:AC43,1),"")</f>
        <v/>
      </c>
      <c r="AF43" s="97" t="str">
        <f aca="false">IF(ISBLANK($C43),"",IF($Z43&lt;&gt;Constants!$B$7,$Z43,AE43*S43))</f>
        <v/>
      </c>
      <c r="AG43" s="97" t="str">
        <f aca="false">IF(ISBLANK($C43),"",IF($Z43=Constants!$B$7,IF(ISNUMBER(AF43),RANK(AF43,$AF$8:$AF$507),Constants!$B$14),$Z43))</f>
        <v/>
      </c>
      <c r="AH43" s="97" t="str">
        <f aca="false">IF(ISBLANK($C43),"",IF($Z43=Constants!$B$7,IF(ISNUMBER(AG43),COUNTIFS($AA$8:$AA$507,"&lt;"&amp;$AA43)+COUNTIFS($AA$8:$AA$507,$AA43,$AG$8:$AG$507,"&lt;"&amp;$AG43)+1,Constants!$B$14),$Z43))</f>
        <v/>
      </c>
      <c r="AI43" s="97" t="str">
        <f aca="false">IF(ISBLANK($C43),"",IF($Z43=Constants!$B$7,LARGE(AB43:AC43,2)*S43,""))</f>
        <v/>
      </c>
      <c r="AJ43" s="97" t="str">
        <f aca="false">IF(ISBLANK($C43),"",IF($Z43=Constants!$B$7,RANK(AI43,$AI$8:$AI$507),$Z43))</f>
        <v/>
      </c>
      <c r="AK43" s="97" t="str">
        <f aca="false">IF(ISBLANK($C43),"",IF($Z43=Constants!$B$7,IF(ISNUMBER(AG43),COUNTIFS($AA$8:$AA$507,"&lt;"&amp;$AA43)+COUNTIFS($AA$8:$AA$507,$AA43,$AG$8:$AG$507,"&lt;"&amp;$AG43)+COUNTIFS($AA$8:$AA$507,$AA43,$AG$8:$AG$507,$AG43,$AJ$8:$AJ$507,"&lt;"&amp;$AJ43)+1,Constants!$B$14),$Z43))</f>
        <v/>
      </c>
      <c r="AL43" s="97" t="str">
        <f aca="false">IF(ISBLANK($C43),"",IF($Z43=Constants!$B$7,IF(ISNUMBER(AH43),AH43-AK43,Constants!$B$14),$Z43))</f>
        <v/>
      </c>
      <c r="AM43" s="98"/>
      <c r="AN43" s="99" t="str">
        <f aca="false">IF(ISBLANK($C43),"",IF($Z43&lt;&gt;Constants!$B$7,$Z43,AD43))</f>
        <v/>
      </c>
      <c r="AO43" s="100" t="str">
        <f aca="false">IF(ISBLANK($C43),"",IF($Z43&lt;&gt;Constants!$B$7,$Z43,S43))</f>
        <v/>
      </c>
      <c r="AP43" s="101" t="str">
        <f aca="false">IF(ISBLANK($C43),"",IF($Z43&lt;&gt;Constants!$B$7,$Z43,AF43))</f>
        <v/>
      </c>
      <c r="AQ43" s="102" t="str">
        <f aca="false">IF(ISBLANK($C43),"",IF($Z43&lt;&gt;Constants!$B$7,$Z43,AA43))</f>
        <v/>
      </c>
      <c r="AR43" s="100" t="str">
        <f aca="false">IF(ISBLANK($C43),"",AL43)</f>
        <v/>
      </c>
      <c r="AS43" s="100" t="str">
        <f aca="false">IF(ISBLANK($C43),"",AK43)</f>
        <v/>
      </c>
      <c r="AT43" s="103" t="str">
        <f aca="false">IF(ISBLANK($C43),"",IF(AS43=Constants!$B$4,COUNTA($C$8:$C$507)+2,IF(AS43=Constants!$B$5,COUNTA($C$8:$C$507)+1,IF(AS43=Constants!$B$6,COUNTA($C$8:$C$507),AS43))))</f>
        <v/>
      </c>
      <c r="AU43" s="5"/>
      <c r="AV43" s="104" t="n">
        <f aca="false">IF(OR(ISNUMBER(AS43),AS43=Constants!$B$4,AS43=Constants!$B$6,AS43=Constants!$B$5),1,0)</f>
        <v>0</v>
      </c>
      <c r="AW43" s="104" t="n">
        <v>36</v>
      </c>
      <c r="AX43" s="104" t="str">
        <f aca="false">IF(ISBLANK($C43),"",IF(ISNUMBER(AT43),AT43+ROW($B43)/1000,""))</f>
        <v/>
      </c>
      <c r="AY43" s="104" t="str">
        <f aca="false">IF(ISNUMBER(AX43),RANK(AX43,$AX$8:$AX$507,1),"")</f>
        <v/>
      </c>
      <c r="AZ43" s="104" t="str">
        <f aca="false">IF(ISBLANK($C43),"",$B43)</f>
        <v/>
      </c>
      <c r="BA43" s="104" t="str">
        <f aca="false">IF(ISBLANK($C43),"",$C43)</f>
        <v/>
      </c>
      <c r="BB43" s="104" t="str">
        <f aca="false">IF(ISBLANK($C43),"",$D43)</f>
        <v/>
      </c>
      <c r="BC43" s="105" t="str">
        <f aca="false">AQ43</f>
        <v/>
      </c>
      <c r="BD43" s="106" t="str">
        <f aca="false">AP43</f>
        <v/>
      </c>
      <c r="BE43" s="104" t="str">
        <f aca="false">IF(ISBLANK($C43),"",AS43)</f>
        <v/>
      </c>
      <c r="BF43" s="107" t="str">
        <f aca="false">IF($AW43&gt;$AV$7,"",VLOOKUP($AW43,$AY$8:$BE$507,7,FALSE()))</f>
        <v/>
      </c>
      <c r="BG43" s="108" t="str">
        <f aca="false">IF($AW43&gt;$AV$7,"",VLOOKUP($AW43,$AY$8:$BE$507,2,FALSE()))</f>
        <v/>
      </c>
      <c r="BH43" s="108" t="str">
        <f aca="false">IF($AW43&gt;$AV$7,"",VLOOKUP($AW43,$AY$8:$BE$507,3,FALSE()))</f>
        <v/>
      </c>
      <c r="BI43" s="108" t="str">
        <f aca="false">IF($AW43&gt;$AV$7,"",VLOOKUP($AW43,$AY$8:$BE$507,4,FALSE()))</f>
        <v/>
      </c>
      <c r="BJ43" s="108" t="str">
        <f aca="false">IF($AW43&gt;$AV$7,"",VLOOKUP($AW43,$AY$8:$BE$507,5,FALSE()))</f>
        <v/>
      </c>
      <c r="BK43" s="109" t="str">
        <f aca="false">IF($AW43&gt;$AV$7,"",VLOOKUP($AW43,$AY$8:$BE$507,6,FALSE()))</f>
        <v/>
      </c>
      <c r="BL43" s="50"/>
    </row>
    <row r="44" customFormat="false" ht="15.75" hidden="false" customHeight="false" outlineLevel="0" collapsed="false">
      <c r="A44" s="5"/>
      <c r="B44" s="131"/>
      <c r="C44" s="52"/>
      <c r="D44" s="53"/>
      <c r="E44" s="80"/>
      <c r="F44" s="132"/>
      <c r="G44" s="56"/>
      <c r="H44" s="133"/>
      <c r="I44" s="134"/>
      <c r="J44" s="59"/>
      <c r="K44" s="60"/>
      <c r="L44" s="134"/>
      <c r="M44" s="61"/>
      <c r="N44" s="62"/>
      <c r="O44" s="80"/>
      <c r="P44" s="64"/>
      <c r="Q44" s="65" t="str">
        <f aca="false">IF(ISBLANK($C44),"",IF(E44=Constants!$B$2, TRUE(), IF(E44=Constants!$B$3, FALSE(), TRUE())))</f>
        <v/>
      </c>
      <c r="R44" s="65" t="str">
        <f aca="false">IF(ISBLANK($C44),"",IF(F44=Constants!$B$2, TRUE(), IF(F44=Constants!$B$3, FALSE(), TRUE())))</f>
        <v/>
      </c>
      <c r="S44" s="65" t="str">
        <f aca="false">IF(ISBLANK($C44),"",IF(G44=Constants!$B$15,Constants!$B$8,IF(G44=Constants!$B$16,Constants!$B$9,Constants!$B$10)))</f>
        <v/>
      </c>
      <c r="T44" s="65" t="str">
        <f aca="false">IF(ISBLANK($C44),"",IF(H44=Constants!$B$2, TRUE(), IF(H44=Constants!$B$3, FALSE(), TRUE())))</f>
        <v/>
      </c>
      <c r="U44" s="65" t="str">
        <f aca="false">IF(ISBLANK($C44),"",IF(I44=Constants!$B$19,Constants!$B$19,Constants!$B$18))</f>
        <v/>
      </c>
      <c r="V44" s="65" t="str">
        <f aca="false">IF(ISBLANK($C44),"",IF(COUNTA(J44:K44)=0,"",IF(AND(OR(ISBLANK(J44),AND(ISNUMBER(J44),J44&gt;=0)),OR(ISBLANK(K44),AND(ISNUMBER(K44),K44&gt;=0))),60*IF(ISBLANK(J44),0,J44)+IF(ISBLANK(K44),0,K44),"")))</f>
        <v/>
      </c>
      <c r="W44" s="65" t="str">
        <f aca="false">IF(ISBLANK($C44),"",IF(L44=Constants!$B$19,Constants!$B$19,Constants!$B$18))</f>
        <v/>
      </c>
      <c r="X44" s="65" t="str">
        <f aca="false">IF(ISBLANK($C44),"",IF(COUNTA(M44:N44)=0,"",IF(AND(OR(ISBLANK(M44),AND(ISNUMBER(M44),M44&gt;=0)),OR(ISBLANK(N44),AND(ISNUMBER(N44),N44&gt;=0))),60*IF(ISBLANK(M44),0,M44)+IF(ISBLANK(N44),0,N44),"")))</f>
        <v/>
      </c>
      <c r="Y44" s="65" t="str">
        <f aca="false">IF(ISBLANK($C44),"",IF(O44=Constants!$B$2, TRUE(), IF(O44=Constants!$B$3, FALSE(), FALSE())))</f>
        <v/>
      </c>
      <c r="Z44" s="65" t="str">
        <f aca="false">IF(ISBLANK($C44),"",IF(Y44,Constants!$B$4,IF(COUNTA(E44:N44)=0,Constants!$B$5,IF(COUNTA(J44:K44,M44:N44)=0,Constants!$B$6,Constants!$B$7))))</f>
        <v/>
      </c>
      <c r="AA44" s="65" t="str">
        <f aca="false">IF(ISBLANK($C44),"",IF($Z44&lt;&gt;Constants!$B$7,$Z44,IF(OR(NOT(T44),AND(NOT(Q44),COUNTIFS(U44:W44,Constants!$B$18,V44:X44,"&gt;=0")&gt;0),AND(NOT(R44),COUNTIFS(U44:W44,Constants!$B$19,V44:X44,"&gt;=0")&gt;0)),Constants!$B$12,Constants!$B$11)))</f>
        <v/>
      </c>
      <c r="AB44" s="65" t="str">
        <f aca="false">IF($Z44=Constants!$B$7,IF(V44="",Constants!$B$13,V44),"")</f>
        <v/>
      </c>
      <c r="AC44" s="65" t="str">
        <f aca="false">IF($Z44=Constants!$B$7,IF(X44="",Constants!$B$13,X44),"")</f>
        <v/>
      </c>
      <c r="AD44" s="65" t="str">
        <f aca="false">IF($Z44=Constants!$B$7,IF($AB44&gt;=$AC44,1,2),"")</f>
        <v/>
      </c>
      <c r="AE44" s="65" t="str">
        <f aca="false">IF($Z44=Constants!$B$7,LARGE(AB44:AC44,1),"")</f>
        <v/>
      </c>
      <c r="AF44" s="65" t="str">
        <f aca="false">IF(ISBLANK($C44),"",IF($Z44&lt;&gt;Constants!$B$7,$Z44,AE44*S44))</f>
        <v/>
      </c>
      <c r="AG44" s="65" t="str">
        <f aca="false">IF(ISBLANK($C44),"",IF($Z44=Constants!$B$7,IF(ISNUMBER(AF44),RANK(AF44,$AF$8:$AF$507),Constants!$B$14),$Z44))</f>
        <v/>
      </c>
      <c r="AH44" s="65" t="str">
        <f aca="false">IF(ISBLANK($C44),"",IF($Z44=Constants!$B$7,IF(ISNUMBER(AG44),COUNTIFS($AA$8:$AA$507,"&lt;"&amp;$AA44)+COUNTIFS($AA$8:$AA$507,$AA44,$AG$8:$AG$507,"&lt;"&amp;$AG44)+1,Constants!$B$14),$Z44))</f>
        <v/>
      </c>
      <c r="AI44" s="65" t="str">
        <f aca="false">IF(ISBLANK($C44),"",IF($Z44=Constants!$B$7,LARGE(AB44:AC44,2)*S44,""))</f>
        <v/>
      </c>
      <c r="AJ44" s="65" t="str">
        <f aca="false">IF(ISBLANK($C44),"",IF($Z44=Constants!$B$7,RANK(AI44,$AI$8:$AI$507),$Z44))</f>
        <v/>
      </c>
      <c r="AK44" s="65" t="str">
        <f aca="false">IF(ISBLANK($C44),"",IF($Z44=Constants!$B$7,IF(ISNUMBER(AG44),COUNTIFS($AA$8:$AA$507,"&lt;"&amp;$AA44)+COUNTIFS($AA$8:$AA$507,$AA44,$AG$8:$AG$507,"&lt;"&amp;$AG44)+COUNTIFS($AA$8:$AA$507,$AA44,$AG$8:$AG$507,$AG44,$AJ$8:$AJ$507,"&lt;"&amp;$AJ44)+1,Constants!$B$14),$Z44))</f>
        <v/>
      </c>
      <c r="AL44" s="65" t="str">
        <f aca="false">IF(ISBLANK($C44),"",IF($Z44=Constants!$B$7,IF(ISNUMBER(AH44),AH44-AK44,Constants!$B$14),$Z44))</f>
        <v/>
      </c>
      <c r="AM44" s="67"/>
      <c r="AN44" s="68" t="str">
        <f aca="false">IF(ISBLANK($C44),"",IF($Z44&lt;&gt;Constants!$B$7,$Z44,AD44))</f>
        <v/>
      </c>
      <c r="AO44" s="69" t="str">
        <f aca="false">IF(ISBLANK($C44),"",IF($Z44&lt;&gt;Constants!$B$7,$Z44,S44))</f>
        <v/>
      </c>
      <c r="AP44" s="70" t="str">
        <f aca="false">IF(ISBLANK($C44),"",IF($Z44&lt;&gt;Constants!$B$7,$Z44,AF44))</f>
        <v/>
      </c>
      <c r="AQ44" s="71" t="str">
        <f aca="false">IF(ISBLANK($C44),"",IF($Z44&lt;&gt;Constants!$B$7,$Z44,AA44))</f>
        <v/>
      </c>
      <c r="AR44" s="69" t="str">
        <f aca="false">IF(ISBLANK($C44),"",AL44)</f>
        <v/>
      </c>
      <c r="AS44" s="69" t="str">
        <f aca="false">IF(ISBLANK($C44),"",AK44)</f>
        <v/>
      </c>
      <c r="AT44" s="72" t="str">
        <f aca="false">IF(ISBLANK($C44),"",IF(AS44=Constants!$B$4,COUNTA($C$8:$C$507)+2,IF(AS44=Constants!$B$5,COUNTA($C$8:$C$507)+1,IF(AS44=Constants!$B$6,COUNTA($C$8:$C$507),AS44))))</f>
        <v/>
      </c>
      <c r="AU44" s="5"/>
      <c r="AV44" s="73" t="n">
        <f aca="false">IF(OR(ISNUMBER(AS44),AS44=Constants!$B$4,AS44=Constants!$B$6,AS44=Constants!$B$5),1,0)</f>
        <v>0</v>
      </c>
      <c r="AW44" s="73" t="n">
        <v>37</v>
      </c>
      <c r="AX44" s="73" t="str">
        <f aca="false">IF(ISBLANK($C44),"",IF(ISNUMBER(AT44),AT44+ROW($B44)/1000,""))</f>
        <v/>
      </c>
      <c r="AY44" s="73" t="str">
        <f aca="false">IF(ISNUMBER(AX44),RANK(AX44,$AX$8:$AX$507,1),"")</f>
        <v/>
      </c>
      <c r="AZ44" s="73" t="str">
        <f aca="false">IF(ISBLANK($C44),"",$B44)</f>
        <v/>
      </c>
      <c r="BA44" s="73" t="str">
        <f aca="false">IF(ISBLANK($C44),"",$C44)</f>
        <v/>
      </c>
      <c r="BB44" s="73" t="str">
        <f aca="false">IF(ISBLANK($C44),"",$D44)</f>
        <v/>
      </c>
      <c r="BC44" s="74" t="str">
        <f aca="false">AQ44</f>
        <v/>
      </c>
      <c r="BD44" s="75" t="str">
        <f aca="false">AP44</f>
        <v/>
      </c>
      <c r="BE44" s="73" t="str">
        <f aca="false">IF(ISBLANK($C44),"",AS44)</f>
        <v/>
      </c>
      <c r="BF44" s="76" t="str">
        <f aca="false">IF($AW44&gt;$AV$7,"",VLOOKUP($AW44,$AY$8:$BE$507,7,FALSE()))</f>
        <v/>
      </c>
      <c r="BG44" s="77" t="str">
        <f aca="false">IF($AW44&gt;$AV$7,"",VLOOKUP($AW44,$AY$8:$BE$507,2,FALSE()))</f>
        <v/>
      </c>
      <c r="BH44" s="77" t="str">
        <f aca="false">IF($AW44&gt;$AV$7,"",VLOOKUP($AW44,$AY$8:$BE$507,3,FALSE()))</f>
        <v/>
      </c>
      <c r="BI44" s="77" t="str">
        <f aca="false">IF($AW44&gt;$AV$7,"",VLOOKUP($AW44,$AY$8:$BE$507,4,FALSE()))</f>
        <v/>
      </c>
      <c r="BJ44" s="77" t="str">
        <f aca="false">IF($AW44&gt;$AV$7,"",VLOOKUP($AW44,$AY$8:$BE$507,5,FALSE()))</f>
        <v/>
      </c>
      <c r="BK44" s="78" t="str">
        <f aca="false">IF($AW44&gt;$AV$7,"",VLOOKUP($AW44,$AY$8:$BE$507,6,FALSE()))</f>
        <v/>
      </c>
      <c r="BL44" s="50"/>
    </row>
    <row r="45" customFormat="false" ht="15.75" hidden="false" customHeight="false" outlineLevel="0" collapsed="false">
      <c r="A45" s="5"/>
      <c r="B45" s="131"/>
      <c r="C45" s="52"/>
      <c r="D45" s="53"/>
      <c r="E45" s="80"/>
      <c r="F45" s="132"/>
      <c r="G45" s="56"/>
      <c r="H45" s="133"/>
      <c r="I45" s="134"/>
      <c r="J45" s="59"/>
      <c r="K45" s="60"/>
      <c r="L45" s="134"/>
      <c r="M45" s="61"/>
      <c r="N45" s="62"/>
      <c r="O45" s="80"/>
      <c r="P45" s="64"/>
      <c r="Q45" s="65" t="str">
        <f aca="false">IF(ISBLANK($C45),"",IF(E45=Constants!$B$2, TRUE(), IF(E45=Constants!$B$3, FALSE(), TRUE())))</f>
        <v/>
      </c>
      <c r="R45" s="65" t="str">
        <f aca="false">IF(ISBLANK($C45),"",IF(F45=Constants!$B$2, TRUE(), IF(F45=Constants!$B$3, FALSE(), TRUE())))</f>
        <v/>
      </c>
      <c r="S45" s="65" t="str">
        <f aca="false">IF(ISBLANK($C45),"",IF(G45=Constants!$B$15,Constants!$B$8,IF(G45=Constants!$B$16,Constants!$B$9,Constants!$B$10)))</f>
        <v/>
      </c>
      <c r="T45" s="65" t="str">
        <f aca="false">IF(ISBLANK($C45),"",IF(H45=Constants!$B$2, TRUE(), IF(H45=Constants!$B$3, FALSE(), TRUE())))</f>
        <v/>
      </c>
      <c r="U45" s="65" t="str">
        <f aca="false">IF(ISBLANK($C45),"",IF(I45=Constants!$B$19,Constants!$B$19,Constants!$B$18))</f>
        <v/>
      </c>
      <c r="V45" s="65" t="str">
        <f aca="false">IF(ISBLANK($C45),"",IF(COUNTA(J45:K45)=0,"",IF(AND(OR(ISBLANK(J45),AND(ISNUMBER(J45),J45&gt;=0)),OR(ISBLANK(K45),AND(ISNUMBER(K45),K45&gt;=0))),60*IF(ISBLANK(J45),0,J45)+IF(ISBLANK(K45),0,K45),"")))</f>
        <v/>
      </c>
      <c r="W45" s="65" t="str">
        <f aca="false">IF(ISBLANK($C45),"",IF(L45=Constants!$B$19,Constants!$B$19,Constants!$B$18))</f>
        <v/>
      </c>
      <c r="X45" s="65" t="str">
        <f aca="false">IF(ISBLANK($C45),"",IF(COUNTA(M45:N45)=0,"",IF(AND(OR(ISBLANK(M45),AND(ISNUMBER(M45),M45&gt;=0)),OR(ISBLANK(N45),AND(ISNUMBER(N45),N45&gt;=0))),60*IF(ISBLANK(M45),0,M45)+IF(ISBLANK(N45),0,N45),"")))</f>
        <v/>
      </c>
      <c r="Y45" s="65" t="str">
        <f aca="false">IF(ISBLANK($C45),"",IF(O45=Constants!$B$2, TRUE(), IF(O45=Constants!$B$3, FALSE(), FALSE())))</f>
        <v/>
      </c>
      <c r="Z45" s="65" t="str">
        <f aca="false">IF(ISBLANK($C45),"",IF(Y45,Constants!$B$4,IF(COUNTA(E45:N45)=0,Constants!$B$5,IF(COUNTA(J45:K45,M45:N45)=0,Constants!$B$6,Constants!$B$7))))</f>
        <v/>
      </c>
      <c r="AA45" s="65" t="str">
        <f aca="false">IF(ISBLANK($C45),"",IF($Z45&lt;&gt;Constants!$B$7,$Z45,IF(OR(NOT(T45),AND(NOT(Q45),COUNTIFS(U45:W45,Constants!$B$18,V45:X45,"&gt;=0")&gt;0),AND(NOT(R45),COUNTIFS(U45:W45,Constants!$B$19,V45:X45,"&gt;=0")&gt;0)),Constants!$B$12,Constants!$B$11)))</f>
        <v/>
      </c>
      <c r="AB45" s="65" t="str">
        <f aca="false">IF($Z45=Constants!$B$7,IF(V45="",Constants!$B$13,V45),"")</f>
        <v/>
      </c>
      <c r="AC45" s="65" t="str">
        <f aca="false">IF($Z45=Constants!$B$7,IF(X45="",Constants!$B$13,X45),"")</f>
        <v/>
      </c>
      <c r="AD45" s="65" t="str">
        <f aca="false">IF($Z45=Constants!$B$7,IF($AB45&gt;=$AC45,1,2),"")</f>
        <v/>
      </c>
      <c r="AE45" s="65" t="str">
        <f aca="false">IF($Z45=Constants!$B$7,LARGE(AB45:AC45,1),"")</f>
        <v/>
      </c>
      <c r="AF45" s="65" t="str">
        <f aca="false">IF(ISBLANK($C45),"",IF($Z45&lt;&gt;Constants!$B$7,$Z45,AE45*S45))</f>
        <v/>
      </c>
      <c r="AG45" s="65" t="str">
        <f aca="false">IF(ISBLANK($C45),"",IF($Z45=Constants!$B$7,IF(ISNUMBER(AF45),RANK(AF45,$AF$8:$AF$507),Constants!$B$14),$Z45))</f>
        <v/>
      </c>
      <c r="AH45" s="65" t="str">
        <f aca="false">IF(ISBLANK($C45),"",IF($Z45=Constants!$B$7,IF(ISNUMBER(AG45),COUNTIFS($AA$8:$AA$507,"&lt;"&amp;$AA45)+COUNTIFS($AA$8:$AA$507,$AA45,$AG$8:$AG$507,"&lt;"&amp;$AG45)+1,Constants!$B$14),$Z45))</f>
        <v/>
      </c>
      <c r="AI45" s="65" t="str">
        <f aca="false">IF(ISBLANK($C45),"",IF($Z45=Constants!$B$7,LARGE(AB45:AC45,2)*S45,""))</f>
        <v/>
      </c>
      <c r="AJ45" s="65" t="str">
        <f aca="false">IF(ISBLANK($C45),"",IF($Z45=Constants!$B$7,RANK(AI45,$AI$8:$AI$507),$Z45))</f>
        <v/>
      </c>
      <c r="AK45" s="65" t="str">
        <f aca="false">IF(ISBLANK($C45),"",IF($Z45=Constants!$B$7,IF(ISNUMBER(AG45),COUNTIFS($AA$8:$AA$507,"&lt;"&amp;$AA45)+COUNTIFS($AA$8:$AA$507,$AA45,$AG$8:$AG$507,"&lt;"&amp;$AG45)+COUNTIFS($AA$8:$AA$507,$AA45,$AG$8:$AG$507,$AG45,$AJ$8:$AJ$507,"&lt;"&amp;$AJ45)+1,Constants!$B$14),$Z45))</f>
        <v/>
      </c>
      <c r="AL45" s="65" t="str">
        <f aca="false">IF(ISBLANK($C45),"",IF($Z45=Constants!$B$7,IF(ISNUMBER(AH45),AH45-AK45,Constants!$B$14),$Z45))</f>
        <v/>
      </c>
      <c r="AM45" s="67"/>
      <c r="AN45" s="68" t="str">
        <f aca="false">IF(ISBLANK($C45),"",IF($Z45&lt;&gt;Constants!$B$7,$Z45,AD45))</f>
        <v/>
      </c>
      <c r="AO45" s="69" t="str">
        <f aca="false">IF(ISBLANK($C45),"",IF($Z45&lt;&gt;Constants!$B$7,$Z45,S45))</f>
        <v/>
      </c>
      <c r="AP45" s="70" t="str">
        <f aca="false">IF(ISBLANK($C45),"",IF($Z45&lt;&gt;Constants!$B$7,$Z45,AF45))</f>
        <v/>
      </c>
      <c r="AQ45" s="71" t="str">
        <f aca="false">IF(ISBLANK($C45),"",IF($Z45&lt;&gt;Constants!$B$7,$Z45,AA45))</f>
        <v/>
      </c>
      <c r="AR45" s="69" t="str">
        <f aca="false">IF(ISBLANK($C45),"",AL45)</f>
        <v/>
      </c>
      <c r="AS45" s="69" t="str">
        <f aca="false">IF(ISBLANK($C45),"",AK45)</f>
        <v/>
      </c>
      <c r="AT45" s="72" t="str">
        <f aca="false">IF(ISBLANK($C45),"",IF(AS45=Constants!$B$4,COUNTA($C$8:$C$507)+2,IF(AS45=Constants!$B$5,COUNTA($C$8:$C$507)+1,IF(AS45=Constants!$B$6,COUNTA($C$8:$C$507),AS45))))</f>
        <v/>
      </c>
      <c r="AU45" s="5"/>
      <c r="AV45" s="73" t="n">
        <f aca="false">IF(OR(ISNUMBER(AS45),AS45=Constants!$B$4,AS45=Constants!$B$6,AS45=Constants!$B$5),1,0)</f>
        <v>0</v>
      </c>
      <c r="AW45" s="73" t="n">
        <v>38</v>
      </c>
      <c r="AX45" s="73" t="str">
        <f aca="false">IF(ISBLANK($C45),"",IF(ISNUMBER(AT45),AT45+ROW($B45)/1000,""))</f>
        <v/>
      </c>
      <c r="AY45" s="73" t="str">
        <f aca="false">IF(ISNUMBER(AX45),RANK(AX45,$AX$8:$AX$507,1),"")</f>
        <v/>
      </c>
      <c r="AZ45" s="73" t="str">
        <f aca="false">IF(ISBLANK($C45),"",$B45)</f>
        <v/>
      </c>
      <c r="BA45" s="73" t="str">
        <f aca="false">IF(ISBLANK($C45),"",$C45)</f>
        <v/>
      </c>
      <c r="BB45" s="73" t="str">
        <f aca="false">IF(ISBLANK($C45),"",$D45)</f>
        <v/>
      </c>
      <c r="BC45" s="74" t="str">
        <f aca="false">AQ45</f>
        <v/>
      </c>
      <c r="BD45" s="75" t="str">
        <f aca="false">AP45</f>
        <v/>
      </c>
      <c r="BE45" s="73" t="str">
        <f aca="false">IF(ISBLANK($C45),"",AS45)</f>
        <v/>
      </c>
      <c r="BF45" s="76" t="str">
        <f aca="false">IF($AW45&gt;$AV$7,"",VLOOKUP($AW45,$AY$8:$BE$507,7,FALSE()))</f>
        <v/>
      </c>
      <c r="BG45" s="77" t="str">
        <f aca="false">IF($AW45&gt;$AV$7,"",VLOOKUP($AW45,$AY$8:$BE$507,2,FALSE()))</f>
        <v/>
      </c>
      <c r="BH45" s="77" t="str">
        <f aca="false">IF($AW45&gt;$AV$7,"",VLOOKUP($AW45,$AY$8:$BE$507,3,FALSE()))</f>
        <v/>
      </c>
      <c r="BI45" s="77" t="str">
        <f aca="false">IF($AW45&gt;$AV$7,"",VLOOKUP($AW45,$AY$8:$BE$507,4,FALSE()))</f>
        <v/>
      </c>
      <c r="BJ45" s="77" t="str">
        <f aca="false">IF($AW45&gt;$AV$7,"",VLOOKUP($AW45,$AY$8:$BE$507,5,FALSE()))</f>
        <v/>
      </c>
      <c r="BK45" s="78" t="str">
        <f aca="false">IF($AW45&gt;$AV$7,"",VLOOKUP($AW45,$AY$8:$BE$507,6,FALSE()))</f>
        <v/>
      </c>
      <c r="BL45" s="50"/>
    </row>
    <row r="46" customFormat="false" ht="15.75" hidden="false" customHeight="false" outlineLevel="0" collapsed="false">
      <c r="A46" s="5"/>
      <c r="B46" s="131"/>
      <c r="C46" s="52"/>
      <c r="D46" s="53"/>
      <c r="E46" s="80"/>
      <c r="F46" s="132"/>
      <c r="G46" s="56"/>
      <c r="H46" s="133"/>
      <c r="I46" s="134"/>
      <c r="J46" s="59"/>
      <c r="K46" s="60"/>
      <c r="L46" s="134"/>
      <c r="M46" s="61"/>
      <c r="N46" s="62"/>
      <c r="O46" s="80"/>
      <c r="P46" s="64"/>
      <c r="Q46" s="65" t="str">
        <f aca="false">IF(ISBLANK($C46),"",IF(E46=Constants!$B$2, TRUE(), IF(E46=Constants!$B$3, FALSE(), TRUE())))</f>
        <v/>
      </c>
      <c r="R46" s="65" t="str">
        <f aca="false">IF(ISBLANK($C46),"",IF(F46=Constants!$B$2, TRUE(), IF(F46=Constants!$B$3, FALSE(), TRUE())))</f>
        <v/>
      </c>
      <c r="S46" s="65" t="str">
        <f aca="false">IF(ISBLANK($C46),"",IF(G46=Constants!$B$15,Constants!$B$8,IF(G46=Constants!$B$16,Constants!$B$9,Constants!$B$10)))</f>
        <v/>
      </c>
      <c r="T46" s="65" t="str">
        <f aca="false">IF(ISBLANK($C46),"",IF(H46=Constants!$B$2, TRUE(), IF(H46=Constants!$B$3, FALSE(), TRUE())))</f>
        <v/>
      </c>
      <c r="U46" s="65" t="str">
        <f aca="false">IF(ISBLANK($C46),"",IF(I46=Constants!$B$19,Constants!$B$19,Constants!$B$18))</f>
        <v/>
      </c>
      <c r="V46" s="65" t="str">
        <f aca="false">IF(ISBLANK($C46),"",IF(COUNTA(J46:K46)=0,"",IF(AND(OR(ISBLANK(J46),AND(ISNUMBER(J46),J46&gt;=0)),OR(ISBLANK(K46),AND(ISNUMBER(K46),K46&gt;=0))),60*IF(ISBLANK(J46),0,J46)+IF(ISBLANK(K46),0,K46),"")))</f>
        <v/>
      </c>
      <c r="W46" s="65" t="str">
        <f aca="false">IF(ISBLANK($C46),"",IF(L46=Constants!$B$19,Constants!$B$19,Constants!$B$18))</f>
        <v/>
      </c>
      <c r="X46" s="65" t="str">
        <f aca="false">IF(ISBLANK($C46),"",IF(COUNTA(M46:N46)=0,"",IF(AND(OR(ISBLANK(M46),AND(ISNUMBER(M46),M46&gt;=0)),OR(ISBLANK(N46),AND(ISNUMBER(N46),N46&gt;=0))),60*IF(ISBLANK(M46),0,M46)+IF(ISBLANK(N46),0,N46),"")))</f>
        <v/>
      </c>
      <c r="Y46" s="65" t="str">
        <f aca="false">IF(ISBLANK($C46),"",IF(O46=Constants!$B$2, TRUE(), IF(O46=Constants!$B$3, FALSE(), FALSE())))</f>
        <v/>
      </c>
      <c r="Z46" s="65" t="str">
        <f aca="false">IF(ISBLANK($C46),"",IF(Y46,Constants!$B$4,IF(COUNTA(E46:N46)=0,Constants!$B$5,IF(COUNTA(J46:K46,M46:N46)=0,Constants!$B$6,Constants!$B$7))))</f>
        <v/>
      </c>
      <c r="AA46" s="65" t="str">
        <f aca="false">IF(ISBLANK($C46),"",IF($Z46&lt;&gt;Constants!$B$7,$Z46,IF(OR(NOT(T46),AND(NOT(Q46),COUNTIFS(U46:W46,Constants!$B$18,V46:X46,"&gt;=0")&gt;0),AND(NOT(R46),COUNTIFS(U46:W46,Constants!$B$19,V46:X46,"&gt;=0")&gt;0)),Constants!$B$12,Constants!$B$11)))</f>
        <v/>
      </c>
      <c r="AB46" s="65" t="str">
        <f aca="false">IF($Z46=Constants!$B$7,IF(V46="",Constants!$B$13,V46),"")</f>
        <v/>
      </c>
      <c r="AC46" s="65" t="str">
        <f aca="false">IF($Z46=Constants!$B$7,IF(X46="",Constants!$B$13,X46),"")</f>
        <v/>
      </c>
      <c r="AD46" s="65" t="str">
        <f aca="false">IF($Z46=Constants!$B$7,IF($AB46&gt;=$AC46,1,2),"")</f>
        <v/>
      </c>
      <c r="AE46" s="65" t="str">
        <f aca="false">IF($Z46=Constants!$B$7,LARGE(AB46:AC46,1),"")</f>
        <v/>
      </c>
      <c r="AF46" s="65" t="str">
        <f aca="false">IF(ISBLANK($C46),"",IF($Z46&lt;&gt;Constants!$B$7,$Z46,AE46*S46))</f>
        <v/>
      </c>
      <c r="AG46" s="65" t="str">
        <f aca="false">IF(ISBLANK($C46),"",IF($Z46=Constants!$B$7,IF(ISNUMBER(AF46),RANK(AF46,$AF$8:$AF$507),Constants!$B$14),$Z46))</f>
        <v/>
      </c>
      <c r="AH46" s="65" t="str">
        <f aca="false">IF(ISBLANK($C46),"",IF($Z46=Constants!$B$7,IF(ISNUMBER(AG46),COUNTIFS($AA$8:$AA$507,"&lt;"&amp;$AA46)+COUNTIFS($AA$8:$AA$507,$AA46,$AG$8:$AG$507,"&lt;"&amp;$AG46)+1,Constants!$B$14),$Z46))</f>
        <v/>
      </c>
      <c r="AI46" s="65" t="str">
        <f aca="false">IF(ISBLANK($C46),"",IF($Z46=Constants!$B$7,LARGE(AB46:AC46,2)*S46,""))</f>
        <v/>
      </c>
      <c r="AJ46" s="65" t="str">
        <f aca="false">IF(ISBLANK($C46),"",IF($Z46=Constants!$B$7,RANK(AI46,$AI$8:$AI$507),$Z46))</f>
        <v/>
      </c>
      <c r="AK46" s="65" t="str">
        <f aca="false">IF(ISBLANK($C46),"",IF($Z46=Constants!$B$7,IF(ISNUMBER(AG46),COUNTIFS($AA$8:$AA$507,"&lt;"&amp;$AA46)+COUNTIFS($AA$8:$AA$507,$AA46,$AG$8:$AG$507,"&lt;"&amp;$AG46)+COUNTIFS($AA$8:$AA$507,$AA46,$AG$8:$AG$507,$AG46,$AJ$8:$AJ$507,"&lt;"&amp;$AJ46)+1,Constants!$B$14),$Z46))</f>
        <v/>
      </c>
      <c r="AL46" s="65" t="str">
        <f aca="false">IF(ISBLANK($C46),"",IF($Z46=Constants!$B$7,IF(ISNUMBER(AH46),AH46-AK46,Constants!$B$14),$Z46))</f>
        <v/>
      </c>
      <c r="AM46" s="67"/>
      <c r="AN46" s="68" t="str">
        <f aca="false">IF(ISBLANK($C46),"",IF($Z46&lt;&gt;Constants!$B$7,$Z46,AD46))</f>
        <v/>
      </c>
      <c r="AO46" s="69" t="str">
        <f aca="false">IF(ISBLANK($C46),"",IF($Z46&lt;&gt;Constants!$B$7,$Z46,S46))</f>
        <v/>
      </c>
      <c r="AP46" s="70" t="str">
        <f aca="false">IF(ISBLANK($C46),"",IF($Z46&lt;&gt;Constants!$B$7,$Z46,AF46))</f>
        <v/>
      </c>
      <c r="AQ46" s="71" t="str">
        <f aca="false">IF(ISBLANK($C46),"",IF($Z46&lt;&gt;Constants!$B$7,$Z46,AA46))</f>
        <v/>
      </c>
      <c r="AR46" s="69" t="str">
        <f aca="false">IF(ISBLANK($C46),"",AL46)</f>
        <v/>
      </c>
      <c r="AS46" s="69" t="str">
        <f aca="false">IF(ISBLANK($C46),"",AK46)</f>
        <v/>
      </c>
      <c r="AT46" s="72" t="str">
        <f aca="false">IF(ISBLANK($C46),"",IF(AS46=Constants!$B$4,COUNTA($C$8:$C$507)+2,IF(AS46=Constants!$B$5,COUNTA($C$8:$C$507)+1,IF(AS46=Constants!$B$6,COUNTA($C$8:$C$507),AS46))))</f>
        <v/>
      </c>
      <c r="AU46" s="5"/>
      <c r="AV46" s="73" t="n">
        <f aca="false">IF(OR(ISNUMBER(AS46),AS46=Constants!$B$4,AS46=Constants!$B$6,AS46=Constants!$B$5),1,0)</f>
        <v>0</v>
      </c>
      <c r="AW46" s="73" t="n">
        <v>39</v>
      </c>
      <c r="AX46" s="73" t="str">
        <f aca="false">IF(ISBLANK($C46),"",IF(ISNUMBER(AT46),AT46+ROW($B46)/1000,""))</f>
        <v/>
      </c>
      <c r="AY46" s="73" t="str">
        <f aca="false">IF(ISNUMBER(AX46),RANK(AX46,$AX$8:$AX$507,1),"")</f>
        <v/>
      </c>
      <c r="AZ46" s="73" t="str">
        <f aca="false">IF(ISBLANK($C46),"",$B46)</f>
        <v/>
      </c>
      <c r="BA46" s="73" t="str">
        <f aca="false">IF(ISBLANK($C46),"",$C46)</f>
        <v/>
      </c>
      <c r="BB46" s="73" t="str">
        <f aca="false">IF(ISBLANK($C46),"",$D46)</f>
        <v/>
      </c>
      <c r="BC46" s="74" t="str">
        <f aca="false">AQ46</f>
        <v/>
      </c>
      <c r="BD46" s="75" t="str">
        <f aca="false">AP46</f>
        <v/>
      </c>
      <c r="BE46" s="73" t="str">
        <f aca="false">IF(ISBLANK($C46),"",AS46)</f>
        <v/>
      </c>
      <c r="BF46" s="76" t="str">
        <f aca="false">IF($AW46&gt;$AV$7,"",VLOOKUP($AW46,$AY$8:$BE$507,7,FALSE()))</f>
        <v/>
      </c>
      <c r="BG46" s="77" t="str">
        <f aca="false">IF($AW46&gt;$AV$7,"",VLOOKUP($AW46,$AY$8:$BE$507,2,FALSE()))</f>
        <v/>
      </c>
      <c r="BH46" s="77" t="str">
        <f aca="false">IF($AW46&gt;$AV$7,"",VLOOKUP($AW46,$AY$8:$BE$507,3,FALSE()))</f>
        <v/>
      </c>
      <c r="BI46" s="77" t="str">
        <f aca="false">IF($AW46&gt;$AV$7,"",VLOOKUP($AW46,$AY$8:$BE$507,4,FALSE()))</f>
        <v/>
      </c>
      <c r="BJ46" s="77" t="str">
        <f aca="false">IF($AW46&gt;$AV$7,"",VLOOKUP($AW46,$AY$8:$BE$507,5,FALSE()))</f>
        <v/>
      </c>
      <c r="BK46" s="78" t="str">
        <f aca="false">IF($AW46&gt;$AV$7,"",VLOOKUP($AW46,$AY$8:$BE$507,6,FALSE()))</f>
        <v/>
      </c>
      <c r="BL46" s="50"/>
    </row>
    <row r="47" customFormat="false" ht="15.75" hidden="false" customHeight="false" outlineLevel="0" collapsed="false">
      <c r="A47" s="5"/>
      <c r="B47" s="124"/>
      <c r="C47" s="125"/>
      <c r="D47" s="110"/>
      <c r="E47" s="130"/>
      <c r="F47" s="135"/>
      <c r="G47" s="88"/>
      <c r="H47" s="136"/>
      <c r="I47" s="137"/>
      <c r="J47" s="91"/>
      <c r="K47" s="92"/>
      <c r="L47" s="137"/>
      <c r="M47" s="93"/>
      <c r="N47" s="94"/>
      <c r="O47" s="130"/>
      <c r="P47" s="96"/>
      <c r="Q47" s="97" t="str">
        <f aca="false">IF(ISBLANK($C47),"",IF(E47=Constants!$B$2, TRUE(), IF(E47=Constants!$B$3, FALSE(), TRUE())))</f>
        <v/>
      </c>
      <c r="R47" s="97" t="str">
        <f aca="false">IF(ISBLANK($C47),"",IF(F47=Constants!$B$2, TRUE(), IF(F47=Constants!$B$3, FALSE(), TRUE())))</f>
        <v/>
      </c>
      <c r="S47" s="97" t="str">
        <f aca="false">IF(ISBLANK($C47),"",IF(G47=Constants!$B$15,Constants!$B$8,IF(G47=Constants!$B$16,Constants!$B$9,Constants!$B$10)))</f>
        <v/>
      </c>
      <c r="T47" s="97" t="str">
        <f aca="false">IF(ISBLANK($C47),"",IF(H47=Constants!$B$2, TRUE(), IF(H47=Constants!$B$3, FALSE(), TRUE())))</f>
        <v/>
      </c>
      <c r="U47" s="97" t="str">
        <f aca="false">IF(ISBLANK($C47),"",IF(I47=Constants!$B$19,Constants!$B$19,Constants!$B$18))</f>
        <v/>
      </c>
      <c r="V47" s="97" t="str">
        <f aca="false">IF(ISBLANK($C47),"",IF(COUNTA(J47:K47)=0,"",IF(AND(OR(ISBLANK(J47),AND(ISNUMBER(J47),J47&gt;=0)),OR(ISBLANK(K47),AND(ISNUMBER(K47),K47&gt;=0))),60*IF(ISBLANK(J47),0,J47)+IF(ISBLANK(K47),0,K47),"")))</f>
        <v/>
      </c>
      <c r="W47" s="97" t="str">
        <f aca="false">IF(ISBLANK($C47),"",IF(L47=Constants!$B$19,Constants!$B$19,Constants!$B$18))</f>
        <v/>
      </c>
      <c r="X47" s="97" t="str">
        <f aca="false">IF(ISBLANK($C47),"",IF(COUNTA(M47:N47)=0,"",IF(AND(OR(ISBLANK(M47),AND(ISNUMBER(M47),M47&gt;=0)),OR(ISBLANK(N47),AND(ISNUMBER(N47),N47&gt;=0))),60*IF(ISBLANK(M47),0,M47)+IF(ISBLANK(N47),0,N47),"")))</f>
        <v/>
      </c>
      <c r="Y47" s="97" t="str">
        <f aca="false">IF(ISBLANK($C47),"",IF(O47=Constants!$B$2, TRUE(), IF(O47=Constants!$B$3, FALSE(), FALSE())))</f>
        <v/>
      </c>
      <c r="Z47" s="97" t="str">
        <f aca="false">IF(ISBLANK($C47),"",IF(Y47,Constants!$B$4,IF(COUNTA(E47:N47)=0,Constants!$B$5,IF(COUNTA(J47:K47,M47:N47)=0,Constants!$B$6,Constants!$B$7))))</f>
        <v/>
      </c>
      <c r="AA47" s="97" t="str">
        <f aca="false">IF(ISBLANK($C47),"",IF($Z47&lt;&gt;Constants!$B$7,$Z47,IF(OR(NOT(T47),AND(NOT(Q47),COUNTIFS(U47:W47,Constants!$B$18,V47:X47,"&gt;=0")&gt;0),AND(NOT(R47),COUNTIFS(U47:W47,Constants!$B$19,V47:X47,"&gt;=0")&gt;0)),Constants!$B$12,Constants!$B$11)))</f>
        <v/>
      </c>
      <c r="AB47" s="97" t="str">
        <f aca="false">IF($Z47=Constants!$B$7,IF(V47="",Constants!$B$13,V47),"")</f>
        <v/>
      </c>
      <c r="AC47" s="97" t="str">
        <f aca="false">IF($Z47=Constants!$B$7,IF(X47="",Constants!$B$13,X47),"")</f>
        <v/>
      </c>
      <c r="AD47" s="97" t="str">
        <f aca="false">IF($Z47=Constants!$B$7,IF($AB47&gt;=$AC47,1,2),"")</f>
        <v/>
      </c>
      <c r="AE47" s="97" t="str">
        <f aca="false">IF($Z47=Constants!$B$7,LARGE(AB47:AC47,1),"")</f>
        <v/>
      </c>
      <c r="AF47" s="97" t="str">
        <f aca="false">IF(ISBLANK($C47),"",IF($Z47&lt;&gt;Constants!$B$7,$Z47,AE47*S47))</f>
        <v/>
      </c>
      <c r="AG47" s="97" t="str">
        <f aca="false">IF(ISBLANK($C47),"",IF($Z47=Constants!$B$7,IF(ISNUMBER(AF47),RANK(AF47,$AF$8:$AF$507),Constants!$B$14),$Z47))</f>
        <v/>
      </c>
      <c r="AH47" s="97" t="str">
        <f aca="false">IF(ISBLANK($C47),"",IF($Z47=Constants!$B$7,IF(ISNUMBER(AG47),COUNTIFS($AA$8:$AA$507,"&lt;"&amp;$AA47)+COUNTIFS($AA$8:$AA$507,$AA47,$AG$8:$AG$507,"&lt;"&amp;$AG47)+1,Constants!$B$14),$Z47))</f>
        <v/>
      </c>
      <c r="AI47" s="97" t="str">
        <f aca="false">IF(ISBLANK($C47),"",IF($Z47=Constants!$B$7,LARGE(AB47:AC47,2)*S47,""))</f>
        <v/>
      </c>
      <c r="AJ47" s="97" t="str">
        <f aca="false">IF(ISBLANK($C47),"",IF($Z47=Constants!$B$7,RANK(AI47,$AI$8:$AI$507),$Z47))</f>
        <v/>
      </c>
      <c r="AK47" s="97" t="str">
        <f aca="false">IF(ISBLANK($C47),"",IF($Z47=Constants!$B$7,IF(ISNUMBER(AG47),COUNTIFS($AA$8:$AA$507,"&lt;"&amp;$AA47)+COUNTIFS($AA$8:$AA$507,$AA47,$AG$8:$AG$507,"&lt;"&amp;$AG47)+COUNTIFS($AA$8:$AA$507,$AA47,$AG$8:$AG$507,$AG47,$AJ$8:$AJ$507,"&lt;"&amp;$AJ47)+1,Constants!$B$14),$Z47))</f>
        <v/>
      </c>
      <c r="AL47" s="97" t="str">
        <f aca="false">IF(ISBLANK($C47),"",IF($Z47=Constants!$B$7,IF(ISNUMBER(AH47),AH47-AK47,Constants!$B$14),$Z47))</f>
        <v/>
      </c>
      <c r="AM47" s="98"/>
      <c r="AN47" s="99" t="str">
        <f aca="false">IF(ISBLANK($C47),"",IF($Z47&lt;&gt;Constants!$B$7,$Z47,AD47))</f>
        <v/>
      </c>
      <c r="AO47" s="100" t="str">
        <f aca="false">IF(ISBLANK($C47),"",IF($Z47&lt;&gt;Constants!$B$7,$Z47,S47))</f>
        <v/>
      </c>
      <c r="AP47" s="101" t="str">
        <f aca="false">IF(ISBLANK($C47),"",IF($Z47&lt;&gt;Constants!$B$7,$Z47,AF47))</f>
        <v/>
      </c>
      <c r="AQ47" s="102" t="str">
        <f aca="false">IF(ISBLANK($C47),"",IF($Z47&lt;&gt;Constants!$B$7,$Z47,AA47))</f>
        <v/>
      </c>
      <c r="AR47" s="100" t="str">
        <f aca="false">IF(ISBLANK($C47),"",AL47)</f>
        <v/>
      </c>
      <c r="AS47" s="100" t="str">
        <f aca="false">IF(ISBLANK($C47),"",AK47)</f>
        <v/>
      </c>
      <c r="AT47" s="103" t="str">
        <f aca="false">IF(ISBLANK($C47),"",IF(AS47=Constants!$B$4,COUNTA($C$8:$C$507)+2,IF(AS47=Constants!$B$5,COUNTA($C$8:$C$507)+1,IF(AS47=Constants!$B$6,COUNTA($C$8:$C$507),AS47))))</f>
        <v/>
      </c>
      <c r="AU47" s="5"/>
      <c r="AV47" s="104" t="n">
        <f aca="false">IF(OR(ISNUMBER(AS47),AS47=Constants!$B$4,AS47=Constants!$B$6,AS47=Constants!$B$5),1,0)</f>
        <v>0</v>
      </c>
      <c r="AW47" s="104" t="n">
        <v>40</v>
      </c>
      <c r="AX47" s="104" t="str">
        <f aca="false">IF(ISBLANK($C47),"",IF(ISNUMBER(AT47),AT47+ROW($B47)/1000,""))</f>
        <v/>
      </c>
      <c r="AY47" s="104" t="str">
        <f aca="false">IF(ISNUMBER(AX47),RANK(AX47,$AX$8:$AX$507,1),"")</f>
        <v/>
      </c>
      <c r="AZ47" s="104" t="str">
        <f aca="false">IF(ISBLANK($C47),"",$B47)</f>
        <v/>
      </c>
      <c r="BA47" s="104" t="str">
        <f aca="false">IF(ISBLANK($C47),"",$C47)</f>
        <v/>
      </c>
      <c r="BB47" s="104" t="str">
        <f aca="false">IF(ISBLANK($C47),"",$D47)</f>
        <v/>
      </c>
      <c r="BC47" s="105" t="str">
        <f aca="false">AQ47</f>
        <v/>
      </c>
      <c r="BD47" s="106" t="str">
        <f aca="false">AP47</f>
        <v/>
      </c>
      <c r="BE47" s="104" t="str">
        <f aca="false">IF(ISBLANK($C47),"",AS47)</f>
        <v/>
      </c>
      <c r="BF47" s="107" t="str">
        <f aca="false">IF($AW47&gt;$AV$7,"",VLOOKUP($AW47,$AY$8:$BE$507,7,FALSE()))</f>
        <v/>
      </c>
      <c r="BG47" s="108" t="str">
        <f aca="false">IF($AW47&gt;$AV$7,"",VLOOKUP($AW47,$AY$8:$BE$507,2,FALSE()))</f>
        <v/>
      </c>
      <c r="BH47" s="108" t="str">
        <f aca="false">IF($AW47&gt;$AV$7,"",VLOOKUP($AW47,$AY$8:$BE$507,3,FALSE()))</f>
        <v/>
      </c>
      <c r="BI47" s="108" t="str">
        <f aca="false">IF($AW47&gt;$AV$7,"",VLOOKUP($AW47,$AY$8:$BE$507,4,FALSE()))</f>
        <v/>
      </c>
      <c r="BJ47" s="108" t="str">
        <f aca="false">IF($AW47&gt;$AV$7,"",VLOOKUP($AW47,$AY$8:$BE$507,5,FALSE()))</f>
        <v/>
      </c>
      <c r="BK47" s="109" t="str">
        <f aca="false">IF($AW47&gt;$AV$7,"",VLOOKUP($AW47,$AY$8:$BE$507,6,FALSE()))</f>
        <v/>
      </c>
      <c r="BL47" s="50"/>
    </row>
    <row r="48" customFormat="false" ht="15.75" hidden="false" customHeight="false" outlineLevel="0" collapsed="false">
      <c r="A48" s="5"/>
      <c r="B48" s="124"/>
      <c r="C48" s="125"/>
      <c r="D48" s="110"/>
      <c r="E48" s="130"/>
      <c r="F48" s="135"/>
      <c r="G48" s="88"/>
      <c r="H48" s="136"/>
      <c r="I48" s="137"/>
      <c r="J48" s="91"/>
      <c r="K48" s="92"/>
      <c r="L48" s="137"/>
      <c r="M48" s="93"/>
      <c r="N48" s="94"/>
      <c r="O48" s="130"/>
      <c r="P48" s="96"/>
      <c r="Q48" s="97" t="str">
        <f aca="false">IF(ISBLANK($C48),"",IF(E48=Constants!$B$2, TRUE(), IF(E48=Constants!$B$3, FALSE(), TRUE())))</f>
        <v/>
      </c>
      <c r="R48" s="97" t="str">
        <f aca="false">IF(ISBLANK($C48),"",IF(F48=Constants!$B$2, TRUE(), IF(F48=Constants!$B$3, FALSE(), TRUE())))</f>
        <v/>
      </c>
      <c r="S48" s="97" t="str">
        <f aca="false">IF(ISBLANK($C48),"",IF(G48=Constants!$B$15,Constants!$B$8,IF(G48=Constants!$B$16,Constants!$B$9,Constants!$B$10)))</f>
        <v/>
      </c>
      <c r="T48" s="97" t="str">
        <f aca="false">IF(ISBLANK($C48),"",IF(H48=Constants!$B$2, TRUE(), IF(H48=Constants!$B$3, FALSE(), TRUE())))</f>
        <v/>
      </c>
      <c r="U48" s="97" t="str">
        <f aca="false">IF(ISBLANK($C48),"",IF(I48=Constants!$B$19,Constants!$B$19,Constants!$B$18))</f>
        <v/>
      </c>
      <c r="V48" s="97" t="str">
        <f aca="false">IF(ISBLANK($C48),"",IF(COUNTA(J48:K48)=0,"",IF(AND(OR(ISBLANK(J48),AND(ISNUMBER(J48),J48&gt;=0)),OR(ISBLANK(K48),AND(ISNUMBER(K48),K48&gt;=0))),60*IF(ISBLANK(J48),0,J48)+IF(ISBLANK(K48),0,K48),"")))</f>
        <v/>
      </c>
      <c r="W48" s="97" t="str">
        <f aca="false">IF(ISBLANK($C48),"",IF(L48=Constants!$B$19,Constants!$B$19,Constants!$B$18))</f>
        <v/>
      </c>
      <c r="X48" s="97" t="str">
        <f aca="false">IF(ISBLANK($C48),"",IF(COUNTA(M48:N48)=0,"",IF(AND(OR(ISBLANK(M48),AND(ISNUMBER(M48),M48&gt;=0)),OR(ISBLANK(N48),AND(ISNUMBER(N48),N48&gt;=0))),60*IF(ISBLANK(M48),0,M48)+IF(ISBLANK(N48),0,N48),"")))</f>
        <v/>
      </c>
      <c r="Y48" s="97" t="str">
        <f aca="false">IF(ISBLANK($C48),"",IF(O48=Constants!$B$2, TRUE(), IF(O48=Constants!$B$3, FALSE(), FALSE())))</f>
        <v/>
      </c>
      <c r="Z48" s="97" t="str">
        <f aca="false">IF(ISBLANK($C48),"",IF(Y48,Constants!$B$4,IF(COUNTA(E48:N48)=0,Constants!$B$5,IF(COUNTA(J48:K48,M48:N48)=0,Constants!$B$6,Constants!$B$7))))</f>
        <v/>
      </c>
      <c r="AA48" s="97" t="str">
        <f aca="false">IF(ISBLANK($C48),"",IF($Z48&lt;&gt;Constants!$B$7,$Z48,IF(OR(NOT(T48),AND(NOT(Q48),COUNTIFS(U48:W48,Constants!$B$18,V48:X48,"&gt;=0")&gt;0),AND(NOT(R48),COUNTIFS(U48:W48,Constants!$B$19,V48:X48,"&gt;=0")&gt;0)),Constants!$B$12,Constants!$B$11)))</f>
        <v/>
      </c>
      <c r="AB48" s="97" t="str">
        <f aca="false">IF($Z48=Constants!$B$7,IF(V48="",Constants!$B$13,V48),"")</f>
        <v/>
      </c>
      <c r="AC48" s="97" t="str">
        <f aca="false">IF($Z48=Constants!$B$7,IF(X48="",Constants!$B$13,X48),"")</f>
        <v/>
      </c>
      <c r="AD48" s="97" t="str">
        <f aca="false">IF($Z48=Constants!$B$7,IF($AB48&gt;=$AC48,1,2),"")</f>
        <v/>
      </c>
      <c r="AE48" s="97" t="str">
        <f aca="false">IF($Z48=Constants!$B$7,LARGE(AB48:AC48,1),"")</f>
        <v/>
      </c>
      <c r="AF48" s="97" t="str">
        <f aca="false">IF(ISBLANK($C48),"",IF($Z48&lt;&gt;Constants!$B$7,$Z48,AE48*S48))</f>
        <v/>
      </c>
      <c r="AG48" s="97" t="str">
        <f aca="false">IF(ISBLANK($C48),"",IF($Z48=Constants!$B$7,IF(ISNUMBER(AF48),RANK(AF48,$AF$8:$AF$507),Constants!$B$14),$Z48))</f>
        <v/>
      </c>
      <c r="AH48" s="97" t="str">
        <f aca="false">IF(ISBLANK($C48),"",IF($Z48=Constants!$B$7,IF(ISNUMBER(AG48),COUNTIFS($AA$8:$AA$507,"&lt;"&amp;$AA48)+COUNTIFS($AA$8:$AA$507,$AA48,$AG$8:$AG$507,"&lt;"&amp;$AG48)+1,Constants!$B$14),$Z48))</f>
        <v/>
      </c>
      <c r="AI48" s="97" t="str">
        <f aca="false">IF(ISBLANK($C48),"",IF($Z48=Constants!$B$7,LARGE(AB48:AC48,2)*S48,""))</f>
        <v/>
      </c>
      <c r="AJ48" s="97" t="str">
        <f aca="false">IF(ISBLANK($C48),"",IF($Z48=Constants!$B$7,RANK(AI48,$AI$8:$AI$507),$Z48))</f>
        <v/>
      </c>
      <c r="AK48" s="97" t="str">
        <f aca="false">IF(ISBLANK($C48),"",IF($Z48=Constants!$B$7,IF(ISNUMBER(AG48),COUNTIFS($AA$8:$AA$507,"&lt;"&amp;$AA48)+COUNTIFS($AA$8:$AA$507,$AA48,$AG$8:$AG$507,"&lt;"&amp;$AG48)+COUNTIFS($AA$8:$AA$507,$AA48,$AG$8:$AG$507,$AG48,$AJ$8:$AJ$507,"&lt;"&amp;$AJ48)+1,Constants!$B$14),$Z48))</f>
        <v/>
      </c>
      <c r="AL48" s="97" t="str">
        <f aca="false">IF(ISBLANK($C48),"",IF($Z48=Constants!$B$7,IF(ISNUMBER(AH48),AH48-AK48,Constants!$B$14),$Z48))</f>
        <v/>
      </c>
      <c r="AM48" s="98"/>
      <c r="AN48" s="99" t="str">
        <f aca="false">IF(ISBLANK($C48),"",IF($Z48&lt;&gt;Constants!$B$7,$Z48,AD48))</f>
        <v/>
      </c>
      <c r="AO48" s="100" t="str">
        <f aca="false">IF(ISBLANK($C48),"",IF($Z48&lt;&gt;Constants!$B$7,$Z48,S48))</f>
        <v/>
      </c>
      <c r="AP48" s="101" t="str">
        <f aca="false">IF(ISBLANK($C48),"",IF($Z48&lt;&gt;Constants!$B$7,$Z48,AF48))</f>
        <v/>
      </c>
      <c r="AQ48" s="102" t="str">
        <f aca="false">IF(ISBLANK($C48),"",IF($Z48&lt;&gt;Constants!$B$7,$Z48,AA48))</f>
        <v/>
      </c>
      <c r="AR48" s="100" t="str">
        <f aca="false">IF(ISBLANK($C48),"",AL48)</f>
        <v/>
      </c>
      <c r="AS48" s="100" t="str">
        <f aca="false">IF(ISBLANK($C48),"",AK48)</f>
        <v/>
      </c>
      <c r="AT48" s="103" t="str">
        <f aca="false">IF(ISBLANK($C48),"",IF(AS48=Constants!$B$4,COUNTA($C$8:$C$507)+2,IF(AS48=Constants!$B$5,COUNTA($C$8:$C$507)+1,IF(AS48=Constants!$B$6,COUNTA($C$8:$C$507),AS48))))</f>
        <v/>
      </c>
      <c r="AU48" s="5"/>
      <c r="AV48" s="104" t="n">
        <f aca="false">IF(OR(ISNUMBER(AS48),AS48=Constants!$B$4,AS48=Constants!$B$6,AS48=Constants!$B$5),1,0)</f>
        <v>0</v>
      </c>
      <c r="AW48" s="104" t="n">
        <v>41</v>
      </c>
      <c r="AX48" s="104" t="str">
        <f aca="false">IF(ISBLANK($C48),"",IF(ISNUMBER(AT48),AT48+ROW($B48)/1000,""))</f>
        <v/>
      </c>
      <c r="AY48" s="104" t="str">
        <f aca="false">IF(ISNUMBER(AX48),RANK(AX48,$AX$8:$AX$507,1),"")</f>
        <v/>
      </c>
      <c r="AZ48" s="104" t="str">
        <f aca="false">IF(ISBLANK($C48),"",$B48)</f>
        <v/>
      </c>
      <c r="BA48" s="104" t="str">
        <f aca="false">IF(ISBLANK($C48),"",$C48)</f>
        <v/>
      </c>
      <c r="BB48" s="104" t="str">
        <f aca="false">IF(ISBLANK($C48),"",$D48)</f>
        <v/>
      </c>
      <c r="BC48" s="105" t="str">
        <f aca="false">AQ48</f>
        <v/>
      </c>
      <c r="BD48" s="106" t="str">
        <f aca="false">AP48</f>
        <v/>
      </c>
      <c r="BE48" s="104" t="str">
        <f aca="false">IF(ISBLANK($C48),"",AS48)</f>
        <v/>
      </c>
      <c r="BF48" s="107" t="str">
        <f aca="false">IF($AW48&gt;$AV$7,"",VLOOKUP($AW48,$AY$8:$BE$507,7,FALSE()))</f>
        <v/>
      </c>
      <c r="BG48" s="108" t="str">
        <f aca="false">IF($AW48&gt;$AV$7,"",VLOOKUP($AW48,$AY$8:$BE$507,2,FALSE()))</f>
        <v/>
      </c>
      <c r="BH48" s="108" t="str">
        <f aca="false">IF($AW48&gt;$AV$7,"",VLOOKUP($AW48,$AY$8:$BE$507,3,FALSE()))</f>
        <v/>
      </c>
      <c r="BI48" s="108" t="str">
        <f aca="false">IF($AW48&gt;$AV$7,"",VLOOKUP($AW48,$AY$8:$BE$507,4,FALSE()))</f>
        <v/>
      </c>
      <c r="BJ48" s="108" t="str">
        <f aca="false">IF($AW48&gt;$AV$7,"",VLOOKUP($AW48,$AY$8:$BE$507,5,FALSE()))</f>
        <v/>
      </c>
      <c r="BK48" s="109" t="str">
        <f aca="false">IF($AW48&gt;$AV$7,"",VLOOKUP($AW48,$AY$8:$BE$507,6,FALSE()))</f>
        <v/>
      </c>
      <c r="BL48" s="50"/>
    </row>
    <row r="49" customFormat="false" ht="15.75" hidden="false" customHeight="false" outlineLevel="0" collapsed="false">
      <c r="A49" s="5"/>
      <c r="B49" s="124"/>
      <c r="C49" s="125"/>
      <c r="D49" s="110"/>
      <c r="E49" s="130"/>
      <c r="F49" s="135"/>
      <c r="G49" s="88"/>
      <c r="H49" s="136"/>
      <c r="I49" s="137"/>
      <c r="J49" s="91"/>
      <c r="K49" s="92"/>
      <c r="L49" s="137"/>
      <c r="M49" s="93"/>
      <c r="N49" s="94"/>
      <c r="O49" s="130"/>
      <c r="P49" s="96"/>
      <c r="Q49" s="97" t="str">
        <f aca="false">IF(ISBLANK($C49),"",IF(E49=Constants!$B$2, TRUE(), IF(E49=Constants!$B$3, FALSE(), TRUE())))</f>
        <v/>
      </c>
      <c r="R49" s="97" t="str">
        <f aca="false">IF(ISBLANK($C49),"",IF(F49=Constants!$B$2, TRUE(), IF(F49=Constants!$B$3, FALSE(), TRUE())))</f>
        <v/>
      </c>
      <c r="S49" s="97" t="str">
        <f aca="false">IF(ISBLANK($C49),"",IF(G49=Constants!$B$15,Constants!$B$8,IF(G49=Constants!$B$16,Constants!$B$9,Constants!$B$10)))</f>
        <v/>
      </c>
      <c r="T49" s="97" t="str">
        <f aca="false">IF(ISBLANK($C49),"",IF(H49=Constants!$B$2, TRUE(), IF(H49=Constants!$B$3, FALSE(), TRUE())))</f>
        <v/>
      </c>
      <c r="U49" s="97" t="str">
        <f aca="false">IF(ISBLANK($C49),"",IF(I49=Constants!$B$19,Constants!$B$19,Constants!$B$18))</f>
        <v/>
      </c>
      <c r="V49" s="97" t="str">
        <f aca="false">IF(ISBLANK($C49),"",IF(COUNTA(J49:K49)=0,"",IF(AND(OR(ISBLANK(J49),AND(ISNUMBER(J49),J49&gt;=0)),OR(ISBLANK(K49),AND(ISNUMBER(K49),K49&gt;=0))),60*IF(ISBLANK(J49),0,J49)+IF(ISBLANK(K49),0,K49),"")))</f>
        <v/>
      </c>
      <c r="W49" s="97" t="str">
        <f aca="false">IF(ISBLANK($C49),"",IF(L49=Constants!$B$19,Constants!$B$19,Constants!$B$18))</f>
        <v/>
      </c>
      <c r="X49" s="97" t="str">
        <f aca="false">IF(ISBLANK($C49),"",IF(COUNTA(M49:N49)=0,"",IF(AND(OR(ISBLANK(M49),AND(ISNUMBER(M49),M49&gt;=0)),OR(ISBLANK(N49),AND(ISNUMBER(N49),N49&gt;=0))),60*IF(ISBLANK(M49),0,M49)+IF(ISBLANK(N49),0,N49),"")))</f>
        <v/>
      </c>
      <c r="Y49" s="97" t="str">
        <f aca="false">IF(ISBLANK($C49),"",IF(O49=Constants!$B$2, TRUE(), IF(O49=Constants!$B$3, FALSE(), FALSE())))</f>
        <v/>
      </c>
      <c r="Z49" s="97" t="str">
        <f aca="false">IF(ISBLANK($C49),"",IF(Y49,Constants!$B$4,IF(COUNTA(E49:N49)=0,Constants!$B$5,IF(COUNTA(J49:K49,M49:N49)=0,Constants!$B$6,Constants!$B$7))))</f>
        <v/>
      </c>
      <c r="AA49" s="97" t="str">
        <f aca="false">IF(ISBLANK($C49),"",IF($Z49&lt;&gt;Constants!$B$7,$Z49,IF(OR(NOT(T49),AND(NOT(Q49),COUNTIFS(U49:W49,Constants!$B$18,V49:X49,"&gt;=0")&gt;0),AND(NOT(R49),COUNTIFS(U49:W49,Constants!$B$19,V49:X49,"&gt;=0")&gt;0)),Constants!$B$12,Constants!$B$11)))</f>
        <v/>
      </c>
      <c r="AB49" s="97" t="str">
        <f aca="false">IF($Z49=Constants!$B$7,IF(V49="",Constants!$B$13,V49),"")</f>
        <v/>
      </c>
      <c r="AC49" s="97" t="str">
        <f aca="false">IF($Z49=Constants!$B$7,IF(X49="",Constants!$B$13,X49),"")</f>
        <v/>
      </c>
      <c r="AD49" s="97" t="str">
        <f aca="false">IF($Z49=Constants!$B$7,IF($AB49&gt;=$AC49,1,2),"")</f>
        <v/>
      </c>
      <c r="AE49" s="97" t="str">
        <f aca="false">IF($Z49=Constants!$B$7,LARGE(AB49:AC49,1),"")</f>
        <v/>
      </c>
      <c r="AF49" s="97" t="str">
        <f aca="false">IF(ISBLANK($C49),"",IF($Z49&lt;&gt;Constants!$B$7,$Z49,AE49*S49))</f>
        <v/>
      </c>
      <c r="AG49" s="97" t="str">
        <f aca="false">IF(ISBLANK($C49),"",IF($Z49=Constants!$B$7,IF(ISNUMBER(AF49),RANK(AF49,$AF$8:$AF$507),Constants!$B$14),$Z49))</f>
        <v/>
      </c>
      <c r="AH49" s="97" t="str">
        <f aca="false">IF(ISBLANK($C49),"",IF($Z49=Constants!$B$7,IF(ISNUMBER(AG49),COUNTIFS($AA$8:$AA$507,"&lt;"&amp;$AA49)+COUNTIFS($AA$8:$AA$507,$AA49,$AG$8:$AG$507,"&lt;"&amp;$AG49)+1,Constants!$B$14),$Z49))</f>
        <v/>
      </c>
      <c r="AI49" s="97" t="str">
        <f aca="false">IF(ISBLANK($C49),"",IF($Z49=Constants!$B$7,LARGE(AB49:AC49,2)*S49,""))</f>
        <v/>
      </c>
      <c r="AJ49" s="97" t="str">
        <f aca="false">IF(ISBLANK($C49),"",IF($Z49=Constants!$B$7,RANK(AI49,$AI$8:$AI$507),$Z49))</f>
        <v/>
      </c>
      <c r="AK49" s="97" t="str">
        <f aca="false">IF(ISBLANK($C49),"",IF($Z49=Constants!$B$7,IF(ISNUMBER(AG49),COUNTIFS($AA$8:$AA$507,"&lt;"&amp;$AA49)+COUNTIFS($AA$8:$AA$507,$AA49,$AG$8:$AG$507,"&lt;"&amp;$AG49)+COUNTIFS($AA$8:$AA$507,$AA49,$AG$8:$AG$507,$AG49,$AJ$8:$AJ$507,"&lt;"&amp;$AJ49)+1,Constants!$B$14),$Z49))</f>
        <v/>
      </c>
      <c r="AL49" s="97" t="str">
        <f aca="false">IF(ISBLANK($C49),"",IF($Z49=Constants!$B$7,IF(ISNUMBER(AH49),AH49-AK49,Constants!$B$14),$Z49))</f>
        <v/>
      </c>
      <c r="AM49" s="98"/>
      <c r="AN49" s="99" t="str">
        <f aca="false">IF(ISBLANK($C49),"",IF($Z49&lt;&gt;Constants!$B$7,$Z49,AD49))</f>
        <v/>
      </c>
      <c r="AO49" s="100" t="str">
        <f aca="false">IF(ISBLANK($C49),"",IF($Z49&lt;&gt;Constants!$B$7,$Z49,S49))</f>
        <v/>
      </c>
      <c r="AP49" s="101" t="str">
        <f aca="false">IF(ISBLANK($C49),"",IF($Z49&lt;&gt;Constants!$B$7,$Z49,AF49))</f>
        <v/>
      </c>
      <c r="AQ49" s="102" t="str">
        <f aca="false">IF(ISBLANK($C49),"",IF($Z49&lt;&gt;Constants!$B$7,$Z49,AA49))</f>
        <v/>
      </c>
      <c r="AR49" s="100" t="str">
        <f aca="false">IF(ISBLANK($C49),"",AL49)</f>
        <v/>
      </c>
      <c r="AS49" s="100" t="str">
        <f aca="false">IF(ISBLANK($C49),"",AK49)</f>
        <v/>
      </c>
      <c r="AT49" s="103" t="str">
        <f aca="false">IF(ISBLANK($C49),"",IF(AS49=Constants!$B$4,COUNTA($C$8:$C$507)+2,IF(AS49=Constants!$B$5,COUNTA($C$8:$C$507)+1,IF(AS49=Constants!$B$6,COUNTA($C$8:$C$507),AS49))))</f>
        <v/>
      </c>
      <c r="AU49" s="5"/>
      <c r="AV49" s="104" t="n">
        <f aca="false">IF(OR(ISNUMBER(AS49),AS49=Constants!$B$4,AS49=Constants!$B$6,AS49=Constants!$B$5),1,0)</f>
        <v>0</v>
      </c>
      <c r="AW49" s="104" t="n">
        <v>42</v>
      </c>
      <c r="AX49" s="104" t="str">
        <f aca="false">IF(ISBLANK($C49),"",IF(ISNUMBER(AT49),AT49+ROW($B49)/1000,""))</f>
        <v/>
      </c>
      <c r="AY49" s="104" t="str">
        <f aca="false">IF(ISNUMBER(AX49),RANK(AX49,$AX$8:$AX$507,1),"")</f>
        <v/>
      </c>
      <c r="AZ49" s="104" t="str">
        <f aca="false">IF(ISBLANK($C49),"",$B49)</f>
        <v/>
      </c>
      <c r="BA49" s="104" t="str">
        <f aca="false">IF(ISBLANK($C49),"",$C49)</f>
        <v/>
      </c>
      <c r="BB49" s="104" t="str">
        <f aca="false">IF(ISBLANK($C49),"",$D49)</f>
        <v/>
      </c>
      <c r="BC49" s="105" t="str">
        <f aca="false">AQ49</f>
        <v/>
      </c>
      <c r="BD49" s="106" t="str">
        <f aca="false">AP49</f>
        <v/>
      </c>
      <c r="BE49" s="104" t="str">
        <f aca="false">IF(ISBLANK($C49),"",AS49)</f>
        <v/>
      </c>
      <c r="BF49" s="107" t="str">
        <f aca="false">IF($AW49&gt;$AV$7,"",VLOOKUP($AW49,$AY$8:$BE$507,7,FALSE()))</f>
        <v/>
      </c>
      <c r="BG49" s="108" t="str">
        <f aca="false">IF($AW49&gt;$AV$7,"",VLOOKUP($AW49,$AY$8:$BE$507,2,FALSE()))</f>
        <v/>
      </c>
      <c r="BH49" s="108" t="str">
        <f aca="false">IF($AW49&gt;$AV$7,"",VLOOKUP($AW49,$AY$8:$BE$507,3,FALSE()))</f>
        <v/>
      </c>
      <c r="BI49" s="108" t="str">
        <f aca="false">IF($AW49&gt;$AV$7,"",VLOOKUP($AW49,$AY$8:$BE$507,4,FALSE()))</f>
        <v/>
      </c>
      <c r="BJ49" s="108" t="str">
        <f aca="false">IF($AW49&gt;$AV$7,"",VLOOKUP($AW49,$AY$8:$BE$507,5,FALSE()))</f>
        <v/>
      </c>
      <c r="BK49" s="109" t="str">
        <f aca="false">IF($AW49&gt;$AV$7,"",VLOOKUP($AW49,$AY$8:$BE$507,6,FALSE()))</f>
        <v/>
      </c>
      <c r="BL49" s="50"/>
    </row>
    <row r="50" customFormat="false" ht="15.75" hidden="false" customHeight="false" outlineLevel="0" collapsed="false">
      <c r="A50" s="5"/>
      <c r="B50" s="131"/>
      <c r="C50" s="52"/>
      <c r="D50" s="53"/>
      <c r="E50" s="80"/>
      <c r="F50" s="132"/>
      <c r="G50" s="56"/>
      <c r="H50" s="133"/>
      <c r="I50" s="134"/>
      <c r="J50" s="59"/>
      <c r="K50" s="60"/>
      <c r="L50" s="134"/>
      <c r="M50" s="61"/>
      <c r="N50" s="62"/>
      <c r="O50" s="80"/>
      <c r="P50" s="64"/>
      <c r="Q50" s="65" t="str">
        <f aca="false">IF(ISBLANK($C50),"",IF(E50=Constants!$B$2, TRUE(), IF(E50=Constants!$B$3, FALSE(), TRUE())))</f>
        <v/>
      </c>
      <c r="R50" s="65" t="str">
        <f aca="false">IF(ISBLANK($C50),"",IF(F50=Constants!$B$2, TRUE(), IF(F50=Constants!$B$3, FALSE(), TRUE())))</f>
        <v/>
      </c>
      <c r="S50" s="65" t="str">
        <f aca="false">IF(ISBLANK($C50),"",IF(G50=Constants!$B$15,Constants!$B$8,IF(G50=Constants!$B$16,Constants!$B$9,Constants!$B$10)))</f>
        <v/>
      </c>
      <c r="T50" s="65" t="str">
        <f aca="false">IF(ISBLANK($C50),"",IF(H50=Constants!$B$2, TRUE(), IF(H50=Constants!$B$3, FALSE(), TRUE())))</f>
        <v/>
      </c>
      <c r="U50" s="65" t="str">
        <f aca="false">IF(ISBLANK($C50),"",IF(I50=Constants!$B$19,Constants!$B$19,Constants!$B$18))</f>
        <v/>
      </c>
      <c r="V50" s="65" t="str">
        <f aca="false">IF(ISBLANK($C50),"",IF(COUNTA(J50:K50)=0,"",IF(AND(OR(ISBLANK(J50),AND(ISNUMBER(J50),J50&gt;=0)),OR(ISBLANK(K50),AND(ISNUMBER(K50),K50&gt;=0))),60*IF(ISBLANK(J50),0,J50)+IF(ISBLANK(K50),0,K50),"")))</f>
        <v/>
      </c>
      <c r="W50" s="65" t="str">
        <f aca="false">IF(ISBLANK($C50),"",IF(L50=Constants!$B$19,Constants!$B$19,Constants!$B$18))</f>
        <v/>
      </c>
      <c r="X50" s="65" t="str">
        <f aca="false">IF(ISBLANK($C50),"",IF(COUNTA(M50:N50)=0,"",IF(AND(OR(ISBLANK(M50),AND(ISNUMBER(M50),M50&gt;=0)),OR(ISBLANK(N50),AND(ISNUMBER(N50),N50&gt;=0))),60*IF(ISBLANK(M50),0,M50)+IF(ISBLANK(N50),0,N50),"")))</f>
        <v/>
      </c>
      <c r="Y50" s="65" t="str">
        <f aca="false">IF(ISBLANK($C50),"",IF(O50=Constants!$B$2, TRUE(), IF(O50=Constants!$B$3, FALSE(), FALSE())))</f>
        <v/>
      </c>
      <c r="Z50" s="65" t="str">
        <f aca="false">IF(ISBLANK($C50),"",IF(Y50,Constants!$B$4,IF(COUNTA(E50:N50)=0,Constants!$B$5,IF(COUNTA(J50:K50,M50:N50)=0,Constants!$B$6,Constants!$B$7))))</f>
        <v/>
      </c>
      <c r="AA50" s="65" t="str">
        <f aca="false">IF(ISBLANK($C50),"",IF($Z50&lt;&gt;Constants!$B$7,$Z50,IF(OR(NOT(T50),AND(NOT(Q50),COUNTIFS(U50:W50,Constants!$B$18,V50:X50,"&gt;=0")&gt;0),AND(NOT(R50),COUNTIFS(U50:W50,Constants!$B$19,V50:X50,"&gt;=0")&gt;0)),Constants!$B$12,Constants!$B$11)))</f>
        <v/>
      </c>
      <c r="AB50" s="65" t="str">
        <f aca="false">IF($Z50=Constants!$B$7,IF(V50="",Constants!$B$13,V50),"")</f>
        <v/>
      </c>
      <c r="AC50" s="65" t="str">
        <f aca="false">IF($Z50=Constants!$B$7,IF(X50="",Constants!$B$13,X50),"")</f>
        <v/>
      </c>
      <c r="AD50" s="65" t="str">
        <f aca="false">IF($Z50=Constants!$B$7,IF($AB50&gt;=$AC50,1,2),"")</f>
        <v/>
      </c>
      <c r="AE50" s="65" t="str">
        <f aca="false">IF($Z50=Constants!$B$7,LARGE(AB50:AC50,1),"")</f>
        <v/>
      </c>
      <c r="AF50" s="65" t="str">
        <f aca="false">IF(ISBLANK($C50),"",IF($Z50&lt;&gt;Constants!$B$7,$Z50,AE50*S50))</f>
        <v/>
      </c>
      <c r="AG50" s="65" t="str">
        <f aca="false">IF(ISBLANK($C50),"",IF($Z50=Constants!$B$7,IF(ISNUMBER(AF50),RANK(AF50,$AF$8:$AF$507),Constants!$B$14),$Z50))</f>
        <v/>
      </c>
      <c r="AH50" s="65" t="str">
        <f aca="false">IF(ISBLANK($C50),"",IF($Z50=Constants!$B$7,IF(ISNUMBER(AG50),COUNTIFS($AA$8:$AA$507,"&lt;"&amp;$AA50)+COUNTIFS($AA$8:$AA$507,$AA50,$AG$8:$AG$507,"&lt;"&amp;$AG50)+1,Constants!$B$14),$Z50))</f>
        <v/>
      </c>
      <c r="AI50" s="65" t="str">
        <f aca="false">IF(ISBLANK($C50),"",IF($Z50=Constants!$B$7,LARGE(AB50:AC50,2)*S50,""))</f>
        <v/>
      </c>
      <c r="AJ50" s="65" t="str">
        <f aca="false">IF(ISBLANK($C50),"",IF($Z50=Constants!$B$7,RANK(AI50,$AI$8:$AI$507),$Z50))</f>
        <v/>
      </c>
      <c r="AK50" s="65" t="str">
        <f aca="false">IF(ISBLANK($C50),"",IF($Z50=Constants!$B$7,IF(ISNUMBER(AG50),COUNTIFS($AA$8:$AA$507,"&lt;"&amp;$AA50)+COUNTIFS($AA$8:$AA$507,$AA50,$AG$8:$AG$507,"&lt;"&amp;$AG50)+COUNTIFS($AA$8:$AA$507,$AA50,$AG$8:$AG$507,$AG50,$AJ$8:$AJ$507,"&lt;"&amp;$AJ50)+1,Constants!$B$14),$Z50))</f>
        <v/>
      </c>
      <c r="AL50" s="65" t="str">
        <f aca="false">IF(ISBLANK($C50),"",IF($Z50=Constants!$B$7,IF(ISNUMBER(AH50),AH50-AK50,Constants!$B$14),$Z50))</f>
        <v/>
      </c>
      <c r="AM50" s="67"/>
      <c r="AN50" s="68" t="str">
        <f aca="false">IF(ISBLANK($C50),"",IF($Z50&lt;&gt;Constants!$B$7,$Z50,AD50))</f>
        <v/>
      </c>
      <c r="AO50" s="69" t="str">
        <f aca="false">IF(ISBLANK($C50),"",IF($Z50&lt;&gt;Constants!$B$7,$Z50,S50))</f>
        <v/>
      </c>
      <c r="AP50" s="70" t="str">
        <f aca="false">IF(ISBLANK($C50),"",IF($Z50&lt;&gt;Constants!$B$7,$Z50,AF50))</f>
        <v/>
      </c>
      <c r="AQ50" s="71" t="str">
        <f aca="false">IF(ISBLANK($C50),"",IF($Z50&lt;&gt;Constants!$B$7,$Z50,AA50))</f>
        <v/>
      </c>
      <c r="AR50" s="69" t="str">
        <f aca="false">IF(ISBLANK($C50),"",AL50)</f>
        <v/>
      </c>
      <c r="AS50" s="69" t="str">
        <f aca="false">IF(ISBLANK($C50),"",AK50)</f>
        <v/>
      </c>
      <c r="AT50" s="72" t="str">
        <f aca="false">IF(ISBLANK($C50),"",IF(AS50=Constants!$B$4,COUNTA($C$8:$C$507)+2,IF(AS50=Constants!$B$5,COUNTA($C$8:$C$507)+1,IF(AS50=Constants!$B$6,COUNTA($C$8:$C$507),AS50))))</f>
        <v/>
      </c>
      <c r="AU50" s="5"/>
      <c r="AV50" s="73" t="n">
        <f aca="false">IF(OR(ISNUMBER(AS50),AS50=Constants!$B$4,AS50=Constants!$B$6,AS50=Constants!$B$5),1,0)</f>
        <v>0</v>
      </c>
      <c r="AW50" s="73" t="n">
        <v>43</v>
      </c>
      <c r="AX50" s="73" t="str">
        <f aca="false">IF(ISBLANK($C50),"",IF(ISNUMBER(AT50),AT50+ROW($B50)/1000,""))</f>
        <v/>
      </c>
      <c r="AY50" s="73" t="str">
        <f aca="false">IF(ISNUMBER(AX50),RANK(AX50,$AX$8:$AX$507,1),"")</f>
        <v/>
      </c>
      <c r="AZ50" s="73" t="str">
        <f aca="false">IF(ISBLANK($C50),"",$B50)</f>
        <v/>
      </c>
      <c r="BA50" s="73" t="str">
        <f aca="false">IF(ISBLANK($C50),"",$C50)</f>
        <v/>
      </c>
      <c r="BB50" s="73" t="str">
        <f aca="false">IF(ISBLANK($C50),"",$D50)</f>
        <v/>
      </c>
      <c r="BC50" s="74" t="str">
        <f aca="false">AQ50</f>
        <v/>
      </c>
      <c r="BD50" s="75" t="str">
        <f aca="false">AP50</f>
        <v/>
      </c>
      <c r="BE50" s="73" t="str">
        <f aca="false">IF(ISBLANK($C50),"",AS50)</f>
        <v/>
      </c>
      <c r="BF50" s="76" t="str">
        <f aca="false">IF($AW50&gt;$AV$7,"",VLOOKUP($AW50,$AY$8:$BE$507,7,FALSE()))</f>
        <v/>
      </c>
      <c r="BG50" s="77" t="str">
        <f aca="false">IF($AW50&gt;$AV$7,"",VLOOKUP($AW50,$AY$8:$BE$507,2,FALSE()))</f>
        <v/>
      </c>
      <c r="BH50" s="77" t="str">
        <f aca="false">IF($AW50&gt;$AV$7,"",VLOOKUP($AW50,$AY$8:$BE$507,3,FALSE()))</f>
        <v/>
      </c>
      <c r="BI50" s="77" t="str">
        <f aca="false">IF($AW50&gt;$AV$7,"",VLOOKUP($AW50,$AY$8:$BE$507,4,FALSE()))</f>
        <v/>
      </c>
      <c r="BJ50" s="77" t="str">
        <f aca="false">IF($AW50&gt;$AV$7,"",VLOOKUP($AW50,$AY$8:$BE$507,5,FALSE()))</f>
        <v/>
      </c>
      <c r="BK50" s="78" t="str">
        <f aca="false">IF($AW50&gt;$AV$7,"",VLOOKUP($AW50,$AY$8:$BE$507,6,FALSE()))</f>
        <v/>
      </c>
      <c r="BL50" s="50"/>
    </row>
    <row r="51" customFormat="false" ht="15.75" hidden="false" customHeight="false" outlineLevel="0" collapsed="false">
      <c r="A51" s="5"/>
      <c r="B51" s="131"/>
      <c r="C51" s="52"/>
      <c r="D51" s="53"/>
      <c r="E51" s="80"/>
      <c r="F51" s="132"/>
      <c r="G51" s="56"/>
      <c r="H51" s="133"/>
      <c r="I51" s="134"/>
      <c r="J51" s="59"/>
      <c r="K51" s="60"/>
      <c r="L51" s="134"/>
      <c r="M51" s="61"/>
      <c r="N51" s="62"/>
      <c r="O51" s="80"/>
      <c r="P51" s="64"/>
      <c r="Q51" s="65" t="str">
        <f aca="false">IF(ISBLANK($C51),"",IF(E51=Constants!$B$2, TRUE(), IF(E51=Constants!$B$3, FALSE(), TRUE())))</f>
        <v/>
      </c>
      <c r="R51" s="65" t="str">
        <f aca="false">IF(ISBLANK($C51),"",IF(F51=Constants!$B$2, TRUE(), IF(F51=Constants!$B$3, FALSE(), TRUE())))</f>
        <v/>
      </c>
      <c r="S51" s="65" t="str">
        <f aca="false">IF(ISBLANK($C51),"",IF(G51=Constants!$B$15,Constants!$B$8,IF(G51=Constants!$B$16,Constants!$B$9,Constants!$B$10)))</f>
        <v/>
      </c>
      <c r="T51" s="65" t="str">
        <f aca="false">IF(ISBLANK($C51),"",IF(H51=Constants!$B$2, TRUE(), IF(H51=Constants!$B$3, FALSE(), TRUE())))</f>
        <v/>
      </c>
      <c r="U51" s="65" t="str">
        <f aca="false">IF(ISBLANK($C51),"",IF(I51=Constants!$B$19,Constants!$B$19,Constants!$B$18))</f>
        <v/>
      </c>
      <c r="V51" s="65" t="str">
        <f aca="false">IF(ISBLANK($C51),"",IF(COUNTA(J51:K51)=0,"",IF(AND(OR(ISBLANK(J51),AND(ISNUMBER(J51),J51&gt;=0)),OR(ISBLANK(K51),AND(ISNUMBER(K51),K51&gt;=0))),60*IF(ISBLANK(J51),0,J51)+IF(ISBLANK(K51),0,K51),"")))</f>
        <v/>
      </c>
      <c r="W51" s="65" t="str">
        <f aca="false">IF(ISBLANK($C51),"",IF(L51=Constants!$B$19,Constants!$B$19,Constants!$B$18))</f>
        <v/>
      </c>
      <c r="X51" s="65" t="str">
        <f aca="false">IF(ISBLANK($C51),"",IF(COUNTA(M51:N51)=0,"",IF(AND(OR(ISBLANK(M51),AND(ISNUMBER(M51),M51&gt;=0)),OR(ISBLANK(N51),AND(ISNUMBER(N51),N51&gt;=0))),60*IF(ISBLANK(M51),0,M51)+IF(ISBLANK(N51),0,N51),"")))</f>
        <v/>
      </c>
      <c r="Y51" s="65" t="str">
        <f aca="false">IF(ISBLANK($C51),"",IF(O51=Constants!$B$2, TRUE(), IF(O51=Constants!$B$3, FALSE(), FALSE())))</f>
        <v/>
      </c>
      <c r="Z51" s="65" t="str">
        <f aca="false">IF(ISBLANK($C51),"",IF(Y51,Constants!$B$4,IF(COUNTA(E51:N51)=0,Constants!$B$5,IF(COUNTA(J51:K51,M51:N51)=0,Constants!$B$6,Constants!$B$7))))</f>
        <v/>
      </c>
      <c r="AA51" s="65" t="str">
        <f aca="false">IF(ISBLANK($C51),"",IF($Z51&lt;&gt;Constants!$B$7,$Z51,IF(OR(NOT(T51),AND(NOT(Q51),COUNTIFS(U51:W51,Constants!$B$18,V51:X51,"&gt;=0")&gt;0),AND(NOT(R51),COUNTIFS(U51:W51,Constants!$B$19,V51:X51,"&gt;=0")&gt;0)),Constants!$B$12,Constants!$B$11)))</f>
        <v/>
      </c>
      <c r="AB51" s="65" t="str">
        <f aca="false">IF($Z51=Constants!$B$7,IF(V51="",Constants!$B$13,V51),"")</f>
        <v/>
      </c>
      <c r="AC51" s="65" t="str">
        <f aca="false">IF($Z51=Constants!$B$7,IF(X51="",Constants!$B$13,X51),"")</f>
        <v/>
      </c>
      <c r="AD51" s="65" t="str">
        <f aca="false">IF($Z51=Constants!$B$7,IF($AB51&gt;=$AC51,1,2),"")</f>
        <v/>
      </c>
      <c r="AE51" s="65" t="str">
        <f aca="false">IF($Z51=Constants!$B$7,LARGE(AB51:AC51,1),"")</f>
        <v/>
      </c>
      <c r="AF51" s="65" t="str">
        <f aca="false">IF(ISBLANK($C51),"",IF($Z51&lt;&gt;Constants!$B$7,$Z51,AE51*S51))</f>
        <v/>
      </c>
      <c r="AG51" s="65" t="str">
        <f aca="false">IF(ISBLANK($C51),"",IF($Z51=Constants!$B$7,IF(ISNUMBER(AF51),RANK(AF51,$AF$8:$AF$507),Constants!$B$14),$Z51))</f>
        <v/>
      </c>
      <c r="AH51" s="65" t="str">
        <f aca="false">IF(ISBLANK($C51),"",IF($Z51=Constants!$B$7,IF(ISNUMBER(AG51),COUNTIFS($AA$8:$AA$507,"&lt;"&amp;$AA51)+COUNTIFS($AA$8:$AA$507,$AA51,$AG$8:$AG$507,"&lt;"&amp;$AG51)+1,Constants!$B$14),$Z51))</f>
        <v/>
      </c>
      <c r="AI51" s="65" t="str">
        <f aca="false">IF(ISBLANK($C51),"",IF($Z51=Constants!$B$7,LARGE(AB51:AC51,2)*S51,""))</f>
        <v/>
      </c>
      <c r="AJ51" s="65" t="str">
        <f aca="false">IF(ISBLANK($C51),"",IF($Z51=Constants!$B$7,RANK(AI51,$AI$8:$AI$507),$Z51))</f>
        <v/>
      </c>
      <c r="AK51" s="65" t="str">
        <f aca="false">IF(ISBLANK($C51),"",IF($Z51=Constants!$B$7,IF(ISNUMBER(AG51),COUNTIFS($AA$8:$AA$507,"&lt;"&amp;$AA51)+COUNTIFS($AA$8:$AA$507,$AA51,$AG$8:$AG$507,"&lt;"&amp;$AG51)+COUNTIFS($AA$8:$AA$507,$AA51,$AG$8:$AG$507,$AG51,$AJ$8:$AJ$507,"&lt;"&amp;$AJ51)+1,Constants!$B$14),$Z51))</f>
        <v/>
      </c>
      <c r="AL51" s="65" t="str">
        <f aca="false">IF(ISBLANK($C51),"",IF($Z51=Constants!$B$7,IF(ISNUMBER(AH51),AH51-AK51,Constants!$B$14),$Z51))</f>
        <v/>
      </c>
      <c r="AM51" s="67"/>
      <c r="AN51" s="68" t="str">
        <f aca="false">IF(ISBLANK($C51),"",IF($Z51&lt;&gt;Constants!$B$7,$Z51,AD51))</f>
        <v/>
      </c>
      <c r="AO51" s="69" t="str">
        <f aca="false">IF(ISBLANK($C51),"",IF($Z51&lt;&gt;Constants!$B$7,$Z51,S51))</f>
        <v/>
      </c>
      <c r="AP51" s="70" t="str">
        <f aca="false">IF(ISBLANK($C51),"",IF($Z51&lt;&gt;Constants!$B$7,$Z51,AF51))</f>
        <v/>
      </c>
      <c r="AQ51" s="71" t="str">
        <f aca="false">IF(ISBLANK($C51),"",IF($Z51&lt;&gt;Constants!$B$7,$Z51,AA51))</f>
        <v/>
      </c>
      <c r="AR51" s="69" t="str">
        <f aca="false">IF(ISBLANK($C51),"",AL51)</f>
        <v/>
      </c>
      <c r="AS51" s="69" t="str">
        <f aca="false">IF(ISBLANK($C51),"",AK51)</f>
        <v/>
      </c>
      <c r="AT51" s="72" t="str">
        <f aca="false">IF(ISBLANK($C51),"",IF(AS51=Constants!$B$4,COUNTA($C$8:$C$507)+2,IF(AS51=Constants!$B$5,COUNTA($C$8:$C$507)+1,IF(AS51=Constants!$B$6,COUNTA($C$8:$C$507),AS51))))</f>
        <v/>
      </c>
      <c r="AU51" s="5"/>
      <c r="AV51" s="73" t="n">
        <f aca="false">IF(OR(ISNUMBER(AS51),AS51=Constants!$B$4,AS51=Constants!$B$6,AS51=Constants!$B$5),1,0)</f>
        <v>0</v>
      </c>
      <c r="AW51" s="73" t="n">
        <v>44</v>
      </c>
      <c r="AX51" s="73" t="str">
        <f aca="false">IF(ISBLANK($C51),"",IF(ISNUMBER(AT51),AT51+ROW($B51)/1000,""))</f>
        <v/>
      </c>
      <c r="AY51" s="73" t="str">
        <f aca="false">IF(ISNUMBER(AX51),RANK(AX51,$AX$8:$AX$507,1),"")</f>
        <v/>
      </c>
      <c r="AZ51" s="73" t="str">
        <f aca="false">IF(ISBLANK($C51),"",$B51)</f>
        <v/>
      </c>
      <c r="BA51" s="73" t="str">
        <f aca="false">IF(ISBLANK($C51),"",$C51)</f>
        <v/>
      </c>
      <c r="BB51" s="73" t="str">
        <f aca="false">IF(ISBLANK($C51),"",$D51)</f>
        <v/>
      </c>
      <c r="BC51" s="74" t="str">
        <f aca="false">AQ51</f>
        <v/>
      </c>
      <c r="BD51" s="75" t="str">
        <f aca="false">AP51</f>
        <v/>
      </c>
      <c r="BE51" s="73" t="str">
        <f aca="false">IF(ISBLANK($C51),"",AS51)</f>
        <v/>
      </c>
      <c r="BF51" s="76" t="str">
        <f aca="false">IF($AW51&gt;$AV$7,"",VLOOKUP($AW51,$AY$8:$BE$507,7,FALSE()))</f>
        <v/>
      </c>
      <c r="BG51" s="77" t="str">
        <f aca="false">IF($AW51&gt;$AV$7,"",VLOOKUP($AW51,$AY$8:$BE$507,2,FALSE()))</f>
        <v/>
      </c>
      <c r="BH51" s="77" t="str">
        <f aca="false">IF($AW51&gt;$AV$7,"",VLOOKUP($AW51,$AY$8:$BE$507,3,FALSE()))</f>
        <v/>
      </c>
      <c r="BI51" s="77" t="str">
        <f aca="false">IF($AW51&gt;$AV$7,"",VLOOKUP($AW51,$AY$8:$BE$507,4,FALSE()))</f>
        <v/>
      </c>
      <c r="BJ51" s="77" t="str">
        <f aca="false">IF($AW51&gt;$AV$7,"",VLOOKUP($AW51,$AY$8:$BE$507,5,FALSE()))</f>
        <v/>
      </c>
      <c r="BK51" s="78" t="str">
        <f aca="false">IF($AW51&gt;$AV$7,"",VLOOKUP($AW51,$AY$8:$BE$507,6,FALSE()))</f>
        <v/>
      </c>
      <c r="BL51" s="50"/>
    </row>
    <row r="52" customFormat="false" ht="15.75" hidden="false" customHeight="false" outlineLevel="0" collapsed="false">
      <c r="A52" s="5"/>
      <c r="B52" s="131"/>
      <c r="C52" s="52"/>
      <c r="D52" s="53"/>
      <c r="E52" s="80"/>
      <c r="F52" s="132"/>
      <c r="G52" s="56"/>
      <c r="H52" s="133"/>
      <c r="I52" s="134"/>
      <c r="J52" s="59"/>
      <c r="K52" s="60"/>
      <c r="L52" s="134"/>
      <c r="M52" s="61"/>
      <c r="N52" s="62"/>
      <c r="O52" s="80"/>
      <c r="P52" s="64"/>
      <c r="Q52" s="65" t="str">
        <f aca="false">IF(ISBLANK($C52),"",IF(E52=Constants!$B$2, TRUE(), IF(E52=Constants!$B$3, FALSE(), TRUE())))</f>
        <v/>
      </c>
      <c r="R52" s="65" t="str">
        <f aca="false">IF(ISBLANK($C52),"",IF(F52=Constants!$B$2, TRUE(), IF(F52=Constants!$B$3, FALSE(), TRUE())))</f>
        <v/>
      </c>
      <c r="S52" s="65" t="str">
        <f aca="false">IF(ISBLANK($C52),"",IF(G52=Constants!$B$15,Constants!$B$8,IF(G52=Constants!$B$16,Constants!$B$9,Constants!$B$10)))</f>
        <v/>
      </c>
      <c r="T52" s="65" t="str">
        <f aca="false">IF(ISBLANK($C52),"",IF(H52=Constants!$B$2, TRUE(), IF(H52=Constants!$B$3, FALSE(), TRUE())))</f>
        <v/>
      </c>
      <c r="U52" s="65" t="str">
        <f aca="false">IF(ISBLANK($C52),"",IF(I52=Constants!$B$19,Constants!$B$19,Constants!$B$18))</f>
        <v/>
      </c>
      <c r="V52" s="65" t="str">
        <f aca="false">IF(ISBLANK($C52),"",IF(COUNTA(J52:K52)=0,"",IF(AND(OR(ISBLANK(J52),AND(ISNUMBER(J52),J52&gt;=0)),OR(ISBLANK(K52),AND(ISNUMBER(K52),K52&gt;=0))),60*IF(ISBLANK(J52),0,J52)+IF(ISBLANK(K52),0,K52),"")))</f>
        <v/>
      </c>
      <c r="W52" s="65" t="str">
        <f aca="false">IF(ISBLANK($C52),"",IF(L52=Constants!$B$19,Constants!$B$19,Constants!$B$18))</f>
        <v/>
      </c>
      <c r="X52" s="65" t="str">
        <f aca="false">IF(ISBLANK($C52),"",IF(COUNTA(M52:N52)=0,"",IF(AND(OR(ISBLANK(M52),AND(ISNUMBER(M52),M52&gt;=0)),OR(ISBLANK(N52),AND(ISNUMBER(N52),N52&gt;=0))),60*IF(ISBLANK(M52),0,M52)+IF(ISBLANK(N52),0,N52),"")))</f>
        <v/>
      </c>
      <c r="Y52" s="65" t="str">
        <f aca="false">IF(ISBLANK($C52),"",IF(O52=Constants!$B$2, TRUE(), IF(O52=Constants!$B$3, FALSE(), FALSE())))</f>
        <v/>
      </c>
      <c r="Z52" s="65" t="str">
        <f aca="false">IF(ISBLANK($C52),"",IF(Y52,Constants!$B$4,IF(COUNTA(E52:N52)=0,Constants!$B$5,IF(COUNTA(J52:K52,M52:N52)=0,Constants!$B$6,Constants!$B$7))))</f>
        <v/>
      </c>
      <c r="AA52" s="65" t="str">
        <f aca="false">IF(ISBLANK($C52),"",IF($Z52&lt;&gt;Constants!$B$7,$Z52,IF(OR(NOT(T52),AND(NOT(Q52),COUNTIFS(U52:W52,Constants!$B$18,V52:X52,"&gt;=0")&gt;0),AND(NOT(R52),COUNTIFS(U52:W52,Constants!$B$19,V52:X52,"&gt;=0")&gt;0)),Constants!$B$12,Constants!$B$11)))</f>
        <v/>
      </c>
      <c r="AB52" s="65" t="str">
        <f aca="false">IF($Z52=Constants!$B$7,IF(V52="",Constants!$B$13,V52),"")</f>
        <v/>
      </c>
      <c r="AC52" s="65" t="str">
        <f aca="false">IF($Z52=Constants!$B$7,IF(X52="",Constants!$B$13,X52),"")</f>
        <v/>
      </c>
      <c r="AD52" s="65" t="str">
        <f aca="false">IF($Z52=Constants!$B$7,IF($AB52&gt;=$AC52,1,2),"")</f>
        <v/>
      </c>
      <c r="AE52" s="65" t="str">
        <f aca="false">IF($Z52=Constants!$B$7,LARGE(AB52:AC52,1),"")</f>
        <v/>
      </c>
      <c r="AF52" s="65" t="str">
        <f aca="false">IF(ISBLANK($C52),"",IF($Z52&lt;&gt;Constants!$B$7,$Z52,AE52*S52))</f>
        <v/>
      </c>
      <c r="AG52" s="65" t="str">
        <f aca="false">IF(ISBLANK($C52),"",IF($Z52=Constants!$B$7,IF(ISNUMBER(AF52),RANK(AF52,$AF$8:$AF$507),Constants!$B$14),$Z52))</f>
        <v/>
      </c>
      <c r="AH52" s="65" t="str">
        <f aca="false">IF(ISBLANK($C52),"",IF($Z52=Constants!$B$7,IF(ISNUMBER(AG52),COUNTIFS($AA$8:$AA$507,"&lt;"&amp;$AA52)+COUNTIFS($AA$8:$AA$507,$AA52,$AG$8:$AG$507,"&lt;"&amp;$AG52)+1,Constants!$B$14),$Z52))</f>
        <v/>
      </c>
      <c r="AI52" s="65" t="str">
        <f aca="false">IF(ISBLANK($C52),"",IF($Z52=Constants!$B$7,LARGE(AB52:AC52,2)*S52,""))</f>
        <v/>
      </c>
      <c r="AJ52" s="65" t="str">
        <f aca="false">IF(ISBLANK($C52),"",IF($Z52=Constants!$B$7,RANK(AI52,$AI$8:$AI$507),$Z52))</f>
        <v/>
      </c>
      <c r="AK52" s="65" t="str">
        <f aca="false">IF(ISBLANK($C52),"",IF($Z52=Constants!$B$7,IF(ISNUMBER(AG52),COUNTIFS($AA$8:$AA$507,"&lt;"&amp;$AA52)+COUNTIFS($AA$8:$AA$507,$AA52,$AG$8:$AG$507,"&lt;"&amp;$AG52)+COUNTIFS($AA$8:$AA$507,$AA52,$AG$8:$AG$507,$AG52,$AJ$8:$AJ$507,"&lt;"&amp;$AJ52)+1,Constants!$B$14),$Z52))</f>
        <v/>
      </c>
      <c r="AL52" s="65" t="str">
        <f aca="false">IF(ISBLANK($C52),"",IF($Z52=Constants!$B$7,IF(ISNUMBER(AH52),AH52-AK52,Constants!$B$14),$Z52))</f>
        <v/>
      </c>
      <c r="AM52" s="67"/>
      <c r="AN52" s="68" t="str">
        <f aca="false">IF(ISBLANK($C52),"",IF($Z52&lt;&gt;Constants!$B$7,$Z52,AD52))</f>
        <v/>
      </c>
      <c r="AO52" s="69" t="str">
        <f aca="false">IF(ISBLANK($C52),"",IF($Z52&lt;&gt;Constants!$B$7,$Z52,S52))</f>
        <v/>
      </c>
      <c r="AP52" s="70" t="str">
        <f aca="false">IF(ISBLANK($C52),"",IF($Z52&lt;&gt;Constants!$B$7,$Z52,AF52))</f>
        <v/>
      </c>
      <c r="AQ52" s="71" t="str">
        <f aca="false">IF(ISBLANK($C52),"",IF($Z52&lt;&gt;Constants!$B$7,$Z52,AA52))</f>
        <v/>
      </c>
      <c r="AR52" s="69" t="str">
        <f aca="false">IF(ISBLANK($C52),"",AL52)</f>
        <v/>
      </c>
      <c r="AS52" s="69" t="str">
        <f aca="false">IF(ISBLANK($C52),"",AK52)</f>
        <v/>
      </c>
      <c r="AT52" s="72" t="str">
        <f aca="false">IF(ISBLANK($C52),"",IF(AS52=Constants!$B$4,COUNTA($C$8:$C$507)+2,IF(AS52=Constants!$B$5,COUNTA($C$8:$C$507)+1,IF(AS52=Constants!$B$6,COUNTA($C$8:$C$507),AS52))))</f>
        <v/>
      </c>
      <c r="AU52" s="5"/>
      <c r="AV52" s="73" t="n">
        <f aca="false">IF(OR(ISNUMBER(AS52),AS52=Constants!$B$4,AS52=Constants!$B$6,AS52=Constants!$B$5),1,0)</f>
        <v>0</v>
      </c>
      <c r="AW52" s="73" t="n">
        <v>45</v>
      </c>
      <c r="AX52" s="73" t="str">
        <f aca="false">IF(ISBLANK($C52),"",IF(ISNUMBER(AT52),AT52+ROW($B52)/1000,""))</f>
        <v/>
      </c>
      <c r="AY52" s="73" t="str">
        <f aca="false">IF(ISNUMBER(AX52),RANK(AX52,$AX$8:$AX$507,1),"")</f>
        <v/>
      </c>
      <c r="AZ52" s="73" t="str">
        <f aca="false">IF(ISBLANK($C52),"",$B52)</f>
        <v/>
      </c>
      <c r="BA52" s="73" t="str">
        <f aca="false">IF(ISBLANK($C52),"",$C52)</f>
        <v/>
      </c>
      <c r="BB52" s="73" t="str">
        <f aca="false">IF(ISBLANK($C52),"",$D52)</f>
        <v/>
      </c>
      <c r="BC52" s="74" t="str">
        <f aca="false">AQ52</f>
        <v/>
      </c>
      <c r="BD52" s="75" t="str">
        <f aca="false">AP52</f>
        <v/>
      </c>
      <c r="BE52" s="73" t="str">
        <f aca="false">IF(ISBLANK($C52),"",AS52)</f>
        <v/>
      </c>
      <c r="BF52" s="76" t="str">
        <f aca="false">IF($AW52&gt;$AV$7,"",VLOOKUP($AW52,$AY$8:$BE$507,7,FALSE()))</f>
        <v/>
      </c>
      <c r="BG52" s="77" t="str">
        <f aca="false">IF($AW52&gt;$AV$7,"",VLOOKUP($AW52,$AY$8:$BE$507,2,FALSE()))</f>
        <v/>
      </c>
      <c r="BH52" s="77" t="str">
        <f aca="false">IF($AW52&gt;$AV$7,"",VLOOKUP($AW52,$AY$8:$BE$507,3,FALSE()))</f>
        <v/>
      </c>
      <c r="BI52" s="77" t="str">
        <f aca="false">IF($AW52&gt;$AV$7,"",VLOOKUP($AW52,$AY$8:$BE$507,4,FALSE()))</f>
        <v/>
      </c>
      <c r="BJ52" s="77" t="str">
        <f aca="false">IF($AW52&gt;$AV$7,"",VLOOKUP($AW52,$AY$8:$BE$507,5,FALSE()))</f>
        <v/>
      </c>
      <c r="BK52" s="78" t="str">
        <f aca="false">IF($AW52&gt;$AV$7,"",VLOOKUP($AW52,$AY$8:$BE$507,6,FALSE()))</f>
        <v/>
      </c>
      <c r="BL52" s="50"/>
    </row>
    <row r="53" customFormat="false" ht="15.75" hidden="false" customHeight="false" outlineLevel="0" collapsed="false">
      <c r="A53" s="5"/>
      <c r="B53" s="124"/>
      <c r="C53" s="125"/>
      <c r="D53" s="110"/>
      <c r="E53" s="130"/>
      <c r="F53" s="135"/>
      <c r="G53" s="88"/>
      <c r="H53" s="136"/>
      <c r="I53" s="137"/>
      <c r="J53" s="91"/>
      <c r="K53" s="92"/>
      <c r="L53" s="137"/>
      <c r="M53" s="93"/>
      <c r="N53" s="94"/>
      <c r="O53" s="130"/>
      <c r="P53" s="96"/>
      <c r="Q53" s="97" t="str">
        <f aca="false">IF(ISBLANK($C53),"",IF(E53=Constants!$B$2, TRUE(), IF(E53=Constants!$B$3, FALSE(), TRUE())))</f>
        <v/>
      </c>
      <c r="R53" s="97" t="str">
        <f aca="false">IF(ISBLANK($C53),"",IF(F53=Constants!$B$2, TRUE(), IF(F53=Constants!$B$3, FALSE(), TRUE())))</f>
        <v/>
      </c>
      <c r="S53" s="97" t="str">
        <f aca="false">IF(ISBLANK($C53),"",IF(G53=Constants!$B$15,Constants!$B$8,IF(G53=Constants!$B$16,Constants!$B$9,Constants!$B$10)))</f>
        <v/>
      </c>
      <c r="T53" s="97" t="str">
        <f aca="false">IF(ISBLANK($C53),"",IF(H53=Constants!$B$2, TRUE(), IF(H53=Constants!$B$3, FALSE(), TRUE())))</f>
        <v/>
      </c>
      <c r="U53" s="97" t="str">
        <f aca="false">IF(ISBLANK($C53),"",IF(I53=Constants!$B$19,Constants!$B$19,Constants!$B$18))</f>
        <v/>
      </c>
      <c r="V53" s="97" t="str">
        <f aca="false">IF(ISBLANK($C53),"",IF(COUNTA(J53:K53)=0,"",IF(AND(OR(ISBLANK(J53),AND(ISNUMBER(J53),J53&gt;=0)),OR(ISBLANK(K53),AND(ISNUMBER(K53),K53&gt;=0))),60*IF(ISBLANK(J53),0,J53)+IF(ISBLANK(K53),0,K53),"")))</f>
        <v/>
      </c>
      <c r="W53" s="97" t="str">
        <f aca="false">IF(ISBLANK($C53),"",IF(L53=Constants!$B$19,Constants!$B$19,Constants!$B$18))</f>
        <v/>
      </c>
      <c r="X53" s="97" t="str">
        <f aca="false">IF(ISBLANK($C53),"",IF(COUNTA(M53:N53)=0,"",IF(AND(OR(ISBLANK(M53),AND(ISNUMBER(M53),M53&gt;=0)),OR(ISBLANK(N53),AND(ISNUMBER(N53),N53&gt;=0))),60*IF(ISBLANK(M53),0,M53)+IF(ISBLANK(N53),0,N53),"")))</f>
        <v/>
      </c>
      <c r="Y53" s="97" t="str">
        <f aca="false">IF(ISBLANK($C53),"",IF(O53=Constants!$B$2, TRUE(), IF(O53=Constants!$B$3, FALSE(), FALSE())))</f>
        <v/>
      </c>
      <c r="Z53" s="97" t="str">
        <f aca="false">IF(ISBLANK($C53),"",IF(Y53,Constants!$B$4,IF(COUNTA(E53:N53)=0,Constants!$B$5,IF(COUNTA(J53:K53,M53:N53)=0,Constants!$B$6,Constants!$B$7))))</f>
        <v/>
      </c>
      <c r="AA53" s="97" t="str">
        <f aca="false">IF(ISBLANK($C53),"",IF($Z53&lt;&gt;Constants!$B$7,$Z53,IF(OR(NOT(T53),AND(NOT(Q53),COUNTIFS(U53:W53,Constants!$B$18,V53:X53,"&gt;=0")&gt;0),AND(NOT(R53),COUNTIFS(U53:W53,Constants!$B$19,V53:X53,"&gt;=0")&gt;0)),Constants!$B$12,Constants!$B$11)))</f>
        <v/>
      </c>
      <c r="AB53" s="97" t="str">
        <f aca="false">IF($Z53=Constants!$B$7,IF(V53="",Constants!$B$13,V53),"")</f>
        <v/>
      </c>
      <c r="AC53" s="97" t="str">
        <f aca="false">IF($Z53=Constants!$B$7,IF(X53="",Constants!$B$13,X53),"")</f>
        <v/>
      </c>
      <c r="AD53" s="97" t="str">
        <f aca="false">IF($Z53=Constants!$B$7,IF($AB53&gt;=$AC53,1,2),"")</f>
        <v/>
      </c>
      <c r="AE53" s="97" t="str">
        <f aca="false">IF($Z53=Constants!$B$7,LARGE(AB53:AC53,1),"")</f>
        <v/>
      </c>
      <c r="AF53" s="97" t="str">
        <f aca="false">IF(ISBLANK($C53),"",IF($Z53&lt;&gt;Constants!$B$7,$Z53,AE53*S53))</f>
        <v/>
      </c>
      <c r="AG53" s="97" t="str">
        <f aca="false">IF(ISBLANK($C53),"",IF($Z53=Constants!$B$7,IF(ISNUMBER(AF53),RANK(AF53,$AF$8:$AF$507),Constants!$B$14),$Z53))</f>
        <v/>
      </c>
      <c r="AH53" s="97" t="str">
        <f aca="false">IF(ISBLANK($C53),"",IF($Z53=Constants!$B$7,IF(ISNUMBER(AG53),COUNTIFS($AA$8:$AA$507,"&lt;"&amp;$AA53)+COUNTIFS($AA$8:$AA$507,$AA53,$AG$8:$AG$507,"&lt;"&amp;$AG53)+1,Constants!$B$14),$Z53))</f>
        <v/>
      </c>
      <c r="AI53" s="97" t="str">
        <f aca="false">IF(ISBLANK($C53),"",IF($Z53=Constants!$B$7,LARGE(AB53:AC53,2)*S53,""))</f>
        <v/>
      </c>
      <c r="AJ53" s="97" t="str">
        <f aca="false">IF(ISBLANK($C53),"",IF($Z53=Constants!$B$7,RANK(AI53,$AI$8:$AI$507),$Z53))</f>
        <v/>
      </c>
      <c r="AK53" s="97" t="str">
        <f aca="false">IF(ISBLANK($C53),"",IF($Z53=Constants!$B$7,IF(ISNUMBER(AG53),COUNTIFS($AA$8:$AA$507,"&lt;"&amp;$AA53)+COUNTIFS($AA$8:$AA$507,$AA53,$AG$8:$AG$507,"&lt;"&amp;$AG53)+COUNTIFS($AA$8:$AA$507,$AA53,$AG$8:$AG$507,$AG53,$AJ$8:$AJ$507,"&lt;"&amp;$AJ53)+1,Constants!$B$14),$Z53))</f>
        <v/>
      </c>
      <c r="AL53" s="97" t="str">
        <f aca="false">IF(ISBLANK($C53),"",IF($Z53=Constants!$B$7,IF(ISNUMBER(AH53),AH53-AK53,Constants!$B$14),$Z53))</f>
        <v/>
      </c>
      <c r="AM53" s="98"/>
      <c r="AN53" s="99" t="str">
        <f aca="false">IF(ISBLANK($C53),"",IF($Z53&lt;&gt;Constants!$B$7,$Z53,AD53))</f>
        <v/>
      </c>
      <c r="AO53" s="100" t="str">
        <f aca="false">IF(ISBLANK($C53),"",IF($Z53&lt;&gt;Constants!$B$7,$Z53,S53))</f>
        <v/>
      </c>
      <c r="AP53" s="101" t="str">
        <f aca="false">IF(ISBLANK($C53),"",IF($Z53&lt;&gt;Constants!$B$7,$Z53,AF53))</f>
        <v/>
      </c>
      <c r="AQ53" s="102" t="str">
        <f aca="false">IF(ISBLANK($C53),"",IF($Z53&lt;&gt;Constants!$B$7,$Z53,AA53))</f>
        <v/>
      </c>
      <c r="AR53" s="100" t="str">
        <f aca="false">IF(ISBLANK($C53),"",AL53)</f>
        <v/>
      </c>
      <c r="AS53" s="100" t="str">
        <f aca="false">IF(ISBLANK($C53),"",AK53)</f>
        <v/>
      </c>
      <c r="AT53" s="103" t="str">
        <f aca="false">IF(ISBLANK($C53),"",IF(AS53=Constants!$B$4,COUNTA($C$8:$C$507)+2,IF(AS53=Constants!$B$5,COUNTA($C$8:$C$507)+1,IF(AS53=Constants!$B$6,COUNTA($C$8:$C$507),AS53))))</f>
        <v/>
      </c>
      <c r="AU53" s="5"/>
      <c r="AV53" s="104" t="n">
        <f aca="false">IF(OR(ISNUMBER(AS53),AS53=Constants!$B$4,AS53=Constants!$B$6,AS53=Constants!$B$5),1,0)</f>
        <v>0</v>
      </c>
      <c r="AW53" s="104" t="n">
        <v>46</v>
      </c>
      <c r="AX53" s="104" t="str">
        <f aca="false">IF(ISBLANK($C53),"",IF(ISNUMBER(AT53),AT53+ROW($B53)/1000,""))</f>
        <v/>
      </c>
      <c r="AY53" s="104" t="str">
        <f aca="false">IF(ISNUMBER(AX53),RANK(AX53,$AX$8:$AX$507,1),"")</f>
        <v/>
      </c>
      <c r="AZ53" s="104" t="str">
        <f aca="false">IF(ISBLANK($C53),"",$B53)</f>
        <v/>
      </c>
      <c r="BA53" s="104" t="str">
        <f aca="false">IF(ISBLANK($C53),"",$C53)</f>
        <v/>
      </c>
      <c r="BB53" s="104" t="str">
        <f aca="false">IF(ISBLANK($C53),"",$D53)</f>
        <v/>
      </c>
      <c r="BC53" s="105" t="str">
        <f aca="false">AQ53</f>
        <v/>
      </c>
      <c r="BD53" s="106" t="str">
        <f aca="false">AP53</f>
        <v/>
      </c>
      <c r="BE53" s="104" t="str">
        <f aca="false">IF(ISBLANK($C53),"",AS53)</f>
        <v/>
      </c>
      <c r="BF53" s="107" t="str">
        <f aca="false">IF($AW53&gt;$AV$7,"",VLOOKUP($AW53,$AY$8:$BE$507,7,FALSE()))</f>
        <v/>
      </c>
      <c r="BG53" s="108" t="str">
        <f aca="false">IF($AW53&gt;$AV$7,"",VLOOKUP($AW53,$AY$8:$BE$507,2,FALSE()))</f>
        <v/>
      </c>
      <c r="BH53" s="108" t="str">
        <f aca="false">IF($AW53&gt;$AV$7,"",VLOOKUP($AW53,$AY$8:$BE$507,3,FALSE()))</f>
        <v/>
      </c>
      <c r="BI53" s="108" t="str">
        <f aca="false">IF($AW53&gt;$AV$7,"",VLOOKUP($AW53,$AY$8:$BE$507,4,FALSE()))</f>
        <v/>
      </c>
      <c r="BJ53" s="108" t="str">
        <f aca="false">IF($AW53&gt;$AV$7,"",VLOOKUP($AW53,$AY$8:$BE$507,5,FALSE()))</f>
        <v/>
      </c>
      <c r="BK53" s="109" t="str">
        <f aca="false">IF($AW53&gt;$AV$7,"",VLOOKUP($AW53,$AY$8:$BE$507,6,FALSE()))</f>
        <v/>
      </c>
      <c r="BL53" s="50"/>
    </row>
    <row r="54" customFormat="false" ht="15.75" hidden="false" customHeight="false" outlineLevel="0" collapsed="false">
      <c r="A54" s="5"/>
      <c r="B54" s="124"/>
      <c r="C54" s="125"/>
      <c r="D54" s="110"/>
      <c r="E54" s="130"/>
      <c r="F54" s="135"/>
      <c r="G54" s="88"/>
      <c r="H54" s="136"/>
      <c r="I54" s="137"/>
      <c r="J54" s="91"/>
      <c r="K54" s="92"/>
      <c r="L54" s="137"/>
      <c r="M54" s="93"/>
      <c r="N54" s="94"/>
      <c r="O54" s="130"/>
      <c r="P54" s="96"/>
      <c r="Q54" s="97" t="str">
        <f aca="false">IF(ISBLANK($C54),"",IF(E54=Constants!$B$2, TRUE(), IF(E54=Constants!$B$3, FALSE(), TRUE())))</f>
        <v/>
      </c>
      <c r="R54" s="97" t="str">
        <f aca="false">IF(ISBLANK($C54),"",IF(F54=Constants!$B$2, TRUE(), IF(F54=Constants!$B$3, FALSE(), TRUE())))</f>
        <v/>
      </c>
      <c r="S54" s="97" t="str">
        <f aca="false">IF(ISBLANK($C54),"",IF(G54=Constants!$B$15,Constants!$B$8,IF(G54=Constants!$B$16,Constants!$B$9,Constants!$B$10)))</f>
        <v/>
      </c>
      <c r="T54" s="97" t="str">
        <f aca="false">IF(ISBLANK($C54),"",IF(H54=Constants!$B$2, TRUE(), IF(H54=Constants!$B$3, FALSE(), TRUE())))</f>
        <v/>
      </c>
      <c r="U54" s="97" t="str">
        <f aca="false">IF(ISBLANK($C54),"",IF(I54=Constants!$B$19,Constants!$B$19,Constants!$B$18))</f>
        <v/>
      </c>
      <c r="V54" s="97" t="str">
        <f aca="false">IF(ISBLANK($C54),"",IF(COUNTA(J54:K54)=0,"",IF(AND(OR(ISBLANK(J54),AND(ISNUMBER(J54),J54&gt;=0)),OR(ISBLANK(K54),AND(ISNUMBER(K54),K54&gt;=0))),60*IF(ISBLANK(J54),0,J54)+IF(ISBLANK(K54),0,K54),"")))</f>
        <v/>
      </c>
      <c r="W54" s="97" t="str">
        <f aca="false">IF(ISBLANK($C54),"",IF(L54=Constants!$B$19,Constants!$B$19,Constants!$B$18))</f>
        <v/>
      </c>
      <c r="X54" s="97" t="str">
        <f aca="false">IF(ISBLANK($C54),"",IF(COUNTA(M54:N54)=0,"",IF(AND(OR(ISBLANK(M54),AND(ISNUMBER(M54),M54&gt;=0)),OR(ISBLANK(N54),AND(ISNUMBER(N54),N54&gt;=0))),60*IF(ISBLANK(M54),0,M54)+IF(ISBLANK(N54),0,N54),"")))</f>
        <v/>
      </c>
      <c r="Y54" s="97" t="str">
        <f aca="false">IF(ISBLANK($C54),"",IF(O54=Constants!$B$2, TRUE(), IF(O54=Constants!$B$3, FALSE(), FALSE())))</f>
        <v/>
      </c>
      <c r="Z54" s="97" t="str">
        <f aca="false">IF(ISBLANK($C54),"",IF(Y54,Constants!$B$4,IF(COUNTA(E54:N54)=0,Constants!$B$5,IF(COUNTA(J54:K54,M54:N54)=0,Constants!$B$6,Constants!$B$7))))</f>
        <v/>
      </c>
      <c r="AA54" s="97" t="str">
        <f aca="false">IF(ISBLANK($C54),"",IF($Z54&lt;&gt;Constants!$B$7,$Z54,IF(OR(NOT(T54),AND(NOT(Q54),COUNTIFS(U54:W54,Constants!$B$18,V54:X54,"&gt;=0")&gt;0),AND(NOT(R54),COUNTIFS(U54:W54,Constants!$B$19,V54:X54,"&gt;=0")&gt;0)),Constants!$B$12,Constants!$B$11)))</f>
        <v/>
      </c>
      <c r="AB54" s="97" t="str">
        <f aca="false">IF($Z54=Constants!$B$7,IF(V54="",Constants!$B$13,V54),"")</f>
        <v/>
      </c>
      <c r="AC54" s="97" t="str">
        <f aca="false">IF($Z54=Constants!$B$7,IF(X54="",Constants!$B$13,X54),"")</f>
        <v/>
      </c>
      <c r="AD54" s="97" t="str">
        <f aca="false">IF($Z54=Constants!$B$7,IF($AB54&gt;=$AC54,1,2),"")</f>
        <v/>
      </c>
      <c r="AE54" s="97" t="str">
        <f aca="false">IF($Z54=Constants!$B$7,LARGE(AB54:AC54,1),"")</f>
        <v/>
      </c>
      <c r="AF54" s="97" t="str">
        <f aca="false">IF(ISBLANK($C54),"",IF($Z54&lt;&gt;Constants!$B$7,$Z54,AE54*S54))</f>
        <v/>
      </c>
      <c r="AG54" s="97" t="str">
        <f aca="false">IF(ISBLANK($C54),"",IF($Z54=Constants!$B$7,IF(ISNUMBER(AF54),RANK(AF54,$AF$8:$AF$507),Constants!$B$14),$Z54))</f>
        <v/>
      </c>
      <c r="AH54" s="97" t="str">
        <f aca="false">IF(ISBLANK($C54),"",IF($Z54=Constants!$B$7,IF(ISNUMBER(AG54),COUNTIFS($AA$8:$AA$507,"&lt;"&amp;$AA54)+COUNTIFS($AA$8:$AA$507,$AA54,$AG$8:$AG$507,"&lt;"&amp;$AG54)+1,Constants!$B$14),$Z54))</f>
        <v/>
      </c>
      <c r="AI54" s="97" t="str">
        <f aca="false">IF(ISBLANK($C54),"",IF($Z54=Constants!$B$7,LARGE(AB54:AC54,2)*S54,""))</f>
        <v/>
      </c>
      <c r="AJ54" s="97" t="str">
        <f aca="false">IF(ISBLANK($C54),"",IF($Z54=Constants!$B$7,RANK(AI54,$AI$8:$AI$507),$Z54))</f>
        <v/>
      </c>
      <c r="AK54" s="97" t="str">
        <f aca="false">IF(ISBLANK($C54),"",IF($Z54=Constants!$B$7,IF(ISNUMBER(AG54),COUNTIFS($AA$8:$AA$507,"&lt;"&amp;$AA54)+COUNTIFS($AA$8:$AA$507,$AA54,$AG$8:$AG$507,"&lt;"&amp;$AG54)+COUNTIFS($AA$8:$AA$507,$AA54,$AG$8:$AG$507,$AG54,$AJ$8:$AJ$507,"&lt;"&amp;$AJ54)+1,Constants!$B$14),$Z54))</f>
        <v/>
      </c>
      <c r="AL54" s="97" t="str">
        <f aca="false">IF(ISBLANK($C54),"",IF($Z54=Constants!$B$7,IF(ISNUMBER(AH54),AH54-AK54,Constants!$B$14),$Z54))</f>
        <v/>
      </c>
      <c r="AM54" s="98"/>
      <c r="AN54" s="99" t="str">
        <f aca="false">IF(ISBLANK($C54),"",IF($Z54&lt;&gt;Constants!$B$7,$Z54,AD54))</f>
        <v/>
      </c>
      <c r="AO54" s="100" t="str">
        <f aca="false">IF(ISBLANK($C54),"",IF($Z54&lt;&gt;Constants!$B$7,$Z54,S54))</f>
        <v/>
      </c>
      <c r="AP54" s="101" t="str">
        <f aca="false">IF(ISBLANK($C54),"",IF($Z54&lt;&gt;Constants!$B$7,$Z54,AF54))</f>
        <v/>
      </c>
      <c r="AQ54" s="102" t="str">
        <f aca="false">IF(ISBLANK($C54),"",IF($Z54&lt;&gt;Constants!$B$7,$Z54,AA54))</f>
        <v/>
      </c>
      <c r="AR54" s="100" t="str">
        <f aca="false">IF(ISBLANK($C54),"",AL54)</f>
        <v/>
      </c>
      <c r="AS54" s="100" t="str">
        <f aca="false">IF(ISBLANK($C54),"",AK54)</f>
        <v/>
      </c>
      <c r="AT54" s="103" t="str">
        <f aca="false">IF(ISBLANK($C54),"",IF(AS54=Constants!$B$4,COUNTA($C$8:$C$507)+2,IF(AS54=Constants!$B$5,COUNTA($C$8:$C$507)+1,IF(AS54=Constants!$B$6,COUNTA($C$8:$C$507),AS54))))</f>
        <v/>
      </c>
      <c r="AU54" s="5"/>
      <c r="AV54" s="104" t="n">
        <f aca="false">IF(OR(ISNUMBER(AS54),AS54=Constants!$B$4,AS54=Constants!$B$6,AS54=Constants!$B$5),1,0)</f>
        <v>0</v>
      </c>
      <c r="AW54" s="104" t="n">
        <v>47</v>
      </c>
      <c r="AX54" s="104" t="str">
        <f aca="false">IF(ISBLANK($C54),"",IF(ISNUMBER(AT54),AT54+ROW($B54)/1000,""))</f>
        <v/>
      </c>
      <c r="AY54" s="104" t="str">
        <f aca="false">IF(ISNUMBER(AX54),RANK(AX54,$AX$8:$AX$507,1),"")</f>
        <v/>
      </c>
      <c r="AZ54" s="104" t="str">
        <f aca="false">IF(ISBLANK($C54),"",$B54)</f>
        <v/>
      </c>
      <c r="BA54" s="104" t="str">
        <f aca="false">IF(ISBLANK($C54),"",$C54)</f>
        <v/>
      </c>
      <c r="BB54" s="104" t="str">
        <f aca="false">IF(ISBLANK($C54),"",$D54)</f>
        <v/>
      </c>
      <c r="BC54" s="105" t="str">
        <f aca="false">AQ54</f>
        <v/>
      </c>
      <c r="BD54" s="106" t="str">
        <f aca="false">AP54</f>
        <v/>
      </c>
      <c r="BE54" s="104" t="str">
        <f aca="false">IF(ISBLANK($C54),"",AS54)</f>
        <v/>
      </c>
      <c r="BF54" s="107" t="str">
        <f aca="false">IF($AW54&gt;$AV$7,"",VLOOKUP($AW54,$AY$8:$BE$507,7,FALSE()))</f>
        <v/>
      </c>
      <c r="BG54" s="108" t="str">
        <f aca="false">IF($AW54&gt;$AV$7,"",VLOOKUP($AW54,$AY$8:$BE$507,2,FALSE()))</f>
        <v/>
      </c>
      <c r="BH54" s="108" t="str">
        <f aca="false">IF($AW54&gt;$AV$7,"",VLOOKUP($AW54,$AY$8:$BE$507,3,FALSE()))</f>
        <v/>
      </c>
      <c r="BI54" s="108" t="str">
        <f aca="false">IF($AW54&gt;$AV$7,"",VLOOKUP($AW54,$AY$8:$BE$507,4,FALSE()))</f>
        <v/>
      </c>
      <c r="BJ54" s="108" t="str">
        <f aca="false">IF($AW54&gt;$AV$7,"",VLOOKUP($AW54,$AY$8:$BE$507,5,FALSE()))</f>
        <v/>
      </c>
      <c r="BK54" s="109" t="str">
        <f aca="false">IF($AW54&gt;$AV$7,"",VLOOKUP($AW54,$AY$8:$BE$507,6,FALSE()))</f>
        <v/>
      </c>
      <c r="BL54" s="50"/>
    </row>
    <row r="55" customFormat="false" ht="15.75" hidden="false" customHeight="false" outlineLevel="0" collapsed="false">
      <c r="A55" s="5"/>
      <c r="B55" s="124"/>
      <c r="C55" s="125"/>
      <c r="D55" s="110"/>
      <c r="E55" s="130"/>
      <c r="F55" s="135"/>
      <c r="G55" s="88"/>
      <c r="H55" s="136"/>
      <c r="I55" s="137"/>
      <c r="J55" s="91"/>
      <c r="K55" s="92"/>
      <c r="L55" s="137"/>
      <c r="M55" s="93"/>
      <c r="N55" s="94"/>
      <c r="O55" s="130"/>
      <c r="P55" s="96"/>
      <c r="Q55" s="97" t="str">
        <f aca="false">IF(ISBLANK($C55),"",IF(E55=Constants!$B$2, TRUE(), IF(E55=Constants!$B$3, FALSE(), TRUE())))</f>
        <v/>
      </c>
      <c r="R55" s="97" t="str">
        <f aca="false">IF(ISBLANK($C55),"",IF(F55=Constants!$B$2, TRUE(), IF(F55=Constants!$B$3, FALSE(), TRUE())))</f>
        <v/>
      </c>
      <c r="S55" s="97" t="str">
        <f aca="false">IF(ISBLANK($C55),"",IF(G55=Constants!$B$15,Constants!$B$8,IF(G55=Constants!$B$16,Constants!$B$9,Constants!$B$10)))</f>
        <v/>
      </c>
      <c r="T55" s="97" t="str">
        <f aca="false">IF(ISBLANK($C55),"",IF(H55=Constants!$B$2, TRUE(), IF(H55=Constants!$B$3, FALSE(), TRUE())))</f>
        <v/>
      </c>
      <c r="U55" s="97" t="str">
        <f aca="false">IF(ISBLANK($C55),"",IF(I55=Constants!$B$19,Constants!$B$19,Constants!$B$18))</f>
        <v/>
      </c>
      <c r="V55" s="97" t="str">
        <f aca="false">IF(ISBLANK($C55),"",IF(COUNTA(J55:K55)=0,"",IF(AND(OR(ISBLANK(J55),AND(ISNUMBER(J55),J55&gt;=0)),OR(ISBLANK(K55),AND(ISNUMBER(K55),K55&gt;=0))),60*IF(ISBLANK(J55),0,J55)+IF(ISBLANK(K55),0,K55),"")))</f>
        <v/>
      </c>
      <c r="W55" s="97" t="str">
        <f aca="false">IF(ISBLANK($C55),"",IF(L55=Constants!$B$19,Constants!$B$19,Constants!$B$18))</f>
        <v/>
      </c>
      <c r="X55" s="97" t="str">
        <f aca="false">IF(ISBLANK($C55),"",IF(COUNTA(M55:N55)=0,"",IF(AND(OR(ISBLANK(M55),AND(ISNUMBER(M55),M55&gt;=0)),OR(ISBLANK(N55),AND(ISNUMBER(N55),N55&gt;=0))),60*IF(ISBLANK(M55),0,M55)+IF(ISBLANK(N55),0,N55),"")))</f>
        <v/>
      </c>
      <c r="Y55" s="97" t="str">
        <f aca="false">IF(ISBLANK($C55),"",IF(O55=Constants!$B$2, TRUE(), IF(O55=Constants!$B$3, FALSE(), FALSE())))</f>
        <v/>
      </c>
      <c r="Z55" s="97" t="str">
        <f aca="false">IF(ISBLANK($C55),"",IF(Y55,Constants!$B$4,IF(COUNTA(E55:N55)=0,Constants!$B$5,IF(COUNTA(J55:K55,M55:N55)=0,Constants!$B$6,Constants!$B$7))))</f>
        <v/>
      </c>
      <c r="AA55" s="97" t="str">
        <f aca="false">IF(ISBLANK($C55),"",IF($Z55&lt;&gt;Constants!$B$7,$Z55,IF(OR(NOT(T55),AND(NOT(Q55),COUNTIFS(U55:W55,Constants!$B$18,V55:X55,"&gt;=0")&gt;0),AND(NOT(R55),COUNTIFS(U55:W55,Constants!$B$19,V55:X55,"&gt;=0")&gt;0)),Constants!$B$12,Constants!$B$11)))</f>
        <v/>
      </c>
      <c r="AB55" s="97" t="str">
        <f aca="false">IF($Z55=Constants!$B$7,IF(V55="",Constants!$B$13,V55),"")</f>
        <v/>
      </c>
      <c r="AC55" s="97" t="str">
        <f aca="false">IF($Z55=Constants!$B$7,IF(X55="",Constants!$B$13,X55),"")</f>
        <v/>
      </c>
      <c r="AD55" s="97" t="str">
        <f aca="false">IF($Z55=Constants!$B$7,IF($AB55&gt;=$AC55,1,2),"")</f>
        <v/>
      </c>
      <c r="AE55" s="97" t="str">
        <f aca="false">IF($Z55=Constants!$B$7,LARGE(AB55:AC55,1),"")</f>
        <v/>
      </c>
      <c r="AF55" s="97" t="str">
        <f aca="false">IF(ISBLANK($C55),"",IF($Z55&lt;&gt;Constants!$B$7,$Z55,AE55*S55))</f>
        <v/>
      </c>
      <c r="AG55" s="97" t="str">
        <f aca="false">IF(ISBLANK($C55),"",IF($Z55=Constants!$B$7,IF(ISNUMBER(AF55),RANK(AF55,$AF$8:$AF$507),Constants!$B$14),$Z55))</f>
        <v/>
      </c>
      <c r="AH55" s="97" t="str">
        <f aca="false">IF(ISBLANK($C55),"",IF($Z55=Constants!$B$7,IF(ISNUMBER(AG55),COUNTIFS($AA$8:$AA$507,"&lt;"&amp;$AA55)+COUNTIFS($AA$8:$AA$507,$AA55,$AG$8:$AG$507,"&lt;"&amp;$AG55)+1,Constants!$B$14),$Z55))</f>
        <v/>
      </c>
      <c r="AI55" s="97" t="str">
        <f aca="false">IF(ISBLANK($C55),"",IF($Z55=Constants!$B$7,LARGE(AB55:AC55,2)*S55,""))</f>
        <v/>
      </c>
      <c r="AJ55" s="97" t="str">
        <f aca="false">IF(ISBLANK($C55),"",IF($Z55=Constants!$B$7,RANK(AI55,$AI$8:$AI$507),$Z55))</f>
        <v/>
      </c>
      <c r="AK55" s="97" t="str">
        <f aca="false">IF(ISBLANK($C55),"",IF($Z55=Constants!$B$7,IF(ISNUMBER(AG55),COUNTIFS($AA$8:$AA$507,"&lt;"&amp;$AA55)+COUNTIFS($AA$8:$AA$507,$AA55,$AG$8:$AG$507,"&lt;"&amp;$AG55)+COUNTIFS($AA$8:$AA$507,$AA55,$AG$8:$AG$507,$AG55,$AJ$8:$AJ$507,"&lt;"&amp;$AJ55)+1,Constants!$B$14),$Z55))</f>
        <v/>
      </c>
      <c r="AL55" s="97" t="str">
        <f aca="false">IF(ISBLANK($C55),"",IF($Z55=Constants!$B$7,IF(ISNUMBER(AH55),AH55-AK55,Constants!$B$14),$Z55))</f>
        <v/>
      </c>
      <c r="AM55" s="98"/>
      <c r="AN55" s="99" t="str">
        <f aca="false">IF(ISBLANK($C55),"",IF($Z55&lt;&gt;Constants!$B$7,$Z55,AD55))</f>
        <v/>
      </c>
      <c r="AO55" s="100" t="str">
        <f aca="false">IF(ISBLANK($C55),"",IF($Z55&lt;&gt;Constants!$B$7,$Z55,S55))</f>
        <v/>
      </c>
      <c r="AP55" s="101" t="str">
        <f aca="false">IF(ISBLANK($C55),"",IF($Z55&lt;&gt;Constants!$B$7,$Z55,AF55))</f>
        <v/>
      </c>
      <c r="AQ55" s="102" t="str">
        <f aca="false">IF(ISBLANK($C55),"",IF($Z55&lt;&gt;Constants!$B$7,$Z55,AA55))</f>
        <v/>
      </c>
      <c r="AR55" s="100" t="str">
        <f aca="false">IF(ISBLANK($C55),"",AL55)</f>
        <v/>
      </c>
      <c r="AS55" s="100" t="str">
        <f aca="false">IF(ISBLANK($C55),"",AK55)</f>
        <v/>
      </c>
      <c r="AT55" s="103" t="str">
        <f aca="false">IF(ISBLANK($C55),"",IF(AS55=Constants!$B$4,COUNTA($C$8:$C$507)+2,IF(AS55=Constants!$B$5,COUNTA($C$8:$C$507)+1,IF(AS55=Constants!$B$6,COUNTA($C$8:$C$507),AS55))))</f>
        <v/>
      </c>
      <c r="AU55" s="5"/>
      <c r="AV55" s="104" t="n">
        <f aca="false">IF(OR(ISNUMBER(AS55),AS55=Constants!$B$4,AS55=Constants!$B$6,AS55=Constants!$B$5),1,0)</f>
        <v>0</v>
      </c>
      <c r="AW55" s="104" t="n">
        <v>48</v>
      </c>
      <c r="AX55" s="104" t="str">
        <f aca="false">IF(ISBLANK($C55),"",IF(ISNUMBER(AT55),AT55+ROW($B55)/1000,""))</f>
        <v/>
      </c>
      <c r="AY55" s="104" t="str">
        <f aca="false">IF(ISNUMBER(AX55),RANK(AX55,$AX$8:$AX$507,1),"")</f>
        <v/>
      </c>
      <c r="AZ55" s="104" t="str">
        <f aca="false">IF(ISBLANK($C55),"",$B55)</f>
        <v/>
      </c>
      <c r="BA55" s="104" t="str">
        <f aca="false">IF(ISBLANK($C55),"",$C55)</f>
        <v/>
      </c>
      <c r="BB55" s="104" t="str">
        <f aca="false">IF(ISBLANK($C55),"",$D55)</f>
        <v/>
      </c>
      <c r="BC55" s="105" t="str">
        <f aca="false">AQ55</f>
        <v/>
      </c>
      <c r="BD55" s="106" t="str">
        <f aca="false">AP55</f>
        <v/>
      </c>
      <c r="BE55" s="104" t="str">
        <f aca="false">IF(ISBLANK($C55),"",AS55)</f>
        <v/>
      </c>
      <c r="BF55" s="107" t="str">
        <f aca="false">IF($AW55&gt;$AV$7,"",VLOOKUP($AW55,$AY$8:$BE$507,7,FALSE()))</f>
        <v/>
      </c>
      <c r="BG55" s="108" t="str">
        <f aca="false">IF($AW55&gt;$AV$7,"",VLOOKUP($AW55,$AY$8:$BE$507,2,FALSE()))</f>
        <v/>
      </c>
      <c r="BH55" s="108" t="str">
        <f aca="false">IF($AW55&gt;$AV$7,"",VLOOKUP($AW55,$AY$8:$BE$507,3,FALSE()))</f>
        <v/>
      </c>
      <c r="BI55" s="108" t="str">
        <f aca="false">IF($AW55&gt;$AV$7,"",VLOOKUP($AW55,$AY$8:$BE$507,4,FALSE()))</f>
        <v/>
      </c>
      <c r="BJ55" s="108" t="str">
        <f aca="false">IF($AW55&gt;$AV$7,"",VLOOKUP($AW55,$AY$8:$BE$507,5,FALSE()))</f>
        <v/>
      </c>
      <c r="BK55" s="109" t="str">
        <f aca="false">IF($AW55&gt;$AV$7,"",VLOOKUP($AW55,$AY$8:$BE$507,6,FALSE()))</f>
        <v/>
      </c>
      <c r="BL55" s="50"/>
    </row>
    <row r="56" customFormat="false" ht="15.75" hidden="false" customHeight="false" outlineLevel="0" collapsed="false">
      <c r="A56" s="5"/>
      <c r="B56" s="131"/>
      <c r="C56" s="52"/>
      <c r="D56" s="53"/>
      <c r="E56" s="80"/>
      <c r="F56" s="132"/>
      <c r="G56" s="56"/>
      <c r="H56" s="133"/>
      <c r="I56" s="134"/>
      <c r="J56" s="59"/>
      <c r="K56" s="60"/>
      <c r="L56" s="134"/>
      <c r="M56" s="61"/>
      <c r="N56" s="62"/>
      <c r="O56" s="80"/>
      <c r="P56" s="64"/>
      <c r="Q56" s="65" t="str">
        <f aca="false">IF(ISBLANK($C56),"",IF(E56=Constants!$B$2, TRUE(), IF(E56=Constants!$B$3, FALSE(), TRUE())))</f>
        <v/>
      </c>
      <c r="R56" s="65" t="str">
        <f aca="false">IF(ISBLANK($C56),"",IF(F56=Constants!$B$2, TRUE(), IF(F56=Constants!$B$3, FALSE(), TRUE())))</f>
        <v/>
      </c>
      <c r="S56" s="65" t="str">
        <f aca="false">IF(ISBLANK($C56),"",IF(G56=Constants!$B$15,Constants!$B$8,IF(G56=Constants!$B$16,Constants!$B$9,Constants!$B$10)))</f>
        <v/>
      </c>
      <c r="T56" s="65" t="str">
        <f aca="false">IF(ISBLANK($C56),"",IF(H56=Constants!$B$2, TRUE(), IF(H56=Constants!$B$3, FALSE(), TRUE())))</f>
        <v/>
      </c>
      <c r="U56" s="65" t="str">
        <f aca="false">IF(ISBLANK($C56),"",IF(I56=Constants!$B$19,Constants!$B$19,Constants!$B$18))</f>
        <v/>
      </c>
      <c r="V56" s="65" t="str">
        <f aca="false">IF(ISBLANK($C56),"",IF(COUNTA(J56:K56)=0,"",IF(AND(OR(ISBLANK(J56),AND(ISNUMBER(J56),J56&gt;=0)),OR(ISBLANK(K56),AND(ISNUMBER(K56),K56&gt;=0))),60*IF(ISBLANK(J56),0,J56)+IF(ISBLANK(K56),0,K56),"")))</f>
        <v/>
      </c>
      <c r="W56" s="65" t="str">
        <f aca="false">IF(ISBLANK($C56),"",IF(L56=Constants!$B$19,Constants!$B$19,Constants!$B$18))</f>
        <v/>
      </c>
      <c r="X56" s="65" t="str">
        <f aca="false">IF(ISBLANK($C56),"",IF(COUNTA(M56:N56)=0,"",IF(AND(OR(ISBLANK(M56),AND(ISNUMBER(M56),M56&gt;=0)),OR(ISBLANK(N56),AND(ISNUMBER(N56),N56&gt;=0))),60*IF(ISBLANK(M56),0,M56)+IF(ISBLANK(N56),0,N56),"")))</f>
        <v/>
      </c>
      <c r="Y56" s="65" t="str">
        <f aca="false">IF(ISBLANK($C56),"",IF(O56=Constants!$B$2, TRUE(), IF(O56=Constants!$B$3, FALSE(), FALSE())))</f>
        <v/>
      </c>
      <c r="Z56" s="65" t="str">
        <f aca="false">IF(ISBLANK($C56),"",IF(Y56,Constants!$B$4,IF(COUNTA(E56:N56)=0,Constants!$B$5,IF(COUNTA(J56:K56,M56:N56)=0,Constants!$B$6,Constants!$B$7))))</f>
        <v/>
      </c>
      <c r="AA56" s="65" t="str">
        <f aca="false">IF(ISBLANK($C56),"",IF($Z56&lt;&gt;Constants!$B$7,$Z56,IF(OR(NOT(T56),AND(NOT(Q56),COUNTIFS(U56:W56,Constants!$B$18,V56:X56,"&gt;=0")&gt;0),AND(NOT(R56),COUNTIFS(U56:W56,Constants!$B$19,V56:X56,"&gt;=0")&gt;0)),Constants!$B$12,Constants!$B$11)))</f>
        <v/>
      </c>
      <c r="AB56" s="65" t="str">
        <f aca="false">IF($Z56=Constants!$B$7,IF(V56="",Constants!$B$13,V56),"")</f>
        <v/>
      </c>
      <c r="AC56" s="65" t="str">
        <f aca="false">IF($Z56=Constants!$B$7,IF(X56="",Constants!$B$13,X56),"")</f>
        <v/>
      </c>
      <c r="AD56" s="65" t="str">
        <f aca="false">IF($Z56=Constants!$B$7,IF($AB56&gt;=$AC56,1,2),"")</f>
        <v/>
      </c>
      <c r="AE56" s="65" t="str">
        <f aca="false">IF($Z56=Constants!$B$7,LARGE(AB56:AC56,1),"")</f>
        <v/>
      </c>
      <c r="AF56" s="65" t="str">
        <f aca="false">IF(ISBLANK($C56),"",IF($Z56&lt;&gt;Constants!$B$7,$Z56,AE56*S56))</f>
        <v/>
      </c>
      <c r="AG56" s="65" t="str">
        <f aca="false">IF(ISBLANK($C56),"",IF($Z56=Constants!$B$7,IF(ISNUMBER(AF56),RANK(AF56,$AF$8:$AF$507),Constants!$B$14),$Z56))</f>
        <v/>
      </c>
      <c r="AH56" s="65" t="str">
        <f aca="false">IF(ISBLANK($C56),"",IF($Z56=Constants!$B$7,IF(ISNUMBER(AG56),COUNTIFS($AA$8:$AA$507,"&lt;"&amp;$AA56)+COUNTIFS($AA$8:$AA$507,$AA56,$AG$8:$AG$507,"&lt;"&amp;$AG56)+1,Constants!$B$14),$Z56))</f>
        <v/>
      </c>
      <c r="AI56" s="65" t="str">
        <f aca="false">IF(ISBLANK($C56),"",IF($Z56=Constants!$B$7,LARGE(AB56:AC56,2)*S56,""))</f>
        <v/>
      </c>
      <c r="AJ56" s="65" t="str">
        <f aca="false">IF(ISBLANK($C56),"",IF($Z56=Constants!$B$7,RANK(AI56,$AI$8:$AI$507),$Z56))</f>
        <v/>
      </c>
      <c r="AK56" s="65" t="str">
        <f aca="false">IF(ISBLANK($C56),"",IF($Z56=Constants!$B$7,IF(ISNUMBER(AG56),COUNTIFS($AA$8:$AA$507,"&lt;"&amp;$AA56)+COUNTIFS($AA$8:$AA$507,$AA56,$AG$8:$AG$507,"&lt;"&amp;$AG56)+COUNTIFS($AA$8:$AA$507,$AA56,$AG$8:$AG$507,$AG56,$AJ$8:$AJ$507,"&lt;"&amp;$AJ56)+1,Constants!$B$14),$Z56))</f>
        <v/>
      </c>
      <c r="AL56" s="65" t="str">
        <f aca="false">IF(ISBLANK($C56),"",IF($Z56=Constants!$B$7,IF(ISNUMBER(AH56),AH56-AK56,Constants!$B$14),$Z56))</f>
        <v/>
      </c>
      <c r="AM56" s="67"/>
      <c r="AN56" s="68" t="str">
        <f aca="false">IF(ISBLANK($C56),"",IF($Z56&lt;&gt;Constants!$B$7,$Z56,AD56))</f>
        <v/>
      </c>
      <c r="AO56" s="69" t="str">
        <f aca="false">IF(ISBLANK($C56),"",IF($Z56&lt;&gt;Constants!$B$7,$Z56,S56))</f>
        <v/>
      </c>
      <c r="AP56" s="70" t="str">
        <f aca="false">IF(ISBLANK($C56),"",IF($Z56&lt;&gt;Constants!$B$7,$Z56,AF56))</f>
        <v/>
      </c>
      <c r="AQ56" s="71" t="str">
        <f aca="false">IF(ISBLANK($C56),"",IF($Z56&lt;&gt;Constants!$B$7,$Z56,AA56))</f>
        <v/>
      </c>
      <c r="AR56" s="69" t="str">
        <f aca="false">IF(ISBLANK($C56),"",AL56)</f>
        <v/>
      </c>
      <c r="AS56" s="69" t="str">
        <f aca="false">IF(ISBLANK($C56),"",AK56)</f>
        <v/>
      </c>
      <c r="AT56" s="72" t="str">
        <f aca="false">IF(ISBLANK($C56),"",IF(AS56=Constants!$B$4,COUNTA($C$8:$C$507)+2,IF(AS56=Constants!$B$5,COUNTA($C$8:$C$507)+1,IF(AS56=Constants!$B$6,COUNTA($C$8:$C$507),AS56))))</f>
        <v/>
      </c>
      <c r="AU56" s="5"/>
      <c r="AV56" s="73" t="n">
        <f aca="false">IF(OR(ISNUMBER(AS56),AS56=Constants!$B$4,AS56=Constants!$B$6,AS56=Constants!$B$5),1,0)</f>
        <v>0</v>
      </c>
      <c r="AW56" s="73" t="n">
        <v>49</v>
      </c>
      <c r="AX56" s="73" t="str">
        <f aca="false">IF(ISBLANK($C56),"",IF(ISNUMBER(AT56),AT56+ROW($B56)/1000,""))</f>
        <v/>
      </c>
      <c r="AY56" s="73" t="str">
        <f aca="false">IF(ISNUMBER(AX56),RANK(AX56,$AX$8:$AX$507,1),"")</f>
        <v/>
      </c>
      <c r="AZ56" s="73" t="str">
        <f aca="false">IF(ISBLANK($C56),"",$B56)</f>
        <v/>
      </c>
      <c r="BA56" s="73" t="str">
        <f aca="false">IF(ISBLANK($C56),"",$C56)</f>
        <v/>
      </c>
      <c r="BB56" s="73" t="str">
        <f aca="false">IF(ISBLANK($C56),"",$D56)</f>
        <v/>
      </c>
      <c r="BC56" s="74" t="str">
        <f aca="false">AQ56</f>
        <v/>
      </c>
      <c r="BD56" s="75" t="str">
        <f aca="false">AP56</f>
        <v/>
      </c>
      <c r="BE56" s="73" t="str">
        <f aca="false">IF(ISBLANK($C56),"",AS56)</f>
        <v/>
      </c>
      <c r="BF56" s="76" t="str">
        <f aca="false">IF($AW56&gt;$AV$7,"",VLOOKUP($AW56,$AY$8:$BE$507,7,FALSE()))</f>
        <v/>
      </c>
      <c r="BG56" s="77" t="str">
        <f aca="false">IF($AW56&gt;$AV$7,"",VLOOKUP($AW56,$AY$8:$BE$507,2,FALSE()))</f>
        <v/>
      </c>
      <c r="BH56" s="77" t="str">
        <f aca="false">IF($AW56&gt;$AV$7,"",VLOOKUP($AW56,$AY$8:$BE$507,3,FALSE()))</f>
        <v/>
      </c>
      <c r="BI56" s="77" t="str">
        <f aca="false">IF($AW56&gt;$AV$7,"",VLOOKUP($AW56,$AY$8:$BE$507,4,FALSE()))</f>
        <v/>
      </c>
      <c r="BJ56" s="77" t="str">
        <f aca="false">IF($AW56&gt;$AV$7,"",VLOOKUP($AW56,$AY$8:$BE$507,5,FALSE()))</f>
        <v/>
      </c>
      <c r="BK56" s="78" t="str">
        <f aca="false">IF($AW56&gt;$AV$7,"",VLOOKUP($AW56,$AY$8:$BE$507,6,FALSE()))</f>
        <v/>
      </c>
      <c r="BL56" s="50"/>
    </row>
    <row r="57" customFormat="false" ht="15.75" hidden="false" customHeight="false" outlineLevel="0" collapsed="false">
      <c r="A57" s="5"/>
      <c r="B57" s="131"/>
      <c r="C57" s="52"/>
      <c r="D57" s="53"/>
      <c r="E57" s="80"/>
      <c r="F57" s="132"/>
      <c r="G57" s="56"/>
      <c r="H57" s="133"/>
      <c r="I57" s="134"/>
      <c r="J57" s="59"/>
      <c r="K57" s="60"/>
      <c r="L57" s="134"/>
      <c r="M57" s="61"/>
      <c r="N57" s="62"/>
      <c r="O57" s="80"/>
      <c r="P57" s="64"/>
      <c r="Q57" s="65" t="str">
        <f aca="false">IF(ISBLANK($C57),"",IF(E57=Constants!$B$2, TRUE(), IF(E57=Constants!$B$3, FALSE(), TRUE())))</f>
        <v/>
      </c>
      <c r="R57" s="65" t="str">
        <f aca="false">IF(ISBLANK($C57),"",IF(F57=Constants!$B$2, TRUE(), IF(F57=Constants!$B$3, FALSE(), TRUE())))</f>
        <v/>
      </c>
      <c r="S57" s="65" t="str">
        <f aca="false">IF(ISBLANK($C57),"",IF(G57=Constants!$B$15,Constants!$B$8,IF(G57=Constants!$B$16,Constants!$B$9,Constants!$B$10)))</f>
        <v/>
      </c>
      <c r="T57" s="65" t="str">
        <f aca="false">IF(ISBLANK($C57),"",IF(H57=Constants!$B$2, TRUE(), IF(H57=Constants!$B$3, FALSE(), TRUE())))</f>
        <v/>
      </c>
      <c r="U57" s="65" t="str">
        <f aca="false">IF(ISBLANK($C57),"",IF(I57=Constants!$B$19,Constants!$B$19,Constants!$B$18))</f>
        <v/>
      </c>
      <c r="V57" s="65" t="str">
        <f aca="false">IF(ISBLANK($C57),"",IF(COUNTA(J57:K57)=0,"",IF(AND(OR(ISBLANK(J57),AND(ISNUMBER(J57),J57&gt;=0)),OR(ISBLANK(K57),AND(ISNUMBER(K57),K57&gt;=0))),60*IF(ISBLANK(J57),0,J57)+IF(ISBLANK(K57),0,K57),"")))</f>
        <v/>
      </c>
      <c r="W57" s="65" t="str">
        <f aca="false">IF(ISBLANK($C57),"",IF(L57=Constants!$B$19,Constants!$B$19,Constants!$B$18))</f>
        <v/>
      </c>
      <c r="X57" s="65" t="str">
        <f aca="false">IF(ISBLANK($C57),"",IF(COUNTA(M57:N57)=0,"",IF(AND(OR(ISBLANK(M57),AND(ISNUMBER(M57),M57&gt;=0)),OR(ISBLANK(N57),AND(ISNUMBER(N57),N57&gt;=0))),60*IF(ISBLANK(M57),0,M57)+IF(ISBLANK(N57),0,N57),"")))</f>
        <v/>
      </c>
      <c r="Y57" s="65" t="str">
        <f aca="false">IF(ISBLANK($C57),"",IF(O57=Constants!$B$2, TRUE(), IF(O57=Constants!$B$3, FALSE(), FALSE())))</f>
        <v/>
      </c>
      <c r="Z57" s="65" t="str">
        <f aca="false">IF(ISBLANK($C57),"",IF(Y57,Constants!$B$4,IF(COUNTA(E57:N57)=0,Constants!$B$5,IF(COUNTA(J57:K57,M57:N57)=0,Constants!$B$6,Constants!$B$7))))</f>
        <v/>
      </c>
      <c r="AA57" s="65" t="str">
        <f aca="false">IF(ISBLANK($C57),"",IF($Z57&lt;&gt;Constants!$B$7,$Z57,IF(OR(NOT(T57),AND(NOT(Q57),COUNTIFS(U57:W57,Constants!$B$18,V57:X57,"&gt;=0")&gt;0),AND(NOT(R57),COUNTIFS(U57:W57,Constants!$B$19,V57:X57,"&gt;=0")&gt;0)),Constants!$B$12,Constants!$B$11)))</f>
        <v/>
      </c>
      <c r="AB57" s="65" t="str">
        <f aca="false">IF($Z57=Constants!$B$7,IF(V57="",Constants!$B$13,V57),"")</f>
        <v/>
      </c>
      <c r="AC57" s="65" t="str">
        <f aca="false">IF($Z57=Constants!$B$7,IF(X57="",Constants!$B$13,X57),"")</f>
        <v/>
      </c>
      <c r="AD57" s="65" t="str">
        <f aca="false">IF($Z57=Constants!$B$7,IF($AB57&gt;=$AC57,1,2),"")</f>
        <v/>
      </c>
      <c r="AE57" s="65" t="str">
        <f aca="false">IF($Z57=Constants!$B$7,LARGE(AB57:AC57,1),"")</f>
        <v/>
      </c>
      <c r="AF57" s="65" t="str">
        <f aca="false">IF(ISBLANK($C57),"",IF($Z57&lt;&gt;Constants!$B$7,$Z57,AE57*S57))</f>
        <v/>
      </c>
      <c r="AG57" s="65" t="str">
        <f aca="false">IF(ISBLANK($C57),"",IF($Z57=Constants!$B$7,IF(ISNUMBER(AF57),RANK(AF57,$AF$8:$AF$507),Constants!$B$14),$Z57))</f>
        <v/>
      </c>
      <c r="AH57" s="65" t="str">
        <f aca="false">IF(ISBLANK($C57),"",IF($Z57=Constants!$B$7,IF(ISNUMBER(AG57),COUNTIFS($AA$8:$AA$507,"&lt;"&amp;$AA57)+COUNTIFS($AA$8:$AA$507,$AA57,$AG$8:$AG$507,"&lt;"&amp;$AG57)+1,Constants!$B$14),$Z57))</f>
        <v/>
      </c>
      <c r="AI57" s="65" t="str">
        <f aca="false">IF(ISBLANK($C57),"",IF($Z57=Constants!$B$7,LARGE(AB57:AC57,2)*S57,""))</f>
        <v/>
      </c>
      <c r="AJ57" s="65" t="str">
        <f aca="false">IF(ISBLANK($C57),"",IF($Z57=Constants!$B$7,RANK(AI57,$AI$8:$AI$507),$Z57))</f>
        <v/>
      </c>
      <c r="AK57" s="65" t="str">
        <f aca="false">IF(ISBLANK($C57),"",IF($Z57=Constants!$B$7,IF(ISNUMBER(AG57),COUNTIFS($AA$8:$AA$507,"&lt;"&amp;$AA57)+COUNTIFS($AA$8:$AA$507,$AA57,$AG$8:$AG$507,"&lt;"&amp;$AG57)+COUNTIFS($AA$8:$AA$507,$AA57,$AG$8:$AG$507,$AG57,$AJ$8:$AJ$507,"&lt;"&amp;$AJ57)+1,Constants!$B$14),$Z57))</f>
        <v/>
      </c>
      <c r="AL57" s="65" t="str">
        <f aca="false">IF(ISBLANK($C57),"",IF($Z57=Constants!$B$7,IF(ISNUMBER(AH57),AH57-AK57,Constants!$B$14),$Z57))</f>
        <v/>
      </c>
      <c r="AM57" s="67"/>
      <c r="AN57" s="68" t="str">
        <f aca="false">IF(ISBLANK($C57),"",IF($Z57&lt;&gt;Constants!$B$7,$Z57,AD57))</f>
        <v/>
      </c>
      <c r="AO57" s="69" t="str">
        <f aca="false">IF(ISBLANK($C57),"",IF($Z57&lt;&gt;Constants!$B$7,$Z57,S57))</f>
        <v/>
      </c>
      <c r="AP57" s="70" t="str">
        <f aca="false">IF(ISBLANK($C57),"",IF($Z57&lt;&gt;Constants!$B$7,$Z57,AF57))</f>
        <v/>
      </c>
      <c r="AQ57" s="71" t="str">
        <f aca="false">IF(ISBLANK($C57),"",IF($Z57&lt;&gt;Constants!$B$7,$Z57,AA57))</f>
        <v/>
      </c>
      <c r="AR57" s="69" t="str">
        <f aca="false">IF(ISBLANK($C57),"",AL57)</f>
        <v/>
      </c>
      <c r="AS57" s="69" t="str">
        <f aca="false">IF(ISBLANK($C57),"",AK57)</f>
        <v/>
      </c>
      <c r="AT57" s="72" t="str">
        <f aca="false">IF(ISBLANK($C57),"",IF(AS57=Constants!$B$4,COUNTA($C$8:$C$507)+2,IF(AS57=Constants!$B$5,COUNTA($C$8:$C$507)+1,IF(AS57=Constants!$B$6,COUNTA($C$8:$C$507),AS57))))</f>
        <v/>
      </c>
      <c r="AU57" s="5"/>
      <c r="AV57" s="73" t="n">
        <f aca="false">IF(OR(ISNUMBER(AS57),AS57=Constants!$B$4,AS57=Constants!$B$6,AS57=Constants!$B$5),1,0)</f>
        <v>0</v>
      </c>
      <c r="AW57" s="73" t="n">
        <v>50</v>
      </c>
      <c r="AX57" s="73" t="str">
        <f aca="false">IF(ISBLANK($C57),"",IF(ISNUMBER(AT57),AT57+ROW($B57)/1000,""))</f>
        <v/>
      </c>
      <c r="AY57" s="73" t="str">
        <f aca="false">IF(ISNUMBER(AX57),RANK(AX57,$AX$8:$AX$507,1),"")</f>
        <v/>
      </c>
      <c r="AZ57" s="73" t="str">
        <f aca="false">IF(ISBLANK($C57),"",$B57)</f>
        <v/>
      </c>
      <c r="BA57" s="73" t="str">
        <f aca="false">IF(ISBLANK($C57),"",$C57)</f>
        <v/>
      </c>
      <c r="BB57" s="73" t="str">
        <f aca="false">IF(ISBLANK($C57),"",$D57)</f>
        <v/>
      </c>
      <c r="BC57" s="74" t="str">
        <f aca="false">AQ57</f>
        <v/>
      </c>
      <c r="BD57" s="75" t="str">
        <f aca="false">AP57</f>
        <v/>
      </c>
      <c r="BE57" s="73" t="str">
        <f aca="false">IF(ISBLANK($C57),"",AS57)</f>
        <v/>
      </c>
      <c r="BF57" s="76" t="str">
        <f aca="false">IF($AW57&gt;$AV$7,"",VLOOKUP($AW57,$AY$8:$BE$507,7,FALSE()))</f>
        <v/>
      </c>
      <c r="BG57" s="77" t="str">
        <f aca="false">IF($AW57&gt;$AV$7,"",VLOOKUP($AW57,$AY$8:$BE$507,2,FALSE()))</f>
        <v/>
      </c>
      <c r="BH57" s="77" t="str">
        <f aca="false">IF($AW57&gt;$AV$7,"",VLOOKUP($AW57,$AY$8:$BE$507,3,FALSE()))</f>
        <v/>
      </c>
      <c r="BI57" s="77" t="str">
        <f aca="false">IF($AW57&gt;$AV$7,"",VLOOKUP($AW57,$AY$8:$BE$507,4,FALSE()))</f>
        <v/>
      </c>
      <c r="BJ57" s="77" t="str">
        <f aca="false">IF($AW57&gt;$AV$7,"",VLOOKUP($AW57,$AY$8:$BE$507,5,FALSE()))</f>
        <v/>
      </c>
      <c r="BK57" s="78" t="str">
        <f aca="false">IF($AW57&gt;$AV$7,"",VLOOKUP($AW57,$AY$8:$BE$507,6,FALSE()))</f>
        <v/>
      </c>
      <c r="BL57" s="50"/>
    </row>
    <row r="58" customFormat="false" ht="15.75" hidden="false" customHeight="false" outlineLevel="0" collapsed="false">
      <c r="A58" s="5"/>
      <c r="B58" s="131"/>
      <c r="C58" s="52"/>
      <c r="D58" s="53"/>
      <c r="E58" s="80"/>
      <c r="F58" s="132"/>
      <c r="G58" s="56"/>
      <c r="H58" s="133"/>
      <c r="I58" s="134"/>
      <c r="J58" s="59"/>
      <c r="K58" s="60"/>
      <c r="L58" s="134"/>
      <c r="M58" s="61"/>
      <c r="N58" s="62"/>
      <c r="O58" s="80"/>
      <c r="P58" s="64"/>
      <c r="Q58" s="65" t="str">
        <f aca="false">IF(ISBLANK($C58),"",IF(E58=Constants!$B$2, TRUE(), IF(E58=Constants!$B$3, FALSE(), TRUE())))</f>
        <v/>
      </c>
      <c r="R58" s="65" t="str">
        <f aca="false">IF(ISBLANK($C58),"",IF(F58=Constants!$B$2, TRUE(), IF(F58=Constants!$B$3, FALSE(), TRUE())))</f>
        <v/>
      </c>
      <c r="S58" s="65" t="str">
        <f aca="false">IF(ISBLANK($C58),"",IF(G58=Constants!$B$15,Constants!$B$8,IF(G58=Constants!$B$16,Constants!$B$9,Constants!$B$10)))</f>
        <v/>
      </c>
      <c r="T58" s="65" t="str">
        <f aca="false">IF(ISBLANK($C58),"",IF(H58=Constants!$B$2, TRUE(), IF(H58=Constants!$B$3, FALSE(), TRUE())))</f>
        <v/>
      </c>
      <c r="U58" s="65" t="str">
        <f aca="false">IF(ISBLANK($C58),"",IF(I58=Constants!$B$19,Constants!$B$19,Constants!$B$18))</f>
        <v/>
      </c>
      <c r="V58" s="65" t="str">
        <f aca="false">IF(ISBLANK($C58),"",IF(COUNTA(J58:K58)=0,"",IF(AND(OR(ISBLANK(J58),AND(ISNUMBER(J58),J58&gt;=0)),OR(ISBLANK(K58),AND(ISNUMBER(K58),K58&gt;=0))),60*IF(ISBLANK(J58),0,J58)+IF(ISBLANK(K58),0,K58),"")))</f>
        <v/>
      </c>
      <c r="W58" s="65" t="str">
        <f aca="false">IF(ISBLANK($C58),"",IF(L58=Constants!$B$19,Constants!$B$19,Constants!$B$18))</f>
        <v/>
      </c>
      <c r="X58" s="65" t="str">
        <f aca="false">IF(ISBLANK($C58),"",IF(COUNTA(M58:N58)=0,"",IF(AND(OR(ISBLANK(M58),AND(ISNUMBER(M58),M58&gt;=0)),OR(ISBLANK(N58),AND(ISNUMBER(N58),N58&gt;=0))),60*IF(ISBLANK(M58),0,M58)+IF(ISBLANK(N58),0,N58),"")))</f>
        <v/>
      </c>
      <c r="Y58" s="65" t="str">
        <f aca="false">IF(ISBLANK($C58),"",IF(O58=Constants!$B$2, TRUE(), IF(O58=Constants!$B$3, FALSE(), FALSE())))</f>
        <v/>
      </c>
      <c r="Z58" s="65" t="str">
        <f aca="false">IF(ISBLANK($C58),"",IF(Y58,Constants!$B$4,IF(COUNTA(E58:N58)=0,Constants!$B$5,IF(COUNTA(J58:K58,M58:N58)=0,Constants!$B$6,Constants!$B$7))))</f>
        <v/>
      </c>
      <c r="AA58" s="65" t="str">
        <f aca="false">IF(ISBLANK($C58),"",IF($Z58&lt;&gt;Constants!$B$7,$Z58,IF(OR(NOT(T58),AND(NOT(Q58),COUNTIFS(U58:W58,Constants!$B$18,V58:X58,"&gt;=0")&gt;0),AND(NOT(R58),COUNTIFS(U58:W58,Constants!$B$19,V58:X58,"&gt;=0")&gt;0)),Constants!$B$12,Constants!$B$11)))</f>
        <v/>
      </c>
      <c r="AB58" s="65" t="str">
        <f aca="false">IF($Z58=Constants!$B$7,IF(V58="",Constants!$B$13,V58),"")</f>
        <v/>
      </c>
      <c r="AC58" s="65" t="str">
        <f aca="false">IF($Z58=Constants!$B$7,IF(X58="",Constants!$B$13,X58),"")</f>
        <v/>
      </c>
      <c r="AD58" s="65" t="str">
        <f aca="false">IF($Z58=Constants!$B$7,IF($AB58&gt;=$AC58,1,2),"")</f>
        <v/>
      </c>
      <c r="AE58" s="65" t="str">
        <f aca="false">IF($Z58=Constants!$B$7,LARGE(AB58:AC58,1),"")</f>
        <v/>
      </c>
      <c r="AF58" s="65" t="str">
        <f aca="false">IF(ISBLANK($C58),"",IF($Z58&lt;&gt;Constants!$B$7,$Z58,AE58*S58))</f>
        <v/>
      </c>
      <c r="AG58" s="65" t="str">
        <f aca="false">IF(ISBLANK($C58),"",IF($Z58=Constants!$B$7,IF(ISNUMBER(AF58),RANK(AF58,$AF$8:$AF$507),Constants!$B$14),$Z58))</f>
        <v/>
      </c>
      <c r="AH58" s="65" t="str">
        <f aca="false">IF(ISBLANK($C58),"",IF($Z58=Constants!$B$7,IF(ISNUMBER(AG58),COUNTIFS($AA$8:$AA$507,"&lt;"&amp;$AA58)+COUNTIFS($AA$8:$AA$507,$AA58,$AG$8:$AG$507,"&lt;"&amp;$AG58)+1,Constants!$B$14),$Z58))</f>
        <v/>
      </c>
      <c r="AI58" s="65" t="str">
        <f aca="false">IF(ISBLANK($C58),"",IF($Z58=Constants!$B$7,LARGE(AB58:AC58,2)*S58,""))</f>
        <v/>
      </c>
      <c r="AJ58" s="65" t="str">
        <f aca="false">IF(ISBLANK($C58),"",IF($Z58=Constants!$B$7,RANK(AI58,$AI$8:$AI$507),$Z58))</f>
        <v/>
      </c>
      <c r="AK58" s="65" t="str">
        <f aca="false">IF(ISBLANK($C58),"",IF($Z58=Constants!$B$7,IF(ISNUMBER(AG58),COUNTIFS($AA$8:$AA$507,"&lt;"&amp;$AA58)+COUNTIFS($AA$8:$AA$507,$AA58,$AG$8:$AG$507,"&lt;"&amp;$AG58)+COUNTIFS($AA$8:$AA$507,$AA58,$AG$8:$AG$507,$AG58,$AJ$8:$AJ$507,"&lt;"&amp;$AJ58)+1,Constants!$B$14),$Z58))</f>
        <v/>
      </c>
      <c r="AL58" s="65" t="str">
        <f aca="false">IF(ISBLANK($C58),"",IF($Z58=Constants!$B$7,IF(ISNUMBER(AH58),AH58-AK58,Constants!$B$14),$Z58))</f>
        <v/>
      </c>
      <c r="AM58" s="67"/>
      <c r="AN58" s="68" t="str">
        <f aca="false">IF(ISBLANK($C58),"",IF($Z58&lt;&gt;Constants!$B$7,$Z58,AD58))</f>
        <v/>
      </c>
      <c r="AO58" s="69" t="str">
        <f aca="false">IF(ISBLANK($C58),"",IF($Z58&lt;&gt;Constants!$B$7,$Z58,S58))</f>
        <v/>
      </c>
      <c r="AP58" s="70" t="str">
        <f aca="false">IF(ISBLANK($C58),"",IF($Z58&lt;&gt;Constants!$B$7,$Z58,AF58))</f>
        <v/>
      </c>
      <c r="AQ58" s="71" t="str">
        <f aca="false">IF(ISBLANK($C58),"",IF($Z58&lt;&gt;Constants!$B$7,$Z58,AA58))</f>
        <v/>
      </c>
      <c r="AR58" s="69" t="str">
        <f aca="false">IF(ISBLANK($C58),"",AL58)</f>
        <v/>
      </c>
      <c r="AS58" s="69" t="str">
        <f aca="false">IF(ISBLANK($C58),"",AK58)</f>
        <v/>
      </c>
      <c r="AT58" s="72" t="str">
        <f aca="false">IF(ISBLANK($C58),"",IF(AS58=Constants!$B$4,COUNTA($C$8:$C$507)+2,IF(AS58=Constants!$B$5,COUNTA($C$8:$C$507)+1,IF(AS58=Constants!$B$6,COUNTA($C$8:$C$507),AS58))))</f>
        <v/>
      </c>
      <c r="AU58" s="5"/>
      <c r="AV58" s="73" t="n">
        <f aca="false">IF(OR(ISNUMBER(AS58),AS58=Constants!$B$4,AS58=Constants!$B$6,AS58=Constants!$B$5),1,0)</f>
        <v>0</v>
      </c>
      <c r="AW58" s="73" t="n">
        <v>51</v>
      </c>
      <c r="AX58" s="73" t="str">
        <f aca="false">IF(ISBLANK($C58),"",IF(ISNUMBER(AT58),AT58+ROW($B58)/1000,""))</f>
        <v/>
      </c>
      <c r="AY58" s="73" t="str">
        <f aca="false">IF(ISNUMBER(AX58),RANK(AX58,$AX$8:$AX$507,1),"")</f>
        <v/>
      </c>
      <c r="AZ58" s="73" t="str">
        <f aca="false">IF(ISBLANK($C58),"",$B58)</f>
        <v/>
      </c>
      <c r="BA58" s="73" t="str">
        <f aca="false">IF(ISBLANK($C58),"",$C58)</f>
        <v/>
      </c>
      <c r="BB58" s="73" t="str">
        <f aca="false">IF(ISBLANK($C58),"",$D58)</f>
        <v/>
      </c>
      <c r="BC58" s="74" t="str">
        <f aca="false">AQ58</f>
        <v/>
      </c>
      <c r="BD58" s="75" t="str">
        <f aca="false">AP58</f>
        <v/>
      </c>
      <c r="BE58" s="73" t="str">
        <f aca="false">IF(ISBLANK($C58),"",AS58)</f>
        <v/>
      </c>
      <c r="BF58" s="76" t="str">
        <f aca="false">IF($AW58&gt;$AV$7,"",VLOOKUP($AW58,$AY$8:$BE$507,7,FALSE()))</f>
        <v/>
      </c>
      <c r="BG58" s="77" t="str">
        <f aca="false">IF($AW58&gt;$AV$7,"",VLOOKUP($AW58,$AY$8:$BE$507,2,FALSE()))</f>
        <v/>
      </c>
      <c r="BH58" s="77" t="str">
        <f aca="false">IF($AW58&gt;$AV$7,"",VLOOKUP($AW58,$AY$8:$BE$507,3,FALSE()))</f>
        <v/>
      </c>
      <c r="BI58" s="77" t="str">
        <f aca="false">IF($AW58&gt;$AV$7,"",VLOOKUP($AW58,$AY$8:$BE$507,4,FALSE()))</f>
        <v/>
      </c>
      <c r="BJ58" s="77" t="str">
        <f aca="false">IF($AW58&gt;$AV$7,"",VLOOKUP($AW58,$AY$8:$BE$507,5,FALSE()))</f>
        <v/>
      </c>
      <c r="BK58" s="78" t="str">
        <f aca="false">IF($AW58&gt;$AV$7,"",VLOOKUP($AW58,$AY$8:$BE$507,6,FALSE()))</f>
        <v/>
      </c>
      <c r="BL58" s="50"/>
    </row>
    <row r="59" customFormat="false" ht="15.75" hidden="false" customHeight="false" outlineLevel="0" collapsed="false">
      <c r="A59" s="5"/>
      <c r="B59" s="124"/>
      <c r="C59" s="125"/>
      <c r="D59" s="110"/>
      <c r="E59" s="130"/>
      <c r="F59" s="135"/>
      <c r="G59" s="88"/>
      <c r="H59" s="136"/>
      <c r="I59" s="137"/>
      <c r="J59" s="91"/>
      <c r="K59" s="92"/>
      <c r="L59" s="137"/>
      <c r="M59" s="93"/>
      <c r="N59" s="94"/>
      <c r="O59" s="130"/>
      <c r="P59" s="96"/>
      <c r="Q59" s="97" t="str">
        <f aca="false">IF(ISBLANK($C59),"",IF(E59=Constants!$B$2, TRUE(), IF(E59=Constants!$B$3, FALSE(), TRUE())))</f>
        <v/>
      </c>
      <c r="R59" s="97" t="str">
        <f aca="false">IF(ISBLANK($C59),"",IF(F59=Constants!$B$2, TRUE(), IF(F59=Constants!$B$3, FALSE(), TRUE())))</f>
        <v/>
      </c>
      <c r="S59" s="97" t="str">
        <f aca="false">IF(ISBLANK($C59),"",IF(G59=Constants!$B$15,Constants!$B$8,IF(G59=Constants!$B$16,Constants!$B$9,Constants!$B$10)))</f>
        <v/>
      </c>
      <c r="T59" s="97" t="str">
        <f aca="false">IF(ISBLANK($C59),"",IF(H59=Constants!$B$2, TRUE(), IF(H59=Constants!$B$3, FALSE(), TRUE())))</f>
        <v/>
      </c>
      <c r="U59" s="97" t="str">
        <f aca="false">IF(ISBLANK($C59),"",IF(I59=Constants!$B$19,Constants!$B$19,Constants!$B$18))</f>
        <v/>
      </c>
      <c r="V59" s="97" t="str">
        <f aca="false">IF(ISBLANK($C59),"",IF(COUNTA(J59:K59)=0,"",IF(AND(OR(ISBLANK(J59),AND(ISNUMBER(J59),J59&gt;=0)),OR(ISBLANK(K59),AND(ISNUMBER(K59),K59&gt;=0))),60*IF(ISBLANK(J59),0,J59)+IF(ISBLANK(K59),0,K59),"")))</f>
        <v/>
      </c>
      <c r="W59" s="97" t="str">
        <f aca="false">IF(ISBLANK($C59),"",IF(L59=Constants!$B$19,Constants!$B$19,Constants!$B$18))</f>
        <v/>
      </c>
      <c r="X59" s="97" t="str">
        <f aca="false">IF(ISBLANK($C59),"",IF(COUNTA(M59:N59)=0,"",IF(AND(OR(ISBLANK(M59),AND(ISNUMBER(M59),M59&gt;=0)),OR(ISBLANK(N59),AND(ISNUMBER(N59),N59&gt;=0))),60*IF(ISBLANK(M59),0,M59)+IF(ISBLANK(N59),0,N59),"")))</f>
        <v/>
      </c>
      <c r="Y59" s="97" t="str">
        <f aca="false">IF(ISBLANK($C59),"",IF(O59=Constants!$B$2, TRUE(), IF(O59=Constants!$B$3, FALSE(), FALSE())))</f>
        <v/>
      </c>
      <c r="Z59" s="97" t="str">
        <f aca="false">IF(ISBLANK($C59),"",IF(Y59,Constants!$B$4,IF(COUNTA(E59:N59)=0,Constants!$B$5,IF(COUNTA(J59:K59,M59:N59)=0,Constants!$B$6,Constants!$B$7))))</f>
        <v/>
      </c>
      <c r="AA59" s="97" t="str">
        <f aca="false">IF(ISBLANK($C59),"",IF($Z59&lt;&gt;Constants!$B$7,$Z59,IF(OR(NOT(T59),AND(NOT(Q59),COUNTIFS(U59:W59,Constants!$B$18,V59:X59,"&gt;=0")&gt;0),AND(NOT(R59),COUNTIFS(U59:W59,Constants!$B$19,V59:X59,"&gt;=0")&gt;0)),Constants!$B$12,Constants!$B$11)))</f>
        <v/>
      </c>
      <c r="AB59" s="97" t="str">
        <f aca="false">IF($Z59=Constants!$B$7,IF(V59="",Constants!$B$13,V59),"")</f>
        <v/>
      </c>
      <c r="AC59" s="97" t="str">
        <f aca="false">IF($Z59=Constants!$B$7,IF(X59="",Constants!$B$13,X59),"")</f>
        <v/>
      </c>
      <c r="AD59" s="97" t="str">
        <f aca="false">IF($Z59=Constants!$B$7,IF($AB59&gt;=$AC59,1,2),"")</f>
        <v/>
      </c>
      <c r="AE59" s="97" t="str">
        <f aca="false">IF($Z59=Constants!$B$7,LARGE(AB59:AC59,1),"")</f>
        <v/>
      </c>
      <c r="AF59" s="97" t="str">
        <f aca="false">IF(ISBLANK($C59),"",IF($Z59&lt;&gt;Constants!$B$7,$Z59,AE59*S59))</f>
        <v/>
      </c>
      <c r="AG59" s="97" t="str">
        <f aca="false">IF(ISBLANK($C59),"",IF($Z59=Constants!$B$7,IF(ISNUMBER(AF59),RANK(AF59,$AF$8:$AF$507),Constants!$B$14),$Z59))</f>
        <v/>
      </c>
      <c r="AH59" s="97" t="str">
        <f aca="false">IF(ISBLANK($C59),"",IF($Z59=Constants!$B$7,IF(ISNUMBER(AG59),COUNTIFS($AA$8:$AA$507,"&lt;"&amp;$AA59)+COUNTIFS($AA$8:$AA$507,$AA59,$AG$8:$AG$507,"&lt;"&amp;$AG59)+1,Constants!$B$14),$Z59))</f>
        <v/>
      </c>
      <c r="AI59" s="97" t="str">
        <f aca="false">IF(ISBLANK($C59),"",IF($Z59=Constants!$B$7,LARGE(AB59:AC59,2)*S59,""))</f>
        <v/>
      </c>
      <c r="AJ59" s="97" t="str">
        <f aca="false">IF(ISBLANK($C59),"",IF($Z59=Constants!$B$7,RANK(AI59,$AI$8:$AI$507),$Z59))</f>
        <v/>
      </c>
      <c r="AK59" s="97" t="str">
        <f aca="false">IF(ISBLANK($C59),"",IF($Z59=Constants!$B$7,IF(ISNUMBER(AG59),COUNTIFS($AA$8:$AA$507,"&lt;"&amp;$AA59)+COUNTIFS($AA$8:$AA$507,$AA59,$AG$8:$AG$507,"&lt;"&amp;$AG59)+COUNTIFS($AA$8:$AA$507,$AA59,$AG$8:$AG$507,$AG59,$AJ$8:$AJ$507,"&lt;"&amp;$AJ59)+1,Constants!$B$14),$Z59))</f>
        <v/>
      </c>
      <c r="AL59" s="97" t="str">
        <f aca="false">IF(ISBLANK($C59),"",IF($Z59=Constants!$B$7,IF(ISNUMBER(AH59),AH59-AK59,Constants!$B$14),$Z59))</f>
        <v/>
      </c>
      <c r="AM59" s="98"/>
      <c r="AN59" s="99" t="str">
        <f aca="false">IF(ISBLANK($C59),"",IF($Z59&lt;&gt;Constants!$B$7,$Z59,AD59))</f>
        <v/>
      </c>
      <c r="AO59" s="100" t="str">
        <f aca="false">IF(ISBLANK($C59),"",IF($Z59&lt;&gt;Constants!$B$7,$Z59,S59))</f>
        <v/>
      </c>
      <c r="AP59" s="101" t="str">
        <f aca="false">IF(ISBLANK($C59),"",IF($Z59&lt;&gt;Constants!$B$7,$Z59,AF59))</f>
        <v/>
      </c>
      <c r="AQ59" s="102" t="str">
        <f aca="false">IF(ISBLANK($C59),"",IF($Z59&lt;&gt;Constants!$B$7,$Z59,AA59))</f>
        <v/>
      </c>
      <c r="AR59" s="100" t="str">
        <f aca="false">IF(ISBLANK($C59),"",AL59)</f>
        <v/>
      </c>
      <c r="AS59" s="100" t="str">
        <f aca="false">IF(ISBLANK($C59),"",AK59)</f>
        <v/>
      </c>
      <c r="AT59" s="103" t="str">
        <f aca="false">IF(ISBLANK($C59),"",IF(AS59=Constants!$B$4,COUNTA($C$8:$C$507)+2,IF(AS59=Constants!$B$5,COUNTA($C$8:$C$507)+1,IF(AS59=Constants!$B$6,COUNTA($C$8:$C$507),AS59))))</f>
        <v/>
      </c>
      <c r="AU59" s="5"/>
      <c r="AV59" s="104" t="n">
        <f aca="false">IF(OR(ISNUMBER(AS59),AS59=Constants!$B$4,AS59=Constants!$B$6,AS59=Constants!$B$5),1,0)</f>
        <v>0</v>
      </c>
      <c r="AW59" s="104" t="n">
        <v>52</v>
      </c>
      <c r="AX59" s="104" t="str">
        <f aca="false">IF(ISBLANK($C59),"",IF(ISNUMBER(AT59),AT59+ROW($B59)/1000,""))</f>
        <v/>
      </c>
      <c r="AY59" s="104" t="str">
        <f aca="false">IF(ISNUMBER(AX59),RANK(AX59,$AX$8:$AX$507,1),"")</f>
        <v/>
      </c>
      <c r="AZ59" s="104" t="str">
        <f aca="false">IF(ISBLANK($C59),"",$B59)</f>
        <v/>
      </c>
      <c r="BA59" s="104" t="str">
        <f aca="false">IF(ISBLANK($C59),"",$C59)</f>
        <v/>
      </c>
      <c r="BB59" s="104" t="str">
        <f aca="false">IF(ISBLANK($C59),"",$D59)</f>
        <v/>
      </c>
      <c r="BC59" s="105" t="str">
        <f aca="false">AQ59</f>
        <v/>
      </c>
      <c r="BD59" s="106" t="str">
        <f aca="false">AP59</f>
        <v/>
      </c>
      <c r="BE59" s="104" t="str">
        <f aca="false">IF(ISBLANK($C59),"",AS59)</f>
        <v/>
      </c>
      <c r="BF59" s="107" t="str">
        <f aca="false">IF($AW59&gt;$AV$7,"",VLOOKUP($AW59,$AY$8:$BE$507,7,FALSE()))</f>
        <v/>
      </c>
      <c r="BG59" s="108" t="str">
        <f aca="false">IF($AW59&gt;$AV$7,"",VLOOKUP($AW59,$AY$8:$BE$507,2,FALSE()))</f>
        <v/>
      </c>
      <c r="BH59" s="108" t="str">
        <f aca="false">IF($AW59&gt;$AV$7,"",VLOOKUP($AW59,$AY$8:$BE$507,3,FALSE()))</f>
        <v/>
      </c>
      <c r="BI59" s="108" t="str">
        <f aca="false">IF($AW59&gt;$AV$7,"",VLOOKUP($AW59,$AY$8:$BE$507,4,FALSE()))</f>
        <v/>
      </c>
      <c r="BJ59" s="108" t="str">
        <f aca="false">IF($AW59&gt;$AV$7,"",VLOOKUP($AW59,$AY$8:$BE$507,5,FALSE()))</f>
        <v/>
      </c>
      <c r="BK59" s="109" t="str">
        <f aca="false">IF($AW59&gt;$AV$7,"",VLOOKUP($AW59,$AY$8:$BE$507,6,FALSE()))</f>
        <v/>
      </c>
      <c r="BL59" s="50"/>
    </row>
    <row r="60" customFormat="false" ht="15.75" hidden="false" customHeight="false" outlineLevel="0" collapsed="false">
      <c r="A60" s="5"/>
      <c r="B60" s="124"/>
      <c r="C60" s="125"/>
      <c r="D60" s="110"/>
      <c r="E60" s="130"/>
      <c r="F60" s="135"/>
      <c r="G60" s="88"/>
      <c r="H60" s="136"/>
      <c r="I60" s="137"/>
      <c r="J60" s="91"/>
      <c r="K60" s="92"/>
      <c r="L60" s="137"/>
      <c r="M60" s="93"/>
      <c r="N60" s="94"/>
      <c r="O60" s="130"/>
      <c r="P60" s="96"/>
      <c r="Q60" s="97" t="str">
        <f aca="false">IF(ISBLANK($C60),"",IF(E60=Constants!$B$2, TRUE(), IF(E60=Constants!$B$3, FALSE(), TRUE())))</f>
        <v/>
      </c>
      <c r="R60" s="97" t="str">
        <f aca="false">IF(ISBLANK($C60),"",IF(F60=Constants!$B$2, TRUE(), IF(F60=Constants!$B$3, FALSE(), TRUE())))</f>
        <v/>
      </c>
      <c r="S60" s="97" t="str">
        <f aca="false">IF(ISBLANK($C60),"",IF(G60=Constants!$B$15,Constants!$B$8,IF(G60=Constants!$B$16,Constants!$B$9,Constants!$B$10)))</f>
        <v/>
      </c>
      <c r="T60" s="97" t="str">
        <f aca="false">IF(ISBLANK($C60),"",IF(H60=Constants!$B$2, TRUE(), IF(H60=Constants!$B$3, FALSE(), TRUE())))</f>
        <v/>
      </c>
      <c r="U60" s="97" t="str">
        <f aca="false">IF(ISBLANK($C60),"",IF(I60=Constants!$B$19,Constants!$B$19,Constants!$B$18))</f>
        <v/>
      </c>
      <c r="V60" s="97" t="str">
        <f aca="false">IF(ISBLANK($C60),"",IF(COUNTA(J60:K60)=0,"",IF(AND(OR(ISBLANK(J60),AND(ISNUMBER(J60),J60&gt;=0)),OR(ISBLANK(K60),AND(ISNUMBER(K60),K60&gt;=0))),60*IF(ISBLANK(J60),0,J60)+IF(ISBLANK(K60),0,K60),"")))</f>
        <v/>
      </c>
      <c r="W60" s="97" t="str">
        <f aca="false">IF(ISBLANK($C60),"",IF(L60=Constants!$B$19,Constants!$B$19,Constants!$B$18))</f>
        <v/>
      </c>
      <c r="X60" s="97" t="str">
        <f aca="false">IF(ISBLANK($C60),"",IF(COUNTA(M60:N60)=0,"",IF(AND(OR(ISBLANK(M60),AND(ISNUMBER(M60),M60&gt;=0)),OR(ISBLANK(N60),AND(ISNUMBER(N60),N60&gt;=0))),60*IF(ISBLANK(M60),0,M60)+IF(ISBLANK(N60),0,N60),"")))</f>
        <v/>
      </c>
      <c r="Y60" s="97" t="str">
        <f aca="false">IF(ISBLANK($C60),"",IF(O60=Constants!$B$2, TRUE(), IF(O60=Constants!$B$3, FALSE(), FALSE())))</f>
        <v/>
      </c>
      <c r="Z60" s="97" t="str">
        <f aca="false">IF(ISBLANK($C60),"",IF(Y60,Constants!$B$4,IF(COUNTA(E60:N60)=0,Constants!$B$5,IF(COUNTA(J60:K60,M60:N60)=0,Constants!$B$6,Constants!$B$7))))</f>
        <v/>
      </c>
      <c r="AA60" s="97" t="str">
        <f aca="false">IF(ISBLANK($C60),"",IF($Z60&lt;&gt;Constants!$B$7,$Z60,IF(OR(NOT(T60),AND(NOT(Q60),COUNTIFS(U60:W60,Constants!$B$18,V60:X60,"&gt;=0")&gt;0),AND(NOT(R60),COUNTIFS(U60:W60,Constants!$B$19,V60:X60,"&gt;=0")&gt;0)),Constants!$B$12,Constants!$B$11)))</f>
        <v/>
      </c>
      <c r="AB60" s="97" t="str">
        <f aca="false">IF($Z60=Constants!$B$7,IF(V60="",Constants!$B$13,V60),"")</f>
        <v/>
      </c>
      <c r="AC60" s="97" t="str">
        <f aca="false">IF($Z60=Constants!$B$7,IF(X60="",Constants!$B$13,X60),"")</f>
        <v/>
      </c>
      <c r="AD60" s="97" t="str">
        <f aca="false">IF($Z60=Constants!$B$7,IF($AB60&gt;=$AC60,1,2),"")</f>
        <v/>
      </c>
      <c r="AE60" s="97" t="str">
        <f aca="false">IF($Z60=Constants!$B$7,LARGE(AB60:AC60,1),"")</f>
        <v/>
      </c>
      <c r="AF60" s="97" t="str">
        <f aca="false">IF(ISBLANK($C60),"",IF($Z60&lt;&gt;Constants!$B$7,$Z60,AE60*S60))</f>
        <v/>
      </c>
      <c r="AG60" s="97" t="str">
        <f aca="false">IF(ISBLANK($C60),"",IF($Z60=Constants!$B$7,IF(ISNUMBER(AF60),RANK(AF60,$AF$8:$AF$507),Constants!$B$14),$Z60))</f>
        <v/>
      </c>
      <c r="AH60" s="97" t="str">
        <f aca="false">IF(ISBLANK($C60),"",IF($Z60=Constants!$B$7,IF(ISNUMBER(AG60),COUNTIFS($AA$8:$AA$507,"&lt;"&amp;$AA60)+COUNTIFS($AA$8:$AA$507,$AA60,$AG$8:$AG$507,"&lt;"&amp;$AG60)+1,Constants!$B$14),$Z60))</f>
        <v/>
      </c>
      <c r="AI60" s="97" t="str">
        <f aca="false">IF(ISBLANK($C60),"",IF($Z60=Constants!$B$7,LARGE(AB60:AC60,2)*S60,""))</f>
        <v/>
      </c>
      <c r="AJ60" s="97" t="str">
        <f aca="false">IF(ISBLANK($C60),"",IF($Z60=Constants!$B$7,RANK(AI60,$AI$8:$AI$507),$Z60))</f>
        <v/>
      </c>
      <c r="AK60" s="97" t="str">
        <f aca="false">IF(ISBLANK($C60),"",IF($Z60=Constants!$B$7,IF(ISNUMBER(AG60),COUNTIFS($AA$8:$AA$507,"&lt;"&amp;$AA60)+COUNTIFS($AA$8:$AA$507,$AA60,$AG$8:$AG$507,"&lt;"&amp;$AG60)+COUNTIFS($AA$8:$AA$507,$AA60,$AG$8:$AG$507,$AG60,$AJ$8:$AJ$507,"&lt;"&amp;$AJ60)+1,Constants!$B$14),$Z60))</f>
        <v/>
      </c>
      <c r="AL60" s="97" t="str">
        <f aca="false">IF(ISBLANK($C60),"",IF($Z60=Constants!$B$7,IF(ISNUMBER(AH60),AH60-AK60,Constants!$B$14),$Z60))</f>
        <v/>
      </c>
      <c r="AM60" s="98"/>
      <c r="AN60" s="99" t="str">
        <f aca="false">IF(ISBLANK($C60),"",IF($Z60&lt;&gt;Constants!$B$7,$Z60,AD60))</f>
        <v/>
      </c>
      <c r="AO60" s="100" t="str">
        <f aca="false">IF(ISBLANK($C60),"",IF($Z60&lt;&gt;Constants!$B$7,$Z60,S60))</f>
        <v/>
      </c>
      <c r="AP60" s="101" t="str">
        <f aca="false">IF(ISBLANK($C60),"",IF($Z60&lt;&gt;Constants!$B$7,$Z60,AF60))</f>
        <v/>
      </c>
      <c r="AQ60" s="102" t="str">
        <f aca="false">IF(ISBLANK($C60),"",IF($Z60&lt;&gt;Constants!$B$7,$Z60,AA60))</f>
        <v/>
      </c>
      <c r="AR60" s="100" t="str">
        <f aca="false">IF(ISBLANK($C60),"",AL60)</f>
        <v/>
      </c>
      <c r="AS60" s="100" t="str">
        <f aca="false">IF(ISBLANK($C60),"",AK60)</f>
        <v/>
      </c>
      <c r="AT60" s="103" t="str">
        <f aca="false">IF(ISBLANK($C60),"",IF(AS60=Constants!$B$4,COUNTA($C$8:$C$507)+2,IF(AS60=Constants!$B$5,COUNTA($C$8:$C$507)+1,IF(AS60=Constants!$B$6,COUNTA($C$8:$C$507),AS60))))</f>
        <v/>
      </c>
      <c r="AU60" s="5"/>
      <c r="AV60" s="104" t="n">
        <f aca="false">IF(OR(ISNUMBER(AS60),AS60=Constants!$B$4,AS60=Constants!$B$6,AS60=Constants!$B$5),1,0)</f>
        <v>0</v>
      </c>
      <c r="AW60" s="104" t="n">
        <v>53</v>
      </c>
      <c r="AX60" s="104" t="str">
        <f aca="false">IF(ISBLANK($C60),"",IF(ISNUMBER(AT60),AT60+ROW($B60)/1000,""))</f>
        <v/>
      </c>
      <c r="AY60" s="104" t="str">
        <f aca="false">IF(ISNUMBER(AX60),RANK(AX60,$AX$8:$AX$507,1),"")</f>
        <v/>
      </c>
      <c r="AZ60" s="104" t="str">
        <f aca="false">IF(ISBLANK($C60),"",$B60)</f>
        <v/>
      </c>
      <c r="BA60" s="104" t="str">
        <f aca="false">IF(ISBLANK($C60),"",$C60)</f>
        <v/>
      </c>
      <c r="BB60" s="104" t="str">
        <f aca="false">IF(ISBLANK($C60),"",$D60)</f>
        <v/>
      </c>
      <c r="BC60" s="105" t="str">
        <f aca="false">AQ60</f>
        <v/>
      </c>
      <c r="BD60" s="106" t="str">
        <f aca="false">AP60</f>
        <v/>
      </c>
      <c r="BE60" s="104" t="str">
        <f aca="false">IF(ISBLANK($C60),"",AS60)</f>
        <v/>
      </c>
      <c r="BF60" s="107" t="str">
        <f aca="false">IF($AW60&gt;$AV$7,"",VLOOKUP($AW60,$AY$8:$BE$507,7,FALSE()))</f>
        <v/>
      </c>
      <c r="BG60" s="108" t="str">
        <f aca="false">IF($AW60&gt;$AV$7,"",VLOOKUP($AW60,$AY$8:$BE$507,2,FALSE()))</f>
        <v/>
      </c>
      <c r="BH60" s="108" t="str">
        <f aca="false">IF($AW60&gt;$AV$7,"",VLOOKUP($AW60,$AY$8:$BE$507,3,FALSE()))</f>
        <v/>
      </c>
      <c r="BI60" s="108" t="str">
        <f aca="false">IF($AW60&gt;$AV$7,"",VLOOKUP($AW60,$AY$8:$BE$507,4,FALSE()))</f>
        <v/>
      </c>
      <c r="BJ60" s="108" t="str">
        <f aca="false">IF($AW60&gt;$AV$7,"",VLOOKUP($AW60,$AY$8:$BE$507,5,FALSE()))</f>
        <v/>
      </c>
      <c r="BK60" s="109" t="str">
        <f aca="false">IF($AW60&gt;$AV$7,"",VLOOKUP($AW60,$AY$8:$BE$507,6,FALSE()))</f>
        <v/>
      </c>
      <c r="BL60" s="50"/>
    </row>
    <row r="61" customFormat="false" ht="15.75" hidden="false" customHeight="false" outlineLevel="0" collapsed="false">
      <c r="A61" s="5"/>
      <c r="B61" s="124"/>
      <c r="C61" s="125"/>
      <c r="D61" s="110"/>
      <c r="E61" s="130"/>
      <c r="F61" s="135"/>
      <c r="G61" s="88"/>
      <c r="H61" s="136"/>
      <c r="I61" s="137"/>
      <c r="J61" s="91"/>
      <c r="K61" s="92"/>
      <c r="L61" s="137"/>
      <c r="M61" s="93"/>
      <c r="N61" s="94"/>
      <c r="O61" s="130"/>
      <c r="P61" s="96"/>
      <c r="Q61" s="97" t="str">
        <f aca="false">IF(ISBLANK($C61),"",IF(E61=Constants!$B$2, TRUE(), IF(E61=Constants!$B$3, FALSE(), TRUE())))</f>
        <v/>
      </c>
      <c r="R61" s="97" t="str">
        <f aca="false">IF(ISBLANK($C61),"",IF(F61=Constants!$B$2, TRUE(), IF(F61=Constants!$B$3, FALSE(), TRUE())))</f>
        <v/>
      </c>
      <c r="S61" s="97" t="str">
        <f aca="false">IF(ISBLANK($C61),"",IF(G61=Constants!$B$15,Constants!$B$8,IF(G61=Constants!$B$16,Constants!$B$9,Constants!$B$10)))</f>
        <v/>
      </c>
      <c r="T61" s="97" t="str">
        <f aca="false">IF(ISBLANK($C61),"",IF(H61=Constants!$B$2, TRUE(), IF(H61=Constants!$B$3, FALSE(), TRUE())))</f>
        <v/>
      </c>
      <c r="U61" s="97" t="str">
        <f aca="false">IF(ISBLANK($C61),"",IF(I61=Constants!$B$19,Constants!$B$19,Constants!$B$18))</f>
        <v/>
      </c>
      <c r="V61" s="97" t="str">
        <f aca="false">IF(ISBLANK($C61),"",IF(COUNTA(J61:K61)=0,"",IF(AND(OR(ISBLANK(J61),AND(ISNUMBER(J61),J61&gt;=0)),OR(ISBLANK(K61),AND(ISNUMBER(K61),K61&gt;=0))),60*IF(ISBLANK(J61),0,J61)+IF(ISBLANK(K61),0,K61),"")))</f>
        <v/>
      </c>
      <c r="W61" s="97" t="str">
        <f aca="false">IF(ISBLANK($C61),"",IF(L61=Constants!$B$19,Constants!$B$19,Constants!$B$18))</f>
        <v/>
      </c>
      <c r="X61" s="97" t="str">
        <f aca="false">IF(ISBLANK($C61),"",IF(COUNTA(M61:N61)=0,"",IF(AND(OR(ISBLANK(M61),AND(ISNUMBER(M61),M61&gt;=0)),OR(ISBLANK(N61),AND(ISNUMBER(N61),N61&gt;=0))),60*IF(ISBLANK(M61),0,M61)+IF(ISBLANK(N61),0,N61),"")))</f>
        <v/>
      </c>
      <c r="Y61" s="97" t="str">
        <f aca="false">IF(ISBLANK($C61),"",IF(O61=Constants!$B$2, TRUE(), IF(O61=Constants!$B$3, FALSE(), FALSE())))</f>
        <v/>
      </c>
      <c r="Z61" s="97" t="str">
        <f aca="false">IF(ISBLANK($C61),"",IF(Y61,Constants!$B$4,IF(COUNTA(E61:N61)=0,Constants!$B$5,IF(COUNTA(J61:K61,M61:N61)=0,Constants!$B$6,Constants!$B$7))))</f>
        <v/>
      </c>
      <c r="AA61" s="97" t="str">
        <f aca="false">IF(ISBLANK($C61),"",IF($Z61&lt;&gt;Constants!$B$7,$Z61,IF(OR(NOT(T61),AND(NOT(Q61),COUNTIFS(U61:W61,Constants!$B$18,V61:X61,"&gt;=0")&gt;0),AND(NOT(R61),COUNTIFS(U61:W61,Constants!$B$19,V61:X61,"&gt;=0")&gt;0)),Constants!$B$12,Constants!$B$11)))</f>
        <v/>
      </c>
      <c r="AB61" s="97" t="str">
        <f aca="false">IF($Z61=Constants!$B$7,IF(V61="",Constants!$B$13,V61),"")</f>
        <v/>
      </c>
      <c r="AC61" s="97" t="str">
        <f aca="false">IF($Z61=Constants!$B$7,IF(X61="",Constants!$B$13,X61),"")</f>
        <v/>
      </c>
      <c r="AD61" s="97" t="str">
        <f aca="false">IF($Z61=Constants!$B$7,IF($AB61&gt;=$AC61,1,2),"")</f>
        <v/>
      </c>
      <c r="AE61" s="97" t="str">
        <f aca="false">IF($Z61=Constants!$B$7,LARGE(AB61:AC61,1),"")</f>
        <v/>
      </c>
      <c r="AF61" s="97" t="str">
        <f aca="false">IF(ISBLANK($C61),"",IF($Z61&lt;&gt;Constants!$B$7,$Z61,AE61*S61))</f>
        <v/>
      </c>
      <c r="AG61" s="97" t="str">
        <f aca="false">IF(ISBLANK($C61),"",IF($Z61=Constants!$B$7,IF(ISNUMBER(AF61),RANK(AF61,$AF$8:$AF$507),Constants!$B$14),$Z61))</f>
        <v/>
      </c>
      <c r="AH61" s="97" t="str">
        <f aca="false">IF(ISBLANK($C61),"",IF($Z61=Constants!$B$7,IF(ISNUMBER(AG61),COUNTIFS($AA$8:$AA$507,"&lt;"&amp;$AA61)+COUNTIFS($AA$8:$AA$507,$AA61,$AG$8:$AG$507,"&lt;"&amp;$AG61)+1,Constants!$B$14),$Z61))</f>
        <v/>
      </c>
      <c r="AI61" s="97" t="str">
        <f aca="false">IF(ISBLANK($C61),"",IF($Z61=Constants!$B$7,LARGE(AB61:AC61,2)*S61,""))</f>
        <v/>
      </c>
      <c r="AJ61" s="97" t="str">
        <f aca="false">IF(ISBLANK($C61),"",IF($Z61=Constants!$B$7,RANK(AI61,$AI$8:$AI$507),$Z61))</f>
        <v/>
      </c>
      <c r="AK61" s="97" t="str">
        <f aca="false">IF(ISBLANK($C61),"",IF($Z61=Constants!$B$7,IF(ISNUMBER(AG61),COUNTIFS($AA$8:$AA$507,"&lt;"&amp;$AA61)+COUNTIFS($AA$8:$AA$507,$AA61,$AG$8:$AG$507,"&lt;"&amp;$AG61)+COUNTIFS($AA$8:$AA$507,$AA61,$AG$8:$AG$507,$AG61,$AJ$8:$AJ$507,"&lt;"&amp;$AJ61)+1,Constants!$B$14),$Z61))</f>
        <v/>
      </c>
      <c r="AL61" s="97" t="str">
        <f aca="false">IF(ISBLANK($C61),"",IF($Z61=Constants!$B$7,IF(ISNUMBER(AH61),AH61-AK61,Constants!$B$14),$Z61))</f>
        <v/>
      </c>
      <c r="AM61" s="98"/>
      <c r="AN61" s="99" t="str">
        <f aca="false">IF(ISBLANK($C61),"",IF($Z61&lt;&gt;Constants!$B$7,$Z61,AD61))</f>
        <v/>
      </c>
      <c r="AO61" s="100" t="str">
        <f aca="false">IF(ISBLANK($C61),"",IF($Z61&lt;&gt;Constants!$B$7,$Z61,S61))</f>
        <v/>
      </c>
      <c r="AP61" s="101" t="str">
        <f aca="false">IF(ISBLANK($C61),"",IF($Z61&lt;&gt;Constants!$B$7,$Z61,AF61))</f>
        <v/>
      </c>
      <c r="AQ61" s="102" t="str">
        <f aca="false">IF(ISBLANK($C61),"",IF($Z61&lt;&gt;Constants!$B$7,$Z61,AA61))</f>
        <v/>
      </c>
      <c r="AR61" s="100" t="str">
        <f aca="false">IF(ISBLANK($C61),"",AL61)</f>
        <v/>
      </c>
      <c r="AS61" s="100" t="str">
        <f aca="false">IF(ISBLANK($C61),"",AK61)</f>
        <v/>
      </c>
      <c r="AT61" s="103" t="str">
        <f aca="false">IF(ISBLANK($C61),"",IF(AS61=Constants!$B$4,COUNTA($C$8:$C$507)+2,IF(AS61=Constants!$B$5,COUNTA($C$8:$C$507)+1,IF(AS61=Constants!$B$6,COUNTA($C$8:$C$507),AS61))))</f>
        <v/>
      </c>
      <c r="AU61" s="5"/>
      <c r="AV61" s="104" t="n">
        <f aca="false">IF(OR(ISNUMBER(AS61),AS61=Constants!$B$4,AS61=Constants!$B$6,AS61=Constants!$B$5),1,0)</f>
        <v>0</v>
      </c>
      <c r="AW61" s="104" t="n">
        <v>54</v>
      </c>
      <c r="AX61" s="104" t="str">
        <f aca="false">IF(ISBLANK($C61),"",IF(ISNUMBER(AT61),AT61+ROW($B61)/1000,""))</f>
        <v/>
      </c>
      <c r="AY61" s="104" t="str">
        <f aca="false">IF(ISNUMBER(AX61),RANK(AX61,$AX$8:$AX$507,1),"")</f>
        <v/>
      </c>
      <c r="AZ61" s="104" t="str">
        <f aca="false">IF(ISBLANK($C61),"",$B61)</f>
        <v/>
      </c>
      <c r="BA61" s="104" t="str">
        <f aca="false">IF(ISBLANK($C61),"",$C61)</f>
        <v/>
      </c>
      <c r="BB61" s="104" t="str">
        <f aca="false">IF(ISBLANK($C61),"",$D61)</f>
        <v/>
      </c>
      <c r="BC61" s="105" t="str">
        <f aca="false">AQ61</f>
        <v/>
      </c>
      <c r="BD61" s="106" t="str">
        <f aca="false">AP61</f>
        <v/>
      </c>
      <c r="BE61" s="104" t="str">
        <f aca="false">IF(ISBLANK($C61),"",AS61)</f>
        <v/>
      </c>
      <c r="BF61" s="107" t="str">
        <f aca="false">IF($AW61&gt;$AV$7,"",VLOOKUP($AW61,$AY$8:$BE$507,7,FALSE()))</f>
        <v/>
      </c>
      <c r="BG61" s="108" t="str">
        <f aca="false">IF($AW61&gt;$AV$7,"",VLOOKUP($AW61,$AY$8:$BE$507,2,FALSE()))</f>
        <v/>
      </c>
      <c r="BH61" s="108" t="str">
        <f aca="false">IF($AW61&gt;$AV$7,"",VLOOKUP($AW61,$AY$8:$BE$507,3,FALSE()))</f>
        <v/>
      </c>
      <c r="BI61" s="108" t="str">
        <f aca="false">IF($AW61&gt;$AV$7,"",VLOOKUP($AW61,$AY$8:$BE$507,4,FALSE()))</f>
        <v/>
      </c>
      <c r="BJ61" s="108" t="str">
        <f aca="false">IF($AW61&gt;$AV$7,"",VLOOKUP($AW61,$AY$8:$BE$507,5,FALSE()))</f>
        <v/>
      </c>
      <c r="BK61" s="109" t="str">
        <f aca="false">IF($AW61&gt;$AV$7,"",VLOOKUP($AW61,$AY$8:$BE$507,6,FALSE()))</f>
        <v/>
      </c>
      <c r="BL61" s="50"/>
    </row>
    <row r="62" customFormat="false" ht="15.75" hidden="false" customHeight="false" outlineLevel="0" collapsed="false">
      <c r="A62" s="5"/>
      <c r="B62" s="131"/>
      <c r="C62" s="52"/>
      <c r="D62" s="53"/>
      <c r="E62" s="80"/>
      <c r="F62" s="132"/>
      <c r="G62" s="56"/>
      <c r="H62" s="133"/>
      <c r="I62" s="134"/>
      <c r="J62" s="59"/>
      <c r="K62" s="60"/>
      <c r="L62" s="134"/>
      <c r="M62" s="61"/>
      <c r="N62" s="62"/>
      <c r="O62" s="80"/>
      <c r="P62" s="64"/>
      <c r="Q62" s="65" t="str">
        <f aca="false">IF(ISBLANK($C62),"",IF(E62=Constants!$B$2, TRUE(), IF(E62=Constants!$B$3, FALSE(), TRUE())))</f>
        <v/>
      </c>
      <c r="R62" s="65" t="str">
        <f aca="false">IF(ISBLANK($C62),"",IF(F62=Constants!$B$2, TRUE(), IF(F62=Constants!$B$3, FALSE(), TRUE())))</f>
        <v/>
      </c>
      <c r="S62" s="65" t="str">
        <f aca="false">IF(ISBLANK($C62),"",IF(G62=Constants!$B$15,Constants!$B$8,IF(G62=Constants!$B$16,Constants!$B$9,Constants!$B$10)))</f>
        <v/>
      </c>
      <c r="T62" s="65" t="str">
        <f aca="false">IF(ISBLANK($C62),"",IF(H62=Constants!$B$2, TRUE(), IF(H62=Constants!$B$3, FALSE(), TRUE())))</f>
        <v/>
      </c>
      <c r="U62" s="65" t="str">
        <f aca="false">IF(ISBLANK($C62),"",IF(I62=Constants!$B$19,Constants!$B$19,Constants!$B$18))</f>
        <v/>
      </c>
      <c r="V62" s="65" t="str">
        <f aca="false">IF(ISBLANK($C62),"",IF(COUNTA(J62:K62)=0,"",IF(AND(OR(ISBLANK(J62),AND(ISNUMBER(J62),J62&gt;=0)),OR(ISBLANK(K62),AND(ISNUMBER(K62),K62&gt;=0))),60*IF(ISBLANK(J62),0,J62)+IF(ISBLANK(K62),0,K62),"")))</f>
        <v/>
      </c>
      <c r="W62" s="65" t="str">
        <f aca="false">IF(ISBLANK($C62),"",IF(L62=Constants!$B$19,Constants!$B$19,Constants!$B$18))</f>
        <v/>
      </c>
      <c r="X62" s="65" t="str">
        <f aca="false">IF(ISBLANK($C62),"",IF(COUNTA(M62:N62)=0,"",IF(AND(OR(ISBLANK(M62),AND(ISNUMBER(M62),M62&gt;=0)),OR(ISBLANK(N62),AND(ISNUMBER(N62),N62&gt;=0))),60*IF(ISBLANK(M62),0,M62)+IF(ISBLANK(N62),0,N62),"")))</f>
        <v/>
      </c>
      <c r="Y62" s="65" t="str">
        <f aca="false">IF(ISBLANK($C62),"",IF(O62=Constants!$B$2, TRUE(), IF(O62=Constants!$B$3, FALSE(), FALSE())))</f>
        <v/>
      </c>
      <c r="Z62" s="65" t="str">
        <f aca="false">IF(ISBLANK($C62),"",IF(Y62,Constants!$B$4,IF(COUNTA(E62:N62)=0,Constants!$B$5,IF(COUNTA(J62:K62,M62:N62)=0,Constants!$B$6,Constants!$B$7))))</f>
        <v/>
      </c>
      <c r="AA62" s="65" t="str">
        <f aca="false">IF(ISBLANK($C62),"",IF($Z62&lt;&gt;Constants!$B$7,$Z62,IF(OR(NOT(T62),AND(NOT(Q62),COUNTIFS(U62:W62,Constants!$B$18,V62:X62,"&gt;=0")&gt;0),AND(NOT(R62),COUNTIFS(U62:W62,Constants!$B$19,V62:X62,"&gt;=0")&gt;0)),Constants!$B$12,Constants!$B$11)))</f>
        <v/>
      </c>
      <c r="AB62" s="65" t="str">
        <f aca="false">IF($Z62=Constants!$B$7,IF(V62="",Constants!$B$13,V62),"")</f>
        <v/>
      </c>
      <c r="AC62" s="65" t="str">
        <f aca="false">IF($Z62=Constants!$B$7,IF(X62="",Constants!$B$13,X62),"")</f>
        <v/>
      </c>
      <c r="AD62" s="65" t="str">
        <f aca="false">IF($Z62=Constants!$B$7,IF($AB62&gt;=$AC62,1,2),"")</f>
        <v/>
      </c>
      <c r="AE62" s="65" t="str">
        <f aca="false">IF($Z62=Constants!$B$7,LARGE(AB62:AC62,1),"")</f>
        <v/>
      </c>
      <c r="AF62" s="65" t="str">
        <f aca="false">IF(ISBLANK($C62),"",IF($Z62&lt;&gt;Constants!$B$7,$Z62,AE62*S62))</f>
        <v/>
      </c>
      <c r="AG62" s="65" t="str">
        <f aca="false">IF(ISBLANK($C62),"",IF($Z62=Constants!$B$7,IF(ISNUMBER(AF62),RANK(AF62,$AF$8:$AF$507),Constants!$B$14),$Z62))</f>
        <v/>
      </c>
      <c r="AH62" s="65" t="str">
        <f aca="false">IF(ISBLANK($C62),"",IF($Z62=Constants!$B$7,IF(ISNUMBER(AG62),COUNTIFS($AA$8:$AA$507,"&lt;"&amp;$AA62)+COUNTIFS($AA$8:$AA$507,$AA62,$AG$8:$AG$507,"&lt;"&amp;$AG62)+1,Constants!$B$14),$Z62))</f>
        <v/>
      </c>
      <c r="AI62" s="65" t="str">
        <f aca="false">IF(ISBLANK($C62),"",IF($Z62=Constants!$B$7,LARGE(AB62:AC62,2)*S62,""))</f>
        <v/>
      </c>
      <c r="AJ62" s="65" t="str">
        <f aca="false">IF(ISBLANK($C62),"",IF($Z62=Constants!$B$7,RANK(AI62,$AI$8:$AI$507),$Z62))</f>
        <v/>
      </c>
      <c r="AK62" s="65" t="str">
        <f aca="false">IF(ISBLANK($C62),"",IF($Z62=Constants!$B$7,IF(ISNUMBER(AG62),COUNTIFS($AA$8:$AA$507,"&lt;"&amp;$AA62)+COUNTIFS($AA$8:$AA$507,$AA62,$AG$8:$AG$507,"&lt;"&amp;$AG62)+COUNTIFS($AA$8:$AA$507,$AA62,$AG$8:$AG$507,$AG62,$AJ$8:$AJ$507,"&lt;"&amp;$AJ62)+1,Constants!$B$14),$Z62))</f>
        <v/>
      </c>
      <c r="AL62" s="65" t="str">
        <f aca="false">IF(ISBLANK($C62),"",IF($Z62=Constants!$B$7,IF(ISNUMBER(AH62),AH62-AK62,Constants!$B$14),$Z62))</f>
        <v/>
      </c>
      <c r="AM62" s="67"/>
      <c r="AN62" s="68" t="str">
        <f aca="false">IF(ISBLANK($C62),"",IF($Z62&lt;&gt;Constants!$B$7,$Z62,AD62))</f>
        <v/>
      </c>
      <c r="AO62" s="69" t="str">
        <f aca="false">IF(ISBLANK($C62),"",IF($Z62&lt;&gt;Constants!$B$7,$Z62,S62))</f>
        <v/>
      </c>
      <c r="AP62" s="70" t="str">
        <f aca="false">IF(ISBLANK($C62),"",IF($Z62&lt;&gt;Constants!$B$7,$Z62,AF62))</f>
        <v/>
      </c>
      <c r="AQ62" s="71" t="str">
        <f aca="false">IF(ISBLANK($C62),"",IF($Z62&lt;&gt;Constants!$B$7,$Z62,AA62))</f>
        <v/>
      </c>
      <c r="AR62" s="69" t="str">
        <f aca="false">IF(ISBLANK($C62),"",AL62)</f>
        <v/>
      </c>
      <c r="AS62" s="69" t="str">
        <f aca="false">IF(ISBLANK($C62),"",AK62)</f>
        <v/>
      </c>
      <c r="AT62" s="72" t="str">
        <f aca="false">IF(ISBLANK($C62),"",IF(AS62=Constants!$B$4,COUNTA($C$8:$C$507)+2,IF(AS62=Constants!$B$5,COUNTA($C$8:$C$507)+1,IF(AS62=Constants!$B$6,COUNTA($C$8:$C$507),AS62))))</f>
        <v/>
      </c>
      <c r="AU62" s="5"/>
      <c r="AV62" s="73" t="n">
        <f aca="false">IF(OR(ISNUMBER(AS62),AS62=Constants!$B$4,AS62=Constants!$B$6,AS62=Constants!$B$5),1,0)</f>
        <v>0</v>
      </c>
      <c r="AW62" s="73" t="n">
        <v>55</v>
      </c>
      <c r="AX62" s="73" t="str">
        <f aca="false">IF(ISBLANK($C62),"",IF(ISNUMBER(AT62),AT62+ROW($B62)/1000,""))</f>
        <v/>
      </c>
      <c r="AY62" s="73" t="str">
        <f aca="false">IF(ISNUMBER(AX62),RANK(AX62,$AX$8:$AX$507,1),"")</f>
        <v/>
      </c>
      <c r="AZ62" s="73" t="str">
        <f aca="false">IF(ISBLANK($C62),"",$B62)</f>
        <v/>
      </c>
      <c r="BA62" s="73" t="str">
        <f aca="false">IF(ISBLANK($C62),"",$C62)</f>
        <v/>
      </c>
      <c r="BB62" s="73" t="str">
        <f aca="false">IF(ISBLANK($C62),"",$D62)</f>
        <v/>
      </c>
      <c r="BC62" s="74" t="str">
        <f aca="false">AQ62</f>
        <v/>
      </c>
      <c r="BD62" s="75" t="str">
        <f aca="false">AP62</f>
        <v/>
      </c>
      <c r="BE62" s="73" t="str">
        <f aca="false">IF(ISBLANK($C62),"",AS62)</f>
        <v/>
      </c>
      <c r="BF62" s="76" t="str">
        <f aca="false">IF($AW62&gt;$AV$7,"",VLOOKUP($AW62,$AY$8:$BE$507,7,FALSE()))</f>
        <v/>
      </c>
      <c r="BG62" s="77" t="str">
        <f aca="false">IF($AW62&gt;$AV$7,"",VLOOKUP($AW62,$AY$8:$BE$507,2,FALSE()))</f>
        <v/>
      </c>
      <c r="BH62" s="77" t="str">
        <f aca="false">IF($AW62&gt;$AV$7,"",VLOOKUP($AW62,$AY$8:$BE$507,3,FALSE()))</f>
        <v/>
      </c>
      <c r="BI62" s="77" t="str">
        <f aca="false">IF($AW62&gt;$AV$7,"",VLOOKUP($AW62,$AY$8:$BE$507,4,FALSE()))</f>
        <v/>
      </c>
      <c r="BJ62" s="77" t="str">
        <f aca="false">IF($AW62&gt;$AV$7,"",VLOOKUP($AW62,$AY$8:$BE$507,5,FALSE()))</f>
        <v/>
      </c>
      <c r="BK62" s="78" t="str">
        <f aca="false">IF($AW62&gt;$AV$7,"",VLOOKUP($AW62,$AY$8:$BE$507,6,FALSE()))</f>
        <v/>
      </c>
      <c r="BL62" s="50"/>
    </row>
    <row r="63" customFormat="false" ht="15.75" hidden="false" customHeight="false" outlineLevel="0" collapsed="false">
      <c r="A63" s="5"/>
      <c r="B63" s="131"/>
      <c r="C63" s="52"/>
      <c r="D63" s="53"/>
      <c r="E63" s="80"/>
      <c r="F63" s="132"/>
      <c r="G63" s="56"/>
      <c r="H63" s="133"/>
      <c r="I63" s="134"/>
      <c r="J63" s="59"/>
      <c r="K63" s="60"/>
      <c r="L63" s="134"/>
      <c r="M63" s="61"/>
      <c r="N63" s="62"/>
      <c r="O63" s="80"/>
      <c r="P63" s="64"/>
      <c r="Q63" s="65" t="str">
        <f aca="false">IF(ISBLANK($C63),"",IF(E63=Constants!$B$2, TRUE(), IF(E63=Constants!$B$3, FALSE(), TRUE())))</f>
        <v/>
      </c>
      <c r="R63" s="65" t="str">
        <f aca="false">IF(ISBLANK($C63),"",IF(F63=Constants!$B$2, TRUE(), IF(F63=Constants!$B$3, FALSE(), TRUE())))</f>
        <v/>
      </c>
      <c r="S63" s="65" t="str">
        <f aca="false">IF(ISBLANK($C63),"",IF(G63=Constants!$B$15,Constants!$B$8,IF(G63=Constants!$B$16,Constants!$B$9,Constants!$B$10)))</f>
        <v/>
      </c>
      <c r="T63" s="65" t="str">
        <f aca="false">IF(ISBLANK($C63),"",IF(H63=Constants!$B$2, TRUE(), IF(H63=Constants!$B$3, FALSE(), TRUE())))</f>
        <v/>
      </c>
      <c r="U63" s="65" t="str">
        <f aca="false">IF(ISBLANK($C63),"",IF(I63=Constants!$B$19,Constants!$B$19,Constants!$B$18))</f>
        <v/>
      </c>
      <c r="V63" s="65" t="str">
        <f aca="false">IF(ISBLANK($C63),"",IF(COUNTA(J63:K63)=0,"",IF(AND(OR(ISBLANK(J63),AND(ISNUMBER(J63),J63&gt;=0)),OR(ISBLANK(K63),AND(ISNUMBER(K63),K63&gt;=0))),60*IF(ISBLANK(J63),0,J63)+IF(ISBLANK(K63),0,K63),"")))</f>
        <v/>
      </c>
      <c r="W63" s="65" t="str">
        <f aca="false">IF(ISBLANK($C63),"",IF(L63=Constants!$B$19,Constants!$B$19,Constants!$B$18))</f>
        <v/>
      </c>
      <c r="X63" s="65" t="str">
        <f aca="false">IF(ISBLANK($C63),"",IF(COUNTA(M63:N63)=0,"",IF(AND(OR(ISBLANK(M63),AND(ISNUMBER(M63),M63&gt;=0)),OR(ISBLANK(N63),AND(ISNUMBER(N63),N63&gt;=0))),60*IF(ISBLANK(M63),0,M63)+IF(ISBLANK(N63),0,N63),"")))</f>
        <v/>
      </c>
      <c r="Y63" s="65" t="str">
        <f aca="false">IF(ISBLANK($C63),"",IF(O63=Constants!$B$2, TRUE(), IF(O63=Constants!$B$3, FALSE(), FALSE())))</f>
        <v/>
      </c>
      <c r="Z63" s="65" t="str">
        <f aca="false">IF(ISBLANK($C63),"",IF(Y63,Constants!$B$4,IF(COUNTA(E63:N63)=0,Constants!$B$5,IF(COUNTA(J63:K63,M63:N63)=0,Constants!$B$6,Constants!$B$7))))</f>
        <v/>
      </c>
      <c r="AA63" s="65" t="str">
        <f aca="false">IF(ISBLANK($C63),"",IF($Z63&lt;&gt;Constants!$B$7,$Z63,IF(OR(NOT(T63),AND(NOT(Q63),COUNTIFS(U63:W63,Constants!$B$18,V63:X63,"&gt;=0")&gt;0),AND(NOT(R63),COUNTIFS(U63:W63,Constants!$B$19,V63:X63,"&gt;=0")&gt;0)),Constants!$B$12,Constants!$B$11)))</f>
        <v/>
      </c>
      <c r="AB63" s="65" t="str">
        <f aca="false">IF($Z63=Constants!$B$7,IF(V63="",Constants!$B$13,V63),"")</f>
        <v/>
      </c>
      <c r="AC63" s="65" t="str">
        <f aca="false">IF($Z63=Constants!$B$7,IF(X63="",Constants!$B$13,X63),"")</f>
        <v/>
      </c>
      <c r="AD63" s="65" t="str">
        <f aca="false">IF($Z63=Constants!$B$7,IF($AB63&gt;=$AC63,1,2),"")</f>
        <v/>
      </c>
      <c r="AE63" s="65" t="str">
        <f aca="false">IF($Z63=Constants!$B$7,LARGE(AB63:AC63,1),"")</f>
        <v/>
      </c>
      <c r="AF63" s="65" t="str">
        <f aca="false">IF(ISBLANK($C63),"",IF($Z63&lt;&gt;Constants!$B$7,$Z63,AE63*S63))</f>
        <v/>
      </c>
      <c r="AG63" s="65" t="str">
        <f aca="false">IF(ISBLANK($C63),"",IF($Z63=Constants!$B$7,IF(ISNUMBER(AF63),RANK(AF63,$AF$8:$AF$507),Constants!$B$14),$Z63))</f>
        <v/>
      </c>
      <c r="AH63" s="65" t="str">
        <f aca="false">IF(ISBLANK($C63),"",IF($Z63=Constants!$B$7,IF(ISNUMBER(AG63),COUNTIFS($AA$8:$AA$507,"&lt;"&amp;$AA63)+COUNTIFS($AA$8:$AA$507,$AA63,$AG$8:$AG$507,"&lt;"&amp;$AG63)+1,Constants!$B$14),$Z63))</f>
        <v/>
      </c>
      <c r="AI63" s="65" t="str">
        <f aca="false">IF(ISBLANK($C63),"",IF($Z63=Constants!$B$7,LARGE(AB63:AC63,2)*S63,""))</f>
        <v/>
      </c>
      <c r="AJ63" s="65" t="str">
        <f aca="false">IF(ISBLANK($C63),"",IF($Z63=Constants!$B$7,RANK(AI63,$AI$8:$AI$507),$Z63))</f>
        <v/>
      </c>
      <c r="AK63" s="65" t="str">
        <f aca="false">IF(ISBLANK($C63),"",IF($Z63=Constants!$B$7,IF(ISNUMBER(AG63),COUNTIFS($AA$8:$AA$507,"&lt;"&amp;$AA63)+COUNTIFS($AA$8:$AA$507,$AA63,$AG$8:$AG$507,"&lt;"&amp;$AG63)+COUNTIFS($AA$8:$AA$507,$AA63,$AG$8:$AG$507,$AG63,$AJ$8:$AJ$507,"&lt;"&amp;$AJ63)+1,Constants!$B$14),$Z63))</f>
        <v/>
      </c>
      <c r="AL63" s="65" t="str">
        <f aca="false">IF(ISBLANK($C63),"",IF($Z63=Constants!$B$7,IF(ISNUMBER(AH63),AH63-AK63,Constants!$B$14),$Z63))</f>
        <v/>
      </c>
      <c r="AM63" s="67"/>
      <c r="AN63" s="68" t="str">
        <f aca="false">IF(ISBLANK($C63),"",IF($Z63&lt;&gt;Constants!$B$7,$Z63,AD63))</f>
        <v/>
      </c>
      <c r="AO63" s="69" t="str">
        <f aca="false">IF(ISBLANK($C63),"",IF($Z63&lt;&gt;Constants!$B$7,$Z63,S63))</f>
        <v/>
      </c>
      <c r="AP63" s="70" t="str">
        <f aca="false">IF(ISBLANK($C63),"",IF($Z63&lt;&gt;Constants!$B$7,$Z63,AF63))</f>
        <v/>
      </c>
      <c r="AQ63" s="71" t="str">
        <f aca="false">IF(ISBLANK($C63),"",IF($Z63&lt;&gt;Constants!$B$7,$Z63,AA63))</f>
        <v/>
      </c>
      <c r="AR63" s="69" t="str">
        <f aca="false">IF(ISBLANK($C63),"",AL63)</f>
        <v/>
      </c>
      <c r="AS63" s="69" t="str">
        <f aca="false">IF(ISBLANK($C63),"",AK63)</f>
        <v/>
      </c>
      <c r="AT63" s="72" t="str">
        <f aca="false">IF(ISBLANK($C63),"",IF(AS63=Constants!$B$4,COUNTA($C$8:$C$507)+2,IF(AS63=Constants!$B$5,COUNTA($C$8:$C$507)+1,IF(AS63=Constants!$B$6,COUNTA($C$8:$C$507),AS63))))</f>
        <v/>
      </c>
      <c r="AU63" s="5"/>
      <c r="AV63" s="73" t="n">
        <f aca="false">IF(OR(ISNUMBER(AS63),AS63=Constants!$B$4,AS63=Constants!$B$6,AS63=Constants!$B$5),1,0)</f>
        <v>0</v>
      </c>
      <c r="AW63" s="73" t="n">
        <v>56</v>
      </c>
      <c r="AX63" s="73" t="str">
        <f aca="false">IF(ISBLANK($C63),"",IF(ISNUMBER(AT63),AT63+ROW($B63)/1000,""))</f>
        <v/>
      </c>
      <c r="AY63" s="73" t="str">
        <f aca="false">IF(ISNUMBER(AX63),RANK(AX63,$AX$8:$AX$507,1),"")</f>
        <v/>
      </c>
      <c r="AZ63" s="73" t="str">
        <f aca="false">IF(ISBLANK($C63),"",$B63)</f>
        <v/>
      </c>
      <c r="BA63" s="73" t="str">
        <f aca="false">IF(ISBLANK($C63),"",$C63)</f>
        <v/>
      </c>
      <c r="BB63" s="73" t="str">
        <f aca="false">IF(ISBLANK($C63),"",$D63)</f>
        <v/>
      </c>
      <c r="BC63" s="74" t="str">
        <f aca="false">AQ63</f>
        <v/>
      </c>
      <c r="BD63" s="75" t="str">
        <f aca="false">AP63</f>
        <v/>
      </c>
      <c r="BE63" s="73" t="str">
        <f aca="false">IF(ISBLANK($C63),"",AS63)</f>
        <v/>
      </c>
      <c r="BF63" s="76" t="str">
        <f aca="false">IF($AW63&gt;$AV$7,"",VLOOKUP($AW63,$AY$8:$BE$507,7,FALSE()))</f>
        <v/>
      </c>
      <c r="BG63" s="77" t="str">
        <f aca="false">IF($AW63&gt;$AV$7,"",VLOOKUP($AW63,$AY$8:$BE$507,2,FALSE()))</f>
        <v/>
      </c>
      <c r="BH63" s="77" t="str">
        <f aca="false">IF($AW63&gt;$AV$7,"",VLOOKUP($AW63,$AY$8:$BE$507,3,FALSE()))</f>
        <v/>
      </c>
      <c r="BI63" s="77" t="str">
        <f aca="false">IF($AW63&gt;$AV$7,"",VLOOKUP($AW63,$AY$8:$BE$507,4,FALSE()))</f>
        <v/>
      </c>
      <c r="BJ63" s="77" t="str">
        <f aca="false">IF($AW63&gt;$AV$7,"",VLOOKUP($AW63,$AY$8:$BE$507,5,FALSE()))</f>
        <v/>
      </c>
      <c r="BK63" s="78" t="str">
        <f aca="false">IF($AW63&gt;$AV$7,"",VLOOKUP($AW63,$AY$8:$BE$507,6,FALSE()))</f>
        <v/>
      </c>
      <c r="BL63" s="50"/>
    </row>
    <row r="64" customFormat="false" ht="15.75" hidden="false" customHeight="false" outlineLevel="0" collapsed="false">
      <c r="A64" s="5"/>
      <c r="B64" s="131"/>
      <c r="C64" s="52"/>
      <c r="D64" s="53"/>
      <c r="E64" s="80"/>
      <c r="F64" s="132"/>
      <c r="G64" s="56"/>
      <c r="H64" s="133"/>
      <c r="I64" s="134"/>
      <c r="J64" s="59"/>
      <c r="K64" s="60"/>
      <c r="L64" s="134"/>
      <c r="M64" s="61"/>
      <c r="N64" s="62"/>
      <c r="O64" s="80"/>
      <c r="P64" s="64"/>
      <c r="Q64" s="65" t="str">
        <f aca="false">IF(ISBLANK($C64),"",IF(E64=Constants!$B$2, TRUE(), IF(E64=Constants!$B$3, FALSE(), TRUE())))</f>
        <v/>
      </c>
      <c r="R64" s="65" t="str">
        <f aca="false">IF(ISBLANK($C64),"",IF(F64=Constants!$B$2, TRUE(), IF(F64=Constants!$B$3, FALSE(), TRUE())))</f>
        <v/>
      </c>
      <c r="S64" s="65" t="str">
        <f aca="false">IF(ISBLANK($C64),"",IF(G64=Constants!$B$15,Constants!$B$8,IF(G64=Constants!$B$16,Constants!$B$9,Constants!$B$10)))</f>
        <v/>
      </c>
      <c r="T64" s="65" t="str">
        <f aca="false">IF(ISBLANK($C64),"",IF(H64=Constants!$B$2, TRUE(), IF(H64=Constants!$B$3, FALSE(), TRUE())))</f>
        <v/>
      </c>
      <c r="U64" s="65" t="str">
        <f aca="false">IF(ISBLANK($C64),"",IF(I64=Constants!$B$19,Constants!$B$19,Constants!$B$18))</f>
        <v/>
      </c>
      <c r="V64" s="65" t="str">
        <f aca="false">IF(ISBLANK($C64),"",IF(COUNTA(J64:K64)=0,"",IF(AND(OR(ISBLANK(J64),AND(ISNUMBER(J64),J64&gt;=0)),OR(ISBLANK(K64),AND(ISNUMBER(K64),K64&gt;=0))),60*IF(ISBLANK(J64),0,J64)+IF(ISBLANK(K64),0,K64),"")))</f>
        <v/>
      </c>
      <c r="W64" s="65" t="str">
        <f aca="false">IF(ISBLANK($C64),"",IF(L64=Constants!$B$19,Constants!$B$19,Constants!$B$18))</f>
        <v/>
      </c>
      <c r="X64" s="65" t="str">
        <f aca="false">IF(ISBLANK($C64),"",IF(COUNTA(M64:N64)=0,"",IF(AND(OR(ISBLANK(M64),AND(ISNUMBER(M64),M64&gt;=0)),OR(ISBLANK(N64),AND(ISNUMBER(N64),N64&gt;=0))),60*IF(ISBLANK(M64),0,M64)+IF(ISBLANK(N64),0,N64),"")))</f>
        <v/>
      </c>
      <c r="Y64" s="65" t="str">
        <f aca="false">IF(ISBLANK($C64),"",IF(O64=Constants!$B$2, TRUE(), IF(O64=Constants!$B$3, FALSE(), FALSE())))</f>
        <v/>
      </c>
      <c r="Z64" s="65" t="str">
        <f aca="false">IF(ISBLANK($C64),"",IF(Y64,Constants!$B$4,IF(COUNTA(E64:N64)=0,Constants!$B$5,IF(COUNTA(J64:K64,M64:N64)=0,Constants!$B$6,Constants!$B$7))))</f>
        <v/>
      </c>
      <c r="AA64" s="65" t="str">
        <f aca="false">IF(ISBLANK($C64),"",IF($Z64&lt;&gt;Constants!$B$7,$Z64,IF(OR(NOT(T64),AND(NOT(Q64),COUNTIFS(U64:W64,Constants!$B$18,V64:X64,"&gt;=0")&gt;0),AND(NOT(R64),COUNTIFS(U64:W64,Constants!$B$19,V64:X64,"&gt;=0")&gt;0)),Constants!$B$12,Constants!$B$11)))</f>
        <v/>
      </c>
      <c r="AB64" s="65" t="str">
        <f aca="false">IF($Z64=Constants!$B$7,IF(V64="",Constants!$B$13,V64),"")</f>
        <v/>
      </c>
      <c r="AC64" s="65" t="str">
        <f aca="false">IF($Z64=Constants!$B$7,IF(X64="",Constants!$B$13,X64),"")</f>
        <v/>
      </c>
      <c r="AD64" s="65" t="str">
        <f aca="false">IF($Z64=Constants!$B$7,IF($AB64&gt;=$AC64,1,2),"")</f>
        <v/>
      </c>
      <c r="AE64" s="65" t="str">
        <f aca="false">IF($Z64=Constants!$B$7,LARGE(AB64:AC64,1),"")</f>
        <v/>
      </c>
      <c r="AF64" s="65" t="str">
        <f aca="false">IF(ISBLANK($C64),"",IF($Z64&lt;&gt;Constants!$B$7,$Z64,AE64*S64))</f>
        <v/>
      </c>
      <c r="AG64" s="65" t="str">
        <f aca="false">IF(ISBLANK($C64),"",IF($Z64=Constants!$B$7,IF(ISNUMBER(AF64),RANK(AF64,$AF$8:$AF$507),Constants!$B$14),$Z64))</f>
        <v/>
      </c>
      <c r="AH64" s="65" t="str">
        <f aca="false">IF(ISBLANK($C64),"",IF($Z64=Constants!$B$7,IF(ISNUMBER(AG64),COUNTIFS($AA$8:$AA$507,"&lt;"&amp;$AA64)+COUNTIFS($AA$8:$AA$507,$AA64,$AG$8:$AG$507,"&lt;"&amp;$AG64)+1,Constants!$B$14),$Z64))</f>
        <v/>
      </c>
      <c r="AI64" s="65" t="str">
        <f aca="false">IF(ISBLANK($C64),"",IF($Z64=Constants!$B$7,LARGE(AB64:AC64,2)*S64,""))</f>
        <v/>
      </c>
      <c r="AJ64" s="65" t="str">
        <f aca="false">IF(ISBLANK($C64),"",IF($Z64=Constants!$B$7,RANK(AI64,$AI$8:$AI$507),$Z64))</f>
        <v/>
      </c>
      <c r="AK64" s="65" t="str">
        <f aca="false">IF(ISBLANK($C64),"",IF($Z64=Constants!$B$7,IF(ISNUMBER(AG64),COUNTIFS($AA$8:$AA$507,"&lt;"&amp;$AA64)+COUNTIFS($AA$8:$AA$507,$AA64,$AG$8:$AG$507,"&lt;"&amp;$AG64)+COUNTIFS($AA$8:$AA$507,$AA64,$AG$8:$AG$507,$AG64,$AJ$8:$AJ$507,"&lt;"&amp;$AJ64)+1,Constants!$B$14),$Z64))</f>
        <v/>
      </c>
      <c r="AL64" s="65" t="str">
        <f aca="false">IF(ISBLANK($C64),"",IF($Z64=Constants!$B$7,IF(ISNUMBER(AH64),AH64-AK64,Constants!$B$14),$Z64))</f>
        <v/>
      </c>
      <c r="AM64" s="67"/>
      <c r="AN64" s="68" t="str">
        <f aca="false">IF(ISBLANK($C64),"",IF($Z64&lt;&gt;Constants!$B$7,$Z64,AD64))</f>
        <v/>
      </c>
      <c r="AO64" s="69" t="str">
        <f aca="false">IF(ISBLANK($C64),"",IF($Z64&lt;&gt;Constants!$B$7,$Z64,S64))</f>
        <v/>
      </c>
      <c r="AP64" s="70" t="str">
        <f aca="false">IF(ISBLANK($C64),"",IF($Z64&lt;&gt;Constants!$B$7,$Z64,AF64))</f>
        <v/>
      </c>
      <c r="AQ64" s="71" t="str">
        <f aca="false">IF(ISBLANK($C64),"",IF($Z64&lt;&gt;Constants!$B$7,$Z64,AA64))</f>
        <v/>
      </c>
      <c r="AR64" s="69" t="str">
        <f aca="false">IF(ISBLANK($C64),"",AL64)</f>
        <v/>
      </c>
      <c r="AS64" s="69" t="str">
        <f aca="false">IF(ISBLANK($C64),"",AK64)</f>
        <v/>
      </c>
      <c r="AT64" s="72" t="str">
        <f aca="false">IF(ISBLANK($C64),"",IF(AS64=Constants!$B$4,COUNTA($C$8:$C$507)+2,IF(AS64=Constants!$B$5,COUNTA($C$8:$C$507)+1,IF(AS64=Constants!$B$6,COUNTA($C$8:$C$507),AS64))))</f>
        <v/>
      </c>
      <c r="AU64" s="5"/>
      <c r="AV64" s="73" t="n">
        <f aca="false">IF(OR(ISNUMBER(AS64),AS64=Constants!$B$4,AS64=Constants!$B$6,AS64=Constants!$B$5),1,0)</f>
        <v>0</v>
      </c>
      <c r="AW64" s="73" t="n">
        <v>57</v>
      </c>
      <c r="AX64" s="73" t="str">
        <f aca="false">IF(ISBLANK($C64),"",IF(ISNUMBER(AT64),AT64+ROW($B64)/1000,""))</f>
        <v/>
      </c>
      <c r="AY64" s="73" t="str">
        <f aca="false">IF(ISNUMBER(AX64),RANK(AX64,$AX$8:$AX$507,1),"")</f>
        <v/>
      </c>
      <c r="AZ64" s="73" t="str">
        <f aca="false">IF(ISBLANK($C64),"",$B64)</f>
        <v/>
      </c>
      <c r="BA64" s="73" t="str">
        <f aca="false">IF(ISBLANK($C64),"",$C64)</f>
        <v/>
      </c>
      <c r="BB64" s="73" t="str">
        <f aca="false">IF(ISBLANK($C64),"",$D64)</f>
        <v/>
      </c>
      <c r="BC64" s="74" t="str">
        <f aca="false">AQ64</f>
        <v/>
      </c>
      <c r="BD64" s="75" t="str">
        <f aca="false">AP64</f>
        <v/>
      </c>
      <c r="BE64" s="73" t="str">
        <f aca="false">IF(ISBLANK($C64),"",AS64)</f>
        <v/>
      </c>
      <c r="BF64" s="76" t="str">
        <f aca="false">IF($AW64&gt;$AV$7,"",VLOOKUP($AW64,$AY$8:$BE$507,7,FALSE()))</f>
        <v/>
      </c>
      <c r="BG64" s="77" t="str">
        <f aca="false">IF($AW64&gt;$AV$7,"",VLOOKUP($AW64,$AY$8:$BE$507,2,FALSE()))</f>
        <v/>
      </c>
      <c r="BH64" s="77" t="str">
        <f aca="false">IF($AW64&gt;$AV$7,"",VLOOKUP($AW64,$AY$8:$BE$507,3,FALSE()))</f>
        <v/>
      </c>
      <c r="BI64" s="77" t="str">
        <f aca="false">IF($AW64&gt;$AV$7,"",VLOOKUP($AW64,$AY$8:$BE$507,4,FALSE()))</f>
        <v/>
      </c>
      <c r="BJ64" s="77" t="str">
        <f aca="false">IF($AW64&gt;$AV$7,"",VLOOKUP($AW64,$AY$8:$BE$507,5,FALSE()))</f>
        <v/>
      </c>
      <c r="BK64" s="78" t="str">
        <f aca="false">IF($AW64&gt;$AV$7,"",VLOOKUP($AW64,$AY$8:$BE$507,6,FALSE()))</f>
        <v/>
      </c>
      <c r="BL64" s="50"/>
    </row>
    <row r="65" customFormat="false" ht="15.75" hidden="false" customHeight="false" outlineLevel="0" collapsed="false">
      <c r="A65" s="5"/>
      <c r="B65" s="124"/>
      <c r="C65" s="125"/>
      <c r="D65" s="110"/>
      <c r="E65" s="130"/>
      <c r="F65" s="135"/>
      <c r="G65" s="88"/>
      <c r="H65" s="136"/>
      <c r="I65" s="137"/>
      <c r="J65" s="91"/>
      <c r="K65" s="92"/>
      <c r="L65" s="137"/>
      <c r="M65" s="93"/>
      <c r="N65" s="94"/>
      <c r="O65" s="130"/>
      <c r="P65" s="96"/>
      <c r="Q65" s="97" t="str">
        <f aca="false">IF(ISBLANK($C65),"",IF(E65=Constants!$B$2, TRUE(), IF(E65=Constants!$B$3, FALSE(), TRUE())))</f>
        <v/>
      </c>
      <c r="R65" s="97" t="str">
        <f aca="false">IF(ISBLANK($C65),"",IF(F65=Constants!$B$2, TRUE(), IF(F65=Constants!$B$3, FALSE(), TRUE())))</f>
        <v/>
      </c>
      <c r="S65" s="97" t="str">
        <f aca="false">IF(ISBLANK($C65),"",IF(G65=Constants!$B$15,Constants!$B$8,IF(G65=Constants!$B$16,Constants!$B$9,Constants!$B$10)))</f>
        <v/>
      </c>
      <c r="T65" s="97" t="str">
        <f aca="false">IF(ISBLANK($C65),"",IF(H65=Constants!$B$2, TRUE(), IF(H65=Constants!$B$3, FALSE(), TRUE())))</f>
        <v/>
      </c>
      <c r="U65" s="97" t="str">
        <f aca="false">IF(ISBLANK($C65),"",IF(I65=Constants!$B$19,Constants!$B$19,Constants!$B$18))</f>
        <v/>
      </c>
      <c r="V65" s="97" t="str">
        <f aca="false">IF(ISBLANK($C65),"",IF(COUNTA(J65:K65)=0,"",IF(AND(OR(ISBLANK(J65),AND(ISNUMBER(J65),J65&gt;=0)),OR(ISBLANK(K65),AND(ISNUMBER(K65),K65&gt;=0))),60*IF(ISBLANK(J65),0,J65)+IF(ISBLANK(K65),0,K65),"")))</f>
        <v/>
      </c>
      <c r="W65" s="97" t="str">
        <f aca="false">IF(ISBLANK($C65),"",IF(L65=Constants!$B$19,Constants!$B$19,Constants!$B$18))</f>
        <v/>
      </c>
      <c r="X65" s="97" t="str">
        <f aca="false">IF(ISBLANK($C65),"",IF(COUNTA(M65:N65)=0,"",IF(AND(OR(ISBLANK(M65),AND(ISNUMBER(M65),M65&gt;=0)),OR(ISBLANK(N65),AND(ISNUMBER(N65),N65&gt;=0))),60*IF(ISBLANK(M65),0,M65)+IF(ISBLANK(N65),0,N65),"")))</f>
        <v/>
      </c>
      <c r="Y65" s="97" t="str">
        <f aca="false">IF(ISBLANK($C65),"",IF(O65=Constants!$B$2, TRUE(), IF(O65=Constants!$B$3, FALSE(), FALSE())))</f>
        <v/>
      </c>
      <c r="Z65" s="97" t="str">
        <f aca="false">IF(ISBLANK($C65),"",IF(Y65,Constants!$B$4,IF(COUNTA(E65:N65)=0,Constants!$B$5,IF(COUNTA(J65:K65,M65:N65)=0,Constants!$B$6,Constants!$B$7))))</f>
        <v/>
      </c>
      <c r="AA65" s="97" t="str">
        <f aca="false">IF(ISBLANK($C65),"",IF($Z65&lt;&gt;Constants!$B$7,$Z65,IF(OR(NOT(T65),AND(NOT(Q65),COUNTIFS(U65:W65,Constants!$B$18,V65:X65,"&gt;=0")&gt;0),AND(NOT(R65),COUNTIFS(U65:W65,Constants!$B$19,V65:X65,"&gt;=0")&gt;0)),Constants!$B$12,Constants!$B$11)))</f>
        <v/>
      </c>
      <c r="AB65" s="97" t="str">
        <f aca="false">IF($Z65=Constants!$B$7,IF(V65="",Constants!$B$13,V65),"")</f>
        <v/>
      </c>
      <c r="AC65" s="97" t="str">
        <f aca="false">IF($Z65=Constants!$B$7,IF(X65="",Constants!$B$13,X65),"")</f>
        <v/>
      </c>
      <c r="AD65" s="97" t="str">
        <f aca="false">IF($Z65=Constants!$B$7,IF($AB65&gt;=$AC65,1,2),"")</f>
        <v/>
      </c>
      <c r="AE65" s="97" t="str">
        <f aca="false">IF($Z65=Constants!$B$7,LARGE(AB65:AC65,1),"")</f>
        <v/>
      </c>
      <c r="AF65" s="97" t="str">
        <f aca="false">IF(ISBLANK($C65),"",IF($Z65&lt;&gt;Constants!$B$7,$Z65,AE65*S65))</f>
        <v/>
      </c>
      <c r="AG65" s="97" t="str">
        <f aca="false">IF(ISBLANK($C65),"",IF($Z65=Constants!$B$7,IF(ISNUMBER(AF65),RANK(AF65,$AF$8:$AF$507),Constants!$B$14),$Z65))</f>
        <v/>
      </c>
      <c r="AH65" s="97" t="str">
        <f aca="false">IF(ISBLANK($C65),"",IF($Z65=Constants!$B$7,IF(ISNUMBER(AG65),COUNTIFS($AA$8:$AA$507,"&lt;"&amp;$AA65)+COUNTIFS($AA$8:$AA$507,$AA65,$AG$8:$AG$507,"&lt;"&amp;$AG65)+1,Constants!$B$14),$Z65))</f>
        <v/>
      </c>
      <c r="AI65" s="97" t="str">
        <f aca="false">IF(ISBLANK($C65),"",IF($Z65=Constants!$B$7,LARGE(AB65:AC65,2)*S65,""))</f>
        <v/>
      </c>
      <c r="AJ65" s="97" t="str">
        <f aca="false">IF(ISBLANK($C65),"",IF($Z65=Constants!$B$7,RANK(AI65,$AI$8:$AI$507),$Z65))</f>
        <v/>
      </c>
      <c r="AK65" s="97" t="str">
        <f aca="false">IF(ISBLANK($C65),"",IF($Z65=Constants!$B$7,IF(ISNUMBER(AG65),COUNTIFS($AA$8:$AA$507,"&lt;"&amp;$AA65)+COUNTIFS($AA$8:$AA$507,$AA65,$AG$8:$AG$507,"&lt;"&amp;$AG65)+COUNTIFS($AA$8:$AA$507,$AA65,$AG$8:$AG$507,$AG65,$AJ$8:$AJ$507,"&lt;"&amp;$AJ65)+1,Constants!$B$14),$Z65))</f>
        <v/>
      </c>
      <c r="AL65" s="97" t="str">
        <f aca="false">IF(ISBLANK($C65),"",IF($Z65=Constants!$B$7,IF(ISNUMBER(AH65),AH65-AK65,Constants!$B$14),$Z65))</f>
        <v/>
      </c>
      <c r="AM65" s="98"/>
      <c r="AN65" s="99" t="str">
        <f aca="false">IF(ISBLANK($C65),"",IF($Z65&lt;&gt;Constants!$B$7,$Z65,AD65))</f>
        <v/>
      </c>
      <c r="AO65" s="100" t="str">
        <f aca="false">IF(ISBLANK($C65),"",IF($Z65&lt;&gt;Constants!$B$7,$Z65,S65))</f>
        <v/>
      </c>
      <c r="AP65" s="101" t="str">
        <f aca="false">IF(ISBLANK($C65),"",IF($Z65&lt;&gt;Constants!$B$7,$Z65,AF65))</f>
        <v/>
      </c>
      <c r="AQ65" s="102" t="str">
        <f aca="false">IF(ISBLANK($C65),"",IF($Z65&lt;&gt;Constants!$B$7,$Z65,AA65))</f>
        <v/>
      </c>
      <c r="AR65" s="100" t="str">
        <f aca="false">IF(ISBLANK($C65),"",AL65)</f>
        <v/>
      </c>
      <c r="AS65" s="100" t="str">
        <f aca="false">IF(ISBLANK($C65),"",AK65)</f>
        <v/>
      </c>
      <c r="AT65" s="103" t="str">
        <f aca="false">IF(ISBLANK($C65),"",IF(AS65=Constants!$B$4,COUNTA($C$8:$C$507)+2,IF(AS65=Constants!$B$5,COUNTA($C$8:$C$507)+1,IF(AS65=Constants!$B$6,COUNTA($C$8:$C$507),AS65))))</f>
        <v/>
      </c>
      <c r="AU65" s="5"/>
      <c r="AV65" s="104" t="n">
        <f aca="false">IF(OR(ISNUMBER(AS65),AS65=Constants!$B$4,AS65=Constants!$B$6,AS65=Constants!$B$5),1,0)</f>
        <v>0</v>
      </c>
      <c r="AW65" s="104" t="n">
        <v>58</v>
      </c>
      <c r="AX65" s="104" t="str">
        <f aca="false">IF(ISBLANK($C65),"",IF(ISNUMBER(AT65),AT65+ROW($B65)/1000,""))</f>
        <v/>
      </c>
      <c r="AY65" s="104" t="str">
        <f aca="false">IF(ISNUMBER(AX65),RANK(AX65,$AX$8:$AX$507,1),"")</f>
        <v/>
      </c>
      <c r="AZ65" s="104" t="str">
        <f aca="false">IF(ISBLANK($C65),"",$B65)</f>
        <v/>
      </c>
      <c r="BA65" s="104" t="str">
        <f aca="false">IF(ISBLANK($C65),"",$C65)</f>
        <v/>
      </c>
      <c r="BB65" s="104" t="str">
        <f aca="false">IF(ISBLANK($C65),"",$D65)</f>
        <v/>
      </c>
      <c r="BC65" s="105" t="str">
        <f aca="false">AQ65</f>
        <v/>
      </c>
      <c r="BD65" s="106" t="str">
        <f aca="false">AP65</f>
        <v/>
      </c>
      <c r="BE65" s="104" t="str">
        <f aca="false">IF(ISBLANK($C65),"",AS65)</f>
        <v/>
      </c>
      <c r="BF65" s="107" t="str">
        <f aca="false">IF($AW65&gt;$AV$7,"",VLOOKUP($AW65,$AY$8:$BE$507,7,FALSE()))</f>
        <v/>
      </c>
      <c r="BG65" s="108" t="str">
        <f aca="false">IF($AW65&gt;$AV$7,"",VLOOKUP($AW65,$AY$8:$BE$507,2,FALSE()))</f>
        <v/>
      </c>
      <c r="BH65" s="108" t="str">
        <f aca="false">IF($AW65&gt;$AV$7,"",VLOOKUP($AW65,$AY$8:$BE$507,3,FALSE()))</f>
        <v/>
      </c>
      <c r="BI65" s="108" t="str">
        <f aca="false">IF($AW65&gt;$AV$7,"",VLOOKUP($AW65,$AY$8:$BE$507,4,FALSE()))</f>
        <v/>
      </c>
      <c r="BJ65" s="108" t="str">
        <f aca="false">IF($AW65&gt;$AV$7,"",VLOOKUP($AW65,$AY$8:$BE$507,5,FALSE()))</f>
        <v/>
      </c>
      <c r="BK65" s="109" t="str">
        <f aca="false">IF($AW65&gt;$AV$7,"",VLOOKUP($AW65,$AY$8:$BE$507,6,FALSE()))</f>
        <v/>
      </c>
      <c r="BL65" s="50"/>
    </row>
    <row r="66" customFormat="false" ht="15.75" hidden="false" customHeight="false" outlineLevel="0" collapsed="false">
      <c r="A66" s="5"/>
      <c r="B66" s="124"/>
      <c r="C66" s="125"/>
      <c r="D66" s="110"/>
      <c r="E66" s="130"/>
      <c r="F66" s="135"/>
      <c r="G66" s="88"/>
      <c r="H66" s="136"/>
      <c r="I66" s="137"/>
      <c r="J66" s="91"/>
      <c r="K66" s="92"/>
      <c r="L66" s="137"/>
      <c r="M66" s="93"/>
      <c r="N66" s="94"/>
      <c r="O66" s="130"/>
      <c r="P66" s="96"/>
      <c r="Q66" s="97" t="str">
        <f aca="false">IF(ISBLANK($C66),"",IF(E66=Constants!$B$2, TRUE(), IF(E66=Constants!$B$3, FALSE(), TRUE())))</f>
        <v/>
      </c>
      <c r="R66" s="97" t="str">
        <f aca="false">IF(ISBLANK($C66),"",IF(F66=Constants!$B$2, TRUE(), IF(F66=Constants!$B$3, FALSE(), TRUE())))</f>
        <v/>
      </c>
      <c r="S66" s="97" t="str">
        <f aca="false">IF(ISBLANK($C66),"",IF(G66=Constants!$B$15,Constants!$B$8,IF(G66=Constants!$B$16,Constants!$B$9,Constants!$B$10)))</f>
        <v/>
      </c>
      <c r="T66" s="97" t="str">
        <f aca="false">IF(ISBLANK($C66),"",IF(H66=Constants!$B$2, TRUE(), IF(H66=Constants!$B$3, FALSE(), TRUE())))</f>
        <v/>
      </c>
      <c r="U66" s="97" t="str">
        <f aca="false">IF(ISBLANK($C66),"",IF(I66=Constants!$B$19,Constants!$B$19,Constants!$B$18))</f>
        <v/>
      </c>
      <c r="V66" s="97" t="str">
        <f aca="false">IF(ISBLANK($C66),"",IF(COUNTA(J66:K66)=0,"",IF(AND(OR(ISBLANK(J66),AND(ISNUMBER(J66),J66&gt;=0)),OR(ISBLANK(K66),AND(ISNUMBER(K66),K66&gt;=0))),60*IF(ISBLANK(J66),0,J66)+IF(ISBLANK(K66),0,K66),"")))</f>
        <v/>
      </c>
      <c r="W66" s="97" t="str">
        <f aca="false">IF(ISBLANK($C66),"",IF(L66=Constants!$B$19,Constants!$B$19,Constants!$B$18))</f>
        <v/>
      </c>
      <c r="X66" s="97" t="str">
        <f aca="false">IF(ISBLANK($C66),"",IF(COUNTA(M66:N66)=0,"",IF(AND(OR(ISBLANK(M66),AND(ISNUMBER(M66),M66&gt;=0)),OR(ISBLANK(N66),AND(ISNUMBER(N66),N66&gt;=0))),60*IF(ISBLANK(M66),0,M66)+IF(ISBLANK(N66),0,N66),"")))</f>
        <v/>
      </c>
      <c r="Y66" s="97" t="str">
        <f aca="false">IF(ISBLANK($C66),"",IF(O66=Constants!$B$2, TRUE(), IF(O66=Constants!$B$3, FALSE(), FALSE())))</f>
        <v/>
      </c>
      <c r="Z66" s="97" t="str">
        <f aca="false">IF(ISBLANK($C66),"",IF(Y66,Constants!$B$4,IF(COUNTA(E66:N66)=0,Constants!$B$5,IF(COUNTA(J66:K66,M66:N66)=0,Constants!$B$6,Constants!$B$7))))</f>
        <v/>
      </c>
      <c r="AA66" s="97" t="str">
        <f aca="false">IF(ISBLANK($C66),"",IF($Z66&lt;&gt;Constants!$B$7,$Z66,IF(OR(NOT(T66),AND(NOT(Q66),COUNTIFS(U66:W66,Constants!$B$18,V66:X66,"&gt;=0")&gt;0),AND(NOT(R66),COUNTIFS(U66:W66,Constants!$B$19,V66:X66,"&gt;=0")&gt;0)),Constants!$B$12,Constants!$B$11)))</f>
        <v/>
      </c>
      <c r="AB66" s="97" t="str">
        <f aca="false">IF($Z66=Constants!$B$7,IF(V66="",Constants!$B$13,V66),"")</f>
        <v/>
      </c>
      <c r="AC66" s="97" t="str">
        <f aca="false">IF($Z66=Constants!$B$7,IF(X66="",Constants!$B$13,X66),"")</f>
        <v/>
      </c>
      <c r="AD66" s="97" t="str">
        <f aca="false">IF($Z66=Constants!$B$7,IF($AB66&gt;=$AC66,1,2),"")</f>
        <v/>
      </c>
      <c r="AE66" s="97" t="str">
        <f aca="false">IF($Z66=Constants!$B$7,LARGE(AB66:AC66,1),"")</f>
        <v/>
      </c>
      <c r="AF66" s="97" t="str">
        <f aca="false">IF(ISBLANK($C66),"",IF($Z66&lt;&gt;Constants!$B$7,$Z66,AE66*S66))</f>
        <v/>
      </c>
      <c r="AG66" s="97" t="str">
        <f aca="false">IF(ISBLANK($C66),"",IF($Z66=Constants!$B$7,IF(ISNUMBER(AF66),RANK(AF66,$AF$8:$AF$507),Constants!$B$14),$Z66))</f>
        <v/>
      </c>
      <c r="AH66" s="97" t="str">
        <f aca="false">IF(ISBLANK($C66),"",IF($Z66=Constants!$B$7,IF(ISNUMBER(AG66),COUNTIFS($AA$8:$AA$507,"&lt;"&amp;$AA66)+COUNTIFS($AA$8:$AA$507,$AA66,$AG$8:$AG$507,"&lt;"&amp;$AG66)+1,Constants!$B$14),$Z66))</f>
        <v/>
      </c>
      <c r="AI66" s="97" t="str">
        <f aca="false">IF(ISBLANK($C66),"",IF($Z66=Constants!$B$7,LARGE(AB66:AC66,2)*S66,""))</f>
        <v/>
      </c>
      <c r="AJ66" s="97" t="str">
        <f aca="false">IF(ISBLANK($C66),"",IF($Z66=Constants!$B$7,RANK(AI66,$AI$8:$AI$507),$Z66))</f>
        <v/>
      </c>
      <c r="AK66" s="97" t="str">
        <f aca="false">IF(ISBLANK($C66),"",IF($Z66=Constants!$B$7,IF(ISNUMBER(AG66),COUNTIFS($AA$8:$AA$507,"&lt;"&amp;$AA66)+COUNTIFS($AA$8:$AA$507,$AA66,$AG$8:$AG$507,"&lt;"&amp;$AG66)+COUNTIFS($AA$8:$AA$507,$AA66,$AG$8:$AG$507,$AG66,$AJ$8:$AJ$507,"&lt;"&amp;$AJ66)+1,Constants!$B$14),$Z66))</f>
        <v/>
      </c>
      <c r="AL66" s="97" t="str">
        <f aca="false">IF(ISBLANK($C66),"",IF($Z66=Constants!$B$7,IF(ISNUMBER(AH66),AH66-AK66,Constants!$B$14),$Z66))</f>
        <v/>
      </c>
      <c r="AM66" s="98"/>
      <c r="AN66" s="99" t="str">
        <f aca="false">IF(ISBLANK($C66),"",IF($Z66&lt;&gt;Constants!$B$7,$Z66,AD66))</f>
        <v/>
      </c>
      <c r="AO66" s="100" t="str">
        <f aca="false">IF(ISBLANK($C66),"",IF($Z66&lt;&gt;Constants!$B$7,$Z66,S66))</f>
        <v/>
      </c>
      <c r="AP66" s="101" t="str">
        <f aca="false">IF(ISBLANK($C66),"",IF($Z66&lt;&gt;Constants!$B$7,$Z66,AF66))</f>
        <v/>
      </c>
      <c r="AQ66" s="102" t="str">
        <f aca="false">IF(ISBLANK($C66),"",IF($Z66&lt;&gt;Constants!$B$7,$Z66,AA66))</f>
        <v/>
      </c>
      <c r="AR66" s="100" t="str">
        <f aca="false">IF(ISBLANK($C66),"",AL66)</f>
        <v/>
      </c>
      <c r="AS66" s="100" t="str">
        <f aca="false">IF(ISBLANK($C66),"",AK66)</f>
        <v/>
      </c>
      <c r="AT66" s="103" t="str">
        <f aca="false">IF(ISBLANK($C66),"",IF(AS66=Constants!$B$4,COUNTA($C$8:$C$507)+2,IF(AS66=Constants!$B$5,COUNTA($C$8:$C$507)+1,IF(AS66=Constants!$B$6,COUNTA($C$8:$C$507),AS66))))</f>
        <v/>
      </c>
      <c r="AU66" s="5"/>
      <c r="AV66" s="104" t="n">
        <f aca="false">IF(OR(ISNUMBER(AS66),AS66=Constants!$B$4,AS66=Constants!$B$6,AS66=Constants!$B$5),1,0)</f>
        <v>0</v>
      </c>
      <c r="AW66" s="104" t="n">
        <v>59</v>
      </c>
      <c r="AX66" s="104" t="str">
        <f aca="false">IF(ISBLANK($C66),"",IF(ISNUMBER(AT66),AT66+ROW($B66)/1000,""))</f>
        <v/>
      </c>
      <c r="AY66" s="104" t="str">
        <f aca="false">IF(ISNUMBER(AX66),RANK(AX66,$AX$8:$AX$507,1),"")</f>
        <v/>
      </c>
      <c r="AZ66" s="104" t="str">
        <f aca="false">IF(ISBLANK($C66),"",$B66)</f>
        <v/>
      </c>
      <c r="BA66" s="104" t="str">
        <f aca="false">IF(ISBLANK($C66),"",$C66)</f>
        <v/>
      </c>
      <c r="BB66" s="104" t="str">
        <f aca="false">IF(ISBLANK($C66),"",$D66)</f>
        <v/>
      </c>
      <c r="BC66" s="105" t="str">
        <f aca="false">AQ66</f>
        <v/>
      </c>
      <c r="BD66" s="106" t="str">
        <f aca="false">AP66</f>
        <v/>
      </c>
      <c r="BE66" s="104" t="str">
        <f aca="false">IF(ISBLANK($C66),"",AS66)</f>
        <v/>
      </c>
      <c r="BF66" s="107" t="str">
        <f aca="false">IF($AW66&gt;$AV$7,"",VLOOKUP($AW66,$AY$8:$BE$507,7,FALSE()))</f>
        <v/>
      </c>
      <c r="BG66" s="108" t="str">
        <f aca="false">IF($AW66&gt;$AV$7,"",VLOOKUP($AW66,$AY$8:$BE$507,2,FALSE()))</f>
        <v/>
      </c>
      <c r="BH66" s="108" t="str">
        <f aca="false">IF($AW66&gt;$AV$7,"",VLOOKUP($AW66,$AY$8:$BE$507,3,FALSE()))</f>
        <v/>
      </c>
      <c r="BI66" s="108" t="str">
        <f aca="false">IF($AW66&gt;$AV$7,"",VLOOKUP($AW66,$AY$8:$BE$507,4,FALSE()))</f>
        <v/>
      </c>
      <c r="BJ66" s="108" t="str">
        <f aca="false">IF($AW66&gt;$AV$7,"",VLOOKUP($AW66,$AY$8:$BE$507,5,FALSE()))</f>
        <v/>
      </c>
      <c r="BK66" s="109" t="str">
        <f aca="false">IF($AW66&gt;$AV$7,"",VLOOKUP($AW66,$AY$8:$BE$507,6,FALSE()))</f>
        <v/>
      </c>
      <c r="BL66" s="50"/>
    </row>
    <row r="67" customFormat="false" ht="15.75" hidden="false" customHeight="false" outlineLevel="0" collapsed="false">
      <c r="A67" s="5"/>
      <c r="B67" s="124"/>
      <c r="C67" s="125"/>
      <c r="D67" s="110"/>
      <c r="E67" s="130"/>
      <c r="F67" s="135"/>
      <c r="G67" s="88"/>
      <c r="H67" s="136"/>
      <c r="I67" s="137"/>
      <c r="J67" s="91"/>
      <c r="K67" s="92"/>
      <c r="L67" s="137"/>
      <c r="M67" s="93"/>
      <c r="N67" s="94"/>
      <c r="O67" s="130"/>
      <c r="P67" s="96"/>
      <c r="Q67" s="97" t="str">
        <f aca="false">IF(ISBLANK($C67),"",IF(E67=Constants!$B$2, TRUE(), IF(E67=Constants!$B$3, FALSE(), TRUE())))</f>
        <v/>
      </c>
      <c r="R67" s="97" t="str">
        <f aca="false">IF(ISBLANK($C67),"",IF(F67=Constants!$B$2, TRUE(), IF(F67=Constants!$B$3, FALSE(), TRUE())))</f>
        <v/>
      </c>
      <c r="S67" s="97" t="str">
        <f aca="false">IF(ISBLANK($C67),"",IF(G67=Constants!$B$15,Constants!$B$8,IF(G67=Constants!$B$16,Constants!$B$9,Constants!$B$10)))</f>
        <v/>
      </c>
      <c r="T67" s="97" t="str">
        <f aca="false">IF(ISBLANK($C67),"",IF(H67=Constants!$B$2, TRUE(), IF(H67=Constants!$B$3, FALSE(), TRUE())))</f>
        <v/>
      </c>
      <c r="U67" s="97" t="str">
        <f aca="false">IF(ISBLANK($C67),"",IF(I67=Constants!$B$19,Constants!$B$19,Constants!$B$18))</f>
        <v/>
      </c>
      <c r="V67" s="97" t="str">
        <f aca="false">IF(ISBLANK($C67),"",IF(COUNTA(J67:K67)=0,"",IF(AND(OR(ISBLANK(J67),AND(ISNUMBER(J67),J67&gt;=0)),OR(ISBLANK(K67),AND(ISNUMBER(K67),K67&gt;=0))),60*IF(ISBLANK(J67),0,J67)+IF(ISBLANK(K67),0,K67),"")))</f>
        <v/>
      </c>
      <c r="W67" s="97" t="str">
        <f aca="false">IF(ISBLANK($C67),"",IF(L67=Constants!$B$19,Constants!$B$19,Constants!$B$18))</f>
        <v/>
      </c>
      <c r="X67" s="97" t="str">
        <f aca="false">IF(ISBLANK($C67),"",IF(COUNTA(M67:N67)=0,"",IF(AND(OR(ISBLANK(M67),AND(ISNUMBER(M67),M67&gt;=0)),OR(ISBLANK(N67),AND(ISNUMBER(N67),N67&gt;=0))),60*IF(ISBLANK(M67),0,M67)+IF(ISBLANK(N67),0,N67),"")))</f>
        <v/>
      </c>
      <c r="Y67" s="97" t="str">
        <f aca="false">IF(ISBLANK($C67),"",IF(O67=Constants!$B$2, TRUE(), IF(O67=Constants!$B$3, FALSE(), FALSE())))</f>
        <v/>
      </c>
      <c r="Z67" s="97" t="str">
        <f aca="false">IF(ISBLANK($C67),"",IF(Y67,Constants!$B$4,IF(COUNTA(E67:N67)=0,Constants!$B$5,IF(COUNTA(J67:K67,M67:N67)=0,Constants!$B$6,Constants!$B$7))))</f>
        <v/>
      </c>
      <c r="AA67" s="97" t="str">
        <f aca="false">IF(ISBLANK($C67),"",IF($Z67&lt;&gt;Constants!$B$7,$Z67,IF(OR(NOT(T67),AND(NOT(Q67),COUNTIFS(U67:W67,Constants!$B$18,V67:X67,"&gt;=0")&gt;0),AND(NOT(R67),COUNTIFS(U67:W67,Constants!$B$19,V67:X67,"&gt;=0")&gt;0)),Constants!$B$12,Constants!$B$11)))</f>
        <v/>
      </c>
      <c r="AB67" s="97" t="str">
        <f aca="false">IF($Z67=Constants!$B$7,IF(V67="",Constants!$B$13,V67),"")</f>
        <v/>
      </c>
      <c r="AC67" s="97" t="str">
        <f aca="false">IF($Z67=Constants!$B$7,IF(X67="",Constants!$B$13,X67),"")</f>
        <v/>
      </c>
      <c r="AD67" s="97" t="str">
        <f aca="false">IF($Z67=Constants!$B$7,IF($AB67&gt;=$AC67,1,2),"")</f>
        <v/>
      </c>
      <c r="AE67" s="97" t="str">
        <f aca="false">IF($Z67=Constants!$B$7,LARGE(AB67:AC67,1),"")</f>
        <v/>
      </c>
      <c r="AF67" s="97" t="str">
        <f aca="false">IF(ISBLANK($C67),"",IF($Z67&lt;&gt;Constants!$B$7,$Z67,AE67*S67))</f>
        <v/>
      </c>
      <c r="AG67" s="97" t="str">
        <f aca="false">IF(ISBLANK($C67),"",IF($Z67=Constants!$B$7,IF(ISNUMBER(AF67),RANK(AF67,$AF$8:$AF$507),Constants!$B$14),$Z67))</f>
        <v/>
      </c>
      <c r="AH67" s="97" t="str">
        <f aca="false">IF(ISBLANK($C67),"",IF($Z67=Constants!$B$7,IF(ISNUMBER(AG67),COUNTIFS($AA$8:$AA$507,"&lt;"&amp;$AA67)+COUNTIFS($AA$8:$AA$507,$AA67,$AG$8:$AG$507,"&lt;"&amp;$AG67)+1,Constants!$B$14),$Z67))</f>
        <v/>
      </c>
      <c r="AI67" s="97" t="str">
        <f aca="false">IF(ISBLANK($C67),"",IF($Z67=Constants!$B$7,LARGE(AB67:AC67,2)*S67,""))</f>
        <v/>
      </c>
      <c r="AJ67" s="97" t="str">
        <f aca="false">IF(ISBLANK($C67),"",IF($Z67=Constants!$B$7,RANK(AI67,$AI$8:$AI$507),$Z67))</f>
        <v/>
      </c>
      <c r="AK67" s="97" t="str">
        <f aca="false">IF(ISBLANK($C67),"",IF($Z67=Constants!$B$7,IF(ISNUMBER(AG67),COUNTIFS($AA$8:$AA$507,"&lt;"&amp;$AA67)+COUNTIFS($AA$8:$AA$507,$AA67,$AG$8:$AG$507,"&lt;"&amp;$AG67)+COUNTIFS($AA$8:$AA$507,$AA67,$AG$8:$AG$507,$AG67,$AJ$8:$AJ$507,"&lt;"&amp;$AJ67)+1,Constants!$B$14),$Z67))</f>
        <v/>
      </c>
      <c r="AL67" s="97" t="str">
        <f aca="false">IF(ISBLANK($C67),"",IF($Z67=Constants!$B$7,IF(ISNUMBER(AH67),AH67-AK67,Constants!$B$14),$Z67))</f>
        <v/>
      </c>
      <c r="AM67" s="98"/>
      <c r="AN67" s="99" t="str">
        <f aca="false">IF(ISBLANK($C67),"",IF($Z67&lt;&gt;Constants!$B$7,$Z67,AD67))</f>
        <v/>
      </c>
      <c r="AO67" s="100" t="str">
        <f aca="false">IF(ISBLANK($C67),"",IF($Z67&lt;&gt;Constants!$B$7,$Z67,S67))</f>
        <v/>
      </c>
      <c r="AP67" s="101" t="str">
        <f aca="false">IF(ISBLANK($C67),"",IF($Z67&lt;&gt;Constants!$B$7,$Z67,AF67))</f>
        <v/>
      </c>
      <c r="AQ67" s="102" t="str">
        <f aca="false">IF(ISBLANK($C67),"",IF($Z67&lt;&gt;Constants!$B$7,$Z67,AA67))</f>
        <v/>
      </c>
      <c r="AR67" s="100" t="str">
        <f aca="false">IF(ISBLANK($C67),"",AL67)</f>
        <v/>
      </c>
      <c r="AS67" s="100" t="str">
        <f aca="false">IF(ISBLANK($C67),"",AK67)</f>
        <v/>
      </c>
      <c r="AT67" s="103" t="str">
        <f aca="false">IF(ISBLANK($C67),"",IF(AS67=Constants!$B$4,COUNTA($C$8:$C$507)+2,IF(AS67=Constants!$B$5,COUNTA($C$8:$C$507)+1,IF(AS67=Constants!$B$6,COUNTA($C$8:$C$507),AS67))))</f>
        <v/>
      </c>
      <c r="AU67" s="5"/>
      <c r="AV67" s="104" t="n">
        <f aca="false">IF(OR(ISNUMBER(AS67),AS67=Constants!$B$4,AS67=Constants!$B$6,AS67=Constants!$B$5),1,0)</f>
        <v>0</v>
      </c>
      <c r="AW67" s="104" t="n">
        <v>60</v>
      </c>
      <c r="AX67" s="104" t="str">
        <f aca="false">IF(ISBLANK($C67),"",IF(ISNUMBER(AT67),AT67+ROW($B67)/1000,""))</f>
        <v/>
      </c>
      <c r="AY67" s="104" t="str">
        <f aca="false">IF(ISNUMBER(AX67),RANK(AX67,$AX$8:$AX$507,1),"")</f>
        <v/>
      </c>
      <c r="AZ67" s="104" t="str">
        <f aca="false">IF(ISBLANK($C67),"",$B67)</f>
        <v/>
      </c>
      <c r="BA67" s="104" t="str">
        <f aca="false">IF(ISBLANK($C67),"",$C67)</f>
        <v/>
      </c>
      <c r="BB67" s="104" t="str">
        <f aca="false">IF(ISBLANK($C67),"",$D67)</f>
        <v/>
      </c>
      <c r="BC67" s="105" t="str">
        <f aca="false">AQ67</f>
        <v/>
      </c>
      <c r="BD67" s="106" t="str">
        <f aca="false">AP67</f>
        <v/>
      </c>
      <c r="BE67" s="104" t="str">
        <f aca="false">IF(ISBLANK($C67),"",AS67)</f>
        <v/>
      </c>
      <c r="BF67" s="107" t="str">
        <f aca="false">IF($AW67&gt;$AV$7,"",VLOOKUP($AW67,$AY$8:$BE$507,7,FALSE()))</f>
        <v/>
      </c>
      <c r="BG67" s="108" t="str">
        <f aca="false">IF($AW67&gt;$AV$7,"",VLOOKUP($AW67,$AY$8:$BE$507,2,FALSE()))</f>
        <v/>
      </c>
      <c r="BH67" s="108" t="str">
        <f aca="false">IF($AW67&gt;$AV$7,"",VLOOKUP($AW67,$AY$8:$BE$507,3,FALSE()))</f>
        <v/>
      </c>
      <c r="BI67" s="108" t="str">
        <f aca="false">IF($AW67&gt;$AV$7,"",VLOOKUP($AW67,$AY$8:$BE$507,4,FALSE()))</f>
        <v/>
      </c>
      <c r="BJ67" s="108" t="str">
        <f aca="false">IF($AW67&gt;$AV$7,"",VLOOKUP($AW67,$AY$8:$BE$507,5,FALSE()))</f>
        <v/>
      </c>
      <c r="BK67" s="109" t="str">
        <f aca="false">IF($AW67&gt;$AV$7,"",VLOOKUP($AW67,$AY$8:$BE$507,6,FALSE()))</f>
        <v/>
      </c>
      <c r="BL67" s="50"/>
    </row>
    <row r="68" customFormat="false" ht="15.75" hidden="false" customHeight="false" outlineLevel="0" collapsed="false">
      <c r="A68" s="5"/>
      <c r="B68" s="131"/>
      <c r="C68" s="52"/>
      <c r="D68" s="53"/>
      <c r="E68" s="80"/>
      <c r="F68" s="132"/>
      <c r="G68" s="56"/>
      <c r="H68" s="133"/>
      <c r="I68" s="134"/>
      <c r="J68" s="59"/>
      <c r="K68" s="60"/>
      <c r="L68" s="134"/>
      <c r="M68" s="61"/>
      <c r="N68" s="62"/>
      <c r="O68" s="80"/>
      <c r="P68" s="64"/>
      <c r="Q68" s="65" t="str">
        <f aca="false">IF(ISBLANK($C68),"",IF(E68=Constants!$B$2, TRUE(), IF(E68=Constants!$B$3, FALSE(), TRUE())))</f>
        <v/>
      </c>
      <c r="R68" s="65" t="str">
        <f aca="false">IF(ISBLANK($C68),"",IF(F68=Constants!$B$2, TRUE(), IF(F68=Constants!$B$3, FALSE(), TRUE())))</f>
        <v/>
      </c>
      <c r="S68" s="65" t="str">
        <f aca="false">IF(ISBLANK($C68),"",IF(G68=Constants!$B$15,Constants!$B$8,IF(G68=Constants!$B$16,Constants!$B$9,Constants!$B$10)))</f>
        <v/>
      </c>
      <c r="T68" s="65" t="str">
        <f aca="false">IF(ISBLANK($C68),"",IF(H68=Constants!$B$2, TRUE(), IF(H68=Constants!$B$3, FALSE(), TRUE())))</f>
        <v/>
      </c>
      <c r="U68" s="65" t="str">
        <f aca="false">IF(ISBLANK($C68),"",IF(I68=Constants!$B$19,Constants!$B$19,Constants!$B$18))</f>
        <v/>
      </c>
      <c r="V68" s="65" t="str">
        <f aca="false">IF(ISBLANK($C68),"",IF(COUNTA(J68:K68)=0,"",IF(AND(OR(ISBLANK(J68),AND(ISNUMBER(J68),J68&gt;=0)),OR(ISBLANK(K68),AND(ISNUMBER(K68),K68&gt;=0))),60*IF(ISBLANK(J68),0,J68)+IF(ISBLANK(K68),0,K68),"")))</f>
        <v/>
      </c>
      <c r="W68" s="65" t="str">
        <f aca="false">IF(ISBLANK($C68),"",IF(L68=Constants!$B$19,Constants!$B$19,Constants!$B$18))</f>
        <v/>
      </c>
      <c r="X68" s="65" t="str">
        <f aca="false">IF(ISBLANK($C68),"",IF(COUNTA(M68:N68)=0,"",IF(AND(OR(ISBLANK(M68),AND(ISNUMBER(M68),M68&gt;=0)),OR(ISBLANK(N68),AND(ISNUMBER(N68),N68&gt;=0))),60*IF(ISBLANK(M68),0,M68)+IF(ISBLANK(N68),0,N68),"")))</f>
        <v/>
      </c>
      <c r="Y68" s="65" t="str">
        <f aca="false">IF(ISBLANK($C68),"",IF(O68=Constants!$B$2, TRUE(), IF(O68=Constants!$B$3, FALSE(), FALSE())))</f>
        <v/>
      </c>
      <c r="Z68" s="65" t="str">
        <f aca="false">IF(ISBLANK($C68),"",IF(Y68,Constants!$B$4,IF(COUNTA(E68:N68)=0,Constants!$B$5,IF(COUNTA(J68:K68,M68:N68)=0,Constants!$B$6,Constants!$B$7))))</f>
        <v/>
      </c>
      <c r="AA68" s="65" t="str">
        <f aca="false">IF(ISBLANK($C68),"",IF($Z68&lt;&gt;Constants!$B$7,$Z68,IF(OR(NOT(T68),AND(NOT(Q68),COUNTIFS(U68:W68,Constants!$B$18,V68:X68,"&gt;=0")&gt;0),AND(NOT(R68),COUNTIFS(U68:W68,Constants!$B$19,V68:X68,"&gt;=0")&gt;0)),Constants!$B$12,Constants!$B$11)))</f>
        <v/>
      </c>
      <c r="AB68" s="65" t="str">
        <f aca="false">IF($Z68=Constants!$B$7,IF(V68="",Constants!$B$13,V68),"")</f>
        <v/>
      </c>
      <c r="AC68" s="65" t="str">
        <f aca="false">IF($Z68=Constants!$B$7,IF(X68="",Constants!$B$13,X68),"")</f>
        <v/>
      </c>
      <c r="AD68" s="65" t="str">
        <f aca="false">IF($Z68=Constants!$B$7,IF($AB68&gt;=$AC68,1,2),"")</f>
        <v/>
      </c>
      <c r="AE68" s="65" t="str">
        <f aca="false">IF($Z68=Constants!$B$7,LARGE(AB68:AC68,1),"")</f>
        <v/>
      </c>
      <c r="AF68" s="65" t="str">
        <f aca="false">IF(ISBLANK($C68),"",IF($Z68&lt;&gt;Constants!$B$7,$Z68,AE68*S68))</f>
        <v/>
      </c>
      <c r="AG68" s="65" t="str">
        <f aca="false">IF(ISBLANK($C68),"",IF($Z68=Constants!$B$7,IF(ISNUMBER(AF68),RANK(AF68,$AF$8:$AF$507),Constants!$B$14),$Z68))</f>
        <v/>
      </c>
      <c r="AH68" s="65" t="str">
        <f aca="false">IF(ISBLANK($C68),"",IF($Z68=Constants!$B$7,IF(ISNUMBER(AG68),COUNTIFS($AA$8:$AA$507,"&lt;"&amp;$AA68)+COUNTIFS($AA$8:$AA$507,$AA68,$AG$8:$AG$507,"&lt;"&amp;$AG68)+1,Constants!$B$14),$Z68))</f>
        <v/>
      </c>
      <c r="AI68" s="65" t="str">
        <f aca="false">IF(ISBLANK($C68),"",IF($Z68=Constants!$B$7,LARGE(AB68:AC68,2)*S68,""))</f>
        <v/>
      </c>
      <c r="AJ68" s="65" t="str">
        <f aca="false">IF(ISBLANK($C68),"",IF($Z68=Constants!$B$7,RANK(AI68,$AI$8:$AI$507),$Z68))</f>
        <v/>
      </c>
      <c r="AK68" s="65" t="str">
        <f aca="false">IF(ISBLANK($C68),"",IF($Z68=Constants!$B$7,IF(ISNUMBER(AG68),COUNTIFS($AA$8:$AA$507,"&lt;"&amp;$AA68)+COUNTIFS($AA$8:$AA$507,$AA68,$AG$8:$AG$507,"&lt;"&amp;$AG68)+COUNTIFS($AA$8:$AA$507,$AA68,$AG$8:$AG$507,$AG68,$AJ$8:$AJ$507,"&lt;"&amp;$AJ68)+1,Constants!$B$14),$Z68))</f>
        <v/>
      </c>
      <c r="AL68" s="65" t="str">
        <f aca="false">IF(ISBLANK($C68),"",IF($Z68=Constants!$B$7,IF(ISNUMBER(AH68),AH68-AK68,Constants!$B$14),$Z68))</f>
        <v/>
      </c>
      <c r="AM68" s="67"/>
      <c r="AN68" s="68" t="str">
        <f aca="false">IF(ISBLANK($C68),"",IF($Z68&lt;&gt;Constants!$B$7,$Z68,AD68))</f>
        <v/>
      </c>
      <c r="AO68" s="69" t="str">
        <f aca="false">IF(ISBLANK($C68),"",IF($Z68&lt;&gt;Constants!$B$7,$Z68,S68))</f>
        <v/>
      </c>
      <c r="AP68" s="70" t="str">
        <f aca="false">IF(ISBLANK($C68),"",IF($Z68&lt;&gt;Constants!$B$7,$Z68,AF68))</f>
        <v/>
      </c>
      <c r="AQ68" s="71" t="str">
        <f aca="false">IF(ISBLANK($C68),"",IF($Z68&lt;&gt;Constants!$B$7,$Z68,AA68))</f>
        <v/>
      </c>
      <c r="AR68" s="69" t="str">
        <f aca="false">IF(ISBLANK($C68),"",AL68)</f>
        <v/>
      </c>
      <c r="AS68" s="69" t="str">
        <f aca="false">IF(ISBLANK($C68),"",AK68)</f>
        <v/>
      </c>
      <c r="AT68" s="72" t="str">
        <f aca="false">IF(ISBLANK($C68),"",IF(AS68=Constants!$B$4,COUNTA($C$8:$C$507)+2,IF(AS68=Constants!$B$5,COUNTA($C$8:$C$507)+1,IF(AS68=Constants!$B$6,COUNTA($C$8:$C$507),AS68))))</f>
        <v/>
      </c>
      <c r="AU68" s="5"/>
      <c r="AV68" s="73" t="n">
        <f aca="false">IF(OR(ISNUMBER(AS68),AS68=Constants!$B$4,AS68=Constants!$B$6,AS68=Constants!$B$5),1,0)</f>
        <v>0</v>
      </c>
      <c r="AW68" s="73" t="n">
        <v>61</v>
      </c>
      <c r="AX68" s="73" t="str">
        <f aca="false">IF(ISBLANK($C68),"",IF(ISNUMBER(AT68),AT68+ROW($B68)/1000,""))</f>
        <v/>
      </c>
      <c r="AY68" s="73" t="str">
        <f aca="false">IF(ISNUMBER(AX68),RANK(AX68,$AX$8:$AX$507,1),"")</f>
        <v/>
      </c>
      <c r="AZ68" s="73" t="str">
        <f aca="false">IF(ISBLANK($C68),"",$B68)</f>
        <v/>
      </c>
      <c r="BA68" s="73" t="str">
        <f aca="false">IF(ISBLANK($C68),"",$C68)</f>
        <v/>
      </c>
      <c r="BB68" s="73" t="str">
        <f aca="false">IF(ISBLANK($C68),"",$D68)</f>
        <v/>
      </c>
      <c r="BC68" s="74" t="str">
        <f aca="false">AQ68</f>
        <v/>
      </c>
      <c r="BD68" s="75" t="str">
        <f aca="false">AP68</f>
        <v/>
      </c>
      <c r="BE68" s="73" t="str">
        <f aca="false">IF(ISBLANK($C68),"",AS68)</f>
        <v/>
      </c>
      <c r="BF68" s="76" t="str">
        <f aca="false">IF($AW68&gt;$AV$7,"",VLOOKUP($AW68,$AY$8:$BE$507,7,FALSE()))</f>
        <v/>
      </c>
      <c r="BG68" s="77" t="str">
        <f aca="false">IF($AW68&gt;$AV$7,"",VLOOKUP($AW68,$AY$8:$BE$507,2,FALSE()))</f>
        <v/>
      </c>
      <c r="BH68" s="77" t="str">
        <f aca="false">IF($AW68&gt;$AV$7,"",VLOOKUP($AW68,$AY$8:$BE$507,3,FALSE()))</f>
        <v/>
      </c>
      <c r="BI68" s="77" t="str">
        <f aca="false">IF($AW68&gt;$AV$7,"",VLOOKUP($AW68,$AY$8:$BE$507,4,FALSE()))</f>
        <v/>
      </c>
      <c r="BJ68" s="77" t="str">
        <f aca="false">IF($AW68&gt;$AV$7,"",VLOOKUP($AW68,$AY$8:$BE$507,5,FALSE()))</f>
        <v/>
      </c>
      <c r="BK68" s="78" t="str">
        <f aca="false">IF($AW68&gt;$AV$7,"",VLOOKUP($AW68,$AY$8:$BE$507,6,FALSE()))</f>
        <v/>
      </c>
      <c r="BL68" s="50"/>
    </row>
    <row r="69" customFormat="false" ht="15.75" hidden="false" customHeight="false" outlineLevel="0" collapsed="false">
      <c r="A69" s="5"/>
      <c r="B69" s="131"/>
      <c r="C69" s="52"/>
      <c r="D69" s="53"/>
      <c r="E69" s="80"/>
      <c r="F69" s="132"/>
      <c r="G69" s="56"/>
      <c r="H69" s="133"/>
      <c r="I69" s="134"/>
      <c r="J69" s="59"/>
      <c r="K69" s="60"/>
      <c r="L69" s="134"/>
      <c r="M69" s="61"/>
      <c r="N69" s="62"/>
      <c r="O69" s="80"/>
      <c r="P69" s="64"/>
      <c r="Q69" s="65" t="str">
        <f aca="false">IF(ISBLANK($C69),"",IF(E69=Constants!$B$2, TRUE(), IF(E69=Constants!$B$3, FALSE(), TRUE())))</f>
        <v/>
      </c>
      <c r="R69" s="65" t="str">
        <f aca="false">IF(ISBLANK($C69),"",IF(F69=Constants!$B$2, TRUE(), IF(F69=Constants!$B$3, FALSE(), TRUE())))</f>
        <v/>
      </c>
      <c r="S69" s="65" t="str">
        <f aca="false">IF(ISBLANK($C69),"",IF(G69=Constants!$B$15,Constants!$B$8,IF(G69=Constants!$B$16,Constants!$B$9,Constants!$B$10)))</f>
        <v/>
      </c>
      <c r="T69" s="65" t="str">
        <f aca="false">IF(ISBLANK($C69),"",IF(H69=Constants!$B$2, TRUE(), IF(H69=Constants!$B$3, FALSE(), TRUE())))</f>
        <v/>
      </c>
      <c r="U69" s="65" t="str">
        <f aca="false">IF(ISBLANK($C69),"",IF(I69=Constants!$B$19,Constants!$B$19,Constants!$B$18))</f>
        <v/>
      </c>
      <c r="V69" s="65" t="str">
        <f aca="false">IF(ISBLANK($C69),"",IF(COUNTA(J69:K69)=0,"",IF(AND(OR(ISBLANK(J69),AND(ISNUMBER(J69),J69&gt;=0)),OR(ISBLANK(K69),AND(ISNUMBER(K69),K69&gt;=0))),60*IF(ISBLANK(J69),0,J69)+IF(ISBLANK(K69),0,K69),"")))</f>
        <v/>
      </c>
      <c r="W69" s="65" t="str">
        <f aca="false">IF(ISBLANK($C69),"",IF(L69=Constants!$B$19,Constants!$B$19,Constants!$B$18))</f>
        <v/>
      </c>
      <c r="X69" s="65" t="str">
        <f aca="false">IF(ISBLANK($C69),"",IF(COUNTA(M69:N69)=0,"",IF(AND(OR(ISBLANK(M69),AND(ISNUMBER(M69),M69&gt;=0)),OR(ISBLANK(N69),AND(ISNUMBER(N69),N69&gt;=0))),60*IF(ISBLANK(M69),0,M69)+IF(ISBLANK(N69),0,N69),"")))</f>
        <v/>
      </c>
      <c r="Y69" s="65" t="str">
        <f aca="false">IF(ISBLANK($C69),"",IF(O69=Constants!$B$2, TRUE(), IF(O69=Constants!$B$3, FALSE(), FALSE())))</f>
        <v/>
      </c>
      <c r="Z69" s="65" t="str">
        <f aca="false">IF(ISBLANK($C69),"",IF(Y69,Constants!$B$4,IF(COUNTA(E69:N69)=0,Constants!$B$5,IF(COUNTA(J69:K69,M69:N69)=0,Constants!$B$6,Constants!$B$7))))</f>
        <v/>
      </c>
      <c r="AA69" s="65" t="str">
        <f aca="false">IF(ISBLANK($C69),"",IF($Z69&lt;&gt;Constants!$B$7,$Z69,IF(OR(NOT(T69),AND(NOT(Q69),COUNTIFS(U69:W69,Constants!$B$18,V69:X69,"&gt;=0")&gt;0),AND(NOT(R69),COUNTIFS(U69:W69,Constants!$B$19,V69:X69,"&gt;=0")&gt;0)),Constants!$B$12,Constants!$B$11)))</f>
        <v/>
      </c>
      <c r="AB69" s="65" t="str">
        <f aca="false">IF($Z69=Constants!$B$7,IF(V69="",Constants!$B$13,V69),"")</f>
        <v/>
      </c>
      <c r="AC69" s="65" t="str">
        <f aca="false">IF($Z69=Constants!$B$7,IF(X69="",Constants!$B$13,X69),"")</f>
        <v/>
      </c>
      <c r="AD69" s="65" t="str">
        <f aca="false">IF($Z69=Constants!$B$7,IF($AB69&gt;=$AC69,1,2),"")</f>
        <v/>
      </c>
      <c r="AE69" s="65" t="str">
        <f aca="false">IF($Z69=Constants!$B$7,LARGE(AB69:AC69,1),"")</f>
        <v/>
      </c>
      <c r="AF69" s="65" t="str">
        <f aca="false">IF(ISBLANK($C69),"",IF($Z69&lt;&gt;Constants!$B$7,$Z69,AE69*S69))</f>
        <v/>
      </c>
      <c r="AG69" s="65" t="str">
        <f aca="false">IF(ISBLANK($C69),"",IF($Z69=Constants!$B$7,IF(ISNUMBER(AF69),RANK(AF69,$AF$8:$AF$507),Constants!$B$14),$Z69))</f>
        <v/>
      </c>
      <c r="AH69" s="65" t="str">
        <f aca="false">IF(ISBLANK($C69),"",IF($Z69=Constants!$B$7,IF(ISNUMBER(AG69),COUNTIFS($AA$8:$AA$507,"&lt;"&amp;$AA69)+COUNTIFS($AA$8:$AA$507,$AA69,$AG$8:$AG$507,"&lt;"&amp;$AG69)+1,Constants!$B$14),$Z69))</f>
        <v/>
      </c>
      <c r="AI69" s="65" t="str">
        <f aca="false">IF(ISBLANK($C69),"",IF($Z69=Constants!$B$7,LARGE(AB69:AC69,2)*S69,""))</f>
        <v/>
      </c>
      <c r="AJ69" s="65" t="str">
        <f aca="false">IF(ISBLANK($C69),"",IF($Z69=Constants!$B$7,RANK(AI69,$AI$8:$AI$507),$Z69))</f>
        <v/>
      </c>
      <c r="AK69" s="65" t="str">
        <f aca="false">IF(ISBLANK($C69),"",IF($Z69=Constants!$B$7,IF(ISNUMBER(AG69),COUNTIFS($AA$8:$AA$507,"&lt;"&amp;$AA69)+COUNTIFS($AA$8:$AA$507,$AA69,$AG$8:$AG$507,"&lt;"&amp;$AG69)+COUNTIFS($AA$8:$AA$507,$AA69,$AG$8:$AG$507,$AG69,$AJ$8:$AJ$507,"&lt;"&amp;$AJ69)+1,Constants!$B$14),$Z69))</f>
        <v/>
      </c>
      <c r="AL69" s="65" t="str">
        <f aca="false">IF(ISBLANK($C69),"",IF($Z69=Constants!$B$7,IF(ISNUMBER(AH69),AH69-AK69,Constants!$B$14),$Z69))</f>
        <v/>
      </c>
      <c r="AM69" s="67"/>
      <c r="AN69" s="68" t="str">
        <f aca="false">IF(ISBLANK($C69),"",IF($Z69&lt;&gt;Constants!$B$7,$Z69,AD69))</f>
        <v/>
      </c>
      <c r="AO69" s="69" t="str">
        <f aca="false">IF(ISBLANK($C69),"",IF($Z69&lt;&gt;Constants!$B$7,$Z69,S69))</f>
        <v/>
      </c>
      <c r="AP69" s="70" t="str">
        <f aca="false">IF(ISBLANK($C69),"",IF($Z69&lt;&gt;Constants!$B$7,$Z69,AF69))</f>
        <v/>
      </c>
      <c r="AQ69" s="71" t="str">
        <f aca="false">IF(ISBLANK($C69),"",IF($Z69&lt;&gt;Constants!$B$7,$Z69,AA69))</f>
        <v/>
      </c>
      <c r="AR69" s="69" t="str">
        <f aca="false">IF(ISBLANK($C69),"",AL69)</f>
        <v/>
      </c>
      <c r="AS69" s="69" t="str">
        <f aca="false">IF(ISBLANK($C69),"",AK69)</f>
        <v/>
      </c>
      <c r="AT69" s="72" t="str">
        <f aca="false">IF(ISBLANK($C69),"",IF(AS69=Constants!$B$4,COUNTA($C$8:$C$507)+2,IF(AS69=Constants!$B$5,COUNTA($C$8:$C$507)+1,IF(AS69=Constants!$B$6,COUNTA($C$8:$C$507),AS69))))</f>
        <v/>
      </c>
      <c r="AU69" s="5"/>
      <c r="AV69" s="73" t="n">
        <f aca="false">IF(OR(ISNUMBER(AS69),AS69=Constants!$B$4,AS69=Constants!$B$6,AS69=Constants!$B$5),1,0)</f>
        <v>0</v>
      </c>
      <c r="AW69" s="73" t="n">
        <v>62</v>
      </c>
      <c r="AX69" s="73" t="str">
        <f aca="false">IF(ISBLANK($C69),"",IF(ISNUMBER(AT69),AT69+ROW($B69)/1000,""))</f>
        <v/>
      </c>
      <c r="AY69" s="73" t="str">
        <f aca="false">IF(ISNUMBER(AX69),RANK(AX69,$AX$8:$AX$507,1),"")</f>
        <v/>
      </c>
      <c r="AZ69" s="73" t="str">
        <f aca="false">IF(ISBLANK($C69),"",$B69)</f>
        <v/>
      </c>
      <c r="BA69" s="73" t="str">
        <f aca="false">IF(ISBLANK($C69),"",$C69)</f>
        <v/>
      </c>
      <c r="BB69" s="73" t="str">
        <f aca="false">IF(ISBLANK($C69),"",$D69)</f>
        <v/>
      </c>
      <c r="BC69" s="74" t="str">
        <f aca="false">AQ69</f>
        <v/>
      </c>
      <c r="BD69" s="75" t="str">
        <f aca="false">AP69</f>
        <v/>
      </c>
      <c r="BE69" s="73" t="str">
        <f aca="false">IF(ISBLANK($C69),"",AS69)</f>
        <v/>
      </c>
      <c r="BF69" s="76" t="str">
        <f aca="false">IF($AW69&gt;$AV$7,"",VLOOKUP($AW69,$AY$8:$BE$507,7,FALSE()))</f>
        <v/>
      </c>
      <c r="BG69" s="77" t="str">
        <f aca="false">IF($AW69&gt;$AV$7,"",VLOOKUP($AW69,$AY$8:$BE$507,2,FALSE()))</f>
        <v/>
      </c>
      <c r="BH69" s="77" t="str">
        <f aca="false">IF($AW69&gt;$AV$7,"",VLOOKUP($AW69,$AY$8:$BE$507,3,FALSE()))</f>
        <v/>
      </c>
      <c r="BI69" s="77" t="str">
        <f aca="false">IF($AW69&gt;$AV$7,"",VLOOKUP($AW69,$AY$8:$BE$507,4,FALSE()))</f>
        <v/>
      </c>
      <c r="BJ69" s="77" t="str">
        <f aca="false">IF($AW69&gt;$AV$7,"",VLOOKUP($AW69,$AY$8:$BE$507,5,FALSE()))</f>
        <v/>
      </c>
      <c r="BK69" s="78" t="str">
        <f aca="false">IF($AW69&gt;$AV$7,"",VLOOKUP($AW69,$AY$8:$BE$507,6,FALSE()))</f>
        <v/>
      </c>
      <c r="BL69" s="50"/>
    </row>
    <row r="70" customFormat="false" ht="15.75" hidden="false" customHeight="false" outlineLevel="0" collapsed="false">
      <c r="A70" s="5"/>
      <c r="B70" s="131"/>
      <c r="C70" s="52"/>
      <c r="D70" s="53"/>
      <c r="E70" s="80"/>
      <c r="F70" s="132"/>
      <c r="G70" s="56"/>
      <c r="H70" s="133"/>
      <c r="I70" s="134"/>
      <c r="J70" s="59"/>
      <c r="K70" s="60"/>
      <c r="L70" s="134"/>
      <c r="M70" s="61"/>
      <c r="N70" s="62"/>
      <c r="O70" s="80"/>
      <c r="P70" s="64"/>
      <c r="Q70" s="65" t="str">
        <f aca="false">IF(ISBLANK($C70),"",IF(E70=Constants!$B$2, TRUE(), IF(E70=Constants!$B$3, FALSE(), TRUE())))</f>
        <v/>
      </c>
      <c r="R70" s="65" t="str">
        <f aca="false">IF(ISBLANK($C70),"",IF(F70=Constants!$B$2, TRUE(), IF(F70=Constants!$B$3, FALSE(), TRUE())))</f>
        <v/>
      </c>
      <c r="S70" s="65" t="str">
        <f aca="false">IF(ISBLANK($C70),"",IF(G70=Constants!$B$15,Constants!$B$8,IF(G70=Constants!$B$16,Constants!$B$9,Constants!$B$10)))</f>
        <v/>
      </c>
      <c r="T70" s="65" t="str">
        <f aca="false">IF(ISBLANK($C70),"",IF(H70=Constants!$B$2, TRUE(), IF(H70=Constants!$B$3, FALSE(), TRUE())))</f>
        <v/>
      </c>
      <c r="U70" s="65" t="str">
        <f aca="false">IF(ISBLANK($C70),"",IF(I70=Constants!$B$19,Constants!$B$19,Constants!$B$18))</f>
        <v/>
      </c>
      <c r="V70" s="65" t="str">
        <f aca="false">IF(ISBLANK($C70),"",IF(COUNTA(J70:K70)=0,"",IF(AND(OR(ISBLANK(J70),AND(ISNUMBER(J70),J70&gt;=0)),OR(ISBLANK(K70),AND(ISNUMBER(K70),K70&gt;=0))),60*IF(ISBLANK(J70),0,J70)+IF(ISBLANK(K70),0,K70),"")))</f>
        <v/>
      </c>
      <c r="W70" s="65" t="str">
        <f aca="false">IF(ISBLANK($C70),"",IF(L70=Constants!$B$19,Constants!$B$19,Constants!$B$18))</f>
        <v/>
      </c>
      <c r="X70" s="65" t="str">
        <f aca="false">IF(ISBLANK($C70),"",IF(COUNTA(M70:N70)=0,"",IF(AND(OR(ISBLANK(M70),AND(ISNUMBER(M70),M70&gt;=0)),OR(ISBLANK(N70),AND(ISNUMBER(N70),N70&gt;=0))),60*IF(ISBLANK(M70),0,M70)+IF(ISBLANK(N70),0,N70),"")))</f>
        <v/>
      </c>
      <c r="Y70" s="65" t="str">
        <f aca="false">IF(ISBLANK($C70),"",IF(O70=Constants!$B$2, TRUE(), IF(O70=Constants!$B$3, FALSE(), FALSE())))</f>
        <v/>
      </c>
      <c r="Z70" s="65" t="str">
        <f aca="false">IF(ISBLANK($C70),"",IF(Y70,Constants!$B$4,IF(COUNTA(E70:N70)=0,Constants!$B$5,IF(COUNTA(J70:K70,M70:N70)=0,Constants!$B$6,Constants!$B$7))))</f>
        <v/>
      </c>
      <c r="AA70" s="65" t="str">
        <f aca="false">IF(ISBLANK($C70),"",IF($Z70&lt;&gt;Constants!$B$7,$Z70,IF(OR(NOT(T70),AND(NOT(Q70),COUNTIFS(U70:W70,Constants!$B$18,V70:X70,"&gt;=0")&gt;0),AND(NOT(R70),COUNTIFS(U70:W70,Constants!$B$19,V70:X70,"&gt;=0")&gt;0)),Constants!$B$12,Constants!$B$11)))</f>
        <v/>
      </c>
      <c r="AB70" s="65" t="str">
        <f aca="false">IF($Z70=Constants!$B$7,IF(V70="",Constants!$B$13,V70),"")</f>
        <v/>
      </c>
      <c r="AC70" s="65" t="str">
        <f aca="false">IF($Z70=Constants!$B$7,IF(X70="",Constants!$B$13,X70),"")</f>
        <v/>
      </c>
      <c r="AD70" s="65" t="str">
        <f aca="false">IF($Z70=Constants!$B$7,IF($AB70&gt;=$AC70,1,2),"")</f>
        <v/>
      </c>
      <c r="AE70" s="65" t="str">
        <f aca="false">IF($Z70=Constants!$B$7,LARGE(AB70:AC70,1),"")</f>
        <v/>
      </c>
      <c r="AF70" s="65" t="str">
        <f aca="false">IF(ISBLANK($C70),"",IF($Z70&lt;&gt;Constants!$B$7,$Z70,AE70*S70))</f>
        <v/>
      </c>
      <c r="AG70" s="65" t="str">
        <f aca="false">IF(ISBLANK($C70),"",IF($Z70=Constants!$B$7,IF(ISNUMBER(AF70),RANK(AF70,$AF$8:$AF$507),Constants!$B$14),$Z70))</f>
        <v/>
      </c>
      <c r="AH70" s="65" t="str">
        <f aca="false">IF(ISBLANK($C70),"",IF($Z70=Constants!$B$7,IF(ISNUMBER(AG70),COUNTIFS($AA$8:$AA$507,"&lt;"&amp;$AA70)+COUNTIFS($AA$8:$AA$507,$AA70,$AG$8:$AG$507,"&lt;"&amp;$AG70)+1,Constants!$B$14),$Z70))</f>
        <v/>
      </c>
      <c r="AI70" s="65" t="str">
        <f aca="false">IF(ISBLANK($C70),"",IF($Z70=Constants!$B$7,LARGE(AB70:AC70,2)*S70,""))</f>
        <v/>
      </c>
      <c r="AJ70" s="65" t="str">
        <f aca="false">IF(ISBLANK($C70),"",IF($Z70=Constants!$B$7,RANK(AI70,$AI$8:$AI$507),$Z70))</f>
        <v/>
      </c>
      <c r="AK70" s="65" t="str">
        <f aca="false">IF(ISBLANK($C70),"",IF($Z70=Constants!$B$7,IF(ISNUMBER(AG70),COUNTIFS($AA$8:$AA$507,"&lt;"&amp;$AA70)+COUNTIFS($AA$8:$AA$507,$AA70,$AG$8:$AG$507,"&lt;"&amp;$AG70)+COUNTIFS($AA$8:$AA$507,$AA70,$AG$8:$AG$507,$AG70,$AJ$8:$AJ$507,"&lt;"&amp;$AJ70)+1,Constants!$B$14),$Z70))</f>
        <v/>
      </c>
      <c r="AL70" s="65" t="str">
        <f aca="false">IF(ISBLANK($C70),"",IF($Z70=Constants!$B$7,IF(ISNUMBER(AH70),AH70-AK70,Constants!$B$14),$Z70))</f>
        <v/>
      </c>
      <c r="AM70" s="67"/>
      <c r="AN70" s="68" t="str">
        <f aca="false">IF(ISBLANK($C70),"",IF($Z70&lt;&gt;Constants!$B$7,$Z70,AD70))</f>
        <v/>
      </c>
      <c r="AO70" s="69" t="str">
        <f aca="false">IF(ISBLANK($C70),"",IF($Z70&lt;&gt;Constants!$B$7,$Z70,S70))</f>
        <v/>
      </c>
      <c r="AP70" s="70" t="str">
        <f aca="false">IF(ISBLANK($C70),"",IF($Z70&lt;&gt;Constants!$B$7,$Z70,AF70))</f>
        <v/>
      </c>
      <c r="AQ70" s="71" t="str">
        <f aca="false">IF(ISBLANK($C70),"",IF($Z70&lt;&gt;Constants!$B$7,$Z70,AA70))</f>
        <v/>
      </c>
      <c r="AR70" s="69" t="str">
        <f aca="false">IF(ISBLANK($C70),"",AL70)</f>
        <v/>
      </c>
      <c r="AS70" s="69" t="str">
        <f aca="false">IF(ISBLANK($C70),"",AK70)</f>
        <v/>
      </c>
      <c r="AT70" s="72" t="str">
        <f aca="false">IF(ISBLANK($C70),"",IF(AS70=Constants!$B$4,COUNTA($C$8:$C$507)+2,IF(AS70=Constants!$B$5,COUNTA($C$8:$C$507)+1,IF(AS70=Constants!$B$6,COUNTA($C$8:$C$507),AS70))))</f>
        <v/>
      </c>
      <c r="AU70" s="5"/>
      <c r="AV70" s="73" t="n">
        <f aca="false">IF(OR(ISNUMBER(AS70),AS70=Constants!$B$4,AS70=Constants!$B$6,AS70=Constants!$B$5),1,0)</f>
        <v>0</v>
      </c>
      <c r="AW70" s="73" t="n">
        <v>63</v>
      </c>
      <c r="AX70" s="73" t="str">
        <f aca="false">IF(ISBLANK($C70),"",IF(ISNUMBER(AT70),AT70+ROW($B70)/1000,""))</f>
        <v/>
      </c>
      <c r="AY70" s="73" t="str">
        <f aca="false">IF(ISNUMBER(AX70),RANK(AX70,$AX$8:$AX$507,1),"")</f>
        <v/>
      </c>
      <c r="AZ70" s="73" t="str">
        <f aca="false">IF(ISBLANK($C70),"",$B70)</f>
        <v/>
      </c>
      <c r="BA70" s="73" t="str">
        <f aca="false">IF(ISBLANK($C70),"",$C70)</f>
        <v/>
      </c>
      <c r="BB70" s="73" t="str">
        <f aca="false">IF(ISBLANK($C70),"",$D70)</f>
        <v/>
      </c>
      <c r="BC70" s="74" t="str">
        <f aca="false">AQ70</f>
        <v/>
      </c>
      <c r="BD70" s="75" t="str">
        <f aca="false">AP70</f>
        <v/>
      </c>
      <c r="BE70" s="73" t="str">
        <f aca="false">IF(ISBLANK($C70),"",AS70)</f>
        <v/>
      </c>
      <c r="BF70" s="76" t="str">
        <f aca="false">IF($AW70&gt;$AV$7,"",VLOOKUP($AW70,$AY$8:$BE$507,7,FALSE()))</f>
        <v/>
      </c>
      <c r="BG70" s="77" t="str">
        <f aca="false">IF($AW70&gt;$AV$7,"",VLOOKUP($AW70,$AY$8:$BE$507,2,FALSE()))</f>
        <v/>
      </c>
      <c r="BH70" s="77" t="str">
        <f aca="false">IF($AW70&gt;$AV$7,"",VLOOKUP($AW70,$AY$8:$BE$507,3,FALSE()))</f>
        <v/>
      </c>
      <c r="BI70" s="77" t="str">
        <f aca="false">IF($AW70&gt;$AV$7,"",VLOOKUP($AW70,$AY$8:$BE$507,4,FALSE()))</f>
        <v/>
      </c>
      <c r="BJ70" s="77" t="str">
        <f aca="false">IF($AW70&gt;$AV$7,"",VLOOKUP($AW70,$AY$8:$BE$507,5,FALSE()))</f>
        <v/>
      </c>
      <c r="BK70" s="78" t="str">
        <f aca="false">IF($AW70&gt;$AV$7,"",VLOOKUP($AW70,$AY$8:$BE$507,6,FALSE()))</f>
        <v/>
      </c>
      <c r="BL70" s="50"/>
    </row>
    <row r="71" customFormat="false" ht="15.75" hidden="false" customHeight="false" outlineLevel="0" collapsed="false">
      <c r="A71" s="5"/>
      <c r="B71" s="124"/>
      <c r="C71" s="125"/>
      <c r="D71" s="110"/>
      <c r="E71" s="130"/>
      <c r="F71" s="135"/>
      <c r="G71" s="88"/>
      <c r="H71" s="136"/>
      <c r="I71" s="137"/>
      <c r="J71" s="91"/>
      <c r="K71" s="92"/>
      <c r="L71" s="137"/>
      <c r="M71" s="93"/>
      <c r="N71" s="94"/>
      <c r="O71" s="130"/>
      <c r="P71" s="96"/>
      <c r="Q71" s="97" t="str">
        <f aca="false">IF(ISBLANK($C71),"",IF(E71=Constants!$B$2, TRUE(), IF(E71=Constants!$B$3, FALSE(), TRUE())))</f>
        <v/>
      </c>
      <c r="R71" s="97" t="str">
        <f aca="false">IF(ISBLANK($C71),"",IF(F71=Constants!$B$2, TRUE(), IF(F71=Constants!$B$3, FALSE(), TRUE())))</f>
        <v/>
      </c>
      <c r="S71" s="97" t="str">
        <f aca="false">IF(ISBLANK($C71),"",IF(G71=Constants!$B$15,Constants!$B$8,IF(G71=Constants!$B$16,Constants!$B$9,Constants!$B$10)))</f>
        <v/>
      </c>
      <c r="T71" s="97" t="str">
        <f aca="false">IF(ISBLANK($C71),"",IF(H71=Constants!$B$2, TRUE(), IF(H71=Constants!$B$3, FALSE(), TRUE())))</f>
        <v/>
      </c>
      <c r="U71" s="97" t="str">
        <f aca="false">IF(ISBLANK($C71),"",IF(I71=Constants!$B$19,Constants!$B$19,Constants!$B$18))</f>
        <v/>
      </c>
      <c r="V71" s="97" t="str">
        <f aca="false">IF(ISBLANK($C71),"",IF(COUNTA(J71:K71)=0,"",IF(AND(OR(ISBLANK(J71),AND(ISNUMBER(J71),J71&gt;=0)),OR(ISBLANK(K71),AND(ISNUMBER(K71),K71&gt;=0))),60*IF(ISBLANK(J71),0,J71)+IF(ISBLANK(K71),0,K71),"")))</f>
        <v/>
      </c>
      <c r="W71" s="97" t="str">
        <f aca="false">IF(ISBLANK($C71),"",IF(L71=Constants!$B$19,Constants!$B$19,Constants!$B$18))</f>
        <v/>
      </c>
      <c r="X71" s="97" t="str">
        <f aca="false">IF(ISBLANK($C71),"",IF(COUNTA(M71:N71)=0,"",IF(AND(OR(ISBLANK(M71),AND(ISNUMBER(M71),M71&gt;=0)),OR(ISBLANK(N71),AND(ISNUMBER(N71),N71&gt;=0))),60*IF(ISBLANK(M71),0,M71)+IF(ISBLANK(N71),0,N71),"")))</f>
        <v/>
      </c>
      <c r="Y71" s="97" t="str">
        <f aca="false">IF(ISBLANK($C71),"",IF(O71=Constants!$B$2, TRUE(), IF(O71=Constants!$B$3, FALSE(), FALSE())))</f>
        <v/>
      </c>
      <c r="Z71" s="97" t="str">
        <f aca="false">IF(ISBLANK($C71),"",IF(Y71,Constants!$B$4,IF(COUNTA(E71:N71)=0,Constants!$B$5,IF(COUNTA(J71:K71,M71:N71)=0,Constants!$B$6,Constants!$B$7))))</f>
        <v/>
      </c>
      <c r="AA71" s="97" t="str">
        <f aca="false">IF(ISBLANK($C71),"",IF($Z71&lt;&gt;Constants!$B$7,$Z71,IF(OR(NOT(T71),AND(NOT(Q71),COUNTIFS(U71:W71,Constants!$B$18,V71:X71,"&gt;=0")&gt;0),AND(NOT(R71),COUNTIFS(U71:W71,Constants!$B$19,V71:X71,"&gt;=0")&gt;0)),Constants!$B$12,Constants!$B$11)))</f>
        <v/>
      </c>
      <c r="AB71" s="97" t="str">
        <f aca="false">IF($Z71=Constants!$B$7,IF(V71="",Constants!$B$13,V71),"")</f>
        <v/>
      </c>
      <c r="AC71" s="97" t="str">
        <f aca="false">IF($Z71=Constants!$B$7,IF(X71="",Constants!$B$13,X71),"")</f>
        <v/>
      </c>
      <c r="AD71" s="97" t="str">
        <f aca="false">IF($Z71=Constants!$B$7,IF($AB71&gt;=$AC71,1,2),"")</f>
        <v/>
      </c>
      <c r="AE71" s="97" t="str">
        <f aca="false">IF($Z71=Constants!$B$7,LARGE(AB71:AC71,1),"")</f>
        <v/>
      </c>
      <c r="AF71" s="97" t="str">
        <f aca="false">IF(ISBLANK($C71),"",IF($Z71&lt;&gt;Constants!$B$7,$Z71,AE71*S71))</f>
        <v/>
      </c>
      <c r="AG71" s="97" t="str">
        <f aca="false">IF(ISBLANK($C71),"",IF($Z71=Constants!$B$7,IF(ISNUMBER(AF71),RANK(AF71,$AF$8:$AF$507),Constants!$B$14),$Z71))</f>
        <v/>
      </c>
      <c r="AH71" s="97" t="str">
        <f aca="false">IF(ISBLANK($C71),"",IF($Z71=Constants!$B$7,IF(ISNUMBER(AG71),COUNTIFS($AA$8:$AA$507,"&lt;"&amp;$AA71)+COUNTIFS($AA$8:$AA$507,$AA71,$AG$8:$AG$507,"&lt;"&amp;$AG71)+1,Constants!$B$14),$Z71))</f>
        <v/>
      </c>
      <c r="AI71" s="97" t="str">
        <f aca="false">IF(ISBLANK($C71),"",IF($Z71=Constants!$B$7,LARGE(AB71:AC71,2)*S71,""))</f>
        <v/>
      </c>
      <c r="AJ71" s="97" t="str">
        <f aca="false">IF(ISBLANK($C71),"",IF($Z71=Constants!$B$7,RANK(AI71,$AI$8:$AI$507),$Z71))</f>
        <v/>
      </c>
      <c r="AK71" s="97" t="str">
        <f aca="false">IF(ISBLANK($C71),"",IF($Z71=Constants!$B$7,IF(ISNUMBER(AG71),COUNTIFS($AA$8:$AA$507,"&lt;"&amp;$AA71)+COUNTIFS($AA$8:$AA$507,$AA71,$AG$8:$AG$507,"&lt;"&amp;$AG71)+COUNTIFS($AA$8:$AA$507,$AA71,$AG$8:$AG$507,$AG71,$AJ$8:$AJ$507,"&lt;"&amp;$AJ71)+1,Constants!$B$14),$Z71))</f>
        <v/>
      </c>
      <c r="AL71" s="97" t="str">
        <f aca="false">IF(ISBLANK($C71),"",IF($Z71=Constants!$B$7,IF(ISNUMBER(AH71),AH71-AK71,Constants!$B$14),$Z71))</f>
        <v/>
      </c>
      <c r="AM71" s="98"/>
      <c r="AN71" s="99" t="str">
        <f aca="false">IF(ISBLANK($C71),"",IF($Z71&lt;&gt;Constants!$B$7,$Z71,AD71))</f>
        <v/>
      </c>
      <c r="AO71" s="100" t="str">
        <f aca="false">IF(ISBLANK($C71),"",IF($Z71&lt;&gt;Constants!$B$7,$Z71,S71))</f>
        <v/>
      </c>
      <c r="AP71" s="101" t="str">
        <f aca="false">IF(ISBLANK($C71),"",IF($Z71&lt;&gt;Constants!$B$7,$Z71,AF71))</f>
        <v/>
      </c>
      <c r="AQ71" s="102" t="str">
        <f aca="false">IF(ISBLANK($C71),"",IF($Z71&lt;&gt;Constants!$B$7,$Z71,AA71))</f>
        <v/>
      </c>
      <c r="AR71" s="100" t="str">
        <f aca="false">IF(ISBLANK($C71),"",AL71)</f>
        <v/>
      </c>
      <c r="AS71" s="100" t="str">
        <f aca="false">IF(ISBLANK($C71),"",AK71)</f>
        <v/>
      </c>
      <c r="AT71" s="103" t="str">
        <f aca="false">IF(ISBLANK($C71),"",IF(AS71=Constants!$B$4,COUNTA($C$8:$C$507)+2,IF(AS71=Constants!$B$5,COUNTA($C$8:$C$507)+1,IF(AS71=Constants!$B$6,COUNTA($C$8:$C$507),AS71))))</f>
        <v/>
      </c>
      <c r="AU71" s="5"/>
      <c r="AV71" s="104" t="n">
        <f aca="false">IF(OR(ISNUMBER(AS71),AS71=Constants!$B$4,AS71=Constants!$B$6,AS71=Constants!$B$5),1,0)</f>
        <v>0</v>
      </c>
      <c r="AW71" s="104" t="n">
        <v>64</v>
      </c>
      <c r="AX71" s="104" t="str">
        <f aca="false">IF(ISBLANK($C71),"",IF(ISNUMBER(AT71),AT71+ROW($B71)/1000,""))</f>
        <v/>
      </c>
      <c r="AY71" s="104" t="str">
        <f aca="false">IF(ISNUMBER(AX71),RANK(AX71,$AX$8:$AX$507,1),"")</f>
        <v/>
      </c>
      <c r="AZ71" s="104" t="str">
        <f aca="false">IF(ISBLANK($C71),"",$B71)</f>
        <v/>
      </c>
      <c r="BA71" s="104" t="str">
        <f aca="false">IF(ISBLANK($C71),"",$C71)</f>
        <v/>
      </c>
      <c r="BB71" s="104" t="str">
        <f aca="false">IF(ISBLANK($C71),"",$D71)</f>
        <v/>
      </c>
      <c r="BC71" s="105" t="str">
        <f aca="false">AQ71</f>
        <v/>
      </c>
      <c r="BD71" s="106" t="str">
        <f aca="false">AP71</f>
        <v/>
      </c>
      <c r="BE71" s="104" t="str">
        <f aca="false">IF(ISBLANK($C71),"",AS71)</f>
        <v/>
      </c>
      <c r="BF71" s="107" t="str">
        <f aca="false">IF($AW71&gt;$AV$7,"",VLOOKUP($AW71,$AY$8:$BE$507,7,FALSE()))</f>
        <v/>
      </c>
      <c r="BG71" s="108" t="str">
        <f aca="false">IF($AW71&gt;$AV$7,"",VLOOKUP($AW71,$AY$8:$BE$507,2,FALSE()))</f>
        <v/>
      </c>
      <c r="BH71" s="108" t="str">
        <f aca="false">IF($AW71&gt;$AV$7,"",VLOOKUP($AW71,$AY$8:$BE$507,3,FALSE()))</f>
        <v/>
      </c>
      <c r="BI71" s="108" t="str">
        <f aca="false">IF($AW71&gt;$AV$7,"",VLOOKUP($AW71,$AY$8:$BE$507,4,FALSE()))</f>
        <v/>
      </c>
      <c r="BJ71" s="108" t="str">
        <f aca="false">IF($AW71&gt;$AV$7,"",VLOOKUP($AW71,$AY$8:$BE$507,5,FALSE()))</f>
        <v/>
      </c>
      <c r="BK71" s="109" t="str">
        <f aca="false">IF($AW71&gt;$AV$7,"",VLOOKUP($AW71,$AY$8:$BE$507,6,FALSE()))</f>
        <v/>
      </c>
      <c r="BL71" s="50"/>
    </row>
    <row r="72" customFormat="false" ht="15.75" hidden="false" customHeight="false" outlineLevel="0" collapsed="false">
      <c r="A72" s="5"/>
      <c r="B72" s="124"/>
      <c r="C72" s="125"/>
      <c r="D72" s="110"/>
      <c r="E72" s="130"/>
      <c r="F72" s="135"/>
      <c r="G72" s="88"/>
      <c r="H72" s="136"/>
      <c r="I72" s="137"/>
      <c r="J72" s="91"/>
      <c r="K72" s="92"/>
      <c r="L72" s="137"/>
      <c r="M72" s="93"/>
      <c r="N72" s="94"/>
      <c r="O72" s="130"/>
      <c r="P72" s="96"/>
      <c r="Q72" s="97" t="str">
        <f aca="false">IF(ISBLANK($C72),"",IF(E72=Constants!$B$2, TRUE(), IF(E72=Constants!$B$3, FALSE(), TRUE())))</f>
        <v/>
      </c>
      <c r="R72" s="97" t="str">
        <f aca="false">IF(ISBLANK($C72),"",IF(F72=Constants!$B$2, TRUE(), IF(F72=Constants!$B$3, FALSE(), TRUE())))</f>
        <v/>
      </c>
      <c r="S72" s="97" t="str">
        <f aca="false">IF(ISBLANK($C72),"",IF(G72=Constants!$B$15,Constants!$B$8,IF(G72=Constants!$B$16,Constants!$B$9,Constants!$B$10)))</f>
        <v/>
      </c>
      <c r="T72" s="97" t="str">
        <f aca="false">IF(ISBLANK($C72),"",IF(H72=Constants!$B$2, TRUE(), IF(H72=Constants!$B$3, FALSE(), TRUE())))</f>
        <v/>
      </c>
      <c r="U72" s="97" t="str">
        <f aca="false">IF(ISBLANK($C72),"",IF(I72=Constants!$B$19,Constants!$B$19,Constants!$B$18))</f>
        <v/>
      </c>
      <c r="V72" s="97" t="str">
        <f aca="false">IF(ISBLANK($C72),"",IF(COUNTA(J72:K72)=0,"",IF(AND(OR(ISBLANK(J72),AND(ISNUMBER(J72),J72&gt;=0)),OR(ISBLANK(K72),AND(ISNUMBER(K72),K72&gt;=0))),60*IF(ISBLANK(J72),0,J72)+IF(ISBLANK(K72),0,K72),"")))</f>
        <v/>
      </c>
      <c r="W72" s="97" t="str">
        <f aca="false">IF(ISBLANK($C72),"",IF(L72=Constants!$B$19,Constants!$B$19,Constants!$B$18))</f>
        <v/>
      </c>
      <c r="X72" s="97" t="str">
        <f aca="false">IF(ISBLANK($C72),"",IF(COUNTA(M72:N72)=0,"",IF(AND(OR(ISBLANK(M72),AND(ISNUMBER(M72),M72&gt;=0)),OR(ISBLANK(N72),AND(ISNUMBER(N72),N72&gt;=0))),60*IF(ISBLANK(M72),0,M72)+IF(ISBLANK(N72),0,N72),"")))</f>
        <v/>
      </c>
      <c r="Y72" s="97" t="str">
        <f aca="false">IF(ISBLANK($C72),"",IF(O72=Constants!$B$2, TRUE(), IF(O72=Constants!$B$3, FALSE(), FALSE())))</f>
        <v/>
      </c>
      <c r="Z72" s="97" t="str">
        <f aca="false">IF(ISBLANK($C72),"",IF(Y72,Constants!$B$4,IF(COUNTA(E72:N72)=0,Constants!$B$5,IF(COUNTA(J72:K72,M72:N72)=0,Constants!$B$6,Constants!$B$7))))</f>
        <v/>
      </c>
      <c r="AA72" s="97" t="str">
        <f aca="false">IF(ISBLANK($C72),"",IF($Z72&lt;&gt;Constants!$B$7,$Z72,IF(OR(NOT(T72),AND(NOT(Q72),COUNTIFS(U72:W72,Constants!$B$18,V72:X72,"&gt;=0")&gt;0),AND(NOT(R72),COUNTIFS(U72:W72,Constants!$B$19,V72:X72,"&gt;=0")&gt;0)),Constants!$B$12,Constants!$B$11)))</f>
        <v/>
      </c>
      <c r="AB72" s="97" t="str">
        <f aca="false">IF($Z72=Constants!$B$7,IF(V72="",Constants!$B$13,V72),"")</f>
        <v/>
      </c>
      <c r="AC72" s="97" t="str">
        <f aca="false">IF($Z72=Constants!$B$7,IF(X72="",Constants!$B$13,X72),"")</f>
        <v/>
      </c>
      <c r="AD72" s="97" t="str">
        <f aca="false">IF($Z72=Constants!$B$7,IF($AB72&gt;=$AC72,1,2),"")</f>
        <v/>
      </c>
      <c r="AE72" s="97" t="str">
        <f aca="false">IF($Z72=Constants!$B$7,LARGE(AB72:AC72,1),"")</f>
        <v/>
      </c>
      <c r="AF72" s="97" t="str">
        <f aca="false">IF(ISBLANK($C72),"",IF($Z72&lt;&gt;Constants!$B$7,$Z72,AE72*S72))</f>
        <v/>
      </c>
      <c r="AG72" s="97" t="str">
        <f aca="false">IF(ISBLANK($C72),"",IF($Z72=Constants!$B$7,IF(ISNUMBER(AF72),RANK(AF72,$AF$8:$AF$507),Constants!$B$14),$Z72))</f>
        <v/>
      </c>
      <c r="AH72" s="97" t="str">
        <f aca="false">IF(ISBLANK($C72),"",IF($Z72=Constants!$B$7,IF(ISNUMBER(AG72),COUNTIFS($AA$8:$AA$507,"&lt;"&amp;$AA72)+COUNTIFS($AA$8:$AA$507,$AA72,$AG$8:$AG$507,"&lt;"&amp;$AG72)+1,Constants!$B$14),$Z72))</f>
        <v/>
      </c>
      <c r="AI72" s="97" t="str">
        <f aca="false">IF(ISBLANK($C72),"",IF($Z72=Constants!$B$7,LARGE(AB72:AC72,2)*S72,""))</f>
        <v/>
      </c>
      <c r="AJ72" s="97" t="str">
        <f aca="false">IF(ISBLANK($C72),"",IF($Z72=Constants!$B$7,RANK(AI72,$AI$8:$AI$507),$Z72))</f>
        <v/>
      </c>
      <c r="AK72" s="97" t="str">
        <f aca="false">IF(ISBLANK($C72),"",IF($Z72=Constants!$B$7,IF(ISNUMBER(AG72),COUNTIFS($AA$8:$AA$507,"&lt;"&amp;$AA72)+COUNTIFS($AA$8:$AA$507,$AA72,$AG$8:$AG$507,"&lt;"&amp;$AG72)+COUNTIFS($AA$8:$AA$507,$AA72,$AG$8:$AG$507,$AG72,$AJ$8:$AJ$507,"&lt;"&amp;$AJ72)+1,Constants!$B$14),$Z72))</f>
        <v/>
      </c>
      <c r="AL72" s="97" t="str">
        <f aca="false">IF(ISBLANK($C72),"",IF($Z72=Constants!$B$7,IF(ISNUMBER(AH72),AH72-AK72,Constants!$B$14),$Z72))</f>
        <v/>
      </c>
      <c r="AM72" s="98"/>
      <c r="AN72" s="99" t="str">
        <f aca="false">IF(ISBLANK($C72),"",IF($Z72&lt;&gt;Constants!$B$7,$Z72,AD72))</f>
        <v/>
      </c>
      <c r="AO72" s="100" t="str">
        <f aca="false">IF(ISBLANK($C72),"",IF($Z72&lt;&gt;Constants!$B$7,$Z72,S72))</f>
        <v/>
      </c>
      <c r="AP72" s="101" t="str">
        <f aca="false">IF(ISBLANK($C72),"",IF($Z72&lt;&gt;Constants!$B$7,$Z72,AF72))</f>
        <v/>
      </c>
      <c r="AQ72" s="102" t="str">
        <f aca="false">IF(ISBLANK($C72),"",IF($Z72&lt;&gt;Constants!$B$7,$Z72,AA72))</f>
        <v/>
      </c>
      <c r="AR72" s="100" t="str">
        <f aca="false">IF(ISBLANK($C72),"",AL72)</f>
        <v/>
      </c>
      <c r="AS72" s="100" t="str">
        <f aca="false">IF(ISBLANK($C72),"",AK72)</f>
        <v/>
      </c>
      <c r="AT72" s="103" t="str">
        <f aca="false">IF(ISBLANK($C72),"",IF(AS72=Constants!$B$4,COUNTA($C$8:$C$507)+2,IF(AS72=Constants!$B$5,COUNTA($C$8:$C$507)+1,IF(AS72=Constants!$B$6,COUNTA($C$8:$C$507),AS72))))</f>
        <v/>
      </c>
      <c r="AU72" s="5"/>
      <c r="AV72" s="104" t="n">
        <f aca="false">IF(OR(ISNUMBER(AS72),AS72=Constants!$B$4,AS72=Constants!$B$6,AS72=Constants!$B$5),1,0)</f>
        <v>0</v>
      </c>
      <c r="AW72" s="104" t="n">
        <v>65</v>
      </c>
      <c r="AX72" s="104" t="str">
        <f aca="false">IF(ISBLANK($C72),"",IF(ISNUMBER(AT72),AT72+ROW($B72)/1000,""))</f>
        <v/>
      </c>
      <c r="AY72" s="104" t="str">
        <f aca="false">IF(ISNUMBER(AX72),RANK(AX72,$AX$8:$AX$507,1),"")</f>
        <v/>
      </c>
      <c r="AZ72" s="104" t="str">
        <f aca="false">IF(ISBLANK($C72),"",$B72)</f>
        <v/>
      </c>
      <c r="BA72" s="104" t="str">
        <f aca="false">IF(ISBLANK($C72),"",$C72)</f>
        <v/>
      </c>
      <c r="BB72" s="104" t="str">
        <f aca="false">IF(ISBLANK($C72),"",$D72)</f>
        <v/>
      </c>
      <c r="BC72" s="105" t="str">
        <f aca="false">AQ72</f>
        <v/>
      </c>
      <c r="BD72" s="106" t="str">
        <f aca="false">AP72</f>
        <v/>
      </c>
      <c r="BE72" s="104" t="str">
        <f aca="false">IF(ISBLANK($C72),"",AS72)</f>
        <v/>
      </c>
      <c r="BF72" s="107" t="str">
        <f aca="false">IF($AW72&gt;$AV$7,"",VLOOKUP($AW72,$AY$8:$BE$507,7,FALSE()))</f>
        <v/>
      </c>
      <c r="BG72" s="108" t="str">
        <f aca="false">IF($AW72&gt;$AV$7,"",VLOOKUP($AW72,$AY$8:$BE$507,2,FALSE()))</f>
        <v/>
      </c>
      <c r="BH72" s="108" t="str">
        <f aca="false">IF($AW72&gt;$AV$7,"",VLOOKUP($AW72,$AY$8:$BE$507,3,FALSE()))</f>
        <v/>
      </c>
      <c r="BI72" s="108" t="str">
        <f aca="false">IF($AW72&gt;$AV$7,"",VLOOKUP($AW72,$AY$8:$BE$507,4,FALSE()))</f>
        <v/>
      </c>
      <c r="BJ72" s="108" t="str">
        <f aca="false">IF($AW72&gt;$AV$7,"",VLOOKUP($AW72,$AY$8:$BE$507,5,FALSE()))</f>
        <v/>
      </c>
      <c r="BK72" s="109" t="str">
        <f aca="false">IF($AW72&gt;$AV$7,"",VLOOKUP($AW72,$AY$8:$BE$507,6,FALSE()))</f>
        <v/>
      </c>
      <c r="BL72" s="50"/>
    </row>
    <row r="73" customFormat="false" ht="15.75" hidden="false" customHeight="false" outlineLevel="0" collapsed="false">
      <c r="A73" s="5"/>
      <c r="B73" s="124"/>
      <c r="C73" s="125"/>
      <c r="D73" s="110"/>
      <c r="E73" s="130"/>
      <c r="F73" s="135"/>
      <c r="G73" s="88"/>
      <c r="H73" s="136"/>
      <c r="I73" s="137"/>
      <c r="J73" s="91"/>
      <c r="K73" s="92"/>
      <c r="L73" s="137"/>
      <c r="M73" s="93"/>
      <c r="N73" s="94"/>
      <c r="O73" s="130"/>
      <c r="P73" s="96"/>
      <c r="Q73" s="97" t="str">
        <f aca="false">IF(ISBLANK($C73),"",IF(E73=Constants!$B$2, TRUE(), IF(E73=Constants!$B$3, FALSE(), TRUE())))</f>
        <v/>
      </c>
      <c r="R73" s="97" t="str">
        <f aca="false">IF(ISBLANK($C73),"",IF(F73=Constants!$B$2, TRUE(), IF(F73=Constants!$B$3, FALSE(), TRUE())))</f>
        <v/>
      </c>
      <c r="S73" s="97" t="str">
        <f aca="false">IF(ISBLANK($C73),"",IF(G73=Constants!$B$15,Constants!$B$8,IF(G73=Constants!$B$16,Constants!$B$9,Constants!$B$10)))</f>
        <v/>
      </c>
      <c r="T73" s="97" t="str">
        <f aca="false">IF(ISBLANK($C73),"",IF(H73=Constants!$B$2, TRUE(), IF(H73=Constants!$B$3, FALSE(), TRUE())))</f>
        <v/>
      </c>
      <c r="U73" s="97" t="str">
        <f aca="false">IF(ISBLANK($C73),"",IF(I73=Constants!$B$19,Constants!$B$19,Constants!$B$18))</f>
        <v/>
      </c>
      <c r="V73" s="97" t="str">
        <f aca="false">IF(ISBLANK($C73),"",IF(COUNTA(J73:K73)=0,"",IF(AND(OR(ISBLANK(J73),AND(ISNUMBER(J73),J73&gt;=0)),OR(ISBLANK(K73),AND(ISNUMBER(K73),K73&gt;=0))),60*IF(ISBLANK(J73),0,J73)+IF(ISBLANK(K73),0,K73),"")))</f>
        <v/>
      </c>
      <c r="W73" s="97" t="str">
        <f aca="false">IF(ISBLANK($C73),"",IF(L73=Constants!$B$19,Constants!$B$19,Constants!$B$18))</f>
        <v/>
      </c>
      <c r="X73" s="97" t="str">
        <f aca="false">IF(ISBLANK($C73),"",IF(COUNTA(M73:N73)=0,"",IF(AND(OR(ISBLANK(M73),AND(ISNUMBER(M73),M73&gt;=0)),OR(ISBLANK(N73),AND(ISNUMBER(N73),N73&gt;=0))),60*IF(ISBLANK(M73),0,M73)+IF(ISBLANK(N73),0,N73),"")))</f>
        <v/>
      </c>
      <c r="Y73" s="97" t="str">
        <f aca="false">IF(ISBLANK($C73),"",IF(O73=Constants!$B$2, TRUE(), IF(O73=Constants!$B$3, FALSE(), FALSE())))</f>
        <v/>
      </c>
      <c r="Z73" s="97" t="str">
        <f aca="false">IF(ISBLANK($C73),"",IF(Y73,Constants!$B$4,IF(COUNTA(E73:N73)=0,Constants!$B$5,IF(COUNTA(J73:K73,M73:N73)=0,Constants!$B$6,Constants!$B$7))))</f>
        <v/>
      </c>
      <c r="AA73" s="97" t="str">
        <f aca="false">IF(ISBLANK($C73),"",IF($Z73&lt;&gt;Constants!$B$7,$Z73,IF(OR(NOT(T73),AND(NOT(Q73),COUNTIFS(U73:W73,Constants!$B$18,V73:X73,"&gt;=0")&gt;0),AND(NOT(R73),COUNTIFS(U73:W73,Constants!$B$19,V73:X73,"&gt;=0")&gt;0)),Constants!$B$12,Constants!$B$11)))</f>
        <v/>
      </c>
      <c r="AB73" s="97" t="str">
        <f aca="false">IF($Z73=Constants!$B$7,IF(V73="",Constants!$B$13,V73),"")</f>
        <v/>
      </c>
      <c r="AC73" s="97" t="str">
        <f aca="false">IF($Z73=Constants!$B$7,IF(X73="",Constants!$B$13,X73),"")</f>
        <v/>
      </c>
      <c r="AD73" s="97" t="str">
        <f aca="false">IF($Z73=Constants!$B$7,IF($AB73&gt;=$AC73,1,2),"")</f>
        <v/>
      </c>
      <c r="AE73" s="97" t="str">
        <f aca="false">IF($Z73=Constants!$B$7,LARGE(AB73:AC73,1),"")</f>
        <v/>
      </c>
      <c r="AF73" s="97" t="str">
        <f aca="false">IF(ISBLANK($C73),"",IF($Z73&lt;&gt;Constants!$B$7,$Z73,AE73*S73))</f>
        <v/>
      </c>
      <c r="AG73" s="97" t="str">
        <f aca="false">IF(ISBLANK($C73),"",IF($Z73=Constants!$B$7,IF(ISNUMBER(AF73),RANK(AF73,$AF$8:$AF$507),Constants!$B$14),$Z73))</f>
        <v/>
      </c>
      <c r="AH73" s="97" t="str">
        <f aca="false">IF(ISBLANK($C73),"",IF($Z73=Constants!$B$7,IF(ISNUMBER(AG73),COUNTIFS($AA$8:$AA$507,"&lt;"&amp;$AA73)+COUNTIFS($AA$8:$AA$507,$AA73,$AG$8:$AG$507,"&lt;"&amp;$AG73)+1,Constants!$B$14),$Z73))</f>
        <v/>
      </c>
      <c r="AI73" s="97" t="str">
        <f aca="false">IF(ISBLANK($C73),"",IF($Z73=Constants!$B$7,LARGE(AB73:AC73,2)*S73,""))</f>
        <v/>
      </c>
      <c r="AJ73" s="97" t="str">
        <f aca="false">IF(ISBLANK($C73),"",IF($Z73=Constants!$B$7,RANK(AI73,$AI$8:$AI$507),$Z73))</f>
        <v/>
      </c>
      <c r="AK73" s="97" t="str">
        <f aca="false">IF(ISBLANK($C73),"",IF($Z73=Constants!$B$7,IF(ISNUMBER(AG73),COUNTIFS($AA$8:$AA$507,"&lt;"&amp;$AA73)+COUNTIFS($AA$8:$AA$507,$AA73,$AG$8:$AG$507,"&lt;"&amp;$AG73)+COUNTIFS($AA$8:$AA$507,$AA73,$AG$8:$AG$507,$AG73,$AJ$8:$AJ$507,"&lt;"&amp;$AJ73)+1,Constants!$B$14),$Z73))</f>
        <v/>
      </c>
      <c r="AL73" s="97" t="str">
        <f aca="false">IF(ISBLANK($C73),"",IF($Z73=Constants!$B$7,IF(ISNUMBER(AH73),AH73-AK73,Constants!$B$14),$Z73))</f>
        <v/>
      </c>
      <c r="AM73" s="98"/>
      <c r="AN73" s="99" t="str">
        <f aca="false">IF(ISBLANK($C73),"",IF($Z73&lt;&gt;Constants!$B$7,$Z73,AD73))</f>
        <v/>
      </c>
      <c r="AO73" s="100" t="str">
        <f aca="false">IF(ISBLANK($C73),"",IF($Z73&lt;&gt;Constants!$B$7,$Z73,S73))</f>
        <v/>
      </c>
      <c r="AP73" s="101" t="str">
        <f aca="false">IF(ISBLANK($C73),"",IF($Z73&lt;&gt;Constants!$B$7,$Z73,AF73))</f>
        <v/>
      </c>
      <c r="AQ73" s="102" t="str">
        <f aca="false">IF(ISBLANK($C73),"",IF($Z73&lt;&gt;Constants!$B$7,$Z73,AA73))</f>
        <v/>
      </c>
      <c r="AR73" s="100" t="str">
        <f aca="false">IF(ISBLANK($C73),"",AL73)</f>
        <v/>
      </c>
      <c r="AS73" s="100" t="str">
        <f aca="false">IF(ISBLANK($C73),"",AK73)</f>
        <v/>
      </c>
      <c r="AT73" s="103" t="str">
        <f aca="false">IF(ISBLANK($C73),"",IF(AS73=Constants!$B$4,COUNTA($C$8:$C$507)+2,IF(AS73=Constants!$B$5,COUNTA($C$8:$C$507)+1,IF(AS73=Constants!$B$6,COUNTA($C$8:$C$507),AS73))))</f>
        <v/>
      </c>
      <c r="AU73" s="5"/>
      <c r="AV73" s="104" t="n">
        <f aca="false">IF(OR(ISNUMBER(AS73),AS73=Constants!$B$4,AS73=Constants!$B$6,AS73=Constants!$B$5),1,0)</f>
        <v>0</v>
      </c>
      <c r="AW73" s="104" t="n">
        <v>66</v>
      </c>
      <c r="AX73" s="104" t="str">
        <f aca="false">IF(ISBLANK($C73),"",IF(ISNUMBER(AT73),AT73+ROW($B73)/1000,""))</f>
        <v/>
      </c>
      <c r="AY73" s="104" t="str">
        <f aca="false">IF(ISNUMBER(AX73),RANK(AX73,$AX$8:$AX$507,1),"")</f>
        <v/>
      </c>
      <c r="AZ73" s="104" t="str">
        <f aca="false">IF(ISBLANK($C73),"",$B73)</f>
        <v/>
      </c>
      <c r="BA73" s="104" t="str">
        <f aca="false">IF(ISBLANK($C73),"",$C73)</f>
        <v/>
      </c>
      <c r="BB73" s="104" t="str">
        <f aca="false">IF(ISBLANK($C73),"",$D73)</f>
        <v/>
      </c>
      <c r="BC73" s="105" t="str">
        <f aca="false">AQ73</f>
        <v/>
      </c>
      <c r="BD73" s="106" t="str">
        <f aca="false">AP73</f>
        <v/>
      </c>
      <c r="BE73" s="104" t="str">
        <f aca="false">IF(ISBLANK($C73),"",AS73)</f>
        <v/>
      </c>
      <c r="BF73" s="107" t="str">
        <f aca="false">IF($AW73&gt;$AV$7,"",VLOOKUP($AW73,$AY$8:$BE$507,7,FALSE()))</f>
        <v/>
      </c>
      <c r="BG73" s="108" t="str">
        <f aca="false">IF($AW73&gt;$AV$7,"",VLOOKUP($AW73,$AY$8:$BE$507,2,FALSE()))</f>
        <v/>
      </c>
      <c r="BH73" s="108" t="str">
        <f aca="false">IF($AW73&gt;$AV$7,"",VLOOKUP($AW73,$AY$8:$BE$507,3,FALSE()))</f>
        <v/>
      </c>
      <c r="BI73" s="108" t="str">
        <f aca="false">IF($AW73&gt;$AV$7,"",VLOOKUP($AW73,$AY$8:$BE$507,4,FALSE()))</f>
        <v/>
      </c>
      <c r="BJ73" s="108" t="str">
        <f aca="false">IF($AW73&gt;$AV$7,"",VLOOKUP($AW73,$AY$8:$BE$507,5,FALSE()))</f>
        <v/>
      </c>
      <c r="BK73" s="109" t="str">
        <f aca="false">IF($AW73&gt;$AV$7,"",VLOOKUP($AW73,$AY$8:$BE$507,6,FALSE()))</f>
        <v/>
      </c>
      <c r="BL73" s="50"/>
    </row>
    <row r="74" customFormat="false" ht="15.75" hidden="false" customHeight="false" outlineLevel="0" collapsed="false">
      <c r="A74" s="5"/>
      <c r="B74" s="131"/>
      <c r="C74" s="52"/>
      <c r="D74" s="53"/>
      <c r="E74" s="80"/>
      <c r="F74" s="132"/>
      <c r="G74" s="56"/>
      <c r="H74" s="133"/>
      <c r="I74" s="134"/>
      <c r="J74" s="59"/>
      <c r="K74" s="60"/>
      <c r="L74" s="134"/>
      <c r="M74" s="61"/>
      <c r="N74" s="62"/>
      <c r="O74" s="80"/>
      <c r="P74" s="64"/>
      <c r="Q74" s="65" t="str">
        <f aca="false">IF(ISBLANK($C74),"",IF(E74=Constants!$B$2, TRUE(), IF(E74=Constants!$B$3, FALSE(), TRUE())))</f>
        <v/>
      </c>
      <c r="R74" s="65" t="str">
        <f aca="false">IF(ISBLANK($C74),"",IF(F74=Constants!$B$2, TRUE(), IF(F74=Constants!$B$3, FALSE(), TRUE())))</f>
        <v/>
      </c>
      <c r="S74" s="65" t="str">
        <f aca="false">IF(ISBLANK($C74),"",IF(G74=Constants!$B$15,Constants!$B$8,IF(G74=Constants!$B$16,Constants!$B$9,Constants!$B$10)))</f>
        <v/>
      </c>
      <c r="T74" s="65" t="str">
        <f aca="false">IF(ISBLANK($C74),"",IF(H74=Constants!$B$2, TRUE(), IF(H74=Constants!$B$3, FALSE(), TRUE())))</f>
        <v/>
      </c>
      <c r="U74" s="65" t="str">
        <f aca="false">IF(ISBLANK($C74),"",IF(I74=Constants!$B$19,Constants!$B$19,Constants!$B$18))</f>
        <v/>
      </c>
      <c r="V74" s="65" t="str">
        <f aca="false">IF(ISBLANK($C74),"",IF(COUNTA(J74:K74)=0,"",IF(AND(OR(ISBLANK(J74),AND(ISNUMBER(J74),J74&gt;=0)),OR(ISBLANK(K74),AND(ISNUMBER(K74),K74&gt;=0))),60*IF(ISBLANK(J74),0,J74)+IF(ISBLANK(K74),0,K74),"")))</f>
        <v/>
      </c>
      <c r="W74" s="65" t="str">
        <f aca="false">IF(ISBLANK($C74),"",IF(L74=Constants!$B$19,Constants!$B$19,Constants!$B$18))</f>
        <v/>
      </c>
      <c r="X74" s="65" t="str">
        <f aca="false">IF(ISBLANK($C74),"",IF(COUNTA(M74:N74)=0,"",IF(AND(OR(ISBLANK(M74),AND(ISNUMBER(M74),M74&gt;=0)),OR(ISBLANK(N74),AND(ISNUMBER(N74),N74&gt;=0))),60*IF(ISBLANK(M74),0,M74)+IF(ISBLANK(N74),0,N74),"")))</f>
        <v/>
      </c>
      <c r="Y74" s="65" t="str">
        <f aca="false">IF(ISBLANK($C74),"",IF(O74=Constants!$B$2, TRUE(), IF(O74=Constants!$B$3, FALSE(), FALSE())))</f>
        <v/>
      </c>
      <c r="Z74" s="65" t="str">
        <f aca="false">IF(ISBLANK($C74),"",IF(Y74,Constants!$B$4,IF(COUNTA(E74:N74)=0,Constants!$B$5,IF(COUNTA(J74:K74,M74:N74)=0,Constants!$B$6,Constants!$B$7))))</f>
        <v/>
      </c>
      <c r="AA74" s="65" t="str">
        <f aca="false">IF(ISBLANK($C74),"",IF($Z74&lt;&gt;Constants!$B$7,$Z74,IF(OR(NOT(T74),AND(NOT(Q74),COUNTIFS(U74:W74,Constants!$B$18,V74:X74,"&gt;=0")&gt;0),AND(NOT(R74),COUNTIFS(U74:W74,Constants!$B$19,V74:X74,"&gt;=0")&gt;0)),Constants!$B$12,Constants!$B$11)))</f>
        <v/>
      </c>
      <c r="AB74" s="65" t="str">
        <f aca="false">IF($Z74=Constants!$B$7,IF(V74="",Constants!$B$13,V74),"")</f>
        <v/>
      </c>
      <c r="AC74" s="65" t="str">
        <f aca="false">IF($Z74=Constants!$B$7,IF(X74="",Constants!$B$13,X74),"")</f>
        <v/>
      </c>
      <c r="AD74" s="65" t="str">
        <f aca="false">IF($Z74=Constants!$B$7,IF($AB74&gt;=$AC74,1,2),"")</f>
        <v/>
      </c>
      <c r="AE74" s="65" t="str">
        <f aca="false">IF($Z74=Constants!$B$7,LARGE(AB74:AC74,1),"")</f>
        <v/>
      </c>
      <c r="AF74" s="65" t="str">
        <f aca="false">IF(ISBLANK($C74),"",IF($Z74&lt;&gt;Constants!$B$7,$Z74,AE74*S74))</f>
        <v/>
      </c>
      <c r="AG74" s="65" t="str">
        <f aca="false">IF(ISBLANK($C74),"",IF($Z74=Constants!$B$7,IF(ISNUMBER(AF74),RANK(AF74,$AF$8:$AF$507),Constants!$B$14),$Z74))</f>
        <v/>
      </c>
      <c r="AH74" s="65" t="str">
        <f aca="false">IF(ISBLANK($C74),"",IF($Z74=Constants!$B$7,IF(ISNUMBER(AG74),COUNTIFS($AA$8:$AA$507,"&lt;"&amp;$AA74)+COUNTIFS($AA$8:$AA$507,$AA74,$AG$8:$AG$507,"&lt;"&amp;$AG74)+1,Constants!$B$14),$Z74))</f>
        <v/>
      </c>
      <c r="AI74" s="65" t="str">
        <f aca="false">IF(ISBLANK($C74),"",IF($Z74=Constants!$B$7,LARGE(AB74:AC74,2)*S74,""))</f>
        <v/>
      </c>
      <c r="AJ74" s="65" t="str">
        <f aca="false">IF(ISBLANK($C74),"",IF($Z74=Constants!$B$7,RANK(AI74,$AI$8:$AI$507),$Z74))</f>
        <v/>
      </c>
      <c r="AK74" s="65" t="str">
        <f aca="false">IF(ISBLANK($C74),"",IF($Z74=Constants!$B$7,IF(ISNUMBER(AG74),COUNTIFS($AA$8:$AA$507,"&lt;"&amp;$AA74)+COUNTIFS($AA$8:$AA$507,$AA74,$AG$8:$AG$507,"&lt;"&amp;$AG74)+COUNTIFS($AA$8:$AA$507,$AA74,$AG$8:$AG$507,$AG74,$AJ$8:$AJ$507,"&lt;"&amp;$AJ74)+1,Constants!$B$14),$Z74))</f>
        <v/>
      </c>
      <c r="AL74" s="65" t="str">
        <f aca="false">IF(ISBLANK($C74),"",IF($Z74=Constants!$B$7,IF(ISNUMBER(AH74),AH74-AK74,Constants!$B$14),$Z74))</f>
        <v/>
      </c>
      <c r="AM74" s="67"/>
      <c r="AN74" s="68" t="str">
        <f aca="false">IF(ISBLANK($C74),"",IF($Z74&lt;&gt;Constants!$B$7,$Z74,AD74))</f>
        <v/>
      </c>
      <c r="AO74" s="69" t="str">
        <f aca="false">IF(ISBLANK($C74),"",IF($Z74&lt;&gt;Constants!$B$7,$Z74,S74))</f>
        <v/>
      </c>
      <c r="AP74" s="70" t="str">
        <f aca="false">IF(ISBLANK($C74),"",IF($Z74&lt;&gt;Constants!$B$7,$Z74,AF74))</f>
        <v/>
      </c>
      <c r="AQ74" s="71" t="str">
        <f aca="false">IF(ISBLANK($C74),"",IF($Z74&lt;&gt;Constants!$B$7,$Z74,AA74))</f>
        <v/>
      </c>
      <c r="AR74" s="69" t="str">
        <f aca="false">IF(ISBLANK($C74),"",AL74)</f>
        <v/>
      </c>
      <c r="AS74" s="69" t="str">
        <f aca="false">IF(ISBLANK($C74),"",AK74)</f>
        <v/>
      </c>
      <c r="AT74" s="72" t="str">
        <f aca="false">IF(ISBLANK($C74),"",IF(AS74=Constants!$B$4,COUNTA($C$8:$C$507)+2,IF(AS74=Constants!$B$5,COUNTA($C$8:$C$507)+1,IF(AS74=Constants!$B$6,COUNTA($C$8:$C$507),AS74))))</f>
        <v/>
      </c>
      <c r="AU74" s="5"/>
      <c r="AV74" s="73" t="n">
        <f aca="false">IF(OR(ISNUMBER(AS74),AS74=Constants!$B$4,AS74=Constants!$B$6,AS74=Constants!$B$5),1,0)</f>
        <v>0</v>
      </c>
      <c r="AW74" s="73" t="n">
        <v>67</v>
      </c>
      <c r="AX74" s="73" t="str">
        <f aca="false">IF(ISBLANK($C74),"",IF(ISNUMBER(AT74),AT74+ROW($B74)/1000,""))</f>
        <v/>
      </c>
      <c r="AY74" s="73" t="str">
        <f aca="false">IF(ISNUMBER(AX74),RANK(AX74,$AX$8:$AX$507,1),"")</f>
        <v/>
      </c>
      <c r="AZ74" s="73" t="str">
        <f aca="false">IF(ISBLANK($C74),"",$B74)</f>
        <v/>
      </c>
      <c r="BA74" s="73" t="str">
        <f aca="false">IF(ISBLANK($C74),"",$C74)</f>
        <v/>
      </c>
      <c r="BB74" s="73" t="str">
        <f aca="false">IF(ISBLANK($C74),"",$D74)</f>
        <v/>
      </c>
      <c r="BC74" s="74" t="str">
        <f aca="false">AQ74</f>
        <v/>
      </c>
      <c r="BD74" s="75" t="str">
        <f aca="false">AP74</f>
        <v/>
      </c>
      <c r="BE74" s="73" t="str">
        <f aca="false">IF(ISBLANK($C74),"",AS74)</f>
        <v/>
      </c>
      <c r="BF74" s="76" t="str">
        <f aca="false">IF($AW74&gt;$AV$7,"",VLOOKUP($AW74,$AY$8:$BE$507,7,FALSE()))</f>
        <v/>
      </c>
      <c r="BG74" s="77" t="str">
        <f aca="false">IF($AW74&gt;$AV$7,"",VLOOKUP($AW74,$AY$8:$BE$507,2,FALSE()))</f>
        <v/>
      </c>
      <c r="BH74" s="77" t="str">
        <f aca="false">IF($AW74&gt;$AV$7,"",VLOOKUP($AW74,$AY$8:$BE$507,3,FALSE()))</f>
        <v/>
      </c>
      <c r="BI74" s="77" t="str">
        <f aca="false">IF($AW74&gt;$AV$7,"",VLOOKUP($AW74,$AY$8:$BE$507,4,FALSE()))</f>
        <v/>
      </c>
      <c r="BJ74" s="77" t="str">
        <f aca="false">IF($AW74&gt;$AV$7,"",VLOOKUP($AW74,$AY$8:$BE$507,5,FALSE()))</f>
        <v/>
      </c>
      <c r="BK74" s="78" t="str">
        <f aca="false">IF($AW74&gt;$AV$7,"",VLOOKUP($AW74,$AY$8:$BE$507,6,FALSE()))</f>
        <v/>
      </c>
      <c r="BL74" s="50"/>
    </row>
    <row r="75" customFormat="false" ht="15.75" hidden="false" customHeight="false" outlineLevel="0" collapsed="false">
      <c r="A75" s="5"/>
      <c r="B75" s="131"/>
      <c r="C75" s="52"/>
      <c r="D75" s="53"/>
      <c r="E75" s="80"/>
      <c r="F75" s="132"/>
      <c r="G75" s="56"/>
      <c r="H75" s="133"/>
      <c r="I75" s="134"/>
      <c r="J75" s="59"/>
      <c r="K75" s="60"/>
      <c r="L75" s="134"/>
      <c r="M75" s="61"/>
      <c r="N75" s="62"/>
      <c r="O75" s="80"/>
      <c r="P75" s="64"/>
      <c r="Q75" s="65" t="str">
        <f aca="false">IF(ISBLANK($C75),"",IF(E75=Constants!$B$2, TRUE(), IF(E75=Constants!$B$3, FALSE(), TRUE())))</f>
        <v/>
      </c>
      <c r="R75" s="65" t="str">
        <f aca="false">IF(ISBLANK($C75),"",IF(F75=Constants!$B$2, TRUE(), IF(F75=Constants!$B$3, FALSE(), TRUE())))</f>
        <v/>
      </c>
      <c r="S75" s="65" t="str">
        <f aca="false">IF(ISBLANK($C75),"",IF(G75=Constants!$B$15,Constants!$B$8,IF(G75=Constants!$B$16,Constants!$B$9,Constants!$B$10)))</f>
        <v/>
      </c>
      <c r="T75" s="65" t="str">
        <f aca="false">IF(ISBLANK($C75),"",IF(H75=Constants!$B$2, TRUE(), IF(H75=Constants!$B$3, FALSE(), TRUE())))</f>
        <v/>
      </c>
      <c r="U75" s="65" t="str">
        <f aca="false">IF(ISBLANK($C75),"",IF(I75=Constants!$B$19,Constants!$B$19,Constants!$B$18))</f>
        <v/>
      </c>
      <c r="V75" s="65" t="str">
        <f aca="false">IF(ISBLANK($C75),"",IF(COUNTA(J75:K75)=0,"",IF(AND(OR(ISBLANK(J75),AND(ISNUMBER(J75),J75&gt;=0)),OR(ISBLANK(K75),AND(ISNUMBER(K75),K75&gt;=0))),60*IF(ISBLANK(J75),0,J75)+IF(ISBLANK(K75),0,K75),"")))</f>
        <v/>
      </c>
      <c r="W75" s="65" t="str">
        <f aca="false">IF(ISBLANK($C75),"",IF(L75=Constants!$B$19,Constants!$B$19,Constants!$B$18))</f>
        <v/>
      </c>
      <c r="X75" s="65" t="str">
        <f aca="false">IF(ISBLANK($C75),"",IF(COUNTA(M75:N75)=0,"",IF(AND(OR(ISBLANK(M75),AND(ISNUMBER(M75),M75&gt;=0)),OR(ISBLANK(N75),AND(ISNUMBER(N75),N75&gt;=0))),60*IF(ISBLANK(M75),0,M75)+IF(ISBLANK(N75),0,N75),"")))</f>
        <v/>
      </c>
      <c r="Y75" s="65" t="str">
        <f aca="false">IF(ISBLANK($C75),"",IF(O75=Constants!$B$2, TRUE(), IF(O75=Constants!$B$3, FALSE(), FALSE())))</f>
        <v/>
      </c>
      <c r="Z75" s="65" t="str">
        <f aca="false">IF(ISBLANK($C75),"",IF(Y75,Constants!$B$4,IF(COUNTA(E75:N75)=0,Constants!$B$5,IF(COUNTA(J75:K75,M75:N75)=0,Constants!$B$6,Constants!$B$7))))</f>
        <v/>
      </c>
      <c r="AA75" s="65" t="str">
        <f aca="false">IF(ISBLANK($C75),"",IF($Z75&lt;&gt;Constants!$B$7,$Z75,IF(OR(NOT(T75),AND(NOT(Q75),COUNTIFS(U75:W75,Constants!$B$18,V75:X75,"&gt;=0")&gt;0),AND(NOT(R75),COUNTIFS(U75:W75,Constants!$B$19,V75:X75,"&gt;=0")&gt;0)),Constants!$B$12,Constants!$B$11)))</f>
        <v/>
      </c>
      <c r="AB75" s="65" t="str">
        <f aca="false">IF($Z75=Constants!$B$7,IF(V75="",Constants!$B$13,V75),"")</f>
        <v/>
      </c>
      <c r="AC75" s="65" t="str">
        <f aca="false">IF($Z75=Constants!$B$7,IF(X75="",Constants!$B$13,X75),"")</f>
        <v/>
      </c>
      <c r="AD75" s="65" t="str">
        <f aca="false">IF($Z75=Constants!$B$7,IF($AB75&gt;=$AC75,1,2),"")</f>
        <v/>
      </c>
      <c r="AE75" s="65" t="str">
        <f aca="false">IF($Z75=Constants!$B$7,LARGE(AB75:AC75,1),"")</f>
        <v/>
      </c>
      <c r="AF75" s="65" t="str">
        <f aca="false">IF(ISBLANK($C75),"",IF($Z75&lt;&gt;Constants!$B$7,$Z75,AE75*S75))</f>
        <v/>
      </c>
      <c r="AG75" s="65" t="str">
        <f aca="false">IF(ISBLANK($C75),"",IF($Z75=Constants!$B$7,IF(ISNUMBER(AF75),RANK(AF75,$AF$8:$AF$507),Constants!$B$14),$Z75))</f>
        <v/>
      </c>
      <c r="AH75" s="65" t="str">
        <f aca="false">IF(ISBLANK($C75),"",IF($Z75=Constants!$B$7,IF(ISNUMBER(AG75),COUNTIFS($AA$8:$AA$507,"&lt;"&amp;$AA75)+COUNTIFS($AA$8:$AA$507,$AA75,$AG$8:$AG$507,"&lt;"&amp;$AG75)+1,Constants!$B$14),$Z75))</f>
        <v/>
      </c>
      <c r="AI75" s="65" t="str">
        <f aca="false">IF(ISBLANK($C75),"",IF($Z75=Constants!$B$7,LARGE(AB75:AC75,2)*S75,""))</f>
        <v/>
      </c>
      <c r="AJ75" s="65" t="str">
        <f aca="false">IF(ISBLANK($C75),"",IF($Z75=Constants!$B$7,RANK(AI75,$AI$8:$AI$507),$Z75))</f>
        <v/>
      </c>
      <c r="AK75" s="65" t="str">
        <f aca="false">IF(ISBLANK($C75),"",IF($Z75=Constants!$B$7,IF(ISNUMBER(AG75),COUNTIFS($AA$8:$AA$507,"&lt;"&amp;$AA75)+COUNTIFS($AA$8:$AA$507,$AA75,$AG$8:$AG$507,"&lt;"&amp;$AG75)+COUNTIFS($AA$8:$AA$507,$AA75,$AG$8:$AG$507,$AG75,$AJ$8:$AJ$507,"&lt;"&amp;$AJ75)+1,Constants!$B$14),$Z75))</f>
        <v/>
      </c>
      <c r="AL75" s="65" t="str">
        <f aca="false">IF(ISBLANK($C75),"",IF($Z75=Constants!$B$7,IF(ISNUMBER(AH75),AH75-AK75,Constants!$B$14),$Z75))</f>
        <v/>
      </c>
      <c r="AM75" s="67"/>
      <c r="AN75" s="68" t="str">
        <f aca="false">IF(ISBLANK($C75),"",IF($Z75&lt;&gt;Constants!$B$7,$Z75,AD75))</f>
        <v/>
      </c>
      <c r="AO75" s="69" t="str">
        <f aca="false">IF(ISBLANK($C75),"",IF($Z75&lt;&gt;Constants!$B$7,$Z75,S75))</f>
        <v/>
      </c>
      <c r="AP75" s="70" t="str">
        <f aca="false">IF(ISBLANK($C75),"",IF($Z75&lt;&gt;Constants!$B$7,$Z75,AF75))</f>
        <v/>
      </c>
      <c r="AQ75" s="71" t="str">
        <f aca="false">IF(ISBLANK($C75),"",IF($Z75&lt;&gt;Constants!$B$7,$Z75,AA75))</f>
        <v/>
      </c>
      <c r="AR75" s="69" t="str">
        <f aca="false">IF(ISBLANK($C75),"",AL75)</f>
        <v/>
      </c>
      <c r="AS75" s="69" t="str">
        <f aca="false">IF(ISBLANK($C75),"",AK75)</f>
        <v/>
      </c>
      <c r="AT75" s="72" t="str">
        <f aca="false">IF(ISBLANK($C75),"",IF(AS75=Constants!$B$4,COUNTA($C$8:$C$507)+2,IF(AS75=Constants!$B$5,COUNTA($C$8:$C$507)+1,IF(AS75=Constants!$B$6,COUNTA($C$8:$C$507),AS75))))</f>
        <v/>
      </c>
      <c r="AU75" s="5"/>
      <c r="AV75" s="73" t="n">
        <f aca="false">IF(OR(ISNUMBER(AS75),AS75=Constants!$B$4,AS75=Constants!$B$6,AS75=Constants!$B$5),1,0)</f>
        <v>0</v>
      </c>
      <c r="AW75" s="73" t="n">
        <v>68</v>
      </c>
      <c r="AX75" s="73" t="str">
        <f aca="false">IF(ISBLANK($C75),"",IF(ISNUMBER(AT75),AT75+ROW($B75)/1000,""))</f>
        <v/>
      </c>
      <c r="AY75" s="73" t="str">
        <f aca="false">IF(ISNUMBER(AX75),RANK(AX75,$AX$8:$AX$507,1),"")</f>
        <v/>
      </c>
      <c r="AZ75" s="73" t="str">
        <f aca="false">IF(ISBLANK($C75),"",$B75)</f>
        <v/>
      </c>
      <c r="BA75" s="73" t="str">
        <f aca="false">IF(ISBLANK($C75),"",$C75)</f>
        <v/>
      </c>
      <c r="BB75" s="73" t="str">
        <f aca="false">IF(ISBLANK($C75),"",$D75)</f>
        <v/>
      </c>
      <c r="BC75" s="74" t="str">
        <f aca="false">AQ75</f>
        <v/>
      </c>
      <c r="BD75" s="75" t="str">
        <f aca="false">AP75</f>
        <v/>
      </c>
      <c r="BE75" s="73" t="str">
        <f aca="false">IF(ISBLANK($C75),"",AS75)</f>
        <v/>
      </c>
      <c r="BF75" s="76" t="str">
        <f aca="false">IF($AW75&gt;$AV$7,"",VLOOKUP($AW75,$AY$8:$BE$507,7,FALSE()))</f>
        <v/>
      </c>
      <c r="BG75" s="77" t="str">
        <f aca="false">IF($AW75&gt;$AV$7,"",VLOOKUP($AW75,$AY$8:$BE$507,2,FALSE()))</f>
        <v/>
      </c>
      <c r="BH75" s="77" t="str">
        <f aca="false">IF($AW75&gt;$AV$7,"",VLOOKUP($AW75,$AY$8:$BE$507,3,FALSE()))</f>
        <v/>
      </c>
      <c r="BI75" s="77" t="str">
        <f aca="false">IF($AW75&gt;$AV$7,"",VLOOKUP($AW75,$AY$8:$BE$507,4,FALSE()))</f>
        <v/>
      </c>
      <c r="BJ75" s="77" t="str">
        <f aca="false">IF($AW75&gt;$AV$7,"",VLOOKUP($AW75,$AY$8:$BE$507,5,FALSE()))</f>
        <v/>
      </c>
      <c r="BK75" s="78" t="str">
        <f aca="false">IF($AW75&gt;$AV$7,"",VLOOKUP($AW75,$AY$8:$BE$507,6,FALSE()))</f>
        <v/>
      </c>
      <c r="BL75" s="50"/>
    </row>
    <row r="76" customFormat="false" ht="15.75" hidden="false" customHeight="false" outlineLevel="0" collapsed="false">
      <c r="A76" s="5"/>
      <c r="B76" s="131"/>
      <c r="C76" s="52"/>
      <c r="D76" s="53"/>
      <c r="E76" s="80"/>
      <c r="F76" s="132"/>
      <c r="G76" s="56"/>
      <c r="H76" s="133"/>
      <c r="I76" s="134"/>
      <c r="J76" s="59"/>
      <c r="K76" s="60"/>
      <c r="L76" s="134"/>
      <c r="M76" s="61"/>
      <c r="N76" s="62"/>
      <c r="O76" s="80"/>
      <c r="P76" s="64"/>
      <c r="Q76" s="65" t="str">
        <f aca="false">IF(ISBLANK($C76),"",IF(E76=Constants!$B$2, TRUE(), IF(E76=Constants!$B$3, FALSE(), TRUE())))</f>
        <v/>
      </c>
      <c r="R76" s="65" t="str">
        <f aca="false">IF(ISBLANK($C76),"",IF(F76=Constants!$B$2, TRUE(), IF(F76=Constants!$B$3, FALSE(), TRUE())))</f>
        <v/>
      </c>
      <c r="S76" s="65" t="str">
        <f aca="false">IF(ISBLANK($C76),"",IF(G76=Constants!$B$15,Constants!$B$8,IF(G76=Constants!$B$16,Constants!$B$9,Constants!$B$10)))</f>
        <v/>
      </c>
      <c r="T76" s="65" t="str">
        <f aca="false">IF(ISBLANK($C76),"",IF(H76=Constants!$B$2, TRUE(), IF(H76=Constants!$B$3, FALSE(), TRUE())))</f>
        <v/>
      </c>
      <c r="U76" s="65" t="str">
        <f aca="false">IF(ISBLANK($C76),"",IF(I76=Constants!$B$19,Constants!$B$19,Constants!$B$18))</f>
        <v/>
      </c>
      <c r="V76" s="65" t="str">
        <f aca="false">IF(ISBLANK($C76),"",IF(COUNTA(J76:K76)=0,"",IF(AND(OR(ISBLANK(J76),AND(ISNUMBER(J76),J76&gt;=0)),OR(ISBLANK(K76),AND(ISNUMBER(K76),K76&gt;=0))),60*IF(ISBLANK(J76),0,J76)+IF(ISBLANK(K76),0,K76),"")))</f>
        <v/>
      </c>
      <c r="W76" s="65" t="str">
        <f aca="false">IF(ISBLANK($C76),"",IF(L76=Constants!$B$19,Constants!$B$19,Constants!$B$18))</f>
        <v/>
      </c>
      <c r="X76" s="65" t="str">
        <f aca="false">IF(ISBLANK($C76),"",IF(COUNTA(M76:N76)=0,"",IF(AND(OR(ISBLANK(M76),AND(ISNUMBER(M76),M76&gt;=0)),OR(ISBLANK(N76),AND(ISNUMBER(N76),N76&gt;=0))),60*IF(ISBLANK(M76),0,M76)+IF(ISBLANK(N76),0,N76),"")))</f>
        <v/>
      </c>
      <c r="Y76" s="65" t="str">
        <f aca="false">IF(ISBLANK($C76),"",IF(O76=Constants!$B$2, TRUE(), IF(O76=Constants!$B$3, FALSE(), FALSE())))</f>
        <v/>
      </c>
      <c r="Z76" s="65" t="str">
        <f aca="false">IF(ISBLANK($C76),"",IF(Y76,Constants!$B$4,IF(COUNTA(E76:N76)=0,Constants!$B$5,IF(COUNTA(J76:K76,M76:N76)=0,Constants!$B$6,Constants!$B$7))))</f>
        <v/>
      </c>
      <c r="AA76" s="65" t="str">
        <f aca="false">IF(ISBLANK($C76),"",IF($Z76&lt;&gt;Constants!$B$7,$Z76,IF(OR(NOT(T76),AND(NOT(Q76),COUNTIFS(U76:W76,Constants!$B$18,V76:X76,"&gt;=0")&gt;0),AND(NOT(R76),COUNTIFS(U76:W76,Constants!$B$19,V76:X76,"&gt;=0")&gt;0)),Constants!$B$12,Constants!$B$11)))</f>
        <v/>
      </c>
      <c r="AB76" s="65" t="str">
        <f aca="false">IF($Z76=Constants!$B$7,IF(V76="",Constants!$B$13,V76),"")</f>
        <v/>
      </c>
      <c r="AC76" s="65" t="str">
        <f aca="false">IF($Z76=Constants!$B$7,IF(X76="",Constants!$B$13,X76),"")</f>
        <v/>
      </c>
      <c r="AD76" s="65" t="str">
        <f aca="false">IF($Z76=Constants!$B$7,IF($AB76&gt;=$AC76,1,2),"")</f>
        <v/>
      </c>
      <c r="AE76" s="65" t="str">
        <f aca="false">IF($Z76=Constants!$B$7,LARGE(AB76:AC76,1),"")</f>
        <v/>
      </c>
      <c r="AF76" s="65" t="str">
        <f aca="false">IF(ISBLANK($C76),"",IF($Z76&lt;&gt;Constants!$B$7,$Z76,AE76*S76))</f>
        <v/>
      </c>
      <c r="AG76" s="65" t="str">
        <f aca="false">IF(ISBLANK($C76),"",IF($Z76=Constants!$B$7,IF(ISNUMBER(AF76),RANK(AF76,$AF$8:$AF$507),Constants!$B$14),$Z76))</f>
        <v/>
      </c>
      <c r="AH76" s="65" t="str">
        <f aca="false">IF(ISBLANK($C76),"",IF($Z76=Constants!$B$7,IF(ISNUMBER(AG76),COUNTIFS($AA$8:$AA$507,"&lt;"&amp;$AA76)+COUNTIFS($AA$8:$AA$507,$AA76,$AG$8:$AG$507,"&lt;"&amp;$AG76)+1,Constants!$B$14),$Z76))</f>
        <v/>
      </c>
      <c r="AI76" s="65" t="str">
        <f aca="false">IF(ISBLANK($C76),"",IF($Z76=Constants!$B$7,LARGE(AB76:AC76,2)*S76,""))</f>
        <v/>
      </c>
      <c r="AJ76" s="65" t="str">
        <f aca="false">IF(ISBLANK($C76),"",IF($Z76=Constants!$B$7,RANK(AI76,$AI$8:$AI$507),$Z76))</f>
        <v/>
      </c>
      <c r="AK76" s="65" t="str">
        <f aca="false">IF(ISBLANK($C76),"",IF($Z76=Constants!$B$7,IF(ISNUMBER(AG76),COUNTIFS($AA$8:$AA$507,"&lt;"&amp;$AA76)+COUNTIFS($AA$8:$AA$507,$AA76,$AG$8:$AG$507,"&lt;"&amp;$AG76)+COUNTIFS($AA$8:$AA$507,$AA76,$AG$8:$AG$507,$AG76,$AJ$8:$AJ$507,"&lt;"&amp;$AJ76)+1,Constants!$B$14),$Z76))</f>
        <v/>
      </c>
      <c r="AL76" s="65" t="str">
        <f aca="false">IF(ISBLANK($C76),"",IF($Z76=Constants!$B$7,IF(ISNUMBER(AH76),AH76-AK76,Constants!$B$14),$Z76))</f>
        <v/>
      </c>
      <c r="AM76" s="67"/>
      <c r="AN76" s="68" t="str">
        <f aca="false">IF(ISBLANK($C76),"",IF($Z76&lt;&gt;Constants!$B$7,$Z76,AD76))</f>
        <v/>
      </c>
      <c r="AO76" s="69" t="str">
        <f aca="false">IF(ISBLANK($C76),"",IF($Z76&lt;&gt;Constants!$B$7,$Z76,S76))</f>
        <v/>
      </c>
      <c r="AP76" s="70" t="str">
        <f aca="false">IF(ISBLANK($C76),"",IF($Z76&lt;&gt;Constants!$B$7,$Z76,AF76))</f>
        <v/>
      </c>
      <c r="AQ76" s="71" t="str">
        <f aca="false">IF(ISBLANK($C76),"",IF($Z76&lt;&gt;Constants!$B$7,$Z76,AA76))</f>
        <v/>
      </c>
      <c r="AR76" s="69" t="str">
        <f aca="false">IF(ISBLANK($C76),"",AL76)</f>
        <v/>
      </c>
      <c r="AS76" s="69" t="str">
        <f aca="false">IF(ISBLANK($C76),"",AK76)</f>
        <v/>
      </c>
      <c r="AT76" s="72" t="str">
        <f aca="false">IF(ISBLANK($C76),"",IF(AS76=Constants!$B$4,COUNTA($C$8:$C$507)+2,IF(AS76=Constants!$B$5,COUNTA($C$8:$C$507)+1,IF(AS76=Constants!$B$6,COUNTA($C$8:$C$507),AS76))))</f>
        <v/>
      </c>
      <c r="AU76" s="5"/>
      <c r="AV76" s="73" t="n">
        <f aca="false">IF(OR(ISNUMBER(AS76),AS76=Constants!$B$4,AS76=Constants!$B$6,AS76=Constants!$B$5),1,0)</f>
        <v>0</v>
      </c>
      <c r="AW76" s="73" t="n">
        <v>69</v>
      </c>
      <c r="AX76" s="73" t="str">
        <f aca="false">IF(ISBLANK($C76),"",IF(ISNUMBER(AT76),AT76+ROW($B76)/1000,""))</f>
        <v/>
      </c>
      <c r="AY76" s="73" t="str">
        <f aca="false">IF(ISNUMBER(AX76),RANK(AX76,$AX$8:$AX$507,1),"")</f>
        <v/>
      </c>
      <c r="AZ76" s="73" t="str">
        <f aca="false">IF(ISBLANK($C76),"",$B76)</f>
        <v/>
      </c>
      <c r="BA76" s="73" t="str">
        <f aca="false">IF(ISBLANK($C76),"",$C76)</f>
        <v/>
      </c>
      <c r="BB76" s="73" t="str">
        <f aca="false">IF(ISBLANK($C76),"",$D76)</f>
        <v/>
      </c>
      <c r="BC76" s="74" t="str">
        <f aca="false">AQ76</f>
        <v/>
      </c>
      <c r="BD76" s="75" t="str">
        <f aca="false">AP76</f>
        <v/>
      </c>
      <c r="BE76" s="73" t="str">
        <f aca="false">IF(ISBLANK($C76),"",AS76)</f>
        <v/>
      </c>
      <c r="BF76" s="76" t="str">
        <f aca="false">IF($AW76&gt;$AV$7,"",VLOOKUP($AW76,$AY$8:$BE$507,7,FALSE()))</f>
        <v/>
      </c>
      <c r="BG76" s="77" t="str">
        <f aca="false">IF($AW76&gt;$AV$7,"",VLOOKUP($AW76,$AY$8:$BE$507,2,FALSE()))</f>
        <v/>
      </c>
      <c r="BH76" s="77" t="str">
        <f aca="false">IF($AW76&gt;$AV$7,"",VLOOKUP($AW76,$AY$8:$BE$507,3,FALSE()))</f>
        <v/>
      </c>
      <c r="BI76" s="77" t="str">
        <f aca="false">IF($AW76&gt;$AV$7,"",VLOOKUP($AW76,$AY$8:$BE$507,4,FALSE()))</f>
        <v/>
      </c>
      <c r="BJ76" s="77" t="str">
        <f aca="false">IF($AW76&gt;$AV$7,"",VLOOKUP($AW76,$AY$8:$BE$507,5,FALSE()))</f>
        <v/>
      </c>
      <c r="BK76" s="78" t="str">
        <f aca="false">IF($AW76&gt;$AV$7,"",VLOOKUP($AW76,$AY$8:$BE$507,6,FALSE()))</f>
        <v/>
      </c>
      <c r="BL76" s="50"/>
    </row>
    <row r="77" customFormat="false" ht="15.75" hidden="false" customHeight="false" outlineLevel="0" collapsed="false">
      <c r="A77" s="5"/>
      <c r="B77" s="124"/>
      <c r="C77" s="125"/>
      <c r="D77" s="110"/>
      <c r="E77" s="130"/>
      <c r="F77" s="135"/>
      <c r="G77" s="88"/>
      <c r="H77" s="136"/>
      <c r="I77" s="137"/>
      <c r="J77" s="91"/>
      <c r="K77" s="92"/>
      <c r="L77" s="137"/>
      <c r="M77" s="93"/>
      <c r="N77" s="94"/>
      <c r="O77" s="130"/>
      <c r="P77" s="96"/>
      <c r="Q77" s="97" t="str">
        <f aca="false">IF(ISBLANK($C77),"",IF(E77=Constants!$B$2, TRUE(), IF(E77=Constants!$B$3, FALSE(), TRUE())))</f>
        <v/>
      </c>
      <c r="R77" s="97" t="str">
        <f aca="false">IF(ISBLANK($C77),"",IF(F77=Constants!$B$2, TRUE(), IF(F77=Constants!$B$3, FALSE(), TRUE())))</f>
        <v/>
      </c>
      <c r="S77" s="97" t="str">
        <f aca="false">IF(ISBLANK($C77),"",IF(G77=Constants!$B$15,Constants!$B$8,IF(G77=Constants!$B$16,Constants!$B$9,Constants!$B$10)))</f>
        <v/>
      </c>
      <c r="T77" s="97" t="str">
        <f aca="false">IF(ISBLANK($C77),"",IF(H77=Constants!$B$2, TRUE(), IF(H77=Constants!$B$3, FALSE(), TRUE())))</f>
        <v/>
      </c>
      <c r="U77" s="97" t="str">
        <f aca="false">IF(ISBLANK($C77),"",IF(I77=Constants!$B$19,Constants!$B$19,Constants!$B$18))</f>
        <v/>
      </c>
      <c r="V77" s="97" t="str">
        <f aca="false">IF(ISBLANK($C77),"",IF(COUNTA(J77:K77)=0,"",IF(AND(OR(ISBLANK(J77),AND(ISNUMBER(J77),J77&gt;=0)),OR(ISBLANK(K77),AND(ISNUMBER(K77),K77&gt;=0))),60*IF(ISBLANK(J77),0,J77)+IF(ISBLANK(K77),0,K77),"")))</f>
        <v/>
      </c>
      <c r="W77" s="97" t="str">
        <f aca="false">IF(ISBLANK($C77),"",IF(L77=Constants!$B$19,Constants!$B$19,Constants!$B$18))</f>
        <v/>
      </c>
      <c r="X77" s="97" t="str">
        <f aca="false">IF(ISBLANK($C77),"",IF(COUNTA(M77:N77)=0,"",IF(AND(OR(ISBLANK(M77),AND(ISNUMBER(M77),M77&gt;=0)),OR(ISBLANK(N77),AND(ISNUMBER(N77),N77&gt;=0))),60*IF(ISBLANK(M77),0,M77)+IF(ISBLANK(N77),0,N77),"")))</f>
        <v/>
      </c>
      <c r="Y77" s="97" t="str">
        <f aca="false">IF(ISBLANK($C77),"",IF(O77=Constants!$B$2, TRUE(), IF(O77=Constants!$B$3, FALSE(), FALSE())))</f>
        <v/>
      </c>
      <c r="Z77" s="97" t="str">
        <f aca="false">IF(ISBLANK($C77),"",IF(Y77,Constants!$B$4,IF(COUNTA(E77:N77)=0,Constants!$B$5,IF(COUNTA(J77:K77,M77:N77)=0,Constants!$B$6,Constants!$B$7))))</f>
        <v/>
      </c>
      <c r="AA77" s="97" t="str">
        <f aca="false">IF(ISBLANK($C77),"",IF($Z77&lt;&gt;Constants!$B$7,$Z77,IF(OR(NOT(T77),AND(NOT(Q77),COUNTIFS(U77:W77,Constants!$B$18,V77:X77,"&gt;=0")&gt;0),AND(NOT(R77),COUNTIFS(U77:W77,Constants!$B$19,V77:X77,"&gt;=0")&gt;0)),Constants!$B$12,Constants!$B$11)))</f>
        <v/>
      </c>
      <c r="AB77" s="97" t="str">
        <f aca="false">IF($Z77=Constants!$B$7,IF(V77="",Constants!$B$13,V77),"")</f>
        <v/>
      </c>
      <c r="AC77" s="97" t="str">
        <f aca="false">IF($Z77=Constants!$B$7,IF(X77="",Constants!$B$13,X77),"")</f>
        <v/>
      </c>
      <c r="AD77" s="97" t="str">
        <f aca="false">IF($Z77=Constants!$B$7,IF($AB77&gt;=$AC77,1,2),"")</f>
        <v/>
      </c>
      <c r="AE77" s="97" t="str">
        <f aca="false">IF($Z77=Constants!$B$7,LARGE(AB77:AC77,1),"")</f>
        <v/>
      </c>
      <c r="AF77" s="97" t="str">
        <f aca="false">IF(ISBLANK($C77),"",IF($Z77&lt;&gt;Constants!$B$7,$Z77,AE77*S77))</f>
        <v/>
      </c>
      <c r="AG77" s="97" t="str">
        <f aca="false">IF(ISBLANK($C77),"",IF($Z77=Constants!$B$7,IF(ISNUMBER(AF77),RANK(AF77,$AF$8:$AF$507),Constants!$B$14),$Z77))</f>
        <v/>
      </c>
      <c r="AH77" s="97" t="str">
        <f aca="false">IF(ISBLANK($C77),"",IF($Z77=Constants!$B$7,IF(ISNUMBER(AG77),COUNTIFS($AA$8:$AA$507,"&lt;"&amp;$AA77)+COUNTIFS($AA$8:$AA$507,$AA77,$AG$8:$AG$507,"&lt;"&amp;$AG77)+1,Constants!$B$14),$Z77))</f>
        <v/>
      </c>
      <c r="AI77" s="97" t="str">
        <f aca="false">IF(ISBLANK($C77),"",IF($Z77=Constants!$B$7,LARGE(AB77:AC77,2)*S77,""))</f>
        <v/>
      </c>
      <c r="AJ77" s="97" t="str">
        <f aca="false">IF(ISBLANK($C77),"",IF($Z77=Constants!$B$7,RANK(AI77,$AI$8:$AI$507),$Z77))</f>
        <v/>
      </c>
      <c r="AK77" s="97" t="str">
        <f aca="false">IF(ISBLANK($C77),"",IF($Z77=Constants!$B$7,IF(ISNUMBER(AG77),COUNTIFS($AA$8:$AA$507,"&lt;"&amp;$AA77)+COUNTIFS($AA$8:$AA$507,$AA77,$AG$8:$AG$507,"&lt;"&amp;$AG77)+COUNTIFS($AA$8:$AA$507,$AA77,$AG$8:$AG$507,$AG77,$AJ$8:$AJ$507,"&lt;"&amp;$AJ77)+1,Constants!$B$14),$Z77))</f>
        <v/>
      </c>
      <c r="AL77" s="97" t="str">
        <f aca="false">IF(ISBLANK($C77),"",IF($Z77=Constants!$B$7,IF(ISNUMBER(AH77),AH77-AK77,Constants!$B$14),$Z77))</f>
        <v/>
      </c>
      <c r="AM77" s="98"/>
      <c r="AN77" s="99" t="str">
        <f aca="false">IF(ISBLANK($C77),"",IF($Z77&lt;&gt;Constants!$B$7,$Z77,AD77))</f>
        <v/>
      </c>
      <c r="AO77" s="100" t="str">
        <f aca="false">IF(ISBLANK($C77),"",IF($Z77&lt;&gt;Constants!$B$7,$Z77,S77))</f>
        <v/>
      </c>
      <c r="AP77" s="101" t="str">
        <f aca="false">IF(ISBLANK($C77),"",IF($Z77&lt;&gt;Constants!$B$7,$Z77,AF77))</f>
        <v/>
      </c>
      <c r="AQ77" s="102" t="str">
        <f aca="false">IF(ISBLANK($C77),"",IF($Z77&lt;&gt;Constants!$B$7,$Z77,AA77))</f>
        <v/>
      </c>
      <c r="AR77" s="100" t="str">
        <f aca="false">IF(ISBLANK($C77),"",AL77)</f>
        <v/>
      </c>
      <c r="AS77" s="100" t="str">
        <f aca="false">IF(ISBLANK($C77),"",AK77)</f>
        <v/>
      </c>
      <c r="AT77" s="103" t="str">
        <f aca="false">IF(ISBLANK($C77),"",IF(AS77=Constants!$B$4,COUNTA($C$8:$C$507)+2,IF(AS77=Constants!$B$5,COUNTA($C$8:$C$507)+1,IF(AS77=Constants!$B$6,COUNTA($C$8:$C$507),AS77))))</f>
        <v/>
      </c>
      <c r="AU77" s="5"/>
      <c r="AV77" s="104" t="n">
        <f aca="false">IF(OR(ISNUMBER(AS77),AS77=Constants!$B$4,AS77=Constants!$B$6,AS77=Constants!$B$5),1,0)</f>
        <v>0</v>
      </c>
      <c r="AW77" s="104" t="n">
        <v>70</v>
      </c>
      <c r="AX77" s="104" t="str">
        <f aca="false">IF(ISBLANK($C77),"",IF(ISNUMBER(AT77),AT77+ROW($B77)/1000,""))</f>
        <v/>
      </c>
      <c r="AY77" s="104" t="str">
        <f aca="false">IF(ISNUMBER(AX77),RANK(AX77,$AX$8:$AX$507,1),"")</f>
        <v/>
      </c>
      <c r="AZ77" s="104" t="str">
        <f aca="false">IF(ISBLANK($C77),"",$B77)</f>
        <v/>
      </c>
      <c r="BA77" s="104" t="str">
        <f aca="false">IF(ISBLANK($C77),"",$C77)</f>
        <v/>
      </c>
      <c r="BB77" s="104" t="str">
        <f aca="false">IF(ISBLANK($C77),"",$D77)</f>
        <v/>
      </c>
      <c r="BC77" s="105" t="str">
        <f aca="false">AQ77</f>
        <v/>
      </c>
      <c r="BD77" s="106" t="str">
        <f aca="false">AP77</f>
        <v/>
      </c>
      <c r="BE77" s="104" t="str">
        <f aca="false">IF(ISBLANK($C77),"",AS77)</f>
        <v/>
      </c>
      <c r="BF77" s="107" t="str">
        <f aca="false">IF($AW77&gt;$AV$7,"",VLOOKUP($AW77,$AY$8:$BE$507,7,FALSE()))</f>
        <v/>
      </c>
      <c r="BG77" s="108" t="str">
        <f aca="false">IF($AW77&gt;$AV$7,"",VLOOKUP($AW77,$AY$8:$BE$507,2,FALSE()))</f>
        <v/>
      </c>
      <c r="BH77" s="108" t="str">
        <f aca="false">IF($AW77&gt;$AV$7,"",VLOOKUP($AW77,$AY$8:$BE$507,3,FALSE()))</f>
        <v/>
      </c>
      <c r="BI77" s="108" t="str">
        <f aca="false">IF($AW77&gt;$AV$7,"",VLOOKUP($AW77,$AY$8:$BE$507,4,FALSE()))</f>
        <v/>
      </c>
      <c r="BJ77" s="108" t="str">
        <f aca="false">IF($AW77&gt;$AV$7,"",VLOOKUP($AW77,$AY$8:$BE$507,5,FALSE()))</f>
        <v/>
      </c>
      <c r="BK77" s="109" t="str">
        <f aca="false">IF($AW77&gt;$AV$7,"",VLOOKUP($AW77,$AY$8:$BE$507,6,FALSE()))</f>
        <v/>
      </c>
      <c r="BL77" s="50"/>
    </row>
    <row r="78" customFormat="false" ht="15.75" hidden="false" customHeight="false" outlineLevel="0" collapsed="false">
      <c r="A78" s="5"/>
      <c r="B78" s="124"/>
      <c r="C78" s="125"/>
      <c r="D78" s="110"/>
      <c r="E78" s="130"/>
      <c r="F78" s="135"/>
      <c r="G78" s="88"/>
      <c r="H78" s="136"/>
      <c r="I78" s="137"/>
      <c r="J78" s="91"/>
      <c r="K78" s="92"/>
      <c r="L78" s="137"/>
      <c r="M78" s="93"/>
      <c r="N78" s="94"/>
      <c r="O78" s="130"/>
      <c r="P78" s="96"/>
      <c r="Q78" s="97" t="str">
        <f aca="false">IF(ISBLANK($C78),"",IF(E78=Constants!$B$2, TRUE(), IF(E78=Constants!$B$3, FALSE(), TRUE())))</f>
        <v/>
      </c>
      <c r="R78" s="97" t="str">
        <f aca="false">IF(ISBLANK($C78),"",IF(F78=Constants!$B$2, TRUE(), IF(F78=Constants!$B$3, FALSE(), TRUE())))</f>
        <v/>
      </c>
      <c r="S78" s="97" t="str">
        <f aca="false">IF(ISBLANK($C78),"",IF(G78=Constants!$B$15,Constants!$B$8,IF(G78=Constants!$B$16,Constants!$B$9,Constants!$B$10)))</f>
        <v/>
      </c>
      <c r="T78" s="97" t="str">
        <f aca="false">IF(ISBLANK($C78),"",IF(H78=Constants!$B$2, TRUE(), IF(H78=Constants!$B$3, FALSE(), TRUE())))</f>
        <v/>
      </c>
      <c r="U78" s="97" t="str">
        <f aca="false">IF(ISBLANK($C78),"",IF(I78=Constants!$B$19,Constants!$B$19,Constants!$B$18))</f>
        <v/>
      </c>
      <c r="V78" s="97" t="str">
        <f aca="false">IF(ISBLANK($C78),"",IF(COUNTA(J78:K78)=0,"",IF(AND(OR(ISBLANK(J78),AND(ISNUMBER(J78),J78&gt;=0)),OR(ISBLANK(K78),AND(ISNUMBER(K78),K78&gt;=0))),60*IF(ISBLANK(J78),0,J78)+IF(ISBLANK(K78),0,K78),"")))</f>
        <v/>
      </c>
      <c r="W78" s="97" t="str">
        <f aca="false">IF(ISBLANK($C78),"",IF(L78=Constants!$B$19,Constants!$B$19,Constants!$B$18))</f>
        <v/>
      </c>
      <c r="X78" s="97" t="str">
        <f aca="false">IF(ISBLANK($C78),"",IF(COUNTA(M78:N78)=0,"",IF(AND(OR(ISBLANK(M78),AND(ISNUMBER(M78),M78&gt;=0)),OR(ISBLANK(N78),AND(ISNUMBER(N78),N78&gt;=0))),60*IF(ISBLANK(M78),0,M78)+IF(ISBLANK(N78),0,N78),"")))</f>
        <v/>
      </c>
      <c r="Y78" s="97" t="str">
        <f aca="false">IF(ISBLANK($C78),"",IF(O78=Constants!$B$2, TRUE(), IF(O78=Constants!$B$3, FALSE(), FALSE())))</f>
        <v/>
      </c>
      <c r="Z78" s="97" t="str">
        <f aca="false">IF(ISBLANK($C78),"",IF(Y78,Constants!$B$4,IF(COUNTA(E78:N78)=0,Constants!$B$5,IF(COUNTA(J78:K78,M78:N78)=0,Constants!$B$6,Constants!$B$7))))</f>
        <v/>
      </c>
      <c r="AA78" s="97" t="str">
        <f aca="false">IF(ISBLANK($C78),"",IF($Z78&lt;&gt;Constants!$B$7,$Z78,IF(OR(NOT(T78),AND(NOT(Q78),COUNTIFS(U78:W78,Constants!$B$18,V78:X78,"&gt;=0")&gt;0),AND(NOT(R78),COUNTIFS(U78:W78,Constants!$B$19,V78:X78,"&gt;=0")&gt;0)),Constants!$B$12,Constants!$B$11)))</f>
        <v/>
      </c>
      <c r="AB78" s="97" t="str">
        <f aca="false">IF($Z78=Constants!$B$7,IF(V78="",Constants!$B$13,V78),"")</f>
        <v/>
      </c>
      <c r="AC78" s="97" t="str">
        <f aca="false">IF($Z78=Constants!$B$7,IF(X78="",Constants!$B$13,X78),"")</f>
        <v/>
      </c>
      <c r="AD78" s="97" t="str">
        <f aca="false">IF($Z78=Constants!$B$7,IF($AB78&gt;=$AC78,1,2),"")</f>
        <v/>
      </c>
      <c r="AE78" s="97" t="str">
        <f aca="false">IF($Z78=Constants!$B$7,LARGE(AB78:AC78,1),"")</f>
        <v/>
      </c>
      <c r="AF78" s="97" t="str">
        <f aca="false">IF(ISBLANK($C78),"",IF($Z78&lt;&gt;Constants!$B$7,$Z78,AE78*S78))</f>
        <v/>
      </c>
      <c r="AG78" s="97" t="str">
        <f aca="false">IF(ISBLANK($C78),"",IF($Z78=Constants!$B$7,IF(ISNUMBER(AF78),RANK(AF78,$AF$8:$AF$507),Constants!$B$14),$Z78))</f>
        <v/>
      </c>
      <c r="AH78" s="97" t="str">
        <f aca="false">IF(ISBLANK($C78),"",IF($Z78=Constants!$B$7,IF(ISNUMBER(AG78),COUNTIFS($AA$8:$AA$507,"&lt;"&amp;$AA78)+COUNTIFS($AA$8:$AA$507,$AA78,$AG$8:$AG$507,"&lt;"&amp;$AG78)+1,Constants!$B$14),$Z78))</f>
        <v/>
      </c>
      <c r="AI78" s="97" t="str">
        <f aca="false">IF(ISBLANK($C78),"",IF($Z78=Constants!$B$7,LARGE(AB78:AC78,2)*S78,""))</f>
        <v/>
      </c>
      <c r="AJ78" s="97" t="str">
        <f aca="false">IF(ISBLANK($C78),"",IF($Z78=Constants!$B$7,RANK(AI78,$AI$8:$AI$507),$Z78))</f>
        <v/>
      </c>
      <c r="AK78" s="97" t="str">
        <f aca="false">IF(ISBLANK($C78),"",IF($Z78=Constants!$B$7,IF(ISNUMBER(AG78),COUNTIFS($AA$8:$AA$507,"&lt;"&amp;$AA78)+COUNTIFS($AA$8:$AA$507,$AA78,$AG$8:$AG$507,"&lt;"&amp;$AG78)+COUNTIFS($AA$8:$AA$507,$AA78,$AG$8:$AG$507,$AG78,$AJ$8:$AJ$507,"&lt;"&amp;$AJ78)+1,Constants!$B$14),$Z78))</f>
        <v/>
      </c>
      <c r="AL78" s="97" t="str">
        <f aca="false">IF(ISBLANK($C78),"",IF($Z78=Constants!$B$7,IF(ISNUMBER(AH78),AH78-AK78,Constants!$B$14),$Z78))</f>
        <v/>
      </c>
      <c r="AM78" s="98"/>
      <c r="AN78" s="99" t="str">
        <f aca="false">IF(ISBLANK($C78),"",IF($Z78&lt;&gt;Constants!$B$7,$Z78,AD78))</f>
        <v/>
      </c>
      <c r="AO78" s="100" t="str">
        <f aca="false">IF(ISBLANK($C78),"",IF($Z78&lt;&gt;Constants!$B$7,$Z78,S78))</f>
        <v/>
      </c>
      <c r="AP78" s="101" t="str">
        <f aca="false">IF(ISBLANK($C78),"",IF($Z78&lt;&gt;Constants!$B$7,$Z78,AF78))</f>
        <v/>
      </c>
      <c r="AQ78" s="102" t="str">
        <f aca="false">IF(ISBLANK($C78),"",IF($Z78&lt;&gt;Constants!$B$7,$Z78,AA78))</f>
        <v/>
      </c>
      <c r="AR78" s="100" t="str">
        <f aca="false">IF(ISBLANK($C78),"",AL78)</f>
        <v/>
      </c>
      <c r="AS78" s="100" t="str">
        <f aca="false">IF(ISBLANK($C78),"",AK78)</f>
        <v/>
      </c>
      <c r="AT78" s="103" t="str">
        <f aca="false">IF(ISBLANK($C78),"",IF(AS78=Constants!$B$4,COUNTA($C$8:$C$507)+2,IF(AS78=Constants!$B$5,COUNTA($C$8:$C$507)+1,IF(AS78=Constants!$B$6,COUNTA($C$8:$C$507),AS78))))</f>
        <v/>
      </c>
      <c r="AU78" s="5"/>
      <c r="AV78" s="104" t="n">
        <f aca="false">IF(OR(ISNUMBER(AS78),AS78=Constants!$B$4,AS78=Constants!$B$6,AS78=Constants!$B$5),1,0)</f>
        <v>0</v>
      </c>
      <c r="AW78" s="104" t="n">
        <v>71</v>
      </c>
      <c r="AX78" s="104" t="str">
        <f aca="false">IF(ISBLANK($C78),"",IF(ISNUMBER(AT78),AT78+ROW($B78)/1000,""))</f>
        <v/>
      </c>
      <c r="AY78" s="104" t="str">
        <f aca="false">IF(ISNUMBER(AX78),RANK(AX78,$AX$8:$AX$507,1),"")</f>
        <v/>
      </c>
      <c r="AZ78" s="104" t="str">
        <f aca="false">IF(ISBLANK($C78),"",$B78)</f>
        <v/>
      </c>
      <c r="BA78" s="104" t="str">
        <f aca="false">IF(ISBLANK($C78),"",$C78)</f>
        <v/>
      </c>
      <c r="BB78" s="104" t="str">
        <f aca="false">IF(ISBLANK($C78),"",$D78)</f>
        <v/>
      </c>
      <c r="BC78" s="105" t="str">
        <f aca="false">AQ78</f>
        <v/>
      </c>
      <c r="BD78" s="106" t="str">
        <f aca="false">AP78</f>
        <v/>
      </c>
      <c r="BE78" s="104" t="str">
        <f aca="false">IF(ISBLANK($C78),"",AS78)</f>
        <v/>
      </c>
      <c r="BF78" s="107" t="str">
        <f aca="false">IF($AW78&gt;$AV$7,"",VLOOKUP($AW78,$AY$8:$BE$507,7,FALSE()))</f>
        <v/>
      </c>
      <c r="BG78" s="108" t="str">
        <f aca="false">IF($AW78&gt;$AV$7,"",VLOOKUP($AW78,$AY$8:$BE$507,2,FALSE()))</f>
        <v/>
      </c>
      <c r="BH78" s="108" t="str">
        <f aca="false">IF($AW78&gt;$AV$7,"",VLOOKUP($AW78,$AY$8:$BE$507,3,FALSE()))</f>
        <v/>
      </c>
      <c r="BI78" s="108" t="str">
        <f aca="false">IF($AW78&gt;$AV$7,"",VLOOKUP($AW78,$AY$8:$BE$507,4,FALSE()))</f>
        <v/>
      </c>
      <c r="BJ78" s="108" t="str">
        <f aca="false">IF($AW78&gt;$AV$7,"",VLOOKUP($AW78,$AY$8:$BE$507,5,FALSE()))</f>
        <v/>
      </c>
      <c r="BK78" s="109" t="str">
        <f aca="false">IF($AW78&gt;$AV$7,"",VLOOKUP($AW78,$AY$8:$BE$507,6,FALSE()))</f>
        <v/>
      </c>
      <c r="BL78" s="50"/>
    </row>
    <row r="79" customFormat="false" ht="15.75" hidden="false" customHeight="false" outlineLevel="0" collapsed="false">
      <c r="A79" s="5"/>
      <c r="B79" s="124"/>
      <c r="C79" s="125"/>
      <c r="D79" s="110"/>
      <c r="E79" s="130"/>
      <c r="F79" s="135"/>
      <c r="G79" s="88"/>
      <c r="H79" s="136"/>
      <c r="I79" s="137"/>
      <c r="J79" s="91"/>
      <c r="K79" s="92"/>
      <c r="L79" s="137"/>
      <c r="M79" s="93"/>
      <c r="N79" s="94"/>
      <c r="O79" s="130"/>
      <c r="P79" s="96"/>
      <c r="Q79" s="97" t="str">
        <f aca="false">IF(ISBLANK($C79),"",IF(E79=Constants!$B$2, TRUE(), IF(E79=Constants!$B$3, FALSE(), TRUE())))</f>
        <v/>
      </c>
      <c r="R79" s="97" t="str">
        <f aca="false">IF(ISBLANK($C79),"",IF(F79=Constants!$B$2, TRUE(), IF(F79=Constants!$B$3, FALSE(), TRUE())))</f>
        <v/>
      </c>
      <c r="S79" s="97" t="str">
        <f aca="false">IF(ISBLANK($C79),"",IF(G79=Constants!$B$15,Constants!$B$8,IF(G79=Constants!$B$16,Constants!$B$9,Constants!$B$10)))</f>
        <v/>
      </c>
      <c r="T79" s="97" t="str">
        <f aca="false">IF(ISBLANK($C79),"",IF(H79=Constants!$B$2, TRUE(), IF(H79=Constants!$B$3, FALSE(), TRUE())))</f>
        <v/>
      </c>
      <c r="U79" s="97" t="str">
        <f aca="false">IF(ISBLANK($C79),"",IF(I79=Constants!$B$19,Constants!$B$19,Constants!$B$18))</f>
        <v/>
      </c>
      <c r="V79" s="97" t="str">
        <f aca="false">IF(ISBLANK($C79),"",IF(COUNTA(J79:K79)=0,"",IF(AND(OR(ISBLANK(J79),AND(ISNUMBER(J79),J79&gt;=0)),OR(ISBLANK(K79),AND(ISNUMBER(K79),K79&gt;=0))),60*IF(ISBLANK(J79),0,J79)+IF(ISBLANK(K79),0,K79),"")))</f>
        <v/>
      </c>
      <c r="W79" s="97" t="str">
        <f aca="false">IF(ISBLANK($C79),"",IF(L79=Constants!$B$19,Constants!$B$19,Constants!$B$18))</f>
        <v/>
      </c>
      <c r="X79" s="97" t="str">
        <f aca="false">IF(ISBLANK($C79),"",IF(COUNTA(M79:N79)=0,"",IF(AND(OR(ISBLANK(M79),AND(ISNUMBER(M79),M79&gt;=0)),OR(ISBLANK(N79),AND(ISNUMBER(N79),N79&gt;=0))),60*IF(ISBLANK(M79),0,M79)+IF(ISBLANK(N79),0,N79),"")))</f>
        <v/>
      </c>
      <c r="Y79" s="97" t="str">
        <f aca="false">IF(ISBLANK($C79),"",IF(O79=Constants!$B$2, TRUE(), IF(O79=Constants!$B$3, FALSE(), FALSE())))</f>
        <v/>
      </c>
      <c r="Z79" s="97" t="str">
        <f aca="false">IF(ISBLANK($C79),"",IF(Y79,Constants!$B$4,IF(COUNTA(E79:N79)=0,Constants!$B$5,IF(COUNTA(J79:K79,M79:N79)=0,Constants!$B$6,Constants!$B$7))))</f>
        <v/>
      </c>
      <c r="AA79" s="97" t="str">
        <f aca="false">IF(ISBLANK($C79),"",IF($Z79&lt;&gt;Constants!$B$7,$Z79,IF(OR(NOT(T79),AND(NOT(Q79),COUNTIFS(U79:W79,Constants!$B$18,V79:X79,"&gt;=0")&gt;0),AND(NOT(R79),COUNTIFS(U79:W79,Constants!$B$19,V79:X79,"&gt;=0")&gt;0)),Constants!$B$12,Constants!$B$11)))</f>
        <v/>
      </c>
      <c r="AB79" s="97" t="str">
        <f aca="false">IF($Z79=Constants!$B$7,IF(V79="",Constants!$B$13,V79),"")</f>
        <v/>
      </c>
      <c r="AC79" s="97" t="str">
        <f aca="false">IF($Z79=Constants!$B$7,IF(X79="",Constants!$B$13,X79),"")</f>
        <v/>
      </c>
      <c r="AD79" s="97" t="str">
        <f aca="false">IF($Z79=Constants!$B$7,IF($AB79&gt;=$AC79,1,2),"")</f>
        <v/>
      </c>
      <c r="AE79" s="97" t="str">
        <f aca="false">IF($Z79=Constants!$B$7,LARGE(AB79:AC79,1),"")</f>
        <v/>
      </c>
      <c r="AF79" s="97" t="str">
        <f aca="false">IF(ISBLANK($C79),"",IF($Z79&lt;&gt;Constants!$B$7,$Z79,AE79*S79))</f>
        <v/>
      </c>
      <c r="AG79" s="97" t="str">
        <f aca="false">IF(ISBLANK($C79),"",IF($Z79=Constants!$B$7,IF(ISNUMBER(AF79),RANK(AF79,$AF$8:$AF$507),Constants!$B$14),$Z79))</f>
        <v/>
      </c>
      <c r="AH79" s="97" t="str">
        <f aca="false">IF(ISBLANK($C79),"",IF($Z79=Constants!$B$7,IF(ISNUMBER(AG79),COUNTIFS($AA$8:$AA$507,"&lt;"&amp;$AA79)+COUNTIFS($AA$8:$AA$507,$AA79,$AG$8:$AG$507,"&lt;"&amp;$AG79)+1,Constants!$B$14),$Z79))</f>
        <v/>
      </c>
      <c r="AI79" s="97" t="str">
        <f aca="false">IF(ISBLANK($C79),"",IF($Z79=Constants!$B$7,LARGE(AB79:AC79,2)*S79,""))</f>
        <v/>
      </c>
      <c r="AJ79" s="97" t="str">
        <f aca="false">IF(ISBLANK($C79),"",IF($Z79=Constants!$B$7,RANK(AI79,$AI$8:$AI$507),$Z79))</f>
        <v/>
      </c>
      <c r="AK79" s="97" t="str">
        <f aca="false">IF(ISBLANK($C79),"",IF($Z79=Constants!$B$7,IF(ISNUMBER(AG79),COUNTIFS($AA$8:$AA$507,"&lt;"&amp;$AA79)+COUNTIFS($AA$8:$AA$507,$AA79,$AG$8:$AG$507,"&lt;"&amp;$AG79)+COUNTIFS($AA$8:$AA$507,$AA79,$AG$8:$AG$507,$AG79,$AJ$8:$AJ$507,"&lt;"&amp;$AJ79)+1,Constants!$B$14),$Z79))</f>
        <v/>
      </c>
      <c r="AL79" s="97" t="str">
        <f aca="false">IF(ISBLANK($C79),"",IF($Z79=Constants!$B$7,IF(ISNUMBER(AH79),AH79-AK79,Constants!$B$14),$Z79))</f>
        <v/>
      </c>
      <c r="AM79" s="98"/>
      <c r="AN79" s="99" t="str">
        <f aca="false">IF(ISBLANK($C79),"",IF($Z79&lt;&gt;Constants!$B$7,$Z79,AD79))</f>
        <v/>
      </c>
      <c r="AO79" s="100" t="str">
        <f aca="false">IF(ISBLANK($C79),"",IF($Z79&lt;&gt;Constants!$B$7,$Z79,S79))</f>
        <v/>
      </c>
      <c r="AP79" s="101" t="str">
        <f aca="false">IF(ISBLANK($C79),"",IF($Z79&lt;&gt;Constants!$B$7,$Z79,AF79))</f>
        <v/>
      </c>
      <c r="AQ79" s="102" t="str">
        <f aca="false">IF(ISBLANK($C79),"",IF($Z79&lt;&gt;Constants!$B$7,$Z79,AA79))</f>
        <v/>
      </c>
      <c r="AR79" s="100" t="str">
        <f aca="false">IF(ISBLANK($C79),"",AL79)</f>
        <v/>
      </c>
      <c r="AS79" s="100" t="str">
        <f aca="false">IF(ISBLANK($C79),"",AK79)</f>
        <v/>
      </c>
      <c r="AT79" s="103" t="str">
        <f aca="false">IF(ISBLANK($C79),"",IF(AS79=Constants!$B$4,COUNTA($C$8:$C$507)+2,IF(AS79=Constants!$B$5,COUNTA($C$8:$C$507)+1,IF(AS79=Constants!$B$6,COUNTA($C$8:$C$507),AS79))))</f>
        <v/>
      </c>
      <c r="AU79" s="5"/>
      <c r="AV79" s="104" t="n">
        <f aca="false">IF(OR(ISNUMBER(AS79),AS79=Constants!$B$4,AS79=Constants!$B$6,AS79=Constants!$B$5),1,0)</f>
        <v>0</v>
      </c>
      <c r="AW79" s="104" t="n">
        <v>72</v>
      </c>
      <c r="AX79" s="104" t="str">
        <f aca="false">IF(ISBLANK($C79),"",IF(ISNUMBER(AT79),AT79+ROW($B79)/1000,""))</f>
        <v/>
      </c>
      <c r="AY79" s="104" t="str">
        <f aca="false">IF(ISNUMBER(AX79),RANK(AX79,$AX$8:$AX$507,1),"")</f>
        <v/>
      </c>
      <c r="AZ79" s="104" t="str">
        <f aca="false">IF(ISBLANK($C79),"",$B79)</f>
        <v/>
      </c>
      <c r="BA79" s="104" t="str">
        <f aca="false">IF(ISBLANK($C79),"",$C79)</f>
        <v/>
      </c>
      <c r="BB79" s="104" t="str">
        <f aca="false">IF(ISBLANK($C79),"",$D79)</f>
        <v/>
      </c>
      <c r="BC79" s="105" t="str">
        <f aca="false">AQ79</f>
        <v/>
      </c>
      <c r="BD79" s="106" t="str">
        <f aca="false">AP79</f>
        <v/>
      </c>
      <c r="BE79" s="104" t="str">
        <f aca="false">IF(ISBLANK($C79),"",AS79)</f>
        <v/>
      </c>
      <c r="BF79" s="107" t="str">
        <f aca="false">IF($AW79&gt;$AV$7,"",VLOOKUP($AW79,$AY$8:$BE$507,7,FALSE()))</f>
        <v/>
      </c>
      <c r="BG79" s="108" t="str">
        <f aca="false">IF($AW79&gt;$AV$7,"",VLOOKUP($AW79,$AY$8:$BE$507,2,FALSE()))</f>
        <v/>
      </c>
      <c r="BH79" s="108" t="str">
        <f aca="false">IF($AW79&gt;$AV$7,"",VLOOKUP($AW79,$AY$8:$BE$507,3,FALSE()))</f>
        <v/>
      </c>
      <c r="BI79" s="108" t="str">
        <f aca="false">IF($AW79&gt;$AV$7,"",VLOOKUP($AW79,$AY$8:$BE$507,4,FALSE()))</f>
        <v/>
      </c>
      <c r="BJ79" s="108" t="str">
        <f aca="false">IF($AW79&gt;$AV$7,"",VLOOKUP($AW79,$AY$8:$BE$507,5,FALSE()))</f>
        <v/>
      </c>
      <c r="BK79" s="109" t="str">
        <f aca="false">IF($AW79&gt;$AV$7,"",VLOOKUP($AW79,$AY$8:$BE$507,6,FALSE()))</f>
        <v/>
      </c>
      <c r="BL79" s="50"/>
    </row>
    <row r="80" customFormat="false" ht="15.75" hidden="false" customHeight="false" outlineLevel="0" collapsed="false">
      <c r="A80" s="5"/>
      <c r="B80" s="131"/>
      <c r="C80" s="52"/>
      <c r="D80" s="53"/>
      <c r="E80" s="80"/>
      <c r="F80" s="132"/>
      <c r="G80" s="56"/>
      <c r="H80" s="133"/>
      <c r="I80" s="134"/>
      <c r="J80" s="59"/>
      <c r="K80" s="60"/>
      <c r="L80" s="134"/>
      <c r="M80" s="61"/>
      <c r="N80" s="62"/>
      <c r="O80" s="80"/>
      <c r="P80" s="64"/>
      <c r="Q80" s="65" t="str">
        <f aca="false">IF(ISBLANK($C80),"",IF(E80=Constants!$B$2, TRUE(), IF(E80=Constants!$B$3, FALSE(), TRUE())))</f>
        <v/>
      </c>
      <c r="R80" s="65" t="str">
        <f aca="false">IF(ISBLANK($C80),"",IF(F80=Constants!$B$2, TRUE(), IF(F80=Constants!$B$3, FALSE(), TRUE())))</f>
        <v/>
      </c>
      <c r="S80" s="65" t="str">
        <f aca="false">IF(ISBLANK($C80),"",IF(G80=Constants!$B$15,Constants!$B$8,IF(G80=Constants!$B$16,Constants!$B$9,Constants!$B$10)))</f>
        <v/>
      </c>
      <c r="T80" s="65" t="str">
        <f aca="false">IF(ISBLANK($C80),"",IF(H80=Constants!$B$2, TRUE(), IF(H80=Constants!$B$3, FALSE(), TRUE())))</f>
        <v/>
      </c>
      <c r="U80" s="65" t="str">
        <f aca="false">IF(ISBLANK($C80),"",IF(I80=Constants!$B$19,Constants!$B$19,Constants!$B$18))</f>
        <v/>
      </c>
      <c r="V80" s="65" t="str">
        <f aca="false">IF(ISBLANK($C80),"",IF(COUNTA(J80:K80)=0,"",IF(AND(OR(ISBLANK(J80),AND(ISNUMBER(J80),J80&gt;=0)),OR(ISBLANK(K80),AND(ISNUMBER(K80),K80&gt;=0))),60*IF(ISBLANK(J80),0,J80)+IF(ISBLANK(K80),0,K80),"")))</f>
        <v/>
      </c>
      <c r="W80" s="65" t="str">
        <f aca="false">IF(ISBLANK($C80),"",IF(L80=Constants!$B$19,Constants!$B$19,Constants!$B$18))</f>
        <v/>
      </c>
      <c r="X80" s="65" t="str">
        <f aca="false">IF(ISBLANK($C80),"",IF(COUNTA(M80:N80)=0,"",IF(AND(OR(ISBLANK(M80),AND(ISNUMBER(M80),M80&gt;=0)),OR(ISBLANK(N80),AND(ISNUMBER(N80),N80&gt;=0))),60*IF(ISBLANK(M80),0,M80)+IF(ISBLANK(N80),0,N80),"")))</f>
        <v/>
      </c>
      <c r="Y80" s="65" t="str">
        <f aca="false">IF(ISBLANK($C80),"",IF(O80=Constants!$B$2, TRUE(), IF(O80=Constants!$B$3, FALSE(), FALSE())))</f>
        <v/>
      </c>
      <c r="Z80" s="65" t="str">
        <f aca="false">IF(ISBLANK($C80),"",IF(Y80,Constants!$B$4,IF(COUNTA(E80:N80)=0,Constants!$B$5,IF(COUNTA(J80:K80,M80:N80)=0,Constants!$B$6,Constants!$B$7))))</f>
        <v/>
      </c>
      <c r="AA80" s="65" t="str">
        <f aca="false">IF(ISBLANK($C80),"",IF($Z80&lt;&gt;Constants!$B$7,$Z80,IF(OR(NOT(T80),AND(NOT(Q80),COUNTIFS(U80:W80,Constants!$B$18,V80:X80,"&gt;=0")&gt;0),AND(NOT(R80),COUNTIFS(U80:W80,Constants!$B$19,V80:X80,"&gt;=0")&gt;0)),Constants!$B$12,Constants!$B$11)))</f>
        <v/>
      </c>
      <c r="AB80" s="65" t="str">
        <f aca="false">IF($Z80=Constants!$B$7,IF(V80="",Constants!$B$13,V80),"")</f>
        <v/>
      </c>
      <c r="AC80" s="65" t="str">
        <f aca="false">IF($Z80=Constants!$B$7,IF(X80="",Constants!$B$13,X80),"")</f>
        <v/>
      </c>
      <c r="AD80" s="65" t="str">
        <f aca="false">IF($Z80=Constants!$B$7,IF($AB80&gt;=$AC80,1,2),"")</f>
        <v/>
      </c>
      <c r="AE80" s="65" t="str">
        <f aca="false">IF($Z80=Constants!$B$7,LARGE(AB80:AC80,1),"")</f>
        <v/>
      </c>
      <c r="AF80" s="65" t="str">
        <f aca="false">IF(ISBLANK($C80),"",IF($Z80&lt;&gt;Constants!$B$7,$Z80,AE80*S80))</f>
        <v/>
      </c>
      <c r="AG80" s="65" t="str">
        <f aca="false">IF(ISBLANK($C80),"",IF($Z80=Constants!$B$7,IF(ISNUMBER(AF80),RANK(AF80,$AF$8:$AF$507),Constants!$B$14),$Z80))</f>
        <v/>
      </c>
      <c r="AH80" s="65" t="str">
        <f aca="false">IF(ISBLANK($C80),"",IF($Z80=Constants!$B$7,IF(ISNUMBER(AG80),COUNTIFS($AA$8:$AA$507,"&lt;"&amp;$AA80)+COUNTIFS($AA$8:$AA$507,$AA80,$AG$8:$AG$507,"&lt;"&amp;$AG80)+1,Constants!$B$14),$Z80))</f>
        <v/>
      </c>
      <c r="AI80" s="65" t="str">
        <f aca="false">IF(ISBLANK($C80),"",IF($Z80=Constants!$B$7,LARGE(AB80:AC80,2)*S80,""))</f>
        <v/>
      </c>
      <c r="AJ80" s="65" t="str">
        <f aca="false">IF(ISBLANK($C80),"",IF($Z80=Constants!$B$7,RANK(AI80,$AI$8:$AI$507),$Z80))</f>
        <v/>
      </c>
      <c r="AK80" s="65" t="str">
        <f aca="false">IF(ISBLANK($C80),"",IF($Z80=Constants!$B$7,IF(ISNUMBER(AG80),COUNTIFS($AA$8:$AA$507,"&lt;"&amp;$AA80)+COUNTIFS($AA$8:$AA$507,$AA80,$AG$8:$AG$507,"&lt;"&amp;$AG80)+COUNTIFS($AA$8:$AA$507,$AA80,$AG$8:$AG$507,$AG80,$AJ$8:$AJ$507,"&lt;"&amp;$AJ80)+1,Constants!$B$14),$Z80))</f>
        <v/>
      </c>
      <c r="AL80" s="65" t="str">
        <f aca="false">IF(ISBLANK($C80),"",IF($Z80=Constants!$B$7,IF(ISNUMBER(AH80),AH80-AK80,Constants!$B$14),$Z80))</f>
        <v/>
      </c>
      <c r="AM80" s="67"/>
      <c r="AN80" s="68" t="str">
        <f aca="false">IF(ISBLANK($C80),"",IF($Z80&lt;&gt;Constants!$B$7,$Z80,AD80))</f>
        <v/>
      </c>
      <c r="AO80" s="69" t="str">
        <f aca="false">IF(ISBLANK($C80),"",IF($Z80&lt;&gt;Constants!$B$7,$Z80,S80))</f>
        <v/>
      </c>
      <c r="AP80" s="70" t="str">
        <f aca="false">IF(ISBLANK($C80),"",IF($Z80&lt;&gt;Constants!$B$7,$Z80,AF80))</f>
        <v/>
      </c>
      <c r="AQ80" s="71" t="str">
        <f aca="false">IF(ISBLANK($C80),"",IF($Z80&lt;&gt;Constants!$B$7,$Z80,AA80))</f>
        <v/>
      </c>
      <c r="AR80" s="69" t="str">
        <f aca="false">IF(ISBLANK($C80),"",AL80)</f>
        <v/>
      </c>
      <c r="AS80" s="69" t="str">
        <f aca="false">IF(ISBLANK($C80),"",AK80)</f>
        <v/>
      </c>
      <c r="AT80" s="72" t="str">
        <f aca="false">IF(ISBLANK($C80),"",IF(AS80=Constants!$B$4,COUNTA($C$8:$C$507)+2,IF(AS80=Constants!$B$5,COUNTA($C$8:$C$507)+1,IF(AS80=Constants!$B$6,COUNTA($C$8:$C$507),AS80))))</f>
        <v/>
      </c>
      <c r="AU80" s="5"/>
      <c r="AV80" s="73" t="n">
        <f aca="false">IF(OR(ISNUMBER(AS80),AS80=Constants!$B$4,AS80=Constants!$B$6,AS80=Constants!$B$5),1,0)</f>
        <v>0</v>
      </c>
      <c r="AW80" s="73" t="n">
        <v>73</v>
      </c>
      <c r="AX80" s="73" t="str">
        <f aca="false">IF(ISBLANK($C80),"",IF(ISNUMBER(AT80),AT80+ROW($B80)/1000,""))</f>
        <v/>
      </c>
      <c r="AY80" s="73" t="str">
        <f aca="false">IF(ISNUMBER(AX80),RANK(AX80,$AX$8:$AX$507,1),"")</f>
        <v/>
      </c>
      <c r="AZ80" s="73" t="str">
        <f aca="false">IF(ISBLANK($C80),"",$B80)</f>
        <v/>
      </c>
      <c r="BA80" s="73" t="str">
        <f aca="false">IF(ISBLANK($C80),"",$C80)</f>
        <v/>
      </c>
      <c r="BB80" s="73" t="str">
        <f aca="false">IF(ISBLANK($C80),"",$D80)</f>
        <v/>
      </c>
      <c r="BC80" s="74" t="str">
        <f aca="false">AQ80</f>
        <v/>
      </c>
      <c r="BD80" s="75" t="str">
        <f aca="false">AP80</f>
        <v/>
      </c>
      <c r="BE80" s="73" t="str">
        <f aca="false">IF(ISBLANK($C80),"",AS80)</f>
        <v/>
      </c>
      <c r="BF80" s="76" t="str">
        <f aca="false">IF($AW80&gt;$AV$7,"",VLOOKUP($AW80,$AY$8:$BE$507,7,FALSE()))</f>
        <v/>
      </c>
      <c r="BG80" s="77" t="str">
        <f aca="false">IF($AW80&gt;$AV$7,"",VLOOKUP($AW80,$AY$8:$BE$507,2,FALSE()))</f>
        <v/>
      </c>
      <c r="BH80" s="77" t="str">
        <f aca="false">IF($AW80&gt;$AV$7,"",VLOOKUP($AW80,$AY$8:$BE$507,3,FALSE()))</f>
        <v/>
      </c>
      <c r="BI80" s="77" t="str">
        <f aca="false">IF($AW80&gt;$AV$7,"",VLOOKUP($AW80,$AY$8:$BE$507,4,FALSE()))</f>
        <v/>
      </c>
      <c r="BJ80" s="77" t="str">
        <f aca="false">IF($AW80&gt;$AV$7,"",VLOOKUP($AW80,$AY$8:$BE$507,5,FALSE()))</f>
        <v/>
      </c>
      <c r="BK80" s="78" t="str">
        <f aca="false">IF($AW80&gt;$AV$7,"",VLOOKUP($AW80,$AY$8:$BE$507,6,FALSE()))</f>
        <v/>
      </c>
      <c r="BL80" s="50"/>
    </row>
    <row r="81" customFormat="false" ht="15.75" hidden="false" customHeight="false" outlineLevel="0" collapsed="false">
      <c r="A81" s="5"/>
      <c r="B81" s="131"/>
      <c r="C81" s="52"/>
      <c r="D81" s="53"/>
      <c r="E81" s="80"/>
      <c r="F81" s="132"/>
      <c r="G81" s="56"/>
      <c r="H81" s="133"/>
      <c r="I81" s="134"/>
      <c r="J81" s="59"/>
      <c r="K81" s="60"/>
      <c r="L81" s="134"/>
      <c r="M81" s="61"/>
      <c r="N81" s="62"/>
      <c r="O81" s="80"/>
      <c r="P81" s="64"/>
      <c r="Q81" s="65" t="str">
        <f aca="false">IF(ISBLANK($C81),"",IF(E81=Constants!$B$2, TRUE(), IF(E81=Constants!$B$3, FALSE(), TRUE())))</f>
        <v/>
      </c>
      <c r="R81" s="65" t="str">
        <f aca="false">IF(ISBLANK($C81),"",IF(F81=Constants!$B$2, TRUE(), IF(F81=Constants!$B$3, FALSE(), TRUE())))</f>
        <v/>
      </c>
      <c r="S81" s="65" t="str">
        <f aca="false">IF(ISBLANK($C81),"",IF(G81=Constants!$B$15,Constants!$B$8,IF(G81=Constants!$B$16,Constants!$B$9,Constants!$B$10)))</f>
        <v/>
      </c>
      <c r="T81" s="65" t="str">
        <f aca="false">IF(ISBLANK($C81),"",IF(H81=Constants!$B$2, TRUE(), IF(H81=Constants!$B$3, FALSE(), TRUE())))</f>
        <v/>
      </c>
      <c r="U81" s="65" t="str">
        <f aca="false">IF(ISBLANK($C81),"",IF(I81=Constants!$B$19,Constants!$B$19,Constants!$B$18))</f>
        <v/>
      </c>
      <c r="V81" s="65" t="str">
        <f aca="false">IF(ISBLANK($C81),"",IF(COUNTA(J81:K81)=0,"",IF(AND(OR(ISBLANK(J81),AND(ISNUMBER(J81),J81&gt;=0)),OR(ISBLANK(K81),AND(ISNUMBER(K81),K81&gt;=0))),60*IF(ISBLANK(J81),0,J81)+IF(ISBLANK(K81),0,K81),"")))</f>
        <v/>
      </c>
      <c r="W81" s="65" t="str">
        <f aca="false">IF(ISBLANK($C81),"",IF(L81=Constants!$B$19,Constants!$B$19,Constants!$B$18))</f>
        <v/>
      </c>
      <c r="X81" s="65" t="str">
        <f aca="false">IF(ISBLANK($C81),"",IF(COUNTA(M81:N81)=0,"",IF(AND(OR(ISBLANK(M81),AND(ISNUMBER(M81),M81&gt;=0)),OR(ISBLANK(N81),AND(ISNUMBER(N81),N81&gt;=0))),60*IF(ISBLANK(M81),0,M81)+IF(ISBLANK(N81),0,N81),"")))</f>
        <v/>
      </c>
      <c r="Y81" s="65" t="str">
        <f aca="false">IF(ISBLANK($C81),"",IF(O81=Constants!$B$2, TRUE(), IF(O81=Constants!$B$3, FALSE(), FALSE())))</f>
        <v/>
      </c>
      <c r="Z81" s="65" t="str">
        <f aca="false">IF(ISBLANK($C81),"",IF(Y81,Constants!$B$4,IF(COUNTA(E81:N81)=0,Constants!$B$5,IF(COUNTA(J81:K81,M81:N81)=0,Constants!$B$6,Constants!$B$7))))</f>
        <v/>
      </c>
      <c r="AA81" s="65" t="str">
        <f aca="false">IF(ISBLANK($C81),"",IF($Z81&lt;&gt;Constants!$B$7,$Z81,IF(OR(NOT(T81),AND(NOT(Q81),COUNTIFS(U81:W81,Constants!$B$18,V81:X81,"&gt;=0")&gt;0),AND(NOT(R81),COUNTIFS(U81:W81,Constants!$B$19,V81:X81,"&gt;=0")&gt;0)),Constants!$B$12,Constants!$B$11)))</f>
        <v/>
      </c>
      <c r="AB81" s="65" t="str">
        <f aca="false">IF($Z81=Constants!$B$7,IF(V81="",Constants!$B$13,V81),"")</f>
        <v/>
      </c>
      <c r="AC81" s="65" t="str">
        <f aca="false">IF($Z81=Constants!$B$7,IF(X81="",Constants!$B$13,X81),"")</f>
        <v/>
      </c>
      <c r="AD81" s="65" t="str">
        <f aca="false">IF($Z81=Constants!$B$7,IF($AB81&gt;=$AC81,1,2),"")</f>
        <v/>
      </c>
      <c r="AE81" s="65" t="str">
        <f aca="false">IF($Z81=Constants!$B$7,LARGE(AB81:AC81,1),"")</f>
        <v/>
      </c>
      <c r="AF81" s="65" t="str">
        <f aca="false">IF(ISBLANK($C81),"",IF($Z81&lt;&gt;Constants!$B$7,$Z81,AE81*S81))</f>
        <v/>
      </c>
      <c r="AG81" s="65" t="str">
        <f aca="false">IF(ISBLANK($C81),"",IF($Z81=Constants!$B$7,IF(ISNUMBER(AF81),RANK(AF81,$AF$8:$AF$507),Constants!$B$14),$Z81))</f>
        <v/>
      </c>
      <c r="AH81" s="65" t="str">
        <f aca="false">IF(ISBLANK($C81),"",IF($Z81=Constants!$B$7,IF(ISNUMBER(AG81),COUNTIFS($AA$8:$AA$507,"&lt;"&amp;$AA81)+COUNTIFS($AA$8:$AA$507,$AA81,$AG$8:$AG$507,"&lt;"&amp;$AG81)+1,Constants!$B$14),$Z81))</f>
        <v/>
      </c>
      <c r="AI81" s="65" t="str">
        <f aca="false">IF(ISBLANK($C81),"",IF($Z81=Constants!$B$7,LARGE(AB81:AC81,2)*S81,""))</f>
        <v/>
      </c>
      <c r="AJ81" s="65" t="str">
        <f aca="false">IF(ISBLANK($C81),"",IF($Z81=Constants!$B$7,RANK(AI81,$AI$8:$AI$507),$Z81))</f>
        <v/>
      </c>
      <c r="AK81" s="65" t="str">
        <f aca="false">IF(ISBLANK($C81),"",IF($Z81=Constants!$B$7,IF(ISNUMBER(AG81),COUNTIFS($AA$8:$AA$507,"&lt;"&amp;$AA81)+COUNTIFS($AA$8:$AA$507,$AA81,$AG$8:$AG$507,"&lt;"&amp;$AG81)+COUNTIFS($AA$8:$AA$507,$AA81,$AG$8:$AG$507,$AG81,$AJ$8:$AJ$507,"&lt;"&amp;$AJ81)+1,Constants!$B$14),$Z81))</f>
        <v/>
      </c>
      <c r="AL81" s="65" t="str">
        <f aca="false">IF(ISBLANK($C81),"",IF($Z81=Constants!$B$7,IF(ISNUMBER(AH81),AH81-AK81,Constants!$B$14),$Z81))</f>
        <v/>
      </c>
      <c r="AM81" s="67"/>
      <c r="AN81" s="68" t="str">
        <f aca="false">IF(ISBLANK($C81),"",IF($Z81&lt;&gt;Constants!$B$7,$Z81,AD81))</f>
        <v/>
      </c>
      <c r="AO81" s="69" t="str">
        <f aca="false">IF(ISBLANK($C81),"",IF($Z81&lt;&gt;Constants!$B$7,$Z81,S81))</f>
        <v/>
      </c>
      <c r="AP81" s="70" t="str">
        <f aca="false">IF(ISBLANK($C81),"",IF($Z81&lt;&gt;Constants!$B$7,$Z81,AF81))</f>
        <v/>
      </c>
      <c r="AQ81" s="71" t="str">
        <f aca="false">IF(ISBLANK($C81),"",IF($Z81&lt;&gt;Constants!$B$7,$Z81,AA81))</f>
        <v/>
      </c>
      <c r="AR81" s="69" t="str">
        <f aca="false">IF(ISBLANK($C81),"",AL81)</f>
        <v/>
      </c>
      <c r="AS81" s="69" t="str">
        <f aca="false">IF(ISBLANK($C81),"",AK81)</f>
        <v/>
      </c>
      <c r="AT81" s="72" t="str">
        <f aca="false">IF(ISBLANK($C81),"",IF(AS81=Constants!$B$4,COUNTA($C$8:$C$507)+2,IF(AS81=Constants!$B$5,COUNTA($C$8:$C$507)+1,IF(AS81=Constants!$B$6,COUNTA($C$8:$C$507),AS81))))</f>
        <v/>
      </c>
      <c r="AU81" s="5"/>
      <c r="AV81" s="73" t="n">
        <f aca="false">IF(OR(ISNUMBER(AS81),AS81=Constants!$B$4,AS81=Constants!$B$6,AS81=Constants!$B$5),1,0)</f>
        <v>0</v>
      </c>
      <c r="AW81" s="73" t="n">
        <v>74</v>
      </c>
      <c r="AX81" s="73" t="str">
        <f aca="false">IF(ISBLANK($C81),"",IF(ISNUMBER(AT81),AT81+ROW($B81)/1000,""))</f>
        <v/>
      </c>
      <c r="AY81" s="73" t="str">
        <f aca="false">IF(ISNUMBER(AX81),RANK(AX81,$AX$8:$AX$507,1),"")</f>
        <v/>
      </c>
      <c r="AZ81" s="73" t="str">
        <f aca="false">IF(ISBLANK($C81),"",$B81)</f>
        <v/>
      </c>
      <c r="BA81" s="73" t="str">
        <f aca="false">IF(ISBLANK($C81),"",$C81)</f>
        <v/>
      </c>
      <c r="BB81" s="73" t="str">
        <f aca="false">IF(ISBLANK($C81),"",$D81)</f>
        <v/>
      </c>
      <c r="BC81" s="74" t="str">
        <f aca="false">AQ81</f>
        <v/>
      </c>
      <c r="BD81" s="75" t="str">
        <f aca="false">AP81</f>
        <v/>
      </c>
      <c r="BE81" s="73" t="str">
        <f aca="false">IF(ISBLANK($C81),"",AS81)</f>
        <v/>
      </c>
      <c r="BF81" s="76" t="str">
        <f aca="false">IF($AW81&gt;$AV$7,"",VLOOKUP($AW81,$AY$8:$BE$507,7,FALSE()))</f>
        <v/>
      </c>
      <c r="BG81" s="77" t="str">
        <f aca="false">IF($AW81&gt;$AV$7,"",VLOOKUP($AW81,$AY$8:$BE$507,2,FALSE()))</f>
        <v/>
      </c>
      <c r="BH81" s="77" t="str">
        <f aca="false">IF($AW81&gt;$AV$7,"",VLOOKUP($AW81,$AY$8:$BE$507,3,FALSE()))</f>
        <v/>
      </c>
      <c r="BI81" s="77" t="str">
        <f aca="false">IF($AW81&gt;$AV$7,"",VLOOKUP($AW81,$AY$8:$BE$507,4,FALSE()))</f>
        <v/>
      </c>
      <c r="BJ81" s="77" t="str">
        <f aca="false">IF($AW81&gt;$AV$7,"",VLOOKUP($AW81,$AY$8:$BE$507,5,FALSE()))</f>
        <v/>
      </c>
      <c r="BK81" s="78" t="str">
        <f aca="false">IF($AW81&gt;$AV$7,"",VLOOKUP($AW81,$AY$8:$BE$507,6,FALSE()))</f>
        <v/>
      </c>
      <c r="BL81" s="50"/>
    </row>
    <row r="82" customFormat="false" ht="15.75" hidden="false" customHeight="false" outlineLevel="0" collapsed="false">
      <c r="A82" s="5"/>
      <c r="B82" s="131"/>
      <c r="C82" s="52"/>
      <c r="D82" s="53"/>
      <c r="E82" s="80"/>
      <c r="F82" s="132"/>
      <c r="G82" s="56"/>
      <c r="H82" s="133"/>
      <c r="I82" s="134"/>
      <c r="J82" s="59"/>
      <c r="K82" s="60"/>
      <c r="L82" s="134"/>
      <c r="M82" s="61"/>
      <c r="N82" s="62"/>
      <c r="O82" s="80"/>
      <c r="P82" s="64"/>
      <c r="Q82" s="65" t="str">
        <f aca="false">IF(ISBLANK($C82),"",IF(E82=Constants!$B$2, TRUE(), IF(E82=Constants!$B$3, FALSE(), TRUE())))</f>
        <v/>
      </c>
      <c r="R82" s="65" t="str">
        <f aca="false">IF(ISBLANK($C82),"",IF(F82=Constants!$B$2, TRUE(), IF(F82=Constants!$B$3, FALSE(), TRUE())))</f>
        <v/>
      </c>
      <c r="S82" s="65" t="str">
        <f aca="false">IF(ISBLANK($C82),"",IF(G82=Constants!$B$15,Constants!$B$8,IF(G82=Constants!$B$16,Constants!$B$9,Constants!$B$10)))</f>
        <v/>
      </c>
      <c r="T82" s="65" t="str">
        <f aca="false">IF(ISBLANK($C82),"",IF(H82=Constants!$B$2, TRUE(), IF(H82=Constants!$B$3, FALSE(), TRUE())))</f>
        <v/>
      </c>
      <c r="U82" s="65" t="str">
        <f aca="false">IF(ISBLANK($C82),"",IF(I82=Constants!$B$19,Constants!$B$19,Constants!$B$18))</f>
        <v/>
      </c>
      <c r="V82" s="65" t="str">
        <f aca="false">IF(ISBLANK($C82),"",IF(COUNTA(J82:K82)=0,"",IF(AND(OR(ISBLANK(J82),AND(ISNUMBER(J82),J82&gt;=0)),OR(ISBLANK(K82),AND(ISNUMBER(K82),K82&gt;=0))),60*IF(ISBLANK(J82),0,J82)+IF(ISBLANK(K82),0,K82),"")))</f>
        <v/>
      </c>
      <c r="W82" s="65" t="str">
        <f aca="false">IF(ISBLANK($C82),"",IF(L82=Constants!$B$19,Constants!$B$19,Constants!$B$18))</f>
        <v/>
      </c>
      <c r="X82" s="65" t="str">
        <f aca="false">IF(ISBLANK($C82),"",IF(COUNTA(M82:N82)=0,"",IF(AND(OR(ISBLANK(M82),AND(ISNUMBER(M82),M82&gt;=0)),OR(ISBLANK(N82),AND(ISNUMBER(N82),N82&gt;=0))),60*IF(ISBLANK(M82),0,M82)+IF(ISBLANK(N82),0,N82),"")))</f>
        <v/>
      </c>
      <c r="Y82" s="65" t="str">
        <f aca="false">IF(ISBLANK($C82),"",IF(O82=Constants!$B$2, TRUE(), IF(O82=Constants!$B$3, FALSE(), FALSE())))</f>
        <v/>
      </c>
      <c r="Z82" s="65" t="str">
        <f aca="false">IF(ISBLANK($C82),"",IF(Y82,Constants!$B$4,IF(COUNTA(E82:N82)=0,Constants!$B$5,IF(COUNTA(J82:K82,M82:N82)=0,Constants!$B$6,Constants!$B$7))))</f>
        <v/>
      </c>
      <c r="AA82" s="65" t="str">
        <f aca="false">IF(ISBLANK($C82),"",IF($Z82&lt;&gt;Constants!$B$7,$Z82,IF(OR(NOT(T82),AND(NOT(Q82),COUNTIFS(U82:W82,Constants!$B$18,V82:X82,"&gt;=0")&gt;0),AND(NOT(R82),COUNTIFS(U82:W82,Constants!$B$19,V82:X82,"&gt;=0")&gt;0)),Constants!$B$12,Constants!$B$11)))</f>
        <v/>
      </c>
      <c r="AB82" s="65" t="str">
        <f aca="false">IF($Z82=Constants!$B$7,IF(V82="",Constants!$B$13,V82),"")</f>
        <v/>
      </c>
      <c r="AC82" s="65" t="str">
        <f aca="false">IF($Z82=Constants!$B$7,IF(X82="",Constants!$B$13,X82),"")</f>
        <v/>
      </c>
      <c r="AD82" s="65" t="str">
        <f aca="false">IF($Z82=Constants!$B$7,IF($AB82&gt;=$AC82,1,2),"")</f>
        <v/>
      </c>
      <c r="AE82" s="65" t="str">
        <f aca="false">IF($Z82=Constants!$B$7,LARGE(AB82:AC82,1),"")</f>
        <v/>
      </c>
      <c r="AF82" s="65" t="str">
        <f aca="false">IF(ISBLANK($C82),"",IF($Z82&lt;&gt;Constants!$B$7,$Z82,AE82*S82))</f>
        <v/>
      </c>
      <c r="AG82" s="65" t="str">
        <f aca="false">IF(ISBLANK($C82),"",IF($Z82=Constants!$B$7,IF(ISNUMBER(AF82),RANK(AF82,$AF$8:$AF$507),Constants!$B$14),$Z82))</f>
        <v/>
      </c>
      <c r="AH82" s="65" t="str">
        <f aca="false">IF(ISBLANK($C82),"",IF($Z82=Constants!$B$7,IF(ISNUMBER(AG82),COUNTIFS($AA$8:$AA$507,"&lt;"&amp;$AA82)+COUNTIFS($AA$8:$AA$507,$AA82,$AG$8:$AG$507,"&lt;"&amp;$AG82)+1,Constants!$B$14),$Z82))</f>
        <v/>
      </c>
      <c r="AI82" s="65" t="str">
        <f aca="false">IF(ISBLANK($C82),"",IF($Z82=Constants!$B$7,LARGE(AB82:AC82,2)*S82,""))</f>
        <v/>
      </c>
      <c r="AJ82" s="65" t="str">
        <f aca="false">IF(ISBLANK($C82),"",IF($Z82=Constants!$B$7,RANK(AI82,$AI$8:$AI$507),$Z82))</f>
        <v/>
      </c>
      <c r="AK82" s="65" t="str">
        <f aca="false">IF(ISBLANK($C82),"",IF($Z82=Constants!$B$7,IF(ISNUMBER(AG82),COUNTIFS($AA$8:$AA$507,"&lt;"&amp;$AA82)+COUNTIFS($AA$8:$AA$507,$AA82,$AG$8:$AG$507,"&lt;"&amp;$AG82)+COUNTIFS($AA$8:$AA$507,$AA82,$AG$8:$AG$507,$AG82,$AJ$8:$AJ$507,"&lt;"&amp;$AJ82)+1,Constants!$B$14),$Z82))</f>
        <v/>
      </c>
      <c r="AL82" s="65" t="str">
        <f aca="false">IF(ISBLANK($C82),"",IF($Z82=Constants!$B$7,IF(ISNUMBER(AH82),AH82-AK82,Constants!$B$14),$Z82))</f>
        <v/>
      </c>
      <c r="AM82" s="67"/>
      <c r="AN82" s="68" t="str">
        <f aca="false">IF(ISBLANK($C82),"",IF($Z82&lt;&gt;Constants!$B$7,$Z82,AD82))</f>
        <v/>
      </c>
      <c r="AO82" s="69" t="str">
        <f aca="false">IF(ISBLANK($C82),"",IF($Z82&lt;&gt;Constants!$B$7,$Z82,S82))</f>
        <v/>
      </c>
      <c r="AP82" s="70" t="str">
        <f aca="false">IF(ISBLANK($C82),"",IF($Z82&lt;&gt;Constants!$B$7,$Z82,AF82))</f>
        <v/>
      </c>
      <c r="AQ82" s="71" t="str">
        <f aca="false">IF(ISBLANK($C82),"",IF($Z82&lt;&gt;Constants!$B$7,$Z82,AA82))</f>
        <v/>
      </c>
      <c r="AR82" s="69" t="str">
        <f aca="false">IF(ISBLANK($C82),"",AL82)</f>
        <v/>
      </c>
      <c r="AS82" s="69" t="str">
        <f aca="false">IF(ISBLANK($C82),"",AK82)</f>
        <v/>
      </c>
      <c r="AT82" s="72" t="str">
        <f aca="false">IF(ISBLANK($C82),"",IF(AS82=Constants!$B$4,COUNTA($C$8:$C$507)+2,IF(AS82=Constants!$B$5,COUNTA($C$8:$C$507)+1,IF(AS82=Constants!$B$6,COUNTA($C$8:$C$507),AS82))))</f>
        <v/>
      </c>
      <c r="AU82" s="5"/>
      <c r="AV82" s="73" t="n">
        <f aca="false">IF(OR(ISNUMBER(AS82),AS82=Constants!$B$4,AS82=Constants!$B$6,AS82=Constants!$B$5),1,0)</f>
        <v>0</v>
      </c>
      <c r="AW82" s="73" t="n">
        <v>75</v>
      </c>
      <c r="AX82" s="73" t="str">
        <f aca="false">IF(ISBLANK($C82),"",IF(ISNUMBER(AT82),AT82+ROW($B82)/1000,""))</f>
        <v/>
      </c>
      <c r="AY82" s="73" t="str">
        <f aca="false">IF(ISNUMBER(AX82),RANK(AX82,$AX$8:$AX$507,1),"")</f>
        <v/>
      </c>
      <c r="AZ82" s="73" t="str">
        <f aca="false">IF(ISBLANK($C82),"",$B82)</f>
        <v/>
      </c>
      <c r="BA82" s="73" t="str">
        <f aca="false">IF(ISBLANK($C82),"",$C82)</f>
        <v/>
      </c>
      <c r="BB82" s="73" t="str">
        <f aca="false">IF(ISBLANK($C82),"",$D82)</f>
        <v/>
      </c>
      <c r="BC82" s="74" t="str">
        <f aca="false">AQ82</f>
        <v/>
      </c>
      <c r="BD82" s="75" t="str">
        <f aca="false">AP82</f>
        <v/>
      </c>
      <c r="BE82" s="73" t="str">
        <f aca="false">IF(ISBLANK($C82),"",AS82)</f>
        <v/>
      </c>
      <c r="BF82" s="76" t="str">
        <f aca="false">IF($AW82&gt;$AV$7,"",VLOOKUP($AW82,$AY$8:$BE$507,7,FALSE()))</f>
        <v/>
      </c>
      <c r="BG82" s="77" t="str">
        <f aca="false">IF($AW82&gt;$AV$7,"",VLOOKUP($AW82,$AY$8:$BE$507,2,FALSE()))</f>
        <v/>
      </c>
      <c r="BH82" s="77" t="str">
        <f aca="false">IF($AW82&gt;$AV$7,"",VLOOKUP($AW82,$AY$8:$BE$507,3,FALSE()))</f>
        <v/>
      </c>
      <c r="BI82" s="77" t="str">
        <f aca="false">IF($AW82&gt;$AV$7,"",VLOOKUP($AW82,$AY$8:$BE$507,4,FALSE()))</f>
        <v/>
      </c>
      <c r="BJ82" s="77" t="str">
        <f aca="false">IF($AW82&gt;$AV$7,"",VLOOKUP($AW82,$AY$8:$BE$507,5,FALSE()))</f>
        <v/>
      </c>
      <c r="BK82" s="78" t="str">
        <f aca="false">IF($AW82&gt;$AV$7,"",VLOOKUP($AW82,$AY$8:$BE$507,6,FALSE()))</f>
        <v/>
      </c>
      <c r="BL82" s="50"/>
    </row>
    <row r="83" customFormat="false" ht="15.75" hidden="false" customHeight="false" outlineLevel="0" collapsed="false">
      <c r="A83" s="5"/>
      <c r="B83" s="124"/>
      <c r="C83" s="125"/>
      <c r="D83" s="110"/>
      <c r="E83" s="130"/>
      <c r="F83" s="135"/>
      <c r="G83" s="88"/>
      <c r="H83" s="136"/>
      <c r="I83" s="137"/>
      <c r="J83" s="91"/>
      <c r="K83" s="92"/>
      <c r="L83" s="137"/>
      <c r="M83" s="93"/>
      <c r="N83" s="94"/>
      <c r="O83" s="130"/>
      <c r="P83" s="96"/>
      <c r="Q83" s="97" t="str">
        <f aca="false">IF(ISBLANK($C83),"",IF(E83=Constants!$B$2, TRUE(), IF(E83=Constants!$B$3, FALSE(), TRUE())))</f>
        <v/>
      </c>
      <c r="R83" s="97" t="str">
        <f aca="false">IF(ISBLANK($C83),"",IF(F83=Constants!$B$2, TRUE(), IF(F83=Constants!$B$3, FALSE(), TRUE())))</f>
        <v/>
      </c>
      <c r="S83" s="97" t="str">
        <f aca="false">IF(ISBLANK($C83),"",IF(G83=Constants!$B$15,Constants!$B$8,IF(G83=Constants!$B$16,Constants!$B$9,Constants!$B$10)))</f>
        <v/>
      </c>
      <c r="T83" s="97" t="str">
        <f aca="false">IF(ISBLANK($C83),"",IF(H83=Constants!$B$2, TRUE(), IF(H83=Constants!$B$3, FALSE(), TRUE())))</f>
        <v/>
      </c>
      <c r="U83" s="97" t="str">
        <f aca="false">IF(ISBLANK($C83),"",IF(I83=Constants!$B$19,Constants!$B$19,Constants!$B$18))</f>
        <v/>
      </c>
      <c r="V83" s="97" t="str">
        <f aca="false">IF(ISBLANK($C83),"",IF(COUNTA(J83:K83)=0,"",IF(AND(OR(ISBLANK(J83),AND(ISNUMBER(J83),J83&gt;=0)),OR(ISBLANK(K83),AND(ISNUMBER(K83),K83&gt;=0))),60*IF(ISBLANK(J83),0,J83)+IF(ISBLANK(K83),0,K83),"")))</f>
        <v/>
      </c>
      <c r="W83" s="97" t="str">
        <f aca="false">IF(ISBLANK($C83),"",IF(L83=Constants!$B$19,Constants!$B$19,Constants!$B$18))</f>
        <v/>
      </c>
      <c r="X83" s="97" t="str">
        <f aca="false">IF(ISBLANK($C83),"",IF(COUNTA(M83:N83)=0,"",IF(AND(OR(ISBLANK(M83),AND(ISNUMBER(M83),M83&gt;=0)),OR(ISBLANK(N83),AND(ISNUMBER(N83),N83&gt;=0))),60*IF(ISBLANK(M83),0,M83)+IF(ISBLANK(N83),0,N83),"")))</f>
        <v/>
      </c>
      <c r="Y83" s="97" t="str">
        <f aca="false">IF(ISBLANK($C83),"",IF(O83=Constants!$B$2, TRUE(), IF(O83=Constants!$B$3, FALSE(), FALSE())))</f>
        <v/>
      </c>
      <c r="Z83" s="97" t="str">
        <f aca="false">IF(ISBLANK($C83),"",IF(Y83,Constants!$B$4,IF(COUNTA(E83:N83)=0,Constants!$B$5,IF(COUNTA(J83:K83,M83:N83)=0,Constants!$B$6,Constants!$B$7))))</f>
        <v/>
      </c>
      <c r="AA83" s="97" t="str">
        <f aca="false">IF(ISBLANK($C83),"",IF($Z83&lt;&gt;Constants!$B$7,$Z83,IF(OR(NOT(T83),AND(NOT(Q83),COUNTIFS(U83:W83,Constants!$B$18,V83:X83,"&gt;=0")&gt;0),AND(NOT(R83),COUNTIFS(U83:W83,Constants!$B$19,V83:X83,"&gt;=0")&gt;0)),Constants!$B$12,Constants!$B$11)))</f>
        <v/>
      </c>
      <c r="AB83" s="97" t="str">
        <f aca="false">IF($Z83=Constants!$B$7,IF(V83="",Constants!$B$13,V83),"")</f>
        <v/>
      </c>
      <c r="AC83" s="97" t="str">
        <f aca="false">IF($Z83=Constants!$B$7,IF(X83="",Constants!$B$13,X83),"")</f>
        <v/>
      </c>
      <c r="AD83" s="97" t="str">
        <f aca="false">IF($Z83=Constants!$B$7,IF($AB83&gt;=$AC83,1,2),"")</f>
        <v/>
      </c>
      <c r="AE83" s="97" t="str">
        <f aca="false">IF($Z83=Constants!$B$7,LARGE(AB83:AC83,1),"")</f>
        <v/>
      </c>
      <c r="AF83" s="97" t="str">
        <f aca="false">IF(ISBLANK($C83),"",IF($Z83&lt;&gt;Constants!$B$7,$Z83,AE83*S83))</f>
        <v/>
      </c>
      <c r="AG83" s="97" t="str">
        <f aca="false">IF(ISBLANK($C83),"",IF($Z83=Constants!$B$7,IF(ISNUMBER(AF83),RANK(AF83,$AF$8:$AF$507),Constants!$B$14),$Z83))</f>
        <v/>
      </c>
      <c r="AH83" s="97" t="str">
        <f aca="false">IF(ISBLANK($C83),"",IF($Z83=Constants!$B$7,IF(ISNUMBER(AG83),COUNTIFS($AA$8:$AA$507,"&lt;"&amp;$AA83)+COUNTIFS($AA$8:$AA$507,$AA83,$AG$8:$AG$507,"&lt;"&amp;$AG83)+1,Constants!$B$14),$Z83))</f>
        <v/>
      </c>
      <c r="AI83" s="97" t="str">
        <f aca="false">IF(ISBLANK($C83),"",IF($Z83=Constants!$B$7,LARGE(AB83:AC83,2)*S83,""))</f>
        <v/>
      </c>
      <c r="AJ83" s="97" t="str">
        <f aca="false">IF(ISBLANK($C83),"",IF($Z83=Constants!$B$7,RANK(AI83,$AI$8:$AI$507),$Z83))</f>
        <v/>
      </c>
      <c r="AK83" s="97" t="str">
        <f aca="false">IF(ISBLANK($C83),"",IF($Z83=Constants!$B$7,IF(ISNUMBER(AG83),COUNTIFS($AA$8:$AA$507,"&lt;"&amp;$AA83)+COUNTIFS($AA$8:$AA$507,$AA83,$AG$8:$AG$507,"&lt;"&amp;$AG83)+COUNTIFS($AA$8:$AA$507,$AA83,$AG$8:$AG$507,$AG83,$AJ$8:$AJ$507,"&lt;"&amp;$AJ83)+1,Constants!$B$14),$Z83))</f>
        <v/>
      </c>
      <c r="AL83" s="97" t="str">
        <f aca="false">IF(ISBLANK($C83),"",IF($Z83=Constants!$B$7,IF(ISNUMBER(AH83),AH83-AK83,Constants!$B$14),$Z83))</f>
        <v/>
      </c>
      <c r="AM83" s="98"/>
      <c r="AN83" s="99" t="str">
        <f aca="false">IF(ISBLANK($C83),"",IF($Z83&lt;&gt;Constants!$B$7,$Z83,AD83))</f>
        <v/>
      </c>
      <c r="AO83" s="100" t="str">
        <f aca="false">IF(ISBLANK($C83),"",IF($Z83&lt;&gt;Constants!$B$7,$Z83,S83))</f>
        <v/>
      </c>
      <c r="AP83" s="101" t="str">
        <f aca="false">IF(ISBLANK($C83),"",IF($Z83&lt;&gt;Constants!$B$7,$Z83,AF83))</f>
        <v/>
      </c>
      <c r="AQ83" s="102" t="str">
        <f aca="false">IF(ISBLANK($C83),"",IF($Z83&lt;&gt;Constants!$B$7,$Z83,AA83))</f>
        <v/>
      </c>
      <c r="AR83" s="100" t="str">
        <f aca="false">IF(ISBLANK($C83),"",AL83)</f>
        <v/>
      </c>
      <c r="AS83" s="100" t="str">
        <f aca="false">IF(ISBLANK($C83),"",AK83)</f>
        <v/>
      </c>
      <c r="AT83" s="103" t="str">
        <f aca="false">IF(ISBLANK($C83),"",IF(AS83=Constants!$B$4,COUNTA($C$8:$C$507)+2,IF(AS83=Constants!$B$5,COUNTA($C$8:$C$507)+1,IF(AS83=Constants!$B$6,COUNTA($C$8:$C$507),AS83))))</f>
        <v/>
      </c>
      <c r="AU83" s="5"/>
      <c r="AV83" s="104" t="n">
        <f aca="false">IF(OR(ISNUMBER(AS83),AS83=Constants!$B$4,AS83=Constants!$B$6,AS83=Constants!$B$5),1,0)</f>
        <v>0</v>
      </c>
      <c r="AW83" s="104" t="n">
        <v>76</v>
      </c>
      <c r="AX83" s="104" t="str">
        <f aca="false">IF(ISBLANK($C83),"",IF(ISNUMBER(AT83),AT83+ROW($B83)/1000,""))</f>
        <v/>
      </c>
      <c r="AY83" s="104" t="str">
        <f aca="false">IF(ISNUMBER(AX83),RANK(AX83,$AX$8:$AX$507,1),"")</f>
        <v/>
      </c>
      <c r="AZ83" s="104" t="str">
        <f aca="false">IF(ISBLANK($C83),"",$B83)</f>
        <v/>
      </c>
      <c r="BA83" s="104" t="str">
        <f aca="false">IF(ISBLANK($C83),"",$C83)</f>
        <v/>
      </c>
      <c r="BB83" s="104" t="str">
        <f aca="false">IF(ISBLANK($C83),"",$D83)</f>
        <v/>
      </c>
      <c r="BC83" s="105" t="str">
        <f aca="false">AQ83</f>
        <v/>
      </c>
      <c r="BD83" s="106" t="str">
        <f aca="false">AP83</f>
        <v/>
      </c>
      <c r="BE83" s="104" t="str">
        <f aca="false">IF(ISBLANK($C83),"",AS83)</f>
        <v/>
      </c>
      <c r="BF83" s="107" t="str">
        <f aca="false">IF($AW83&gt;$AV$7,"",VLOOKUP($AW83,$AY$8:$BE$507,7,FALSE()))</f>
        <v/>
      </c>
      <c r="BG83" s="108" t="str">
        <f aca="false">IF($AW83&gt;$AV$7,"",VLOOKUP($AW83,$AY$8:$BE$507,2,FALSE()))</f>
        <v/>
      </c>
      <c r="BH83" s="108" t="str">
        <f aca="false">IF($AW83&gt;$AV$7,"",VLOOKUP($AW83,$AY$8:$BE$507,3,FALSE()))</f>
        <v/>
      </c>
      <c r="BI83" s="108" t="str">
        <f aca="false">IF($AW83&gt;$AV$7,"",VLOOKUP($AW83,$AY$8:$BE$507,4,FALSE()))</f>
        <v/>
      </c>
      <c r="BJ83" s="108" t="str">
        <f aca="false">IF($AW83&gt;$AV$7,"",VLOOKUP($AW83,$AY$8:$BE$507,5,FALSE()))</f>
        <v/>
      </c>
      <c r="BK83" s="109" t="str">
        <f aca="false">IF($AW83&gt;$AV$7,"",VLOOKUP($AW83,$AY$8:$BE$507,6,FALSE()))</f>
        <v/>
      </c>
      <c r="BL83" s="50"/>
    </row>
    <row r="84" customFormat="false" ht="15.75" hidden="false" customHeight="false" outlineLevel="0" collapsed="false">
      <c r="A84" s="5"/>
      <c r="B84" s="124"/>
      <c r="C84" s="125"/>
      <c r="D84" s="110"/>
      <c r="E84" s="130"/>
      <c r="F84" s="135"/>
      <c r="G84" s="88"/>
      <c r="H84" s="136"/>
      <c r="I84" s="137"/>
      <c r="J84" s="91"/>
      <c r="K84" s="92"/>
      <c r="L84" s="137"/>
      <c r="M84" s="93"/>
      <c r="N84" s="94"/>
      <c r="O84" s="130"/>
      <c r="P84" s="96"/>
      <c r="Q84" s="97" t="str">
        <f aca="false">IF(ISBLANK($C84),"",IF(E84=Constants!$B$2, TRUE(), IF(E84=Constants!$B$3, FALSE(), TRUE())))</f>
        <v/>
      </c>
      <c r="R84" s="97" t="str">
        <f aca="false">IF(ISBLANK($C84),"",IF(F84=Constants!$B$2, TRUE(), IF(F84=Constants!$B$3, FALSE(), TRUE())))</f>
        <v/>
      </c>
      <c r="S84" s="97" t="str">
        <f aca="false">IF(ISBLANK($C84),"",IF(G84=Constants!$B$15,Constants!$B$8,IF(G84=Constants!$B$16,Constants!$B$9,Constants!$B$10)))</f>
        <v/>
      </c>
      <c r="T84" s="97" t="str">
        <f aca="false">IF(ISBLANK($C84),"",IF(H84=Constants!$B$2, TRUE(), IF(H84=Constants!$B$3, FALSE(), TRUE())))</f>
        <v/>
      </c>
      <c r="U84" s="97" t="str">
        <f aca="false">IF(ISBLANK($C84),"",IF(I84=Constants!$B$19,Constants!$B$19,Constants!$B$18))</f>
        <v/>
      </c>
      <c r="V84" s="97" t="str">
        <f aca="false">IF(ISBLANK($C84),"",IF(COUNTA(J84:K84)=0,"",IF(AND(OR(ISBLANK(J84),AND(ISNUMBER(J84),J84&gt;=0)),OR(ISBLANK(K84),AND(ISNUMBER(K84),K84&gt;=0))),60*IF(ISBLANK(J84),0,J84)+IF(ISBLANK(K84),0,K84),"")))</f>
        <v/>
      </c>
      <c r="W84" s="97" t="str">
        <f aca="false">IF(ISBLANK($C84),"",IF(L84=Constants!$B$19,Constants!$B$19,Constants!$B$18))</f>
        <v/>
      </c>
      <c r="X84" s="97" t="str">
        <f aca="false">IF(ISBLANK($C84),"",IF(COUNTA(M84:N84)=0,"",IF(AND(OR(ISBLANK(M84),AND(ISNUMBER(M84),M84&gt;=0)),OR(ISBLANK(N84),AND(ISNUMBER(N84),N84&gt;=0))),60*IF(ISBLANK(M84),0,M84)+IF(ISBLANK(N84),0,N84),"")))</f>
        <v/>
      </c>
      <c r="Y84" s="97" t="str">
        <f aca="false">IF(ISBLANK($C84),"",IF(O84=Constants!$B$2, TRUE(), IF(O84=Constants!$B$3, FALSE(), FALSE())))</f>
        <v/>
      </c>
      <c r="Z84" s="97" t="str">
        <f aca="false">IF(ISBLANK($C84),"",IF(Y84,Constants!$B$4,IF(COUNTA(E84:N84)=0,Constants!$B$5,IF(COUNTA(J84:K84,M84:N84)=0,Constants!$B$6,Constants!$B$7))))</f>
        <v/>
      </c>
      <c r="AA84" s="97" t="str">
        <f aca="false">IF(ISBLANK($C84),"",IF($Z84&lt;&gt;Constants!$B$7,$Z84,IF(OR(NOT(T84),AND(NOT(Q84),COUNTIFS(U84:W84,Constants!$B$18,V84:X84,"&gt;=0")&gt;0),AND(NOT(R84),COUNTIFS(U84:W84,Constants!$B$19,V84:X84,"&gt;=0")&gt;0)),Constants!$B$12,Constants!$B$11)))</f>
        <v/>
      </c>
      <c r="AB84" s="97" t="str">
        <f aca="false">IF($Z84=Constants!$B$7,IF(V84="",Constants!$B$13,V84),"")</f>
        <v/>
      </c>
      <c r="AC84" s="97" t="str">
        <f aca="false">IF($Z84=Constants!$B$7,IF(X84="",Constants!$B$13,X84),"")</f>
        <v/>
      </c>
      <c r="AD84" s="97" t="str">
        <f aca="false">IF($Z84=Constants!$B$7,IF($AB84&gt;=$AC84,1,2),"")</f>
        <v/>
      </c>
      <c r="AE84" s="97" t="str">
        <f aca="false">IF($Z84=Constants!$B$7,LARGE(AB84:AC84,1),"")</f>
        <v/>
      </c>
      <c r="AF84" s="97" t="str">
        <f aca="false">IF(ISBLANK($C84),"",IF($Z84&lt;&gt;Constants!$B$7,$Z84,AE84*S84))</f>
        <v/>
      </c>
      <c r="AG84" s="97" t="str">
        <f aca="false">IF(ISBLANK($C84),"",IF($Z84=Constants!$B$7,IF(ISNUMBER(AF84),RANK(AF84,$AF$8:$AF$507),Constants!$B$14),$Z84))</f>
        <v/>
      </c>
      <c r="AH84" s="97" t="str">
        <f aca="false">IF(ISBLANK($C84),"",IF($Z84=Constants!$B$7,IF(ISNUMBER(AG84),COUNTIFS($AA$8:$AA$507,"&lt;"&amp;$AA84)+COUNTIFS($AA$8:$AA$507,$AA84,$AG$8:$AG$507,"&lt;"&amp;$AG84)+1,Constants!$B$14),$Z84))</f>
        <v/>
      </c>
      <c r="AI84" s="97" t="str">
        <f aca="false">IF(ISBLANK($C84),"",IF($Z84=Constants!$B$7,LARGE(AB84:AC84,2)*S84,""))</f>
        <v/>
      </c>
      <c r="AJ84" s="97" t="str">
        <f aca="false">IF(ISBLANK($C84),"",IF($Z84=Constants!$B$7,RANK(AI84,$AI$8:$AI$507),$Z84))</f>
        <v/>
      </c>
      <c r="AK84" s="97" t="str">
        <f aca="false">IF(ISBLANK($C84),"",IF($Z84=Constants!$B$7,IF(ISNUMBER(AG84),COUNTIFS($AA$8:$AA$507,"&lt;"&amp;$AA84)+COUNTIFS($AA$8:$AA$507,$AA84,$AG$8:$AG$507,"&lt;"&amp;$AG84)+COUNTIFS($AA$8:$AA$507,$AA84,$AG$8:$AG$507,$AG84,$AJ$8:$AJ$507,"&lt;"&amp;$AJ84)+1,Constants!$B$14),$Z84))</f>
        <v/>
      </c>
      <c r="AL84" s="97" t="str">
        <f aca="false">IF(ISBLANK($C84),"",IF($Z84=Constants!$B$7,IF(ISNUMBER(AH84),AH84-AK84,Constants!$B$14),$Z84))</f>
        <v/>
      </c>
      <c r="AM84" s="98"/>
      <c r="AN84" s="99" t="str">
        <f aca="false">IF(ISBLANK($C84),"",IF($Z84&lt;&gt;Constants!$B$7,$Z84,AD84))</f>
        <v/>
      </c>
      <c r="AO84" s="100" t="str">
        <f aca="false">IF(ISBLANK($C84),"",IF($Z84&lt;&gt;Constants!$B$7,$Z84,S84))</f>
        <v/>
      </c>
      <c r="AP84" s="101" t="str">
        <f aca="false">IF(ISBLANK($C84),"",IF($Z84&lt;&gt;Constants!$B$7,$Z84,AF84))</f>
        <v/>
      </c>
      <c r="AQ84" s="102" t="str">
        <f aca="false">IF(ISBLANK($C84),"",IF($Z84&lt;&gt;Constants!$B$7,$Z84,AA84))</f>
        <v/>
      </c>
      <c r="AR84" s="100" t="str">
        <f aca="false">IF(ISBLANK($C84),"",AL84)</f>
        <v/>
      </c>
      <c r="AS84" s="100" t="str">
        <f aca="false">IF(ISBLANK($C84),"",AK84)</f>
        <v/>
      </c>
      <c r="AT84" s="103" t="str">
        <f aca="false">IF(ISBLANK($C84),"",IF(AS84=Constants!$B$4,COUNTA($C$8:$C$507)+2,IF(AS84=Constants!$B$5,COUNTA($C$8:$C$507)+1,IF(AS84=Constants!$B$6,COUNTA($C$8:$C$507),AS84))))</f>
        <v/>
      </c>
      <c r="AU84" s="5"/>
      <c r="AV84" s="104" t="n">
        <f aca="false">IF(OR(ISNUMBER(AS84),AS84=Constants!$B$4,AS84=Constants!$B$6,AS84=Constants!$B$5),1,0)</f>
        <v>0</v>
      </c>
      <c r="AW84" s="104" t="n">
        <v>77</v>
      </c>
      <c r="AX84" s="104" t="str">
        <f aca="false">IF(ISBLANK($C84),"",IF(ISNUMBER(AT84),AT84+ROW($B84)/1000,""))</f>
        <v/>
      </c>
      <c r="AY84" s="104" t="str">
        <f aca="false">IF(ISNUMBER(AX84),RANK(AX84,$AX$8:$AX$507,1),"")</f>
        <v/>
      </c>
      <c r="AZ84" s="104" t="str">
        <f aca="false">IF(ISBLANK($C84),"",$B84)</f>
        <v/>
      </c>
      <c r="BA84" s="104" t="str">
        <f aca="false">IF(ISBLANK($C84),"",$C84)</f>
        <v/>
      </c>
      <c r="BB84" s="104" t="str">
        <f aca="false">IF(ISBLANK($C84),"",$D84)</f>
        <v/>
      </c>
      <c r="BC84" s="105" t="str">
        <f aca="false">AQ84</f>
        <v/>
      </c>
      <c r="BD84" s="106" t="str">
        <f aca="false">AP84</f>
        <v/>
      </c>
      <c r="BE84" s="104" t="str">
        <f aca="false">IF(ISBLANK($C84),"",AS84)</f>
        <v/>
      </c>
      <c r="BF84" s="107" t="str">
        <f aca="false">IF($AW84&gt;$AV$7,"",VLOOKUP($AW84,$AY$8:$BE$507,7,FALSE()))</f>
        <v/>
      </c>
      <c r="BG84" s="108" t="str">
        <f aca="false">IF($AW84&gt;$AV$7,"",VLOOKUP($AW84,$AY$8:$BE$507,2,FALSE()))</f>
        <v/>
      </c>
      <c r="BH84" s="108" t="str">
        <f aca="false">IF($AW84&gt;$AV$7,"",VLOOKUP($AW84,$AY$8:$BE$507,3,FALSE()))</f>
        <v/>
      </c>
      <c r="BI84" s="108" t="str">
        <f aca="false">IF($AW84&gt;$AV$7,"",VLOOKUP($AW84,$AY$8:$BE$507,4,FALSE()))</f>
        <v/>
      </c>
      <c r="BJ84" s="108" t="str">
        <f aca="false">IF($AW84&gt;$AV$7,"",VLOOKUP($AW84,$AY$8:$BE$507,5,FALSE()))</f>
        <v/>
      </c>
      <c r="BK84" s="109" t="str">
        <f aca="false">IF($AW84&gt;$AV$7,"",VLOOKUP($AW84,$AY$8:$BE$507,6,FALSE()))</f>
        <v/>
      </c>
      <c r="BL84" s="50"/>
    </row>
    <row r="85" customFormat="false" ht="15.75" hidden="false" customHeight="false" outlineLevel="0" collapsed="false">
      <c r="A85" s="5"/>
      <c r="B85" s="124"/>
      <c r="C85" s="125"/>
      <c r="D85" s="110"/>
      <c r="E85" s="130"/>
      <c r="F85" s="135"/>
      <c r="G85" s="88"/>
      <c r="H85" s="136"/>
      <c r="I85" s="137"/>
      <c r="J85" s="91"/>
      <c r="K85" s="92"/>
      <c r="L85" s="137"/>
      <c r="M85" s="93"/>
      <c r="N85" s="94"/>
      <c r="O85" s="130"/>
      <c r="P85" s="96"/>
      <c r="Q85" s="97" t="str">
        <f aca="false">IF(ISBLANK($C85),"",IF(E85=Constants!$B$2, TRUE(), IF(E85=Constants!$B$3, FALSE(), TRUE())))</f>
        <v/>
      </c>
      <c r="R85" s="97" t="str">
        <f aca="false">IF(ISBLANK($C85),"",IF(F85=Constants!$B$2, TRUE(), IF(F85=Constants!$B$3, FALSE(), TRUE())))</f>
        <v/>
      </c>
      <c r="S85" s="97" t="str">
        <f aca="false">IF(ISBLANK($C85),"",IF(G85=Constants!$B$15,Constants!$B$8,IF(G85=Constants!$B$16,Constants!$B$9,Constants!$B$10)))</f>
        <v/>
      </c>
      <c r="T85" s="97" t="str">
        <f aca="false">IF(ISBLANK($C85),"",IF(H85=Constants!$B$2, TRUE(), IF(H85=Constants!$B$3, FALSE(), TRUE())))</f>
        <v/>
      </c>
      <c r="U85" s="97" t="str">
        <f aca="false">IF(ISBLANK($C85),"",IF(I85=Constants!$B$19,Constants!$B$19,Constants!$B$18))</f>
        <v/>
      </c>
      <c r="V85" s="97" t="str">
        <f aca="false">IF(ISBLANK($C85),"",IF(COUNTA(J85:K85)=0,"",IF(AND(OR(ISBLANK(J85),AND(ISNUMBER(J85),J85&gt;=0)),OR(ISBLANK(K85),AND(ISNUMBER(K85),K85&gt;=0))),60*IF(ISBLANK(J85),0,J85)+IF(ISBLANK(K85),0,K85),"")))</f>
        <v/>
      </c>
      <c r="W85" s="97" t="str">
        <f aca="false">IF(ISBLANK($C85),"",IF(L85=Constants!$B$19,Constants!$B$19,Constants!$B$18))</f>
        <v/>
      </c>
      <c r="X85" s="97" t="str">
        <f aca="false">IF(ISBLANK($C85),"",IF(COUNTA(M85:N85)=0,"",IF(AND(OR(ISBLANK(M85),AND(ISNUMBER(M85),M85&gt;=0)),OR(ISBLANK(N85),AND(ISNUMBER(N85),N85&gt;=0))),60*IF(ISBLANK(M85),0,M85)+IF(ISBLANK(N85),0,N85),"")))</f>
        <v/>
      </c>
      <c r="Y85" s="97" t="str">
        <f aca="false">IF(ISBLANK($C85),"",IF(O85=Constants!$B$2, TRUE(), IF(O85=Constants!$B$3, FALSE(), FALSE())))</f>
        <v/>
      </c>
      <c r="Z85" s="97" t="str">
        <f aca="false">IF(ISBLANK($C85),"",IF(Y85,Constants!$B$4,IF(COUNTA(E85:N85)=0,Constants!$B$5,IF(COUNTA(J85:K85,M85:N85)=0,Constants!$B$6,Constants!$B$7))))</f>
        <v/>
      </c>
      <c r="AA85" s="97" t="str">
        <f aca="false">IF(ISBLANK($C85),"",IF($Z85&lt;&gt;Constants!$B$7,$Z85,IF(OR(NOT(T85),AND(NOT(Q85),COUNTIFS(U85:W85,Constants!$B$18,V85:X85,"&gt;=0")&gt;0),AND(NOT(R85),COUNTIFS(U85:W85,Constants!$B$19,V85:X85,"&gt;=0")&gt;0)),Constants!$B$12,Constants!$B$11)))</f>
        <v/>
      </c>
      <c r="AB85" s="97" t="str">
        <f aca="false">IF($Z85=Constants!$B$7,IF(V85="",Constants!$B$13,V85),"")</f>
        <v/>
      </c>
      <c r="AC85" s="97" t="str">
        <f aca="false">IF($Z85=Constants!$B$7,IF(X85="",Constants!$B$13,X85),"")</f>
        <v/>
      </c>
      <c r="AD85" s="97" t="str">
        <f aca="false">IF($Z85=Constants!$B$7,IF($AB85&gt;=$AC85,1,2),"")</f>
        <v/>
      </c>
      <c r="AE85" s="97" t="str">
        <f aca="false">IF($Z85=Constants!$B$7,LARGE(AB85:AC85,1),"")</f>
        <v/>
      </c>
      <c r="AF85" s="97" t="str">
        <f aca="false">IF(ISBLANK($C85),"",IF($Z85&lt;&gt;Constants!$B$7,$Z85,AE85*S85))</f>
        <v/>
      </c>
      <c r="AG85" s="97" t="str">
        <f aca="false">IF(ISBLANK($C85),"",IF($Z85=Constants!$B$7,IF(ISNUMBER(AF85),RANK(AF85,$AF$8:$AF$507),Constants!$B$14),$Z85))</f>
        <v/>
      </c>
      <c r="AH85" s="97" t="str">
        <f aca="false">IF(ISBLANK($C85),"",IF($Z85=Constants!$B$7,IF(ISNUMBER(AG85),COUNTIFS($AA$8:$AA$507,"&lt;"&amp;$AA85)+COUNTIFS($AA$8:$AA$507,$AA85,$AG$8:$AG$507,"&lt;"&amp;$AG85)+1,Constants!$B$14),$Z85))</f>
        <v/>
      </c>
      <c r="AI85" s="97" t="str">
        <f aca="false">IF(ISBLANK($C85),"",IF($Z85=Constants!$B$7,LARGE(AB85:AC85,2)*S85,""))</f>
        <v/>
      </c>
      <c r="AJ85" s="97" t="str">
        <f aca="false">IF(ISBLANK($C85),"",IF($Z85=Constants!$B$7,RANK(AI85,$AI$8:$AI$507),$Z85))</f>
        <v/>
      </c>
      <c r="AK85" s="97" t="str">
        <f aca="false">IF(ISBLANK($C85),"",IF($Z85=Constants!$B$7,IF(ISNUMBER(AG85),COUNTIFS($AA$8:$AA$507,"&lt;"&amp;$AA85)+COUNTIFS($AA$8:$AA$507,$AA85,$AG$8:$AG$507,"&lt;"&amp;$AG85)+COUNTIFS($AA$8:$AA$507,$AA85,$AG$8:$AG$507,$AG85,$AJ$8:$AJ$507,"&lt;"&amp;$AJ85)+1,Constants!$B$14),$Z85))</f>
        <v/>
      </c>
      <c r="AL85" s="97" t="str">
        <f aca="false">IF(ISBLANK($C85),"",IF($Z85=Constants!$B$7,IF(ISNUMBER(AH85),AH85-AK85,Constants!$B$14),$Z85))</f>
        <v/>
      </c>
      <c r="AM85" s="98"/>
      <c r="AN85" s="99" t="str">
        <f aca="false">IF(ISBLANK($C85),"",IF($Z85&lt;&gt;Constants!$B$7,$Z85,AD85))</f>
        <v/>
      </c>
      <c r="AO85" s="100" t="str">
        <f aca="false">IF(ISBLANK($C85),"",IF($Z85&lt;&gt;Constants!$B$7,$Z85,S85))</f>
        <v/>
      </c>
      <c r="AP85" s="101" t="str">
        <f aca="false">IF(ISBLANK($C85),"",IF($Z85&lt;&gt;Constants!$B$7,$Z85,AF85))</f>
        <v/>
      </c>
      <c r="AQ85" s="102" t="str">
        <f aca="false">IF(ISBLANK($C85),"",IF($Z85&lt;&gt;Constants!$B$7,$Z85,AA85))</f>
        <v/>
      </c>
      <c r="AR85" s="100" t="str">
        <f aca="false">IF(ISBLANK($C85),"",AL85)</f>
        <v/>
      </c>
      <c r="AS85" s="100" t="str">
        <f aca="false">IF(ISBLANK($C85),"",AK85)</f>
        <v/>
      </c>
      <c r="AT85" s="103" t="str">
        <f aca="false">IF(ISBLANK($C85),"",IF(AS85=Constants!$B$4,COUNTA($C$8:$C$507)+2,IF(AS85=Constants!$B$5,COUNTA($C$8:$C$507)+1,IF(AS85=Constants!$B$6,COUNTA($C$8:$C$507),AS85))))</f>
        <v/>
      </c>
      <c r="AU85" s="5"/>
      <c r="AV85" s="104" t="n">
        <f aca="false">IF(OR(ISNUMBER(AS85),AS85=Constants!$B$4,AS85=Constants!$B$6,AS85=Constants!$B$5),1,0)</f>
        <v>0</v>
      </c>
      <c r="AW85" s="104" t="n">
        <v>78</v>
      </c>
      <c r="AX85" s="104" t="str">
        <f aca="false">IF(ISBLANK($C85),"",IF(ISNUMBER(AT85),AT85+ROW($B85)/1000,""))</f>
        <v/>
      </c>
      <c r="AY85" s="104" t="str">
        <f aca="false">IF(ISNUMBER(AX85),RANK(AX85,$AX$8:$AX$507,1),"")</f>
        <v/>
      </c>
      <c r="AZ85" s="104" t="str">
        <f aca="false">IF(ISBLANK($C85),"",$B85)</f>
        <v/>
      </c>
      <c r="BA85" s="104" t="str">
        <f aca="false">IF(ISBLANK($C85),"",$C85)</f>
        <v/>
      </c>
      <c r="BB85" s="104" t="str">
        <f aca="false">IF(ISBLANK($C85),"",$D85)</f>
        <v/>
      </c>
      <c r="BC85" s="105" t="str">
        <f aca="false">AQ85</f>
        <v/>
      </c>
      <c r="BD85" s="106" t="str">
        <f aca="false">AP85</f>
        <v/>
      </c>
      <c r="BE85" s="104" t="str">
        <f aca="false">IF(ISBLANK($C85),"",AS85)</f>
        <v/>
      </c>
      <c r="BF85" s="107" t="str">
        <f aca="false">IF($AW85&gt;$AV$7,"",VLOOKUP($AW85,$AY$8:$BE$507,7,FALSE()))</f>
        <v/>
      </c>
      <c r="BG85" s="108" t="str">
        <f aca="false">IF($AW85&gt;$AV$7,"",VLOOKUP($AW85,$AY$8:$BE$507,2,FALSE()))</f>
        <v/>
      </c>
      <c r="BH85" s="108" t="str">
        <f aca="false">IF($AW85&gt;$AV$7,"",VLOOKUP($AW85,$AY$8:$BE$507,3,FALSE()))</f>
        <v/>
      </c>
      <c r="BI85" s="108" t="str">
        <f aca="false">IF($AW85&gt;$AV$7,"",VLOOKUP($AW85,$AY$8:$BE$507,4,FALSE()))</f>
        <v/>
      </c>
      <c r="BJ85" s="108" t="str">
        <f aca="false">IF($AW85&gt;$AV$7,"",VLOOKUP($AW85,$AY$8:$BE$507,5,FALSE()))</f>
        <v/>
      </c>
      <c r="BK85" s="109" t="str">
        <f aca="false">IF($AW85&gt;$AV$7,"",VLOOKUP($AW85,$AY$8:$BE$507,6,FALSE()))</f>
        <v/>
      </c>
      <c r="BL85" s="50"/>
    </row>
    <row r="86" customFormat="false" ht="15.75" hidden="false" customHeight="false" outlineLevel="0" collapsed="false">
      <c r="A86" s="5"/>
      <c r="B86" s="131"/>
      <c r="C86" s="52"/>
      <c r="D86" s="53"/>
      <c r="E86" s="80"/>
      <c r="F86" s="132"/>
      <c r="G86" s="56"/>
      <c r="H86" s="133"/>
      <c r="I86" s="134"/>
      <c r="J86" s="59"/>
      <c r="K86" s="60"/>
      <c r="L86" s="134"/>
      <c r="M86" s="61"/>
      <c r="N86" s="62"/>
      <c r="O86" s="80"/>
      <c r="P86" s="64"/>
      <c r="Q86" s="65" t="str">
        <f aca="false">IF(ISBLANK($C86),"",IF(E86=Constants!$B$2, TRUE(), IF(E86=Constants!$B$3, FALSE(), TRUE())))</f>
        <v/>
      </c>
      <c r="R86" s="65" t="str">
        <f aca="false">IF(ISBLANK($C86),"",IF(F86=Constants!$B$2, TRUE(), IF(F86=Constants!$B$3, FALSE(), TRUE())))</f>
        <v/>
      </c>
      <c r="S86" s="65" t="str">
        <f aca="false">IF(ISBLANK($C86),"",IF(G86=Constants!$B$15,Constants!$B$8,IF(G86=Constants!$B$16,Constants!$B$9,Constants!$B$10)))</f>
        <v/>
      </c>
      <c r="T86" s="65" t="str">
        <f aca="false">IF(ISBLANK($C86),"",IF(H86=Constants!$B$2, TRUE(), IF(H86=Constants!$B$3, FALSE(), TRUE())))</f>
        <v/>
      </c>
      <c r="U86" s="65" t="str">
        <f aca="false">IF(ISBLANK($C86),"",IF(I86=Constants!$B$19,Constants!$B$19,Constants!$B$18))</f>
        <v/>
      </c>
      <c r="V86" s="65" t="str">
        <f aca="false">IF(ISBLANK($C86),"",IF(COUNTA(J86:K86)=0,"",IF(AND(OR(ISBLANK(J86),AND(ISNUMBER(J86),J86&gt;=0)),OR(ISBLANK(K86),AND(ISNUMBER(K86),K86&gt;=0))),60*IF(ISBLANK(J86),0,J86)+IF(ISBLANK(K86),0,K86),"")))</f>
        <v/>
      </c>
      <c r="W86" s="65" t="str">
        <f aca="false">IF(ISBLANK($C86),"",IF(L86=Constants!$B$19,Constants!$B$19,Constants!$B$18))</f>
        <v/>
      </c>
      <c r="X86" s="65" t="str">
        <f aca="false">IF(ISBLANK($C86),"",IF(COUNTA(M86:N86)=0,"",IF(AND(OR(ISBLANK(M86),AND(ISNUMBER(M86),M86&gt;=0)),OR(ISBLANK(N86),AND(ISNUMBER(N86),N86&gt;=0))),60*IF(ISBLANK(M86),0,M86)+IF(ISBLANK(N86),0,N86),"")))</f>
        <v/>
      </c>
      <c r="Y86" s="65" t="str">
        <f aca="false">IF(ISBLANK($C86),"",IF(O86=Constants!$B$2, TRUE(), IF(O86=Constants!$B$3, FALSE(), FALSE())))</f>
        <v/>
      </c>
      <c r="Z86" s="65" t="str">
        <f aca="false">IF(ISBLANK($C86),"",IF(Y86,Constants!$B$4,IF(COUNTA(E86:N86)=0,Constants!$B$5,IF(COUNTA(J86:K86,M86:N86)=0,Constants!$B$6,Constants!$B$7))))</f>
        <v/>
      </c>
      <c r="AA86" s="65" t="str">
        <f aca="false">IF(ISBLANK($C86),"",IF($Z86&lt;&gt;Constants!$B$7,$Z86,IF(OR(NOT(T86),AND(NOT(Q86),COUNTIFS(U86:W86,Constants!$B$18,V86:X86,"&gt;=0")&gt;0),AND(NOT(R86),COUNTIFS(U86:W86,Constants!$B$19,V86:X86,"&gt;=0")&gt;0)),Constants!$B$12,Constants!$B$11)))</f>
        <v/>
      </c>
      <c r="AB86" s="65" t="str">
        <f aca="false">IF($Z86=Constants!$B$7,IF(V86="",Constants!$B$13,V86),"")</f>
        <v/>
      </c>
      <c r="AC86" s="65" t="str">
        <f aca="false">IF($Z86=Constants!$B$7,IF(X86="",Constants!$B$13,X86),"")</f>
        <v/>
      </c>
      <c r="AD86" s="65" t="str">
        <f aca="false">IF($Z86=Constants!$B$7,IF($AB86&gt;=$AC86,1,2),"")</f>
        <v/>
      </c>
      <c r="AE86" s="65" t="str">
        <f aca="false">IF($Z86=Constants!$B$7,LARGE(AB86:AC86,1),"")</f>
        <v/>
      </c>
      <c r="AF86" s="65" t="str">
        <f aca="false">IF(ISBLANK($C86),"",IF($Z86&lt;&gt;Constants!$B$7,$Z86,AE86*S86))</f>
        <v/>
      </c>
      <c r="AG86" s="65" t="str">
        <f aca="false">IF(ISBLANK($C86),"",IF($Z86=Constants!$B$7,IF(ISNUMBER(AF86),RANK(AF86,$AF$8:$AF$507),Constants!$B$14),$Z86))</f>
        <v/>
      </c>
      <c r="AH86" s="65" t="str">
        <f aca="false">IF(ISBLANK($C86),"",IF($Z86=Constants!$B$7,IF(ISNUMBER(AG86),COUNTIFS($AA$8:$AA$507,"&lt;"&amp;$AA86)+COUNTIFS($AA$8:$AA$507,$AA86,$AG$8:$AG$507,"&lt;"&amp;$AG86)+1,Constants!$B$14),$Z86))</f>
        <v/>
      </c>
      <c r="AI86" s="65" t="str">
        <f aca="false">IF(ISBLANK($C86),"",IF($Z86=Constants!$B$7,LARGE(AB86:AC86,2)*S86,""))</f>
        <v/>
      </c>
      <c r="AJ86" s="65" t="str">
        <f aca="false">IF(ISBLANK($C86),"",IF($Z86=Constants!$B$7,RANK(AI86,$AI$8:$AI$507),$Z86))</f>
        <v/>
      </c>
      <c r="AK86" s="65" t="str">
        <f aca="false">IF(ISBLANK($C86),"",IF($Z86=Constants!$B$7,IF(ISNUMBER(AG86),COUNTIFS($AA$8:$AA$507,"&lt;"&amp;$AA86)+COUNTIFS($AA$8:$AA$507,$AA86,$AG$8:$AG$507,"&lt;"&amp;$AG86)+COUNTIFS($AA$8:$AA$507,$AA86,$AG$8:$AG$507,$AG86,$AJ$8:$AJ$507,"&lt;"&amp;$AJ86)+1,Constants!$B$14),$Z86))</f>
        <v/>
      </c>
      <c r="AL86" s="65" t="str">
        <f aca="false">IF(ISBLANK($C86),"",IF($Z86=Constants!$B$7,IF(ISNUMBER(AH86),AH86-AK86,Constants!$B$14),$Z86))</f>
        <v/>
      </c>
      <c r="AM86" s="67"/>
      <c r="AN86" s="68" t="str">
        <f aca="false">IF(ISBLANK($C86),"",IF($Z86&lt;&gt;Constants!$B$7,$Z86,AD86))</f>
        <v/>
      </c>
      <c r="AO86" s="69" t="str">
        <f aca="false">IF(ISBLANK($C86),"",IF($Z86&lt;&gt;Constants!$B$7,$Z86,S86))</f>
        <v/>
      </c>
      <c r="AP86" s="70" t="str">
        <f aca="false">IF(ISBLANK($C86),"",IF($Z86&lt;&gt;Constants!$B$7,$Z86,AF86))</f>
        <v/>
      </c>
      <c r="AQ86" s="71" t="str">
        <f aca="false">IF(ISBLANK($C86),"",IF($Z86&lt;&gt;Constants!$B$7,$Z86,AA86))</f>
        <v/>
      </c>
      <c r="AR86" s="69" t="str">
        <f aca="false">IF(ISBLANK($C86),"",AL86)</f>
        <v/>
      </c>
      <c r="AS86" s="69" t="str">
        <f aca="false">IF(ISBLANK($C86),"",AK86)</f>
        <v/>
      </c>
      <c r="AT86" s="72" t="str">
        <f aca="false">IF(ISBLANK($C86),"",IF(AS86=Constants!$B$4,COUNTA($C$8:$C$507)+2,IF(AS86=Constants!$B$5,COUNTA($C$8:$C$507)+1,IF(AS86=Constants!$B$6,COUNTA($C$8:$C$507),AS86))))</f>
        <v/>
      </c>
      <c r="AU86" s="5"/>
      <c r="AV86" s="73" t="n">
        <f aca="false">IF(OR(ISNUMBER(AS86),AS86=Constants!$B$4,AS86=Constants!$B$6,AS86=Constants!$B$5),1,0)</f>
        <v>0</v>
      </c>
      <c r="AW86" s="73" t="n">
        <v>79</v>
      </c>
      <c r="AX86" s="73" t="str">
        <f aca="false">IF(ISBLANK($C86),"",IF(ISNUMBER(AT86),AT86+ROW($B86)/1000,""))</f>
        <v/>
      </c>
      <c r="AY86" s="73" t="str">
        <f aca="false">IF(ISNUMBER(AX86),RANK(AX86,$AX$8:$AX$507,1),"")</f>
        <v/>
      </c>
      <c r="AZ86" s="73" t="str">
        <f aca="false">IF(ISBLANK($C86),"",$B86)</f>
        <v/>
      </c>
      <c r="BA86" s="73" t="str">
        <f aca="false">IF(ISBLANK($C86),"",$C86)</f>
        <v/>
      </c>
      <c r="BB86" s="73" t="str">
        <f aca="false">IF(ISBLANK($C86),"",$D86)</f>
        <v/>
      </c>
      <c r="BC86" s="74" t="str">
        <f aca="false">AQ86</f>
        <v/>
      </c>
      <c r="BD86" s="75" t="str">
        <f aca="false">AP86</f>
        <v/>
      </c>
      <c r="BE86" s="73" t="str">
        <f aca="false">IF(ISBLANK($C86),"",AS86)</f>
        <v/>
      </c>
      <c r="BF86" s="76" t="str">
        <f aca="false">IF($AW86&gt;$AV$7,"",VLOOKUP($AW86,$AY$8:$BE$507,7,FALSE()))</f>
        <v/>
      </c>
      <c r="BG86" s="77" t="str">
        <f aca="false">IF($AW86&gt;$AV$7,"",VLOOKUP($AW86,$AY$8:$BE$507,2,FALSE()))</f>
        <v/>
      </c>
      <c r="BH86" s="77" t="str">
        <f aca="false">IF($AW86&gt;$AV$7,"",VLOOKUP($AW86,$AY$8:$BE$507,3,FALSE()))</f>
        <v/>
      </c>
      <c r="BI86" s="77" t="str">
        <f aca="false">IF($AW86&gt;$AV$7,"",VLOOKUP($AW86,$AY$8:$BE$507,4,FALSE()))</f>
        <v/>
      </c>
      <c r="BJ86" s="77" t="str">
        <f aca="false">IF($AW86&gt;$AV$7,"",VLOOKUP($AW86,$AY$8:$BE$507,5,FALSE()))</f>
        <v/>
      </c>
      <c r="BK86" s="78" t="str">
        <f aca="false">IF($AW86&gt;$AV$7,"",VLOOKUP($AW86,$AY$8:$BE$507,6,FALSE()))</f>
        <v/>
      </c>
      <c r="BL86" s="50"/>
    </row>
    <row r="87" customFormat="false" ht="15.75" hidden="false" customHeight="false" outlineLevel="0" collapsed="false">
      <c r="A87" s="5"/>
      <c r="B87" s="131"/>
      <c r="C87" s="52"/>
      <c r="D87" s="53"/>
      <c r="E87" s="80"/>
      <c r="F87" s="132"/>
      <c r="G87" s="56"/>
      <c r="H87" s="133"/>
      <c r="I87" s="134"/>
      <c r="J87" s="59"/>
      <c r="K87" s="60"/>
      <c r="L87" s="134"/>
      <c r="M87" s="61"/>
      <c r="N87" s="62"/>
      <c r="O87" s="80"/>
      <c r="P87" s="64"/>
      <c r="Q87" s="65" t="str">
        <f aca="false">IF(ISBLANK($C87),"",IF(E87=Constants!$B$2, TRUE(), IF(E87=Constants!$B$3, FALSE(), TRUE())))</f>
        <v/>
      </c>
      <c r="R87" s="65" t="str">
        <f aca="false">IF(ISBLANK($C87),"",IF(F87=Constants!$B$2, TRUE(), IF(F87=Constants!$B$3, FALSE(), TRUE())))</f>
        <v/>
      </c>
      <c r="S87" s="65" t="str">
        <f aca="false">IF(ISBLANK($C87),"",IF(G87=Constants!$B$15,Constants!$B$8,IF(G87=Constants!$B$16,Constants!$B$9,Constants!$B$10)))</f>
        <v/>
      </c>
      <c r="T87" s="65" t="str">
        <f aca="false">IF(ISBLANK($C87),"",IF(H87=Constants!$B$2, TRUE(), IF(H87=Constants!$B$3, FALSE(), TRUE())))</f>
        <v/>
      </c>
      <c r="U87" s="65" t="str">
        <f aca="false">IF(ISBLANK($C87),"",IF(I87=Constants!$B$19,Constants!$B$19,Constants!$B$18))</f>
        <v/>
      </c>
      <c r="V87" s="65" t="str">
        <f aca="false">IF(ISBLANK($C87),"",IF(COUNTA(J87:K87)=0,"",IF(AND(OR(ISBLANK(J87),AND(ISNUMBER(J87),J87&gt;=0)),OR(ISBLANK(K87),AND(ISNUMBER(K87),K87&gt;=0))),60*IF(ISBLANK(J87),0,J87)+IF(ISBLANK(K87),0,K87),"")))</f>
        <v/>
      </c>
      <c r="W87" s="65" t="str">
        <f aca="false">IF(ISBLANK($C87),"",IF(L87=Constants!$B$19,Constants!$B$19,Constants!$B$18))</f>
        <v/>
      </c>
      <c r="X87" s="65" t="str">
        <f aca="false">IF(ISBLANK($C87),"",IF(COUNTA(M87:N87)=0,"",IF(AND(OR(ISBLANK(M87),AND(ISNUMBER(M87),M87&gt;=0)),OR(ISBLANK(N87),AND(ISNUMBER(N87),N87&gt;=0))),60*IF(ISBLANK(M87),0,M87)+IF(ISBLANK(N87),0,N87),"")))</f>
        <v/>
      </c>
      <c r="Y87" s="65" t="str">
        <f aca="false">IF(ISBLANK($C87),"",IF(O87=Constants!$B$2, TRUE(), IF(O87=Constants!$B$3, FALSE(), FALSE())))</f>
        <v/>
      </c>
      <c r="Z87" s="65" t="str">
        <f aca="false">IF(ISBLANK($C87),"",IF(Y87,Constants!$B$4,IF(COUNTA(E87:N87)=0,Constants!$B$5,IF(COUNTA(J87:K87,M87:N87)=0,Constants!$B$6,Constants!$B$7))))</f>
        <v/>
      </c>
      <c r="AA87" s="65" t="str">
        <f aca="false">IF(ISBLANK($C87),"",IF($Z87&lt;&gt;Constants!$B$7,$Z87,IF(OR(NOT(T87),AND(NOT(Q87),COUNTIFS(U87:W87,Constants!$B$18,V87:X87,"&gt;=0")&gt;0),AND(NOT(R87),COUNTIFS(U87:W87,Constants!$B$19,V87:X87,"&gt;=0")&gt;0)),Constants!$B$12,Constants!$B$11)))</f>
        <v/>
      </c>
      <c r="AB87" s="65" t="str">
        <f aca="false">IF($Z87=Constants!$B$7,IF(V87="",Constants!$B$13,V87),"")</f>
        <v/>
      </c>
      <c r="AC87" s="65" t="str">
        <f aca="false">IF($Z87=Constants!$B$7,IF(X87="",Constants!$B$13,X87),"")</f>
        <v/>
      </c>
      <c r="AD87" s="65" t="str">
        <f aca="false">IF($Z87=Constants!$B$7,IF($AB87&gt;=$AC87,1,2),"")</f>
        <v/>
      </c>
      <c r="AE87" s="65" t="str">
        <f aca="false">IF($Z87=Constants!$B$7,LARGE(AB87:AC87,1),"")</f>
        <v/>
      </c>
      <c r="AF87" s="65" t="str">
        <f aca="false">IF(ISBLANK($C87),"",IF($Z87&lt;&gt;Constants!$B$7,$Z87,AE87*S87))</f>
        <v/>
      </c>
      <c r="AG87" s="65" t="str">
        <f aca="false">IF(ISBLANK($C87),"",IF($Z87=Constants!$B$7,IF(ISNUMBER(AF87),RANK(AF87,$AF$8:$AF$507),Constants!$B$14),$Z87))</f>
        <v/>
      </c>
      <c r="AH87" s="65" t="str">
        <f aca="false">IF(ISBLANK($C87),"",IF($Z87=Constants!$B$7,IF(ISNUMBER(AG87),COUNTIFS($AA$8:$AA$507,"&lt;"&amp;$AA87)+COUNTIFS($AA$8:$AA$507,$AA87,$AG$8:$AG$507,"&lt;"&amp;$AG87)+1,Constants!$B$14),$Z87))</f>
        <v/>
      </c>
      <c r="AI87" s="65" t="str">
        <f aca="false">IF(ISBLANK($C87),"",IF($Z87=Constants!$B$7,LARGE(AB87:AC87,2)*S87,""))</f>
        <v/>
      </c>
      <c r="AJ87" s="65" t="str">
        <f aca="false">IF(ISBLANK($C87),"",IF($Z87=Constants!$B$7,RANK(AI87,$AI$8:$AI$507),$Z87))</f>
        <v/>
      </c>
      <c r="AK87" s="65" t="str">
        <f aca="false">IF(ISBLANK($C87),"",IF($Z87=Constants!$B$7,IF(ISNUMBER(AG87),COUNTIFS($AA$8:$AA$507,"&lt;"&amp;$AA87)+COUNTIFS($AA$8:$AA$507,$AA87,$AG$8:$AG$507,"&lt;"&amp;$AG87)+COUNTIFS($AA$8:$AA$507,$AA87,$AG$8:$AG$507,$AG87,$AJ$8:$AJ$507,"&lt;"&amp;$AJ87)+1,Constants!$B$14),$Z87))</f>
        <v/>
      </c>
      <c r="AL87" s="65" t="str">
        <f aca="false">IF(ISBLANK($C87),"",IF($Z87=Constants!$B$7,IF(ISNUMBER(AH87),AH87-AK87,Constants!$B$14),$Z87))</f>
        <v/>
      </c>
      <c r="AM87" s="67"/>
      <c r="AN87" s="68" t="str">
        <f aca="false">IF(ISBLANK($C87),"",IF($Z87&lt;&gt;Constants!$B$7,$Z87,AD87))</f>
        <v/>
      </c>
      <c r="AO87" s="69" t="str">
        <f aca="false">IF(ISBLANK($C87),"",IF($Z87&lt;&gt;Constants!$B$7,$Z87,S87))</f>
        <v/>
      </c>
      <c r="AP87" s="70" t="str">
        <f aca="false">IF(ISBLANK($C87),"",IF($Z87&lt;&gt;Constants!$B$7,$Z87,AF87))</f>
        <v/>
      </c>
      <c r="AQ87" s="71" t="str">
        <f aca="false">IF(ISBLANK($C87),"",IF($Z87&lt;&gt;Constants!$B$7,$Z87,AA87))</f>
        <v/>
      </c>
      <c r="AR87" s="69" t="str">
        <f aca="false">IF(ISBLANK($C87),"",AL87)</f>
        <v/>
      </c>
      <c r="AS87" s="69" t="str">
        <f aca="false">IF(ISBLANK($C87),"",AK87)</f>
        <v/>
      </c>
      <c r="AT87" s="72" t="str">
        <f aca="false">IF(ISBLANK($C87),"",IF(AS87=Constants!$B$4,COUNTA($C$8:$C$507)+2,IF(AS87=Constants!$B$5,COUNTA($C$8:$C$507)+1,IF(AS87=Constants!$B$6,COUNTA($C$8:$C$507),AS87))))</f>
        <v/>
      </c>
      <c r="AU87" s="5"/>
      <c r="AV87" s="73" t="n">
        <f aca="false">IF(OR(ISNUMBER(AS87),AS87=Constants!$B$4,AS87=Constants!$B$6,AS87=Constants!$B$5),1,0)</f>
        <v>0</v>
      </c>
      <c r="AW87" s="73" t="n">
        <v>80</v>
      </c>
      <c r="AX87" s="73" t="str">
        <f aca="false">IF(ISBLANK($C87),"",IF(ISNUMBER(AT87),AT87+ROW($B87)/1000,""))</f>
        <v/>
      </c>
      <c r="AY87" s="73" t="str">
        <f aca="false">IF(ISNUMBER(AX87),RANK(AX87,$AX$8:$AX$507,1),"")</f>
        <v/>
      </c>
      <c r="AZ87" s="73" t="str">
        <f aca="false">IF(ISBLANK($C87),"",$B87)</f>
        <v/>
      </c>
      <c r="BA87" s="73" t="str">
        <f aca="false">IF(ISBLANK($C87),"",$C87)</f>
        <v/>
      </c>
      <c r="BB87" s="73" t="str">
        <f aca="false">IF(ISBLANK($C87),"",$D87)</f>
        <v/>
      </c>
      <c r="BC87" s="74" t="str">
        <f aca="false">AQ87</f>
        <v/>
      </c>
      <c r="BD87" s="75" t="str">
        <f aca="false">AP87</f>
        <v/>
      </c>
      <c r="BE87" s="73" t="str">
        <f aca="false">IF(ISBLANK($C87),"",AS87)</f>
        <v/>
      </c>
      <c r="BF87" s="76" t="str">
        <f aca="false">IF($AW87&gt;$AV$7,"",VLOOKUP($AW87,$AY$8:$BE$507,7,FALSE()))</f>
        <v/>
      </c>
      <c r="BG87" s="77" t="str">
        <f aca="false">IF($AW87&gt;$AV$7,"",VLOOKUP($AW87,$AY$8:$BE$507,2,FALSE()))</f>
        <v/>
      </c>
      <c r="BH87" s="77" t="str">
        <f aca="false">IF($AW87&gt;$AV$7,"",VLOOKUP($AW87,$AY$8:$BE$507,3,FALSE()))</f>
        <v/>
      </c>
      <c r="BI87" s="77" t="str">
        <f aca="false">IF($AW87&gt;$AV$7,"",VLOOKUP($AW87,$AY$8:$BE$507,4,FALSE()))</f>
        <v/>
      </c>
      <c r="BJ87" s="77" t="str">
        <f aca="false">IF($AW87&gt;$AV$7,"",VLOOKUP($AW87,$AY$8:$BE$507,5,FALSE()))</f>
        <v/>
      </c>
      <c r="BK87" s="78" t="str">
        <f aca="false">IF($AW87&gt;$AV$7,"",VLOOKUP($AW87,$AY$8:$BE$507,6,FALSE()))</f>
        <v/>
      </c>
      <c r="BL87" s="50"/>
    </row>
    <row r="88" customFormat="false" ht="15.75" hidden="false" customHeight="false" outlineLevel="0" collapsed="false">
      <c r="A88" s="5"/>
      <c r="B88" s="131"/>
      <c r="C88" s="52"/>
      <c r="D88" s="53"/>
      <c r="E88" s="80"/>
      <c r="F88" s="132"/>
      <c r="G88" s="56"/>
      <c r="H88" s="133"/>
      <c r="I88" s="134"/>
      <c r="J88" s="59"/>
      <c r="K88" s="60"/>
      <c r="L88" s="134"/>
      <c r="M88" s="61"/>
      <c r="N88" s="62"/>
      <c r="O88" s="80"/>
      <c r="P88" s="64"/>
      <c r="Q88" s="65" t="str">
        <f aca="false">IF(ISBLANK($C88),"",IF(E88=Constants!$B$2, TRUE(), IF(E88=Constants!$B$3, FALSE(), TRUE())))</f>
        <v/>
      </c>
      <c r="R88" s="65" t="str">
        <f aca="false">IF(ISBLANK($C88),"",IF(F88=Constants!$B$2, TRUE(), IF(F88=Constants!$B$3, FALSE(), TRUE())))</f>
        <v/>
      </c>
      <c r="S88" s="65" t="str">
        <f aca="false">IF(ISBLANK($C88),"",IF(G88=Constants!$B$15,Constants!$B$8,IF(G88=Constants!$B$16,Constants!$B$9,Constants!$B$10)))</f>
        <v/>
      </c>
      <c r="T88" s="65" t="str">
        <f aca="false">IF(ISBLANK($C88),"",IF(H88=Constants!$B$2, TRUE(), IF(H88=Constants!$B$3, FALSE(), TRUE())))</f>
        <v/>
      </c>
      <c r="U88" s="65" t="str">
        <f aca="false">IF(ISBLANK($C88),"",IF(I88=Constants!$B$19,Constants!$B$19,Constants!$B$18))</f>
        <v/>
      </c>
      <c r="V88" s="65" t="str">
        <f aca="false">IF(ISBLANK($C88),"",IF(COUNTA(J88:K88)=0,"",IF(AND(OR(ISBLANK(J88),AND(ISNUMBER(J88),J88&gt;=0)),OR(ISBLANK(K88),AND(ISNUMBER(K88),K88&gt;=0))),60*IF(ISBLANK(J88),0,J88)+IF(ISBLANK(K88),0,K88),"")))</f>
        <v/>
      </c>
      <c r="W88" s="65" t="str">
        <f aca="false">IF(ISBLANK($C88),"",IF(L88=Constants!$B$19,Constants!$B$19,Constants!$B$18))</f>
        <v/>
      </c>
      <c r="X88" s="65" t="str">
        <f aca="false">IF(ISBLANK($C88),"",IF(COUNTA(M88:N88)=0,"",IF(AND(OR(ISBLANK(M88),AND(ISNUMBER(M88),M88&gt;=0)),OR(ISBLANK(N88),AND(ISNUMBER(N88),N88&gt;=0))),60*IF(ISBLANK(M88),0,M88)+IF(ISBLANK(N88),0,N88),"")))</f>
        <v/>
      </c>
      <c r="Y88" s="65" t="str">
        <f aca="false">IF(ISBLANK($C88),"",IF(O88=Constants!$B$2, TRUE(), IF(O88=Constants!$B$3, FALSE(), FALSE())))</f>
        <v/>
      </c>
      <c r="Z88" s="65" t="str">
        <f aca="false">IF(ISBLANK($C88),"",IF(Y88,Constants!$B$4,IF(COUNTA(E88:N88)=0,Constants!$B$5,IF(COUNTA(J88:K88,M88:N88)=0,Constants!$B$6,Constants!$B$7))))</f>
        <v/>
      </c>
      <c r="AA88" s="65" t="str">
        <f aca="false">IF(ISBLANK($C88),"",IF($Z88&lt;&gt;Constants!$B$7,$Z88,IF(OR(NOT(T88),AND(NOT(Q88),COUNTIFS(U88:W88,Constants!$B$18,V88:X88,"&gt;=0")&gt;0),AND(NOT(R88),COUNTIFS(U88:W88,Constants!$B$19,V88:X88,"&gt;=0")&gt;0)),Constants!$B$12,Constants!$B$11)))</f>
        <v/>
      </c>
      <c r="AB88" s="65" t="str">
        <f aca="false">IF($Z88=Constants!$B$7,IF(V88="",Constants!$B$13,V88),"")</f>
        <v/>
      </c>
      <c r="AC88" s="65" t="str">
        <f aca="false">IF($Z88=Constants!$B$7,IF(X88="",Constants!$B$13,X88),"")</f>
        <v/>
      </c>
      <c r="AD88" s="65" t="str">
        <f aca="false">IF($Z88=Constants!$B$7,IF($AB88&gt;=$AC88,1,2),"")</f>
        <v/>
      </c>
      <c r="AE88" s="65" t="str">
        <f aca="false">IF($Z88=Constants!$B$7,LARGE(AB88:AC88,1),"")</f>
        <v/>
      </c>
      <c r="AF88" s="65" t="str">
        <f aca="false">IF(ISBLANK($C88),"",IF($Z88&lt;&gt;Constants!$B$7,$Z88,AE88*S88))</f>
        <v/>
      </c>
      <c r="AG88" s="65" t="str">
        <f aca="false">IF(ISBLANK($C88),"",IF($Z88=Constants!$B$7,IF(ISNUMBER(AF88),RANK(AF88,$AF$8:$AF$507),Constants!$B$14),$Z88))</f>
        <v/>
      </c>
      <c r="AH88" s="65" t="str">
        <f aca="false">IF(ISBLANK($C88),"",IF($Z88=Constants!$B$7,IF(ISNUMBER(AG88),COUNTIFS($AA$8:$AA$507,"&lt;"&amp;$AA88)+COUNTIFS($AA$8:$AA$507,$AA88,$AG$8:$AG$507,"&lt;"&amp;$AG88)+1,Constants!$B$14),$Z88))</f>
        <v/>
      </c>
      <c r="AI88" s="65" t="str">
        <f aca="false">IF(ISBLANK($C88),"",IF($Z88=Constants!$B$7,LARGE(AB88:AC88,2)*S88,""))</f>
        <v/>
      </c>
      <c r="AJ88" s="65" t="str">
        <f aca="false">IF(ISBLANK($C88),"",IF($Z88=Constants!$B$7,RANK(AI88,$AI$8:$AI$507),$Z88))</f>
        <v/>
      </c>
      <c r="AK88" s="65" t="str">
        <f aca="false">IF(ISBLANK($C88),"",IF($Z88=Constants!$B$7,IF(ISNUMBER(AG88),COUNTIFS($AA$8:$AA$507,"&lt;"&amp;$AA88)+COUNTIFS($AA$8:$AA$507,$AA88,$AG$8:$AG$507,"&lt;"&amp;$AG88)+COUNTIFS($AA$8:$AA$507,$AA88,$AG$8:$AG$507,$AG88,$AJ$8:$AJ$507,"&lt;"&amp;$AJ88)+1,Constants!$B$14),$Z88))</f>
        <v/>
      </c>
      <c r="AL88" s="65" t="str">
        <f aca="false">IF(ISBLANK($C88),"",IF($Z88=Constants!$B$7,IF(ISNUMBER(AH88),AH88-AK88,Constants!$B$14),$Z88))</f>
        <v/>
      </c>
      <c r="AM88" s="67"/>
      <c r="AN88" s="68" t="str">
        <f aca="false">IF(ISBLANK($C88),"",IF($Z88&lt;&gt;Constants!$B$7,$Z88,AD88))</f>
        <v/>
      </c>
      <c r="AO88" s="69" t="str">
        <f aca="false">IF(ISBLANK($C88),"",IF($Z88&lt;&gt;Constants!$B$7,$Z88,S88))</f>
        <v/>
      </c>
      <c r="AP88" s="70" t="str">
        <f aca="false">IF(ISBLANK($C88),"",IF($Z88&lt;&gt;Constants!$B$7,$Z88,AF88))</f>
        <v/>
      </c>
      <c r="AQ88" s="71" t="str">
        <f aca="false">IF(ISBLANK($C88),"",IF($Z88&lt;&gt;Constants!$B$7,$Z88,AA88))</f>
        <v/>
      </c>
      <c r="AR88" s="69" t="str">
        <f aca="false">IF(ISBLANK($C88),"",AL88)</f>
        <v/>
      </c>
      <c r="AS88" s="69" t="str">
        <f aca="false">IF(ISBLANK($C88),"",AK88)</f>
        <v/>
      </c>
      <c r="AT88" s="72" t="str">
        <f aca="false">IF(ISBLANK($C88),"",IF(AS88=Constants!$B$4,COUNTA($C$8:$C$507)+2,IF(AS88=Constants!$B$5,COUNTA($C$8:$C$507)+1,IF(AS88=Constants!$B$6,COUNTA($C$8:$C$507),AS88))))</f>
        <v/>
      </c>
      <c r="AU88" s="5"/>
      <c r="AV88" s="73" t="n">
        <f aca="false">IF(OR(ISNUMBER(AS88),AS88=Constants!$B$4,AS88=Constants!$B$6,AS88=Constants!$B$5),1,0)</f>
        <v>0</v>
      </c>
      <c r="AW88" s="73" t="n">
        <v>81</v>
      </c>
      <c r="AX88" s="73" t="str">
        <f aca="false">IF(ISBLANK($C88),"",IF(ISNUMBER(AT88),AT88+ROW($B88)/1000,""))</f>
        <v/>
      </c>
      <c r="AY88" s="73" t="str">
        <f aca="false">IF(ISNUMBER(AX88),RANK(AX88,$AX$8:$AX$507,1),"")</f>
        <v/>
      </c>
      <c r="AZ88" s="73" t="str">
        <f aca="false">IF(ISBLANK($C88),"",$B88)</f>
        <v/>
      </c>
      <c r="BA88" s="73" t="str">
        <f aca="false">IF(ISBLANK($C88),"",$C88)</f>
        <v/>
      </c>
      <c r="BB88" s="73" t="str">
        <f aca="false">IF(ISBLANK($C88),"",$D88)</f>
        <v/>
      </c>
      <c r="BC88" s="74" t="str">
        <f aca="false">AQ88</f>
        <v/>
      </c>
      <c r="BD88" s="75" t="str">
        <f aca="false">AP88</f>
        <v/>
      </c>
      <c r="BE88" s="73" t="str">
        <f aca="false">IF(ISBLANK($C88),"",AS88)</f>
        <v/>
      </c>
      <c r="BF88" s="76" t="str">
        <f aca="false">IF($AW88&gt;$AV$7,"",VLOOKUP($AW88,$AY$8:$BE$507,7,FALSE()))</f>
        <v/>
      </c>
      <c r="BG88" s="77" t="str">
        <f aca="false">IF($AW88&gt;$AV$7,"",VLOOKUP($AW88,$AY$8:$BE$507,2,FALSE()))</f>
        <v/>
      </c>
      <c r="BH88" s="77" t="str">
        <f aca="false">IF($AW88&gt;$AV$7,"",VLOOKUP($AW88,$AY$8:$BE$507,3,FALSE()))</f>
        <v/>
      </c>
      <c r="BI88" s="77" t="str">
        <f aca="false">IF($AW88&gt;$AV$7,"",VLOOKUP($AW88,$AY$8:$BE$507,4,FALSE()))</f>
        <v/>
      </c>
      <c r="BJ88" s="77" t="str">
        <f aca="false">IF($AW88&gt;$AV$7,"",VLOOKUP($AW88,$AY$8:$BE$507,5,FALSE()))</f>
        <v/>
      </c>
      <c r="BK88" s="78" t="str">
        <f aca="false">IF($AW88&gt;$AV$7,"",VLOOKUP($AW88,$AY$8:$BE$507,6,FALSE()))</f>
        <v/>
      </c>
      <c r="BL88" s="50"/>
    </row>
    <row r="89" customFormat="false" ht="15.75" hidden="false" customHeight="false" outlineLevel="0" collapsed="false">
      <c r="A89" s="5"/>
      <c r="B89" s="124"/>
      <c r="C89" s="125"/>
      <c r="D89" s="110"/>
      <c r="E89" s="130"/>
      <c r="F89" s="135"/>
      <c r="G89" s="88"/>
      <c r="H89" s="136"/>
      <c r="I89" s="137"/>
      <c r="J89" s="91"/>
      <c r="K89" s="92"/>
      <c r="L89" s="137"/>
      <c r="M89" s="93"/>
      <c r="N89" s="94"/>
      <c r="O89" s="130"/>
      <c r="P89" s="96"/>
      <c r="Q89" s="97" t="str">
        <f aca="false">IF(ISBLANK($C89),"",IF(E89=Constants!$B$2, TRUE(), IF(E89=Constants!$B$3, FALSE(), TRUE())))</f>
        <v/>
      </c>
      <c r="R89" s="97" t="str">
        <f aca="false">IF(ISBLANK($C89),"",IF(F89=Constants!$B$2, TRUE(), IF(F89=Constants!$B$3, FALSE(), TRUE())))</f>
        <v/>
      </c>
      <c r="S89" s="97" t="str">
        <f aca="false">IF(ISBLANK($C89),"",IF(G89=Constants!$B$15,Constants!$B$8,IF(G89=Constants!$B$16,Constants!$B$9,Constants!$B$10)))</f>
        <v/>
      </c>
      <c r="T89" s="97" t="str">
        <f aca="false">IF(ISBLANK($C89),"",IF(H89=Constants!$B$2, TRUE(), IF(H89=Constants!$B$3, FALSE(), TRUE())))</f>
        <v/>
      </c>
      <c r="U89" s="97" t="str">
        <f aca="false">IF(ISBLANK($C89),"",IF(I89=Constants!$B$19,Constants!$B$19,Constants!$B$18))</f>
        <v/>
      </c>
      <c r="V89" s="97" t="str">
        <f aca="false">IF(ISBLANK($C89),"",IF(COUNTA(J89:K89)=0,"",IF(AND(OR(ISBLANK(J89),AND(ISNUMBER(J89),J89&gt;=0)),OR(ISBLANK(K89),AND(ISNUMBER(K89),K89&gt;=0))),60*IF(ISBLANK(J89),0,J89)+IF(ISBLANK(K89),0,K89),"")))</f>
        <v/>
      </c>
      <c r="W89" s="97" t="str">
        <f aca="false">IF(ISBLANK($C89),"",IF(L89=Constants!$B$19,Constants!$B$19,Constants!$B$18))</f>
        <v/>
      </c>
      <c r="X89" s="97" t="str">
        <f aca="false">IF(ISBLANK($C89),"",IF(COUNTA(M89:N89)=0,"",IF(AND(OR(ISBLANK(M89),AND(ISNUMBER(M89),M89&gt;=0)),OR(ISBLANK(N89),AND(ISNUMBER(N89),N89&gt;=0))),60*IF(ISBLANK(M89),0,M89)+IF(ISBLANK(N89),0,N89),"")))</f>
        <v/>
      </c>
      <c r="Y89" s="97" t="str">
        <f aca="false">IF(ISBLANK($C89),"",IF(O89=Constants!$B$2, TRUE(), IF(O89=Constants!$B$3, FALSE(), FALSE())))</f>
        <v/>
      </c>
      <c r="Z89" s="97" t="str">
        <f aca="false">IF(ISBLANK($C89),"",IF(Y89,Constants!$B$4,IF(COUNTA(E89:N89)=0,Constants!$B$5,IF(COUNTA(J89:K89,M89:N89)=0,Constants!$B$6,Constants!$B$7))))</f>
        <v/>
      </c>
      <c r="AA89" s="97" t="str">
        <f aca="false">IF(ISBLANK($C89),"",IF($Z89&lt;&gt;Constants!$B$7,$Z89,IF(OR(NOT(T89),AND(NOT(Q89),COUNTIFS(U89:W89,Constants!$B$18,V89:X89,"&gt;=0")&gt;0),AND(NOT(R89),COUNTIFS(U89:W89,Constants!$B$19,V89:X89,"&gt;=0")&gt;0)),Constants!$B$12,Constants!$B$11)))</f>
        <v/>
      </c>
      <c r="AB89" s="97" t="str">
        <f aca="false">IF($Z89=Constants!$B$7,IF(V89="",Constants!$B$13,V89),"")</f>
        <v/>
      </c>
      <c r="AC89" s="97" t="str">
        <f aca="false">IF($Z89=Constants!$B$7,IF(X89="",Constants!$B$13,X89),"")</f>
        <v/>
      </c>
      <c r="AD89" s="97" t="str">
        <f aca="false">IF($Z89=Constants!$B$7,IF($AB89&gt;=$AC89,1,2),"")</f>
        <v/>
      </c>
      <c r="AE89" s="97" t="str">
        <f aca="false">IF($Z89=Constants!$B$7,LARGE(AB89:AC89,1),"")</f>
        <v/>
      </c>
      <c r="AF89" s="97" t="str">
        <f aca="false">IF(ISBLANK($C89),"",IF($Z89&lt;&gt;Constants!$B$7,$Z89,AE89*S89))</f>
        <v/>
      </c>
      <c r="AG89" s="97" t="str">
        <f aca="false">IF(ISBLANK($C89),"",IF($Z89=Constants!$B$7,IF(ISNUMBER(AF89),RANK(AF89,$AF$8:$AF$507),Constants!$B$14),$Z89))</f>
        <v/>
      </c>
      <c r="AH89" s="97" t="str">
        <f aca="false">IF(ISBLANK($C89),"",IF($Z89=Constants!$B$7,IF(ISNUMBER(AG89),COUNTIFS($AA$8:$AA$507,"&lt;"&amp;$AA89)+COUNTIFS($AA$8:$AA$507,$AA89,$AG$8:$AG$507,"&lt;"&amp;$AG89)+1,Constants!$B$14),$Z89))</f>
        <v/>
      </c>
      <c r="AI89" s="97" t="str">
        <f aca="false">IF(ISBLANK($C89),"",IF($Z89=Constants!$B$7,LARGE(AB89:AC89,2)*S89,""))</f>
        <v/>
      </c>
      <c r="AJ89" s="97" t="str">
        <f aca="false">IF(ISBLANK($C89),"",IF($Z89=Constants!$B$7,RANK(AI89,$AI$8:$AI$507),$Z89))</f>
        <v/>
      </c>
      <c r="AK89" s="97" t="str">
        <f aca="false">IF(ISBLANK($C89),"",IF($Z89=Constants!$B$7,IF(ISNUMBER(AG89),COUNTIFS($AA$8:$AA$507,"&lt;"&amp;$AA89)+COUNTIFS($AA$8:$AA$507,$AA89,$AG$8:$AG$507,"&lt;"&amp;$AG89)+COUNTIFS($AA$8:$AA$507,$AA89,$AG$8:$AG$507,$AG89,$AJ$8:$AJ$507,"&lt;"&amp;$AJ89)+1,Constants!$B$14),$Z89))</f>
        <v/>
      </c>
      <c r="AL89" s="97" t="str">
        <f aca="false">IF(ISBLANK($C89),"",IF($Z89=Constants!$B$7,IF(ISNUMBER(AH89),AH89-AK89,Constants!$B$14),$Z89))</f>
        <v/>
      </c>
      <c r="AM89" s="98"/>
      <c r="AN89" s="99" t="str">
        <f aca="false">IF(ISBLANK($C89),"",IF($Z89&lt;&gt;Constants!$B$7,$Z89,AD89))</f>
        <v/>
      </c>
      <c r="AO89" s="100" t="str">
        <f aca="false">IF(ISBLANK($C89),"",IF($Z89&lt;&gt;Constants!$B$7,$Z89,S89))</f>
        <v/>
      </c>
      <c r="AP89" s="101" t="str">
        <f aca="false">IF(ISBLANK($C89),"",IF($Z89&lt;&gt;Constants!$B$7,$Z89,AF89))</f>
        <v/>
      </c>
      <c r="AQ89" s="102" t="str">
        <f aca="false">IF(ISBLANK($C89),"",IF($Z89&lt;&gt;Constants!$B$7,$Z89,AA89))</f>
        <v/>
      </c>
      <c r="AR89" s="100" t="str">
        <f aca="false">IF(ISBLANK($C89),"",AL89)</f>
        <v/>
      </c>
      <c r="AS89" s="100" t="str">
        <f aca="false">IF(ISBLANK($C89),"",AK89)</f>
        <v/>
      </c>
      <c r="AT89" s="103" t="str">
        <f aca="false">IF(ISBLANK($C89),"",IF(AS89=Constants!$B$4,COUNTA($C$8:$C$507)+2,IF(AS89=Constants!$B$5,COUNTA($C$8:$C$507)+1,IF(AS89=Constants!$B$6,COUNTA($C$8:$C$507),AS89))))</f>
        <v/>
      </c>
      <c r="AU89" s="5"/>
      <c r="AV89" s="104" t="n">
        <f aca="false">IF(OR(ISNUMBER(AS89),AS89=Constants!$B$4,AS89=Constants!$B$6,AS89=Constants!$B$5),1,0)</f>
        <v>0</v>
      </c>
      <c r="AW89" s="104" t="n">
        <v>82</v>
      </c>
      <c r="AX89" s="104" t="str">
        <f aca="false">IF(ISBLANK($C89),"",IF(ISNUMBER(AT89),AT89+ROW($B89)/1000,""))</f>
        <v/>
      </c>
      <c r="AY89" s="104" t="str">
        <f aca="false">IF(ISNUMBER(AX89),RANK(AX89,$AX$8:$AX$507,1),"")</f>
        <v/>
      </c>
      <c r="AZ89" s="104" t="str">
        <f aca="false">IF(ISBLANK($C89),"",$B89)</f>
        <v/>
      </c>
      <c r="BA89" s="104" t="str">
        <f aca="false">IF(ISBLANK($C89),"",$C89)</f>
        <v/>
      </c>
      <c r="BB89" s="104" t="str">
        <f aca="false">IF(ISBLANK($C89),"",$D89)</f>
        <v/>
      </c>
      <c r="BC89" s="105" t="str">
        <f aca="false">AQ89</f>
        <v/>
      </c>
      <c r="BD89" s="106" t="str">
        <f aca="false">AP89</f>
        <v/>
      </c>
      <c r="BE89" s="104" t="str">
        <f aca="false">IF(ISBLANK($C89),"",AS89)</f>
        <v/>
      </c>
      <c r="BF89" s="107" t="str">
        <f aca="false">IF($AW89&gt;$AV$7,"",VLOOKUP($AW89,$AY$8:$BE$507,7,FALSE()))</f>
        <v/>
      </c>
      <c r="BG89" s="108" t="str">
        <f aca="false">IF($AW89&gt;$AV$7,"",VLOOKUP($AW89,$AY$8:$BE$507,2,FALSE()))</f>
        <v/>
      </c>
      <c r="BH89" s="108" t="str">
        <f aca="false">IF($AW89&gt;$AV$7,"",VLOOKUP($AW89,$AY$8:$BE$507,3,FALSE()))</f>
        <v/>
      </c>
      <c r="BI89" s="108" t="str">
        <f aca="false">IF($AW89&gt;$AV$7,"",VLOOKUP($AW89,$AY$8:$BE$507,4,FALSE()))</f>
        <v/>
      </c>
      <c r="BJ89" s="108" t="str">
        <f aca="false">IF($AW89&gt;$AV$7,"",VLOOKUP($AW89,$AY$8:$BE$507,5,FALSE()))</f>
        <v/>
      </c>
      <c r="BK89" s="109" t="str">
        <f aca="false">IF($AW89&gt;$AV$7,"",VLOOKUP($AW89,$AY$8:$BE$507,6,FALSE()))</f>
        <v/>
      </c>
      <c r="BL89" s="50"/>
    </row>
    <row r="90" customFormat="false" ht="15.75" hidden="false" customHeight="false" outlineLevel="0" collapsed="false">
      <c r="A90" s="5"/>
      <c r="B90" s="124"/>
      <c r="C90" s="125"/>
      <c r="D90" s="110"/>
      <c r="E90" s="130"/>
      <c r="F90" s="135"/>
      <c r="G90" s="88"/>
      <c r="H90" s="136"/>
      <c r="I90" s="137"/>
      <c r="J90" s="91"/>
      <c r="K90" s="92"/>
      <c r="L90" s="137"/>
      <c r="M90" s="93"/>
      <c r="N90" s="94"/>
      <c r="O90" s="130"/>
      <c r="P90" s="96"/>
      <c r="Q90" s="97" t="str">
        <f aca="false">IF(ISBLANK($C90),"",IF(E90=Constants!$B$2, TRUE(), IF(E90=Constants!$B$3, FALSE(), TRUE())))</f>
        <v/>
      </c>
      <c r="R90" s="97" t="str">
        <f aca="false">IF(ISBLANK($C90),"",IF(F90=Constants!$B$2, TRUE(), IF(F90=Constants!$B$3, FALSE(), TRUE())))</f>
        <v/>
      </c>
      <c r="S90" s="97" t="str">
        <f aca="false">IF(ISBLANK($C90),"",IF(G90=Constants!$B$15,Constants!$B$8,IF(G90=Constants!$B$16,Constants!$B$9,Constants!$B$10)))</f>
        <v/>
      </c>
      <c r="T90" s="97" t="str">
        <f aca="false">IF(ISBLANK($C90),"",IF(H90=Constants!$B$2, TRUE(), IF(H90=Constants!$B$3, FALSE(), TRUE())))</f>
        <v/>
      </c>
      <c r="U90" s="97" t="str">
        <f aca="false">IF(ISBLANK($C90),"",IF(I90=Constants!$B$19,Constants!$B$19,Constants!$B$18))</f>
        <v/>
      </c>
      <c r="V90" s="97" t="str">
        <f aca="false">IF(ISBLANK($C90),"",IF(COUNTA(J90:K90)=0,"",IF(AND(OR(ISBLANK(J90),AND(ISNUMBER(J90),J90&gt;=0)),OR(ISBLANK(K90),AND(ISNUMBER(K90),K90&gt;=0))),60*IF(ISBLANK(J90),0,J90)+IF(ISBLANK(K90),0,K90),"")))</f>
        <v/>
      </c>
      <c r="W90" s="97" t="str">
        <f aca="false">IF(ISBLANK($C90),"",IF(L90=Constants!$B$19,Constants!$B$19,Constants!$B$18))</f>
        <v/>
      </c>
      <c r="X90" s="97" t="str">
        <f aca="false">IF(ISBLANK($C90),"",IF(COUNTA(M90:N90)=0,"",IF(AND(OR(ISBLANK(M90),AND(ISNUMBER(M90),M90&gt;=0)),OR(ISBLANK(N90),AND(ISNUMBER(N90),N90&gt;=0))),60*IF(ISBLANK(M90),0,M90)+IF(ISBLANK(N90),0,N90),"")))</f>
        <v/>
      </c>
      <c r="Y90" s="97" t="str">
        <f aca="false">IF(ISBLANK($C90),"",IF(O90=Constants!$B$2, TRUE(), IF(O90=Constants!$B$3, FALSE(), FALSE())))</f>
        <v/>
      </c>
      <c r="Z90" s="97" t="str">
        <f aca="false">IF(ISBLANK($C90),"",IF(Y90,Constants!$B$4,IF(COUNTA(E90:N90)=0,Constants!$B$5,IF(COUNTA(J90:K90,M90:N90)=0,Constants!$B$6,Constants!$B$7))))</f>
        <v/>
      </c>
      <c r="AA90" s="97" t="str">
        <f aca="false">IF(ISBLANK($C90),"",IF($Z90&lt;&gt;Constants!$B$7,$Z90,IF(OR(NOT(T90),AND(NOT(Q90),COUNTIFS(U90:W90,Constants!$B$18,V90:X90,"&gt;=0")&gt;0),AND(NOT(R90),COUNTIFS(U90:W90,Constants!$B$19,V90:X90,"&gt;=0")&gt;0)),Constants!$B$12,Constants!$B$11)))</f>
        <v/>
      </c>
      <c r="AB90" s="97" t="str">
        <f aca="false">IF($Z90=Constants!$B$7,IF(V90="",Constants!$B$13,V90),"")</f>
        <v/>
      </c>
      <c r="AC90" s="97" t="str">
        <f aca="false">IF($Z90=Constants!$B$7,IF(X90="",Constants!$B$13,X90),"")</f>
        <v/>
      </c>
      <c r="AD90" s="97" t="str">
        <f aca="false">IF($Z90=Constants!$B$7,IF($AB90&gt;=$AC90,1,2),"")</f>
        <v/>
      </c>
      <c r="AE90" s="97" t="str">
        <f aca="false">IF($Z90=Constants!$B$7,LARGE(AB90:AC90,1),"")</f>
        <v/>
      </c>
      <c r="AF90" s="97" t="str">
        <f aca="false">IF(ISBLANK($C90),"",IF($Z90&lt;&gt;Constants!$B$7,$Z90,AE90*S90))</f>
        <v/>
      </c>
      <c r="AG90" s="97" t="str">
        <f aca="false">IF(ISBLANK($C90),"",IF($Z90=Constants!$B$7,IF(ISNUMBER(AF90),RANK(AF90,$AF$8:$AF$507),Constants!$B$14),$Z90))</f>
        <v/>
      </c>
      <c r="AH90" s="97" t="str">
        <f aca="false">IF(ISBLANK($C90),"",IF($Z90=Constants!$B$7,IF(ISNUMBER(AG90),COUNTIFS($AA$8:$AA$507,"&lt;"&amp;$AA90)+COUNTIFS($AA$8:$AA$507,$AA90,$AG$8:$AG$507,"&lt;"&amp;$AG90)+1,Constants!$B$14),$Z90))</f>
        <v/>
      </c>
      <c r="AI90" s="97" t="str">
        <f aca="false">IF(ISBLANK($C90),"",IF($Z90=Constants!$B$7,LARGE(AB90:AC90,2)*S90,""))</f>
        <v/>
      </c>
      <c r="AJ90" s="97" t="str">
        <f aca="false">IF(ISBLANK($C90),"",IF($Z90=Constants!$B$7,RANK(AI90,$AI$8:$AI$507),$Z90))</f>
        <v/>
      </c>
      <c r="AK90" s="97" t="str">
        <f aca="false">IF(ISBLANK($C90),"",IF($Z90=Constants!$B$7,IF(ISNUMBER(AG90),COUNTIFS($AA$8:$AA$507,"&lt;"&amp;$AA90)+COUNTIFS($AA$8:$AA$507,$AA90,$AG$8:$AG$507,"&lt;"&amp;$AG90)+COUNTIFS($AA$8:$AA$507,$AA90,$AG$8:$AG$507,$AG90,$AJ$8:$AJ$507,"&lt;"&amp;$AJ90)+1,Constants!$B$14),$Z90))</f>
        <v/>
      </c>
      <c r="AL90" s="97" t="str">
        <f aca="false">IF(ISBLANK($C90),"",IF($Z90=Constants!$B$7,IF(ISNUMBER(AH90),AH90-AK90,Constants!$B$14),$Z90))</f>
        <v/>
      </c>
      <c r="AM90" s="98"/>
      <c r="AN90" s="99" t="str">
        <f aca="false">IF(ISBLANK($C90),"",IF($Z90&lt;&gt;Constants!$B$7,$Z90,AD90))</f>
        <v/>
      </c>
      <c r="AO90" s="100" t="str">
        <f aca="false">IF(ISBLANK($C90),"",IF($Z90&lt;&gt;Constants!$B$7,$Z90,S90))</f>
        <v/>
      </c>
      <c r="AP90" s="101" t="str">
        <f aca="false">IF(ISBLANK($C90),"",IF($Z90&lt;&gt;Constants!$B$7,$Z90,AF90))</f>
        <v/>
      </c>
      <c r="AQ90" s="102" t="str">
        <f aca="false">IF(ISBLANK($C90),"",IF($Z90&lt;&gt;Constants!$B$7,$Z90,AA90))</f>
        <v/>
      </c>
      <c r="AR90" s="100" t="str">
        <f aca="false">IF(ISBLANK($C90),"",AL90)</f>
        <v/>
      </c>
      <c r="AS90" s="100" t="str">
        <f aca="false">IF(ISBLANK($C90),"",AK90)</f>
        <v/>
      </c>
      <c r="AT90" s="103" t="str">
        <f aca="false">IF(ISBLANK($C90),"",IF(AS90=Constants!$B$4,COUNTA($C$8:$C$507)+2,IF(AS90=Constants!$B$5,COUNTA($C$8:$C$507)+1,IF(AS90=Constants!$B$6,COUNTA($C$8:$C$507),AS90))))</f>
        <v/>
      </c>
      <c r="AU90" s="5"/>
      <c r="AV90" s="104" t="n">
        <f aca="false">IF(OR(ISNUMBER(AS90),AS90=Constants!$B$4,AS90=Constants!$B$6,AS90=Constants!$B$5),1,0)</f>
        <v>0</v>
      </c>
      <c r="AW90" s="104" t="n">
        <v>83</v>
      </c>
      <c r="AX90" s="104" t="str">
        <f aca="false">IF(ISBLANK($C90),"",IF(ISNUMBER(AT90),AT90+ROW($B90)/1000,""))</f>
        <v/>
      </c>
      <c r="AY90" s="104" t="str">
        <f aca="false">IF(ISNUMBER(AX90),RANK(AX90,$AX$8:$AX$507,1),"")</f>
        <v/>
      </c>
      <c r="AZ90" s="104" t="str">
        <f aca="false">IF(ISBLANK($C90),"",$B90)</f>
        <v/>
      </c>
      <c r="BA90" s="104" t="str">
        <f aca="false">IF(ISBLANK($C90),"",$C90)</f>
        <v/>
      </c>
      <c r="BB90" s="104" t="str">
        <f aca="false">IF(ISBLANK($C90),"",$D90)</f>
        <v/>
      </c>
      <c r="BC90" s="105" t="str">
        <f aca="false">AQ90</f>
        <v/>
      </c>
      <c r="BD90" s="106" t="str">
        <f aca="false">AP90</f>
        <v/>
      </c>
      <c r="BE90" s="104" t="str">
        <f aca="false">IF(ISBLANK($C90),"",AS90)</f>
        <v/>
      </c>
      <c r="BF90" s="107" t="str">
        <f aca="false">IF($AW90&gt;$AV$7,"",VLOOKUP($AW90,$AY$8:$BE$507,7,FALSE()))</f>
        <v/>
      </c>
      <c r="BG90" s="108" t="str">
        <f aca="false">IF($AW90&gt;$AV$7,"",VLOOKUP($AW90,$AY$8:$BE$507,2,FALSE()))</f>
        <v/>
      </c>
      <c r="BH90" s="108" t="str">
        <f aca="false">IF($AW90&gt;$AV$7,"",VLOOKUP($AW90,$AY$8:$BE$507,3,FALSE()))</f>
        <v/>
      </c>
      <c r="BI90" s="108" t="str">
        <f aca="false">IF($AW90&gt;$AV$7,"",VLOOKUP($AW90,$AY$8:$BE$507,4,FALSE()))</f>
        <v/>
      </c>
      <c r="BJ90" s="108" t="str">
        <f aca="false">IF($AW90&gt;$AV$7,"",VLOOKUP($AW90,$AY$8:$BE$507,5,FALSE()))</f>
        <v/>
      </c>
      <c r="BK90" s="109" t="str">
        <f aca="false">IF($AW90&gt;$AV$7,"",VLOOKUP($AW90,$AY$8:$BE$507,6,FALSE()))</f>
        <v/>
      </c>
      <c r="BL90" s="50"/>
    </row>
    <row r="91" customFormat="false" ht="15.75" hidden="false" customHeight="false" outlineLevel="0" collapsed="false">
      <c r="A91" s="5"/>
      <c r="B91" s="124"/>
      <c r="C91" s="125"/>
      <c r="D91" s="110"/>
      <c r="E91" s="130"/>
      <c r="F91" s="135"/>
      <c r="G91" s="88"/>
      <c r="H91" s="136"/>
      <c r="I91" s="137"/>
      <c r="J91" s="91"/>
      <c r="K91" s="92"/>
      <c r="L91" s="137"/>
      <c r="M91" s="93"/>
      <c r="N91" s="94"/>
      <c r="O91" s="130"/>
      <c r="P91" s="96"/>
      <c r="Q91" s="97" t="str">
        <f aca="false">IF(ISBLANK($C91),"",IF(E91=Constants!$B$2, TRUE(), IF(E91=Constants!$B$3, FALSE(), TRUE())))</f>
        <v/>
      </c>
      <c r="R91" s="97" t="str">
        <f aca="false">IF(ISBLANK($C91),"",IF(F91=Constants!$B$2, TRUE(), IF(F91=Constants!$B$3, FALSE(), TRUE())))</f>
        <v/>
      </c>
      <c r="S91" s="97" t="str">
        <f aca="false">IF(ISBLANK($C91),"",IF(G91=Constants!$B$15,Constants!$B$8,IF(G91=Constants!$B$16,Constants!$B$9,Constants!$B$10)))</f>
        <v/>
      </c>
      <c r="T91" s="97" t="str">
        <f aca="false">IF(ISBLANK($C91),"",IF(H91=Constants!$B$2, TRUE(), IF(H91=Constants!$B$3, FALSE(), TRUE())))</f>
        <v/>
      </c>
      <c r="U91" s="97" t="str">
        <f aca="false">IF(ISBLANK($C91),"",IF(I91=Constants!$B$19,Constants!$B$19,Constants!$B$18))</f>
        <v/>
      </c>
      <c r="V91" s="97" t="str">
        <f aca="false">IF(ISBLANK($C91),"",IF(COUNTA(J91:K91)=0,"",IF(AND(OR(ISBLANK(J91),AND(ISNUMBER(J91),J91&gt;=0)),OR(ISBLANK(K91),AND(ISNUMBER(K91),K91&gt;=0))),60*IF(ISBLANK(J91),0,J91)+IF(ISBLANK(K91),0,K91),"")))</f>
        <v/>
      </c>
      <c r="W91" s="97" t="str">
        <f aca="false">IF(ISBLANK($C91),"",IF(L91=Constants!$B$19,Constants!$B$19,Constants!$B$18))</f>
        <v/>
      </c>
      <c r="X91" s="97" t="str">
        <f aca="false">IF(ISBLANK($C91),"",IF(COUNTA(M91:N91)=0,"",IF(AND(OR(ISBLANK(M91),AND(ISNUMBER(M91),M91&gt;=0)),OR(ISBLANK(N91),AND(ISNUMBER(N91),N91&gt;=0))),60*IF(ISBLANK(M91),0,M91)+IF(ISBLANK(N91),0,N91),"")))</f>
        <v/>
      </c>
      <c r="Y91" s="97" t="str">
        <f aca="false">IF(ISBLANK($C91),"",IF(O91=Constants!$B$2, TRUE(), IF(O91=Constants!$B$3, FALSE(), FALSE())))</f>
        <v/>
      </c>
      <c r="Z91" s="97" t="str">
        <f aca="false">IF(ISBLANK($C91),"",IF(Y91,Constants!$B$4,IF(COUNTA(E91:N91)=0,Constants!$B$5,IF(COUNTA(J91:K91,M91:N91)=0,Constants!$B$6,Constants!$B$7))))</f>
        <v/>
      </c>
      <c r="AA91" s="97" t="str">
        <f aca="false">IF(ISBLANK($C91),"",IF($Z91&lt;&gt;Constants!$B$7,$Z91,IF(OR(NOT(T91),AND(NOT(Q91),COUNTIFS(U91:W91,Constants!$B$18,V91:X91,"&gt;=0")&gt;0),AND(NOT(R91),COUNTIFS(U91:W91,Constants!$B$19,V91:X91,"&gt;=0")&gt;0)),Constants!$B$12,Constants!$B$11)))</f>
        <v/>
      </c>
      <c r="AB91" s="97" t="str">
        <f aca="false">IF($Z91=Constants!$B$7,IF(V91="",Constants!$B$13,V91),"")</f>
        <v/>
      </c>
      <c r="AC91" s="97" t="str">
        <f aca="false">IF($Z91=Constants!$B$7,IF(X91="",Constants!$B$13,X91),"")</f>
        <v/>
      </c>
      <c r="AD91" s="97" t="str">
        <f aca="false">IF($Z91=Constants!$B$7,IF($AB91&gt;=$AC91,1,2),"")</f>
        <v/>
      </c>
      <c r="AE91" s="97" t="str">
        <f aca="false">IF($Z91=Constants!$B$7,LARGE(AB91:AC91,1),"")</f>
        <v/>
      </c>
      <c r="AF91" s="97" t="str">
        <f aca="false">IF(ISBLANK($C91),"",IF($Z91&lt;&gt;Constants!$B$7,$Z91,AE91*S91))</f>
        <v/>
      </c>
      <c r="AG91" s="97" t="str">
        <f aca="false">IF(ISBLANK($C91),"",IF($Z91=Constants!$B$7,IF(ISNUMBER(AF91),RANK(AF91,$AF$8:$AF$507),Constants!$B$14),$Z91))</f>
        <v/>
      </c>
      <c r="AH91" s="97" t="str">
        <f aca="false">IF(ISBLANK($C91),"",IF($Z91=Constants!$B$7,IF(ISNUMBER(AG91),COUNTIFS($AA$8:$AA$507,"&lt;"&amp;$AA91)+COUNTIFS($AA$8:$AA$507,$AA91,$AG$8:$AG$507,"&lt;"&amp;$AG91)+1,Constants!$B$14),$Z91))</f>
        <v/>
      </c>
      <c r="AI91" s="97" t="str">
        <f aca="false">IF(ISBLANK($C91),"",IF($Z91=Constants!$B$7,LARGE(AB91:AC91,2)*S91,""))</f>
        <v/>
      </c>
      <c r="AJ91" s="97" t="str">
        <f aca="false">IF(ISBLANK($C91),"",IF($Z91=Constants!$B$7,RANK(AI91,$AI$8:$AI$507),$Z91))</f>
        <v/>
      </c>
      <c r="AK91" s="97" t="str">
        <f aca="false">IF(ISBLANK($C91),"",IF($Z91=Constants!$B$7,IF(ISNUMBER(AG91),COUNTIFS($AA$8:$AA$507,"&lt;"&amp;$AA91)+COUNTIFS($AA$8:$AA$507,$AA91,$AG$8:$AG$507,"&lt;"&amp;$AG91)+COUNTIFS($AA$8:$AA$507,$AA91,$AG$8:$AG$507,$AG91,$AJ$8:$AJ$507,"&lt;"&amp;$AJ91)+1,Constants!$B$14),$Z91))</f>
        <v/>
      </c>
      <c r="AL91" s="97" t="str">
        <f aca="false">IF(ISBLANK($C91),"",IF($Z91=Constants!$B$7,IF(ISNUMBER(AH91),AH91-AK91,Constants!$B$14),$Z91))</f>
        <v/>
      </c>
      <c r="AM91" s="98"/>
      <c r="AN91" s="99" t="str">
        <f aca="false">IF(ISBLANK($C91),"",IF($Z91&lt;&gt;Constants!$B$7,$Z91,AD91))</f>
        <v/>
      </c>
      <c r="AO91" s="100" t="str">
        <f aca="false">IF(ISBLANK($C91),"",IF($Z91&lt;&gt;Constants!$B$7,$Z91,S91))</f>
        <v/>
      </c>
      <c r="AP91" s="101" t="str">
        <f aca="false">IF(ISBLANK($C91),"",IF($Z91&lt;&gt;Constants!$B$7,$Z91,AF91))</f>
        <v/>
      </c>
      <c r="AQ91" s="102" t="str">
        <f aca="false">IF(ISBLANK($C91),"",IF($Z91&lt;&gt;Constants!$B$7,$Z91,AA91))</f>
        <v/>
      </c>
      <c r="AR91" s="100" t="str">
        <f aca="false">IF(ISBLANK($C91),"",AL91)</f>
        <v/>
      </c>
      <c r="AS91" s="100" t="str">
        <f aca="false">IF(ISBLANK($C91),"",AK91)</f>
        <v/>
      </c>
      <c r="AT91" s="103" t="str">
        <f aca="false">IF(ISBLANK($C91),"",IF(AS91=Constants!$B$4,COUNTA($C$8:$C$507)+2,IF(AS91=Constants!$B$5,COUNTA($C$8:$C$507)+1,IF(AS91=Constants!$B$6,COUNTA($C$8:$C$507),AS91))))</f>
        <v/>
      </c>
      <c r="AU91" s="5"/>
      <c r="AV91" s="104" t="n">
        <f aca="false">IF(OR(ISNUMBER(AS91),AS91=Constants!$B$4,AS91=Constants!$B$6,AS91=Constants!$B$5),1,0)</f>
        <v>0</v>
      </c>
      <c r="AW91" s="104" t="n">
        <v>84</v>
      </c>
      <c r="AX91" s="104" t="str">
        <f aca="false">IF(ISBLANK($C91),"",IF(ISNUMBER(AT91),AT91+ROW($B91)/1000,""))</f>
        <v/>
      </c>
      <c r="AY91" s="104" t="str">
        <f aca="false">IF(ISNUMBER(AX91),RANK(AX91,$AX$8:$AX$507,1),"")</f>
        <v/>
      </c>
      <c r="AZ91" s="104" t="str">
        <f aca="false">IF(ISBLANK($C91),"",$B91)</f>
        <v/>
      </c>
      <c r="BA91" s="104" t="str">
        <f aca="false">IF(ISBLANK($C91),"",$C91)</f>
        <v/>
      </c>
      <c r="BB91" s="104" t="str">
        <f aca="false">IF(ISBLANK($C91),"",$D91)</f>
        <v/>
      </c>
      <c r="BC91" s="105" t="str">
        <f aca="false">AQ91</f>
        <v/>
      </c>
      <c r="BD91" s="106" t="str">
        <f aca="false">AP91</f>
        <v/>
      </c>
      <c r="BE91" s="104" t="str">
        <f aca="false">IF(ISBLANK($C91),"",AS91)</f>
        <v/>
      </c>
      <c r="BF91" s="107" t="str">
        <f aca="false">IF($AW91&gt;$AV$7,"",VLOOKUP($AW91,$AY$8:$BE$507,7,FALSE()))</f>
        <v/>
      </c>
      <c r="BG91" s="108" t="str">
        <f aca="false">IF($AW91&gt;$AV$7,"",VLOOKUP($AW91,$AY$8:$BE$507,2,FALSE()))</f>
        <v/>
      </c>
      <c r="BH91" s="108" t="str">
        <f aca="false">IF($AW91&gt;$AV$7,"",VLOOKUP($AW91,$AY$8:$BE$507,3,FALSE()))</f>
        <v/>
      </c>
      <c r="BI91" s="108" t="str">
        <f aca="false">IF($AW91&gt;$AV$7,"",VLOOKUP($AW91,$AY$8:$BE$507,4,FALSE()))</f>
        <v/>
      </c>
      <c r="BJ91" s="108" t="str">
        <f aca="false">IF($AW91&gt;$AV$7,"",VLOOKUP($AW91,$AY$8:$BE$507,5,FALSE()))</f>
        <v/>
      </c>
      <c r="BK91" s="109" t="str">
        <f aca="false">IF($AW91&gt;$AV$7,"",VLOOKUP($AW91,$AY$8:$BE$507,6,FALSE()))</f>
        <v/>
      </c>
      <c r="BL91" s="50"/>
    </row>
    <row r="92" customFormat="false" ht="15.75" hidden="false" customHeight="false" outlineLevel="0" collapsed="false">
      <c r="A92" s="5"/>
      <c r="B92" s="131"/>
      <c r="C92" s="52"/>
      <c r="D92" s="53"/>
      <c r="E92" s="80"/>
      <c r="F92" s="132"/>
      <c r="G92" s="56"/>
      <c r="H92" s="133"/>
      <c r="I92" s="134"/>
      <c r="J92" s="59"/>
      <c r="K92" s="60"/>
      <c r="L92" s="134"/>
      <c r="M92" s="61"/>
      <c r="N92" s="62"/>
      <c r="O92" s="80"/>
      <c r="P92" s="64"/>
      <c r="Q92" s="65" t="str">
        <f aca="false">IF(ISBLANK($C92),"",IF(E92=Constants!$B$2, TRUE(), IF(E92=Constants!$B$3, FALSE(), TRUE())))</f>
        <v/>
      </c>
      <c r="R92" s="65" t="str">
        <f aca="false">IF(ISBLANK($C92),"",IF(F92=Constants!$B$2, TRUE(), IF(F92=Constants!$B$3, FALSE(), TRUE())))</f>
        <v/>
      </c>
      <c r="S92" s="65" t="str">
        <f aca="false">IF(ISBLANK($C92),"",IF(G92=Constants!$B$15,Constants!$B$8,IF(G92=Constants!$B$16,Constants!$B$9,Constants!$B$10)))</f>
        <v/>
      </c>
      <c r="T92" s="65" t="str">
        <f aca="false">IF(ISBLANK($C92),"",IF(H92=Constants!$B$2, TRUE(), IF(H92=Constants!$B$3, FALSE(), TRUE())))</f>
        <v/>
      </c>
      <c r="U92" s="65" t="str">
        <f aca="false">IF(ISBLANK($C92),"",IF(I92=Constants!$B$19,Constants!$B$19,Constants!$B$18))</f>
        <v/>
      </c>
      <c r="V92" s="65" t="str">
        <f aca="false">IF(ISBLANK($C92),"",IF(COUNTA(J92:K92)=0,"",IF(AND(OR(ISBLANK(J92),AND(ISNUMBER(J92),J92&gt;=0)),OR(ISBLANK(K92),AND(ISNUMBER(K92),K92&gt;=0))),60*IF(ISBLANK(J92),0,J92)+IF(ISBLANK(K92),0,K92),"")))</f>
        <v/>
      </c>
      <c r="W92" s="65" t="str">
        <f aca="false">IF(ISBLANK($C92),"",IF(L92=Constants!$B$19,Constants!$B$19,Constants!$B$18))</f>
        <v/>
      </c>
      <c r="X92" s="65" t="str">
        <f aca="false">IF(ISBLANK($C92),"",IF(COUNTA(M92:N92)=0,"",IF(AND(OR(ISBLANK(M92),AND(ISNUMBER(M92),M92&gt;=0)),OR(ISBLANK(N92),AND(ISNUMBER(N92),N92&gt;=0))),60*IF(ISBLANK(M92),0,M92)+IF(ISBLANK(N92),0,N92),"")))</f>
        <v/>
      </c>
      <c r="Y92" s="65" t="str">
        <f aca="false">IF(ISBLANK($C92),"",IF(O92=Constants!$B$2, TRUE(), IF(O92=Constants!$B$3, FALSE(), FALSE())))</f>
        <v/>
      </c>
      <c r="Z92" s="65" t="str">
        <f aca="false">IF(ISBLANK($C92),"",IF(Y92,Constants!$B$4,IF(COUNTA(E92:N92)=0,Constants!$B$5,IF(COUNTA(J92:K92,M92:N92)=0,Constants!$B$6,Constants!$B$7))))</f>
        <v/>
      </c>
      <c r="AA92" s="65" t="str">
        <f aca="false">IF(ISBLANK($C92),"",IF($Z92&lt;&gt;Constants!$B$7,$Z92,IF(OR(NOT(T92),AND(NOT(Q92),COUNTIFS(U92:W92,Constants!$B$18,V92:X92,"&gt;=0")&gt;0),AND(NOT(R92),COUNTIFS(U92:W92,Constants!$B$19,V92:X92,"&gt;=0")&gt;0)),Constants!$B$12,Constants!$B$11)))</f>
        <v/>
      </c>
      <c r="AB92" s="65" t="str">
        <f aca="false">IF($Z92=Constants!$B$7,IF(V92="",Constants!$B$13,V92),"")</f>
        <v/>
      </c>
      <c r="AC92" s="65" t="str">
        <f aca="false">IF($Z92=Constants!$B$7,IF(X92="",Constants!$B$13,X92),"")</f>
        <v/>
      </c>
      <c r="AD92" s="65" t="str">
        <f aca="false">IF($Z92=Constants!$B$7,IF($AB92&gt;=$AC92,1,2),"")</f>
        <v/>
      </c>
      <c r="AE92" s="65" t="str">
        <f aca="false">IF($Z92=Constants!$B$7,LARGE(AB92:AC92,1),"")</f>
        <v/>
      </c>
      <c r="AF92" s="65" t="str">
        <f aca="false">IF(ISBLANK($C92),"",IF($Z92&lt;&gt;Constants!$B$7,$Z92,AE92*S92))</f>
        <v/>
      </c>
      <c r="AG92" s="65" t="str">
        <f aca="false">IF(ISBLANK($C92),"",IF($Z92=Constants!$B$7,IF(ISNUMBER(AF92),RANK(AF92,$AF$8:$AF$507),Constants!$B$14),$Z92))</f>
        <v/>
      </c>
      <c r="AH92" s="65" t="str">
        <f aca="false">IF(ISBLANK($C92),"",IF($Z92=Constants!$B$7,IF(ISNUMBER(AG92),COUNTIFS($AA$8:$AA$507,"&lt;"&amp;$AA92)+COUNTIFS($AA$8:$AA$507,$AA92,$AG$8:$AG$507,"&lt;"&amp;$AG92)+1,Constants!$B$14),$Z92))</f>
        <v/>
      </c>
      <c r="AI92" s="65" t="str">
        <f aca="false">IF(ISBLANK($C92),"",IF($Z92=Constants!$B$7,LARGE(AB92:AC92,2)*S92,""))</f>
        <v/>
      </c>
      <c r="AJ92" s="65" t="str">
        <f aca="false">IF(ISBLANK($C92),"",IF($Z92=Constants!$B$7,RANK(AI92,$AI$8:$AI$507),$Z92))</f>
        <v/>
      </c>
      <c r="AK92" s="65" t="str">
        <f aca="false">IF(ISBLANK($C92),"",IF($Z92=Constants!$B$7,IF(ISNUMBER(AG92),COUNTIFS($AA$8:$AA$507,"&lt;"&amp;$AA92)+COUNTIFS($AA$8:$AA$507,$AA92,$AG$8:$AG$507,"&lt;"&amp;$AG92)+COUNTIFS($AA$8:$AA$507,$AA92,$AG$8:$AG$507,$AG92,$AJ$8:$AJ$507,"&lt;"&amp;$AJ92)+1,Constants!$B$14),$Z92))</f>
        <v/>
      </c>
      <c r="AL92" s="65" t="str">
        <f aca="false">IF(ISBLANK($C92),"",IF($Z92=Constants!$B$7,IF(ISNUMBER(AH92),AH92-AK92,Constants!$B$14),$Z92))</f>
        <v/>
      </c>
      <c r="AM92" s="67"/>
      <c r="AN92" s="68" t="str">
        <f aca="false">IF(ISBLANK($C92),"",IF($Z92&lt;&gt;Constants!$B$7,$Z92,AD92))</f>
        <v/>
      </c>
      <c r="AO92" s="69" t="str">
        <f aca="false">IF(ISBLANK($C92),"",IF($Z92&lt;&gt;Constants!$B$7,$Z92,S92))</f>
        <v/>
      </c>
      <c r="AP92" s="70" t="str">
        <f aca="false">IF(ISBLANK($C92),"",IF($Z92&lt;&gt;Constants!$B$7,$Z92,AF92))</f>
        <v/>
      </c>
      <c r="AQ92" s="71" t="str">
        <f aca="false">IF(ISBLANK($C92),"",IF($Z92&lt;&gt;Constants!$B$7,$Z92,AA92))</f>
        <v/>
      </c>
      <c r="AR92" s="69" t="str">
        <f aca="false">IF(ISBLANK($C92),"",AL92)</f>
        <v/>
      </c>
      <c r="AS92" s="69" t="str">
        <f aca="false">IF(ISBLANK($C92),"",AK92)</f>
        <v/>
      </c>
      <c r="AT92" s="72" t="str">
        <f aca="false">IF(ISBLANK($C92),"",IF(AS92=Constants!$B$4,COUNTA($C$8:$C$507)+2,IF(AS92=Constants!$B$5,COUNTA($C$8:$C$507)+1,IF(AS92=Constants!$B$6,COUNTA($C$8:$C$507),AS92))))</f>
        <v/>
      </c>
      <c r="AU92" s="5"/>
      <c r="AV92" s="73" t="n">
        <f aca="false">IF(OR(ISNUMBER(AS92),AS92=Constants!$B$4,AS92=Constants!$B$6,AS92=Constants!$B$5),1,0)</f>
        <v>0</v>
      </c>
      <c r="AW92" s="73" t="n">
        <v>85</v>
      </c>
      <c r="AX92" s="73" t="str">
        <f aca="false">IF(ISBLANK($C92),"",IF(ISNUMBER(AT92),AT92+ROW($B92)/1000,""))</f>
        <v/>
      </c>
      <c r="AY92" s="73" t="str">
        <f aca="false">IF(ISNUMBER(AX92),RANK(AX92,$AX$8:$AX$507,1),"")</f>
        <v/>
      </c>
      <c r="AZ92" s="73" t="str">
        <f aca="false">IF(ISBLANK($C92),"",$B92)</f>
        <v/>
      </c>
      <c r="BA92" s="73" t="str">
        <f aca="false">IF(ISBLANK($C92),"",$C92)</f>
        <v/>
      </c>
      <c r="BB92" s="73" t="str">
        <f aca="false">IF(ISBLANK($C92),"",$D92)</f>
        <v/>
      </c>
      <c r="BC92" s="74" t="str">
        <f aca="false">AQ92</f>
        <v/>
      </c>
      <c r="BD92" s="75" t="str">
        <f aca="false">AP92</f>
        <v/>
      </c>
      <c r="BE92" s="73" t="str">
        <f aca="false">IF(ISBLANK($C92),"",AS92)</f>
        <v/>
      </c>
      <c r="BF92" s="76" t="str">
        <f aca="false">IF($AW92&gt;$AV$7,"",VLOOKUP($AW92,$AY$8:$BE$507,7,FALSE()))</f>
        <v/>
      </c>
      <c r="BG92" s="77" t="str">
        <f aca="false">IF($AW92&gt;$AV$7,"",VLOOKUP($AW92,$AY$8:$BE$507,2,FALSE()))</f>
        <v/>
      </c>
      <c r="BH92" s="77" t="str">
        <f aca="false">IF($AW92&gt;$AV$7,"",VLOOKUP($AW92,$AY$8:$BE$507,3,FALSE()))</f>
        <v/>
      </c>
      <c r="BI92" s="77" t="str">
        <f aca="false">IF($AW92&gt;$AV$7,"",VLOOKUP($AW92,$AY$8:$BE$507,4,FALSE()))</f>
        <v/>
      </c>
      <c r="BJ92" s="77" t="str">
        <f aca="false">IF($AW92&gt;$AV$7,"",VLOOKUP($AW92,$AY$8:$BE$507,5,FALSE()))</f>
        <v/>
      </c>
      <c r="BK92" s="78" t="str">
        <f aca="false">IF($AW92&gt;$AV$7,"",VLOOKUP($AW92,$AY$8:$BE$507,6,FALSE()))</f>
        <v/>
      </c>
      <c r="BL92" s="50"/>
    </row>
    <row r="93" customFormat="false" ht="15.75" hidden="false" customHeight="false" outlineLevel="0" collapsed="false">
      <c r="A93" s="5"/>
      <c r="B93" s="131"/>
      <c r="C93" s="52"/>
      <c r="D93" s="53"/>
      <c r="E93" s="80"/>
      <c r="F93" s="132"/>
      <c r="G93" s="56"/>
      <c r="H93" s="133"/>
      <c r="I93" s="134"/>
      <c r="J93" s="59"/>
      <c r="K93" s="60"/>
      <c r="L93" s="134"/>
      <c r="M93" s="61"/>
      <c r="N93" s="62"/>
      <c r="O93" s="80"/>
      <c r="P93" s="64"/>
      <c r="Q93" s="65" t="str">
        <f aca="false">IF(ISBLANK($C93),"",IF(E93=Constants!$B$2, TRUE(), IF(E93=Constants!$B$3, FALSE(), TRUE())))</f>
        <v/>
      </c>
      <c r="R93" s="65" t="str">
        <f aca="false">IF(ISBLANK($C93),"",IF(F93=Constants!$B$2, TRUE(), IF(F93=Constants!$B$3, FALSE(), TRUE())))</f>
        <v/>
      </c>
      <c r="S93" s="65" t="str">
        <f aca="false">IF(ISBLANK($C93),"",IF(G93=Constants!$B$15,Constants!$B$8,IF(G93=Constants!$B$16,Constants!$B$9,Constants!$B$10)))</f>
        <v/>
      </c>
      <c r="T93" s="65" t="str">
        <f aca="false">IF(ISBLANK($C93),"",IF(H93=Constants!$B$2, TRUE(), IF(H93=Constants!$B$3, FALSE(), TRUE())))</f>
        <v/>
      </c>
      <c r="U93" s="65" t="str">
        <f aca="false">IF(ISBLANK($C93),"",IF(I93=Constants!$B$19,Constants!$B$19,Constants!$B$18))</f>
        <v/>
      </c>
      <c r="V93" s="65" t="str">
        <f aca="false">IF(ISBLANK($C93),"",IF(COUNTA(J93:K93)=0,"",IF(AND(OR(ISBLANK(J93),AND(ISNUMBER(J93),J93&gt;=0)),OR(ISBLANK(K93),AND(ISNUMBER(K93),K93&gt;=0))),60*IF(ISBLANK(J93),0,J93)+IF(ISBLANK(K93),0,K93),"")))</f>
        <v/>
      </c>
      <c r="W93" s="65" t="str">
        <f aca="false">IF(ISBLANK($C93),"",IF(L93=Constants!$B$19,Constants!$B$19,Constants!$B$18))</f>
        <v/>
      </c>
      <c r="X93" s="65" t="str">
        <f aca="false">IF(ISBLANK($C93),"",IF(COUNTA(M93:N93)=0,"",IF(AND(OR(ISBLANK(M93),AND(ISNUMBER(M93),M93&gt;=0)),OR(ISBLANK(N93),AND(ISNUMBER(N93),N93&gt;=0))),60*IF(ISBLANK(M93),0,M93)+IF(ISBLANK(N93),0,N93),"")))</f>
        <v/>
      </c>
      <c r="Y93" s="65" t="str">
        <f aca="false">IF(ISBLANK($C93),"",IF(O93=Constants!$B$2, TRUE(), IF(O93=Constants!$B$3, FALSE(), FALSE())))</f>
        <v/>
      </c>
      <c r="Z93" s="65" t="str">
        <f aca="false">IF(ISBLANK($C93),"",IF(Y93,Constants!$B$4,IF(COUNTA(E93:N93)=0,Constants!$B$5,IF(COUNTA(J93:K93,M93:N93)=0,Constants!$B$6,Constants!$B$7))))</f>
        <v/>
      </c>
      <c r="AA93" s="65" t="str">
        <f aca="false">IF(ISBLANK($C93),"",IF($Z93&lt;&gt;Constants!$B$7,$Z93,IF(OR(NOT(T93),AND(NOT(Q93),COUNTIFS(U93:W93,Constants!$B$18,V93:X93,"&gt;=0")&gt;0),AND(NOT(R93),COUNTIFS(U93:W93,Constants!$B$19,V93:X93,"&gt;=0")&gt;0)),Constants!$B$12,Constants!$B$11)))</f>
        <v/>
      </c>
      <c r="AB93" s="65" t="str">
        <f aca="false">IF($Z93=Constants!$B$7,IF(V93="",Constants!$B$13,V93),"")</f>
        <v/>
      </c>
      <c r="AC93" s="65" t="str">
        <f aca="false">IF($Z93=Constants!$B$7,IF(X93="",Constants!$B$13,X93),"")</f>
        <v/>
      </c>
      <c r="AD93" s="65" t="str">
        <f aca="false">IF($Z93=Constants!$B$7,IF($AB93&gt;=$AC93,1,2),"")</f>
        <v/>
      </c>
      <c r="AE93" s="65" t="str">
        <f aca="false">IF($Z93=Constants!$B$7,LARGE(AB93:AC93,1),"")</f>
        <v/>
      </c>
      <c r="AF93" s="65" t="str">
        <f aca="false">IF(ISBLANK($C93),"",IF($Z93&lt;&gt;Constants!$B$7,$Z93,AE93*S93))</f>
        <v/>
      </c>
      <c r="AG93" s="65" t="str">
        <f aca="false">IF(ISBLANK($C93),"",IF($Z93=Constants!$B$7,IF(ISNUMBER(AF93),RANK(AF93,$AF$8:$AF$507),Constants!$B$14),$Z93))</f>
        <v/>
      </c>
      <c r="AH93" s="65" t="str">
        <f aca="false">IF(ISBLANK($C93),"",IF($Z93=Constants!$B$7,IF(ISNUMBER(AG93),COUNTIFS($AA$8:$AA$507,"&lt;"&amp;$AA93)+COUNTIFS($AA$8:$AA$507,$AA93,$AG$8:$AG$507,"&lt;"&amp;$AG93)+1,Constants!$B$14),$Z93))</f>
        <v/>
      </c>
      <c r="AI93" s="65" t="str">
        <f aca="false">IF(ISBLANK($C93),"",IF($Z93=Constants!$B$7,LARGE(AB93:AC93,2)*S93,""))</f>
        <v/>
      </c>
      <c r="AJ93" s="65" t="str">
        <f aca="false">IF(ISBLANK($C93),"",IF($Z93=Constants!$B$7,RANK(AI93,$AI$8:$AI$507),$Z93))</f>
        <v/>
      </c>
      <c r="AK93" s="65" t="str">
        <f aca="false">IF(ISBLANK($C93),"",IF($Z93=Constants!$B$7,IF(ISNUMBER(AG93),COUNTIFS($AA$8:$AA$507,"&lt;"&amp;$AA93)+COUNTIFS($AA$8:$AA$507,$AA93,$AG$8:$AG$507,"&lt;"&amp;$AG93)+COUNTIFS($AA$8:$AA$507,$AA93,$AG$8:$AG$507,$AG93,$AJ$8:$AJ$507,"&lt;"&amp;$AJ93)+1,Constants!$B$14),$Z93))</f>
        <v/>
      </c>
      <c r="AL93" s="65" t="str">
        <f aca="false">IF(ISBLANK($C93),"",IF($Z93=Constants!$B$7,IF(ISNUMBER(AH93),AH93-AK93,Constants!$B$14),$Z93))</f>
        <v/>
      </c>
      <c r="AM93" s="67"/>
      <c r="AN93" s="68" t="str">
        <f aca="false">IF(ISBLANK($C93),"",IF($Z93&lt;&gt;Constants!$B$7,$Z93,AD93))</f>
        <v/>
      </c>
      <c r="AO93" s="69" t="str">
        <f aca="false">IF(ISBLANK($C93),"",IF($Z93&lt;&gt;Constants!$B$7,$Z93,S93))</f>
        <v/>
      </c>
      <c r="AP93" s="70" t="str">
        <f aca="false">IF(ISBLANK($C93),"",IF($Z93&lt;&gt;Constants!$B$7,$Z93,AF93))</f>
        <v/>
      </c>
      <c r="AQ93" s="71" t="str">
        <f aca="false">IF(ISBLANK($C93),"",IF($Z93&lt;&gt;Constants!$B$7,$Z93,AA93))</f>
        <v/>
      </c>
      <c r="AR93" s="69" t="str">
        <f aca="false">IF(ISBLANK($C93),"",AL93)</f>
        <v/>
      </c>
      <c r="AS93" s="69" t="str">
        <f aca="false">IF(ISBLANK($C93),"",AK93)</f>
        <v/>
      </c>
      <c r="AT93" s="72" t="str">
        <f aca="false">IF(ISBLANK($C93),"",IF(AS93=Constants!$B$4,COUNTA($C$8:$C$507)+2,IF(AS93=Constants!$B$5,COUNTA($C$8:$C$507)+1,IF(AS93=Constants!$B$6,COUNTA($C$8:$C$507),AS93))))</f>
        <v/>
      </c>
      <c r="AU93" s="5"/>
      <c r="AV93" s="73" t="n">
        <f aca="false">IF(OR(ISNUMBER(AS93),AS93=Constants!$B$4,AS93=Constants!$B$6,AS93=Constants!$B$5),1,0)</f>
        <v>0</v>
      </c>
      <c r="AW93" s="73" t="n">
        <v>86</v>
      </c>
      <c r="AX93" s="73" t="str">
        <f aca="false">IF(ISBLANK($C93),"",IF(ISNUMBER(AT93),AT93+ROW($B93)/1000,""))</f>
        <v/>
      </c>
      <c r="AY93" s="73" t="str">
        <f aca="false">IF(ISNUMBER(AX93),RANK(AX93,$AX$8:$AX$507,1),"")</f>
        <v/>
      </c>
      <c r="AZ93" s="73" t="str">
        <f aca="false">IF(ISBLANK($C93),"",$B93)</f>
        <v/>
      </c>
      <c r="BA93" s="73" t="str">
        <f aca="false">IF(ISBLANK($C93),"",$C93)</f>
        <v/>
      </c>
      <c r="BB93" s="73" t="str">
        <f aca="false">IF(ISBLANK($C93),"",$D93)</f>
        <v/>
      </c>
      <c r="BC93" s="74" t="str">
        <f aca="false">AQ93</f>
        <v/>
      </c>
      <c r="BD93" s="75" t="str">
        <f aca="false">AP93</f>
        <v/>
      </c>
      <c r="BE93" s="73" t="str">
        <f aca="false">IF(ISBLANK($C93),"",AS93)</f>
        <v/>
      </c>
      <c r="BF93" s="76" t="str">
        <f aca="false">IF($AW93&gt;$AV$7,"",VLOOKUP($AW93,$AY$8:$BE$507,7,FALSE()))</f>
        <v/>
      </c>
      <c r="BG93" s="77" t="str">
        <f aca="false">IF($AW93&gt;$AV$7,"",VLOOKUP($AW93,$AY$8:$BE$507,2,FALSE()))</f>
        <v/>
      </c>
      <c r="BH93" s="77" t="str">
        <f aca="false">IF($AW93&gt;$AV$7,"",VLOOKUP($AW93,$AY$8:$BE$507,3,FALSE()))</f>
        <v/>
      </c>
      <c r="BI93" s="77" t="str">
        <f aca="false">IF($AW93&gt;$AV$7,"",VLOOKUP($AW93,$AY$8:$BE$507,4,FALSE()))</f>
        <v/>
      </c>
      <c r="BJ93" s="77" t="str">
        <f aca="false">IF($AW93&gt;$AV$7,"",VLOOKUP($AW93,$AY$8:$BE$507,5,FALSE()))</f>
        <v/>
      </c>
      <c r="BK93" s="78" t="str">
        <f aca="false">IF($AW93&gt;$AV$7,"",VLOOKUP($AW93,$AY$8:$BE$507,6,FALSE()))</f>
        <v/>
      </c>
      <c r="BL93" s="50"/>
    </row>
    <row r="94" customFormat="false" ht="15.75" hidden="false" customHeight="false" outlineLevel="0" collapsed="false">
      <c r="A94" s="5"/>
      <c r="B94" s="131"/>
      <c r="C94" s="52"/>
      <c r="D94" s="53"/>
      <c r="E94" s="80"/>
      <c r="F94" s="132"/>
      <c r="G94" s="56"/>
      <c r="H94" s="133"/>
      <c r="I94" s="134"/>
      <c r="J94" s="59"/>
      <c r="K94" s="60"/>
      <c r="L94" s="134"/>
      <c r="M94" s="61"/>
      <c r="N94" s="62"/>
      <c r="O94" s="80"/>
      <c r="P94" s="64"/>
      <c r="Q94" s="65" t="str">
        <f aca="false">IF(ISBLANK($C94),"",IF(E94=Constants!$B$2, TRUE(), IF(E94=Constants!$B$3, FALSE(), TRUE())))</f>
        <v/>
      </c>
      <c r="R94" s="65" t="str">
        <f aca="false">IF(ISBLANK($C94),"",IF(F94=Constants!$B$2, TRUE(), IF(F94=Constants!$B$3, FALSE(), TRUE())))</f>
        <v/>
      </c>
      <c r="S94" s="65" t="str">
        <f aca="false">IF(ISBLANK($C94),"",IF(G94=Constants!$B$15,Constants!$B$8,IF(G94=Constants!$B$16,Constants!$B$9,Constants!$B$10)))</f>
        <v/>
      </c>
      <c r="T94" s="65" t="str">
        <f aca="false">IF(ISBLANK($C94),"",IF(H94=Constants!$B$2, TRUE(), IF(H94=Constants!$B$3, FALSE(), TRUE())))</f>
        <v/>
      </c>
      <c r="U94" s="65" t="str">
        <f aca="false">IF(ISBLANK($C94),"",IF(I94=Constants!$B$19,Constants!$B$19,Constants!$B$18))</f>
        <v/>
      </c>
      <c r="V94" s="65" t="str">
        <f aca="false">IF(ISBLANK($C94),"",IF(COUNTA(J94:K94)=0,"",IF(AND(OR(ISBLANK(J94),AND(ISNUMBER(J94),J94&gt;=0)),OR(ISBLANK(K94),AND(ISNUMBER(K94),K94&gt;=0))),60*IF(ISBLANK(J94),0,J94)+IF(ISBLANK(K94),0,K94),"")))</f>
        <v/>
      </c>
      <c r="W94" s="65" t="str">
        <f aca="false">IF(ISBLANK($C94),"",IF(L94=Constants!$B$19,Constants!$B$19,Constants!$B$18))</f>
        <v/>
      </c>
      <c r="X94" s="65" t="str">
        <f aca="false">IF(ISBLANK($C94),"",IF(COUNTA(M94:N94)=0,"",IF(AND(OR(ISBLANK(M94),AND(ISNUMBER(M94),M94&gt;=0)),OR(ISBLANK(N94),AND(ISNUMBER(N94),N94&gt;=0))),60*IF(ISBLANK(M94),0,M94)+IF(ISBLANK(N94),0,N94),"")))</f>
        <v/>
      </c>
      <c r="Y94" s="65" t="str">
        <f aca="false">IF(ISBLANK($C94),"",IF(O94=Constants!$B$2, TRUE(), IF(O94=Constants!$B$3, FALSE(), FALSE())))</f>
        <v/>
      </c>
      <c r="Z94" s="65" t="str">
        <f aca="false">IF(ISBLANK($C94),"",IF(Y94,Constants!$B$4,IF(COUNTA(E94:N94)=0,Constants!$B$5,IF(COUNTA(J94:K94,M94:N94)=0,Constants!$B$6,Constants!$B$7))))</f>
        <v/>
      </c>
      <c r="AA94" s="65" t="str">
        <f aca="false">IF(ISBLANK($C94),"",IF($Z94&lt;&gt;Constants!$B$7,$Z94,IF(OR(NOT(T94),AND(NOT(Q94),COUNTIFS(U94:W94,Constants!$B$18,V94:X94,"&gt;=0")&gt;0),AND(NOT(R94),COUNTIFS(U94:W94,Constants!$B$19,V94:X94,"&gt;=0")&gt;0)),Constants!$B$12,Constants!$B$11)))</f>
        <v/>
      </c>
      <c r="AB94" s="65" t="str">
        <f aca="false">IF($Z94=Constants!$B$7,IF(V94="",Constants!$B$13,V94),"")</f>
        <v/>
      </c>
      <c r="AC94" s="65" t="str">
        <f aca="false">IF($Z94=Constants!$B$7,IF(X94="",Constants!$B$13,X94),"")</f>
        <v/>
      </c>
      <c r="AD94" s="65" t="str">
        <f aca="false">IF($Z94=Constants!$B$7,IF($AB94&gt;=$AC94,1,2),"")</f>
        <v/>
      </c>
      <c r="AE94" s="65" t="str">
        <f aca="false">IF($Z94=Constants!$B$7,LARGE(AB94:AC94,1),"")</f>
        <v/>
      </c>
      <c r="AF94" s="65" t="str">
        <f aca="false">IF(ISBLANK($C94),"",IF($Z94&lt;&gt;Constants!$B$7,$Z94,AE94*S94))</f>
        <v/>
      </c>
      <c r="AG94" s="65" t="str">
        <f aca="false">IF(ISBLANK($C94),"",IF($Z94=Constants!$B$7,IF(ISNUMBER(AF94),RANK(AF94,$AF$8:$AF$507),Constants!$B$14),$Z94))</f>
        <v/>
      </c>
      <c r="AH94" s="65" t="str">
        <f aca="false">IF(ISBLANK($C94),"",IF($Z94=Constants!$B$7,IF(ISNUMBER(AG94),COUNTIFS($AA$8:$AA$507,"&lt;"&amp;$AA94)+COUNTIFS($AA$8:$AA$507,$AA94,$AG$8:$AG$507,"&lt;"&amp;$AG94)+1,Constants!$B$14),$Z94))</f>
        <v/>
      </c>
      <c r="AI94" s="65" t="str">
        <f aca="false">IF(ISBLANK($C94),"",IF($Z94=Constants!$B$7,LARGE(AB94:AC94,2)*S94,""))</f>
        <v/>
      </c>
      <c r="AJ94" s="65" t="str">
        <f aca="false">IF(ISBLANK($C94),"",IF($Z94=Constants!$B$7,RANK(AI94,$AI$8:$AI$507),$Z94))</f>
        <v/>
      </c>
      <c r="AK94" s="65" t="str">
        <f aca="false">IF(ISBLANK($C94),"",IF($Z94=Constants!$B$7,IF(ISNUMBER(AG94),COUNTIFS($AA$8:$AA$507,"&lt;"&amp;$AA94)+COUNTIFS($AA$8:$AA$507,$AA94,$AG$8:$AG$507,"&lt;"&amp;$AG94)+COUNTIFS($AA$8:$AA$507,$AA94,$AG$8:$AG$507,$AG94,$AJ$8:$AJ$507,"&lt;"&amp;$AJ94)+1,Constants!$B$14),$Z94))</f>
        <v/>
      </c>
      <c r="AL94" s="65" t="str">
        <f aca="false">IF(ISBLANK($C94),"",IF($Z94=Constants!$B$7,IF(ISNUMBER(AH94),AH94-AK94,Constants!$B$14),$Z94))</f>
        <v/>
      </c>
      <c r="AM94" s="67"/>
      <c r="AN94" s="68" t="str">
        <f aca="false">IF(ISBLANK($C94),"",IF($Z94&lt;&gt;Constants!$B$7,$Z94,AD94))</f>
        <v/>
      </c>
      <c r="AO94" s="69" t="str">
        <f aca="false">IF(ISBLANK($C94),"",IF($Z94&lt;&gt;Constants!$B$7,$Z94,S94))</f>
        <v/>
      </c>
      <c r="AP94" s="70" t="str">
        <f aca="false">IF(ISBLANK($C94),"",IF($Z94&lt;&gt;Constants!$B$7,$Z94,AF94))</f>
        <v/>
      </c>
      <c r="AQ94" s="71" t="str">
        <f aca="false">IF(ISBLANK($C94),"",IF($Z94&lt;&gt;Constants!$B$7,$Z94,AA94))</f>
        <v/>
      </c>
      <c r="AR94" s="69" t="str">
        <f aca="false">IF(ISBLANK($C94),"",AL94)</f>
        <v/>
      </c>
      <c r="AS94" s="69" t="str">
        <f aca="false">IF(ISBLANK($C94),"",AK94)</f>
        <v/>
      </c>
      <c r="AT94" s="72" t="str">
        <f aca="false">IF(ISBLANK($C94),"",IF(AS94=Constants!$B$4,COUNTA($C$8:$C$507)+2,IF(AS94=Constants!$B$5,COUNTA($C$8:$C$507)+1,IF(AS94=Constants!$B$6,COUNTA($C$8:$C$507),AS94))))</f>
        <v/>
      </c>
      <c r="AU94" s="5"/>
      <c r="AV94" s="73" t="n">
        <f aca="false">IF(OR(ISNUMBER(AS94),AS94=Constants!$B$4,AS94=Constants!$B$6,AS94=Constants!$B$5),1,0)</f>
        <v>0</v>
      </c>
      <c r="AW94" s="73" t="n">
        <v>87</v>
      </c>
      <c r="AX94" s="73" t="str">
        <f aca="false">IF(ISBLANK($C94),"",IF(ISNUMBER(AT94),AT94+ROW($B94)/1000,""))</f>
        <v/>
      </c>
      <c r="AY94" s="73" t="str">
        <f aca="false">IF(ISNUMBER(AX94),RANK(AX94,$AX$8:$AX$507,1),"")</f>
        <v/>
      </c>
      <c r="AZ94" s="73" t="str">
        <f aca="false">IF(ISBLANK($C94),"",$B94)</f>
        <v/>
      </c>
      <c r="BA94" s="73" t="str">
        <f aca="false">IF(ISBLANK($C94),"",$C94)</f>
        <v/>
      </c>
      <c r="BB94" s="73" t="str">
        <f aca="false">IF(ISBLANK($C94),"",$D94)</f>
        <v/>
      </c>
      <c r="BC94" s="74" t="str">
        <f aca="false">AQ94</f>
        <v/>
      </c>
      <c r="BD94" s="75" t="str">
        <f aca="false">AP94</f>
        <v/>
      </c>
      <c r="BE94" s="73" t="str">
        <f aca="false">IF(ISBLANK($C94),"",AS94)</f>
        <v/>
      </c>
      <c r="BF94" s="76" t="str">
        <f aca="false">IF($AW94&gt;$AV$7,"",VLOOKUP($AW94,$AY$8:$BE$507,7,FALSE()))</f>
        <v/>
      </c>
      <c r="BG94" s="77" t="str">
        <f aca="false">IF($AW94&gt;$AV$7,"",VLOOKUP($AW94,$AY$8:$BE$507,2,FALSE()))</f>
        <v/>
      </c>
      <c r="BH94" s="77" t="str">
        <f aca="false">IF($AW94&gt;$AV$7,"",VLOOKUP($AW94,$AY$8:$BE$507,3,FALSE()))</f>
        <v/>
      </c>
      <c r="BI94" s="77" t="str">
        <f aca="false">IF($AW94&gt;$AV$7,"",VLOOKUP($AW94,$AY$8:$BE$507,4,FALSE()))</f>
        <v/>
      </c>
      <c r="BJ94" s="77" t="str">
        <f aca="false">IF($AW94&gt;$AV$7,"",VLOOKUP($AW94,$AY$8:$BE$507,5,FALSE()))</f>
        <v/>
      </c>
      <c r="BK94" s="78" t="str">
        <f aca="false">IF($AW94&gt;$AV$7,"",VLOOKUP($AW94,$AY$8:$BE$507,6,FALSE()))</f>
        <v/>
      </c>
      <c r="BL94" s="50"/>
    </row>
    <row r="95" customFormat="false" ht="15.75" hidden="false" customHeight="false" outlineLevel="0" collapsed="false">
      <c r="A95" s="5"/>
      <c r="B95" s="124"/>
      <c r="C95" s="125"/>
      <c r="D95" s="110"/>
      <c r="E95" s="130"/>
      <c r="F95" s="135"/>
      <c r="G95" s="88"/>
      <c r="H95" s="136"/>
      <c r="I95" s="137"/>
      <c r="J95" s="91"/>
      <c r="K95" s="92"/>
      <c r="L95" s="137"/>
      <c r="M95" s="93"/>
      <c r="N95" s="94"/>
      <c r="O95" s="130"/>
      <c r="P95" s="96"/>
      <c r="Q95" s="97" t="str">
        <f aca="false">IF(ISBLANK($C95),"",IF(E95=Constants!$B$2, TRUE(), IF(E95=Constants!$B$3, FALSE(), TRUE())))</f>
        <v/>
      </c>
      <c r="R95" s="97" t="str">
        <f aca="false">IF(ISBLANK($C95),"",IF(F95=Constants!$B$2, TRUE(), IF(F95=Constants!$B$3, FALSE(), TRUE())))</f>
        <v/>
      </c>
      <c r="S95" s="97" t="str">
        <f aca="false">IF(ISBLANK($C95),"",IF(G95=Constants!$B$15,Constants!$B$8,IF(G95=Constants!$B$16,Constants!$B$9,Constants!$B$10)))</f>
        <v/>
      </c>
      <c r="T95" s="97" t="str">
        <f aca="false">IF(ISBLANK($C95),"",IF(H95=Constants!$B$2, TRUE(), IF(H95=Constants!$B$3, FALSE(), TRUE())))</f>
        <v/>
      </c>
      <c r="U95" s="97" t="str">
        <f aca="false">IF(ISBLANK($C95),"",IF(I95=Constants!$B$19,Constants!$B$19,Constants!$B$18))</f>
        <v/>
      </c>
      <c r="V95" s="97" t="str">
        <f aca="false">IF(ISBLANK($C95),"",IF(COUNTA(J95:K95)=0,"",IF(AND(OR(ISBLANK(J95),AND(ISNUMBER(J95),J95&gt;=0)),OR(ISBLANK(K95),AND(ISNUMBER(K95),K95&gt;=0))),60*IF(ISBLANK(J95),0,J95)+IF(ISBLANK(K95),0,K95),"")))</f>
        <v/>
      </c>
      <c r="W95" s="97" t="str">
        <f aca="false">IF(ISBLANK($C95),"",IF(L95=Constants!$B$19,Constants!$B$19,Constants!$B$18))</f>
        <v/>
      </c>
      <c r="X95" s="97" t="str">
        <f aca="false">IF(ISBLANK($C95),"",IF(COUNTA(M95:N95)=0,"",IF(AND(OR(ISBLANK(M95),AND(ISNUMBER(M95),M95&gt;=0)),OR(ISBLANK(N95),AND(ISNUMBER(N95),N95&gt;=0))),60*IF(ISBLANK(M95),0,M95)+IF(ISBLANK(N95),0,N95),"")))</f>
        <v/>
      </c>
      <c r="Y95" s="97" t="str">
        <f aca="false">IF(ISBLANK($C95),"",IF(O95=Constants!$B$2, TRUE(), IF(O95=Constants!$B$3, FALSE(), FALSE())))</f>
        <v/>
      </c>
      <c r="Z95" s="97" t="str">
        <f aca="false">IF(ISBLANK($C95),"",IF(Y95,Constants!$B$4,IF(COUNTA(E95:N95)=0,Constants!$B$5,IF(COUNTA(J95:K95,M95:N95)=0,Constants!$B$6,Constants!$B$7))))</f>
        <v/>
      </c>
      <c r="AA95" s="97" t="str">
        <f aca="false">IF(ISBLANK($C95),"",IF($Z95&lt;&gt;Constants!$B$7,$Z95,IF(OR(NOT(T95),AND(NOT(Q95),COUNTIFS(U95:W95,Constants!$B$18,V95:X95,"&gt;=0")&gt;0),AND(NOT(R95),COUNTIFS(U95:W95,Constants!$B$19,V95:X95,"&gt;=0")&gt;0)),Constants!$B$12,Constants!$B$11)))</f>
        <v/>
      </c>
      <c r="AB95" s="97" t="str">
        <f aca="false">IF($Z95=Constants!$B$7,IF(V95="",Constants!$B$13,V95),"")</f>
        <v/>
      </c>
      <c r="AC95" s="97" t="str">
        <f aca="false">IF($Z95=Constants!$B$7,IF(X95="",Constants!$B$13,X95),"")</f>
        <v/>
      </c>
      <c r="AD95" s="97" t="str">
        <f aca="false">IF($Z95=Constants!$B$7,IF($AB95&gt;=$AC95,1,2),"")</f>
        <v/>
      </c>
      <c r="AE95" s="97" t="str">
        <f aca="false">IF($Z95=Constants!$B$7,LARGE(AB95:AC95,1),"")</f>
        <v/>
      </c>
      <c r="AF95" s="97" t="str">
        <f aca="false">IF(ISBLANK($C95),"",IF($Z95&lt;&gt;Constants!$B$7,$Z95,AE95*S95))</f>
        <v/>
      </c>
      <c r="AG95" s="97" t="str">
        <f aca="false">IF(ISBLANK($C95),"",IF($Z95=Constants!$B$7,IF(ISNUMBER(AF95),RANK(AF95,$AF$8:$AF$507),Constants!$B$14),$Z95))</f>
        <v/>
      </c>
      <c r="AH95" s="97" t="str">
        <f aca="false">IF(ISBLANK($C95),"",IF($Z95=Constants!$B$7,IF(ISNUMBER(AG95),COUNTIFS($AA$8:$AA$507,"&lt;"&amp;$AA95)+COUNTIFS($AA$8:$AA$507,$AA95,$AG$8:$AG$507,"&lt;"&amp;$AG95)+1,Constants!$B$14),$Z95))</f>
        <v/>
      </c>
      <c r="AI95" s="97" t="str">
        <f aca="false">IF(ISBLANK($C95),"",IF($Z95=Constants!$B$7,LARGE(AB95:AC95,2)*S95,""))</f>
        <v/>
      </c>
      <c r="AJ95" s="97" t="str">
        <f aca="false">IF(ISBLANK($C95),"",IF($Z95=Constants!$B$7,RANK(AI95,$AI$8:$AI$507),$Z95))</f>
        <v/>
      </c>
      <c r="AK95" s="97" t="str">
        <f aca="false">IF(ISBLANK($C95),"",IF($Z95=Constants!$B$7,IF(ISNUMBER(AG95),COUNTIFS($AA$8:$AA$507,"&lt;"&amp;$AA95)+COUNTIFS($AA$8:$AA$507,$AA95,$AG$8:$AG$507,"&lt;"&amp;$AG95)+COUNTIFS($AA$8:$AA$507,$AA95,$AG$8:$AG$507,$AG95,$AJ$8:$AJ$507,"&lt;"&amp;$AJ95)+1,Constants!$B$14),$Z95))</f>
        <v/>
      </c>
      <c r="AL95" s="97" t="str">
        <f aca="false">IF(ISBLANK($C95),"",IF($Z95=Constants!$B$7,IF(ISNUMBER(AH95),AH95-AK95,Constants!$B$14),$Z95))</f>
        <v/>
      </c>
      <c r="AM95" s="98"/>
      <c r="AN95" s="99" t="str">
        <f aca="false">IF(ISBLANK($C95),"",IF($Z95&lt;&gt;Constants!$B$7,$Z95,AD95))</f>
        <v/>
      </c>
      <c r="AO95" s="100" t="str">
        <f aca="false">IF(ISBLANK($C95),"",IF($Z95&lt;&gt;Constants!$B$7,$Z95,S95))</f>
        <v/>
      </c>
      <c r="AP95" s="101" t="str">
        <f aca="false">IF(ISBLANK($C95),"",IF($Z95&lt;&gt;Constants!$B$7,$Z95,AF95))</f>
        <v/>
      </c>
      <c r="AQ95" s="102" t="str">
        <f aca="false">IF(ISBLANK($C95),"",IF($Z95&lt;&gt;Constants!$B$7,$Z95,AA95))</f>
        <v/>
      </c>
      <c r="AR95" s="100" t="str">
        <f aca="false">IF(ISBLANK($C95),"",AL95)</f>
        <v/>
      </c>
      <c r="AS95" s="100" t="str">
        <f aca="false">IF(ISBLANK($C95),"",AK95)</f>
        <v/>
      </c>
      <c r="AT95" s="103" t="str">
        <f aca="false">IF(ISBLANK($C95),"",IF(AS95=Constants!$B$4,COUNTA($C$8:$C$507)+2,IF(AS95=Constants!$B$5,COUNTA($C$8:$C$507)+1,IF(AS95=Constants!$B$6,COUNTA($C$8:$C$507),AS95))))</f>
        <v/>
      </c>
      <c r="AU95" s="5"/>
      <c r="AV95" s="104" t="n">
        <f aca="false">IF(OR(ISNUMBER(AS95),AS95=Constants!$B$4,AS95=Constants!$B$6,AS95=Constants!$B$5),1,0)</f>
        <v>0</v>
      </c>
      <c r="AW95" s="104" t="n">
        <v>88</v>
      </c>
      <c r="AX95" s="104" t="str">
        <f aca="false">IF(ISBLANK($C95),"",IF(ISNUMBER(AT95),AT95+ROW($B95)/1000,""))</f>
        <v/>
      </c>
      <c r="AY95" s="104" t="str">
        <f aca="false">IF(ISNUMBER(AX95),RANK(AX95,$AX$8:$AX$507,1),"")</f>
        <v/>
      </c>
      <c r="AZ95" s="104" t="str">
        <f aca="false">IF(ISBLANK($C95),"",$B95)</f>
        <v/>
      </c>
      <c r="BA95" s="104" t="str">
        <f aca="false">IF(ISBLANK($C95),"",$C95)</f>
        <v/>
      </c>
      <c r="BB95" s="104" t="str">
        <f aca="false">IF(ISBLANK($C95),"",$D95)</f>
        <v/>
      </c>
      <c r="BC95" s="105" t="str">
        <f aca="false">AQ95</f>
        <v/>
      </c>
      <c r="BD95" s="106" t="str">
        <f aca="false">AP95</f>
        <v/>
      </c>
      <c r="BE95" s="104" t="str">
        <f aca="false">IF(ISBLANK($C95),"",AS95)</f>
        <v/>
      </c>
      <c r="BF95" s="107" t="str">
        <f aca="false">IF($AW95&gt;$AV$7,"",VLOOKUP($AW95,$AY$8:$BE$507,7,FALSE()))</f>
        <v/>
      </c>
      <c r="BG95" s="108" t="str">
        <f aca="false">IF($AW95&gt;$AV$7,"",VLOOKUP($AW95,$AY$8:$BE$507,2,FALSE()))</f>
        <v/>
      </c>
      <c r="BH95" s="108" t="str">
        <f aca="false">IF($AW95&gt;$AV$7,"",VLOOKUP($AW95,$AY$8:$BE$507,3,FALSE()))</f>
        <v/>
      </c>
      <c r="BI95" s="108" t="str">
        <f aca="false">IF($AW95&gt;$AV$7,"",VLOOKUP($AW95,$AY$8:$BE$507,4,FALSE()))</f>
        <v/>
      </c>
      <c r="BJ95" s="108" t="str">
        <f aca="false">IF($AW95&gt;$AV$7,"",VLOOKUP($AW95,$AY$8:$BE$507,5,FALSE()))</f>
        <v/>
      </c>
      <c r="BK95" s="109" t="str">
        <f aca="false">IF($AW95&gt;$AV$7,"",VLOOKUP($AW95,$AY$8:$BE$507,6,FALSE()))</f>
        <v/>
      </c>
      <c r="BL95" s="50"/>
    </row>
    <row r="96" customFormat="false" ht="15.75" hidden="false" customHeight="false" outlineLevel="0" collapsed="false">
      <c r="A96" s="5"/>
      <c r="B96" s="124"/>
      <c r="C96" s="125"/>
      <c r="D96" s="110"/>
      <c r="E96" s="130"/>
      <c r="F96" s="135"/>
      <c r="G96" s="88"/>
      <c r="H96" s="136"/>
      <c r="I96" s="137"/>
      <c r="J96" s="91"/>
      <c r="K96" s="92"/>
      <c r="L96" s="137"/>
      <c r="M96" s="93"/>
      <c r="N96" s="94"/>
      <c r="O96" s="130"/>
      <c r="P96" s="96"/>
      <c r="Q96" s="97" t="str">
        <f aca="false">IF(ISBLANK($C96),"",IF(E96=Constants!$B$2, TRUE(), IF(E96=Constants!$B$3, FALSE(), TRUE())))</f>
        <v/>
      </c>
      <c r="R96" s="97" t="str">
        <f aca="false">IF(ISBLANK($C96),"",IF(F96=Constants!$B$2, TRUE(), IF(F96=Constants!$B$3, FALSE(), TRUE())))</f>
        <v/>
      </c>
      <c r="S96" s="97" t="str">
        <f aca="false">IF(ISBLANK($C96),"",IF(G96=Constants!$B$15,Constants!$B$8,IF(G96=Constants!$B$16,Constants!$B$9,Constants!$B$10)))</f>
        <v/>
      </c>
      <c r="T96" s="97" t="str">
        <f aca="false">IF(ISBLANK($C96),"",IF(H96=Constants!$B$2, TRUE(), IF(H96=Constants!$B$3, FALSE(), TRUE())))</f>
        <v/>
      </c>
      <c r="U96" s="97" t="str">
        <f aca="false">IF(ISBLANK($C96),"",IF(I96=Constants!$B$19,Constants!$B$19,Constants!$B$18))</f>
        <v/>
      </c>
      <c r="V96" s="97" t="str">
        <f aca="false">IF(ISBLANK($C96),"",IF(COUNTA(J96:K96)=0,"",IF(AND(OR(ISBLANK(J96),AND(ISNUMBER(J96),J96&gt;=0)),OR(ISBLANK(K96),AND(ISNUMBER(K96),K96&gt;=0))),60*IF(ISBLANK(J96),0,J96)+IF(ISBLANK(K96),0,K96),"")))</f>
        <v/>
      </c>
      <c r="W96" s="97" t="str">
        <f aca="false">IF(ISBLANK($C96),"",IF(L96=Constants!$B$19,Constants!$B$19,Constants!$B$18))</f>
        <v/>
      </c>
      <c r="X96" s="97" t="str">
        <f aca="false">IF(ISBLANK($C96),"",IF(COUNTA(M96:N96)=0,"",IF(AND(OR(ISBLANK(M96),AND(ISNUMBER(M96),M96&gt;=0)),OR(ISBLANK(N96),AND(ISNUMBER(N96),N96&gt;=0))),60*IF(ISBLANK(M96),0,M96)+IF(ISBLANK(N96),0,N96),"")))</f>
        <v/>
      </c>
      <c r="Y96" s="97" t="str">
        <f aca="false">IF(ISBLANK($C96),"",IF(O96=Constants!$B$2, TRUE(), IF(O96=Constants!$B$3, FALSE(), FALSE())))</f>
        <v/>
      </c>
      <c r="Z96" s="97" t="str">
        <f aca="false">IF(ISBLANK($C96),"",IF(Y96,Constants!$B$4,IF(COUNTA(E96:N96)=0,Constants!$B$5,IF(COUNTA(J96:K96,M96:N96)=0,Constants!$B$6,Constants!$B$7))))</f>
        <v/>
      </c>
      <c r="AA96" s="97" t="str">
        <f aca="false">IF(ISBLANK($C96),"",IF($Z96&lt;&gt;Constants!$B$7,$Z96,IF(OR(NOT(T96),AND(NOT(Q96),COUNTIFS(U96:W96,Constants!$B$18,V96:X96,"&gt;=0")&gt;0),AND(NOT(R96),COUNTIFS(U96:W96,Constants!$B$19,V96:X96,"&gt;=0")&gt;0)),Constants!$B$12,Constants!$B$11)))</f>
        <v/>
      </c>
      <c r="AB96" s="97" t="str">
        <f aca="false">IF($Z96=Constants!$B$7,IF(V96="",Constants!$B$13,V96),"")</f>
        <v/>
      </c>
      <c r="AC96" s="97" t="str">
        <f aca="false">IF($Z96=Constants!$B$7,IF(X96="",Constants!$B$13,X96),"")</f>
        <v/>
      </c>
      <c r="AD96" s="97" t="str">
        <f aca="false">IF($Z96=Constants!$B$7,IF($AB96&gt;=$AC96,1,2),"")</f>
        <v/>
      </c>
      <c r="AE96" s="97" t="str">
        <f aca="false">IF($Z96=Constants!$B$7,LARGE(AB96:AC96,1),"")</f>
        <v/>
      </c>
      <c r="AF96" s="97" t="str">
        <f aca="false">IF(ISBLANK($C96),"",IF($Z96&lt;&gt;Constants!$B$7,$Z96,AE96*S96))</f>
        <v/>
      </c>
      <c r="AG96" s="97" t="str">
        <f aca="false">IF(ISBLANK($C96),"",IF($Z96=Constants!$B$7,IF(ISNUMBER(AF96),RANK(AF96,$AF$8:$AF$507),Constants!$B$14),$Z96))</f>
        <v/>
      </c>
      <c r="AH96" s="97" t="str">
        <f aca="false">IF(ISBLANK($C96),"",IF($Z96=Constants!$B$7,IF(ISNUMBER(AG96),COUNTIFS($AA$8:$AA$507,"&lt;"&amp;$AA96)+COUNTIFS($AA$8:$AA$507,$AA96,$AG$8:$AG$507,"&lt;"&amp;$AG96)+1,Constants!$B$14),$Z96))</f>
        <v/>
      </c>
      <c r="AI96" s="97" t="str">
        <f aca="false">IF(ISBLANK($C96),"",IF($Z96=Constants!$B$7,LARGE(AB96:AC96,2)*S96,""))</f>
        <v/>
      </c>
      <c r="AJ96" s="97" t="str">
        <f aca="false">IF(ISBLANK($C96),"",IF($Z96=Constants!$B$7,RANK(AI96,$AI$8:$AI$507),$Z96))</f>
        <v/>
      </c>
      <c r="AK96" s="97" t="str">
        <f aca="false">IF(ISBLANK($C96),"",IF($Z96=Constants!$B$7,IF(ISNUMBER(AG96),COUNTIFS($AA$8:$AA$507,"&lt;"&amp;$AA96)+COUNTIFS($AA$8:$AA$507,$AA96,$AG$8:$AG$507,"&lt;"&amp;$AG96)+COUNTIFS($AA$8:$AA$507,$AA96,$AG$8:$AG$507,$AG96,$AJ$8:$AJ$507,"&lt;"&amp;$AJ96)+1,Constants!$B$14),$Z96))</f>
        <v/>
      </c>
      <c r="AL96" s="97" t="str">
        <f aca="false">IF(ISBLANK($C96),"",IF($Z96=Constants!$B$7,IF(ISNUMBER(AH96),AH96-AK96,Constants!$B$14),$Z96))</f>
        <v/>
      </c>
      <c r="AM96" s="98"/>
      <c r="AN96" s="99" t="str">
        <f aca="false">IF(ISBLANK($C96),"",IF($Z96&lt;&gt;Constants!$B$7,$Z96,AD96))</f>
        <v/>
      </c>
      <c r="AO96" s="100" t="str">
        <f aca="false">IF(ISBLANK($C96),"",IF($Z96&lt;&gt;Constants!$B$7,$Z96,S96))</f>
        <v/>
      </c>
      <c r="AP96" s="101" t="str">
        <f aca="false">IF(ISBLANK($C96),"",IF($Z96&lt;&gt;Constants!$B$7,$Z96,AF96))</f>
        <v/>
      </c>
      <c r="AQ96" s="102" t="str">
        <f aca="false">IF(ISBLANK($C96),"",IF($Z96&lt;&gt;Constants!$B$7,$Z96,AA96))</f>
        <v/>
      </c>
      <c r="AR96" s="100" t="str">
        <f aca="false">IF(ISBLANK($C96),"",AL96)</f>
        <v/>
      </c>
      <c r="AS96" s="100" t="str">
        <f aca="false">IF(ISBLANK($C96),"",AK96)</f>
        <v/>
      </c>
      <c r="AT96" s="103" t="str">
        <f aca="false">IF(ISBLANK($C96),"",IF(AS96=Constants!$B$4,COUNTA($C$8:$C$507)+2,IF(AS96=Constants!$B$5,COUNTA($C$8:$C$507)+1,IF(AS96=Constants!$B$6,COUNTA($C$8:$C$507),AS96))))</f>
        <v/>
      </c>
      <c r="AU96" s="5"/>
      <c r="AV96" s="104" t="n">
        <f aca="false">IF(OR(ISNUMBER(AS96),AS96=Constants!$B$4,AS96=Constants!$B$6,AS96=Constants!$B$5),1,0)</f>
        <v>0</v>
      </c>
      <c r="AW96" s="104" t="n">
        <v>89</v>
      </c>
      <c r="AX96" s="104" t="str">
        <f aca="false">IF(ISBLANK($C96),"",IF(ISNUMBER(AT96),AT96+ROW($B96)/1000,""))</f>
        <v/>
      </c>
      <c r="AY96" s="104" t="str">
        <f aca="false">IF(ISNUMBER(AX96),RANK(AX96,$AX$8:$AX$507,1),"")</f>
        <v/>
      </c>
      <c r="AZ96" s="104" t="str">
        <f aca="false">IF(ISBLANK($C96),"",$B96)</f>
        <v/>
      </c>
      <c r="BA96" s="104" t="str">
        <f aca="false">IF(ISBLANK($C96),"",$C96)</f>
        <v/>
      </c>
      <c r="BB96" s="104" t="str">
        <f aca="false">IF(ISBLANK($C96),"",$D96)</f>
        <v/>
      </c>
      <c r="BC96" s="105" t="str">
        <f aca="false">AQ96</f>
        <v/>
      </c>
      <c r="BD96" s="106" t="str">
        <f aca="false">AP96</f>
        <v/>
      </c>
      <c r="BE96" s="104" t="str">
        <f aca="false">IF(ISBLANK($C96),"",AS96)</f>
        <v/>
      </c>
      <c r="BF96" s="107" t="str">
        <f aca="false">IF($AW96&gt;$AV$7,"",VLOOKUP($AW96,$AY$8:$BE$507,7,FALSE()))</f>
        <v/>
      </c>
      <c r="BG96" s="108" t="str">
        <f aca="false">IF($AW96&gt;$AV$7,"",VLOOKUP($AW96,$AY$8:$BE$507,2,FALSE()))</f>
        <v/>
      </c>
      <c r="BH96" s="108" t="str">
        <f aca="false">IF($AW96&gt;$AV$7,"",VLOOKUP($AW96,$AY$8:$BE$507,3,FALSE()))</f>
        <v/>
      </c>
      <c r="BI96" s="108" t="str">
        <f aca="false">IF($AW96&gt;$AV$7,"",VLOOKUP($AW96,$AY$8:$BE$507,4,FALSE()))</f>
        <v/>
      </c>
      <c r="BJ96" s="108" t="str">
        <f aca="false">IF($AW96&gt;$AV$7,"",VLOOKUP($AW96,$AY$8:$BE$507,5,FALSE()))</f>
        <v/>
      </c>
      <c r="BK96" s="109" t="str">
        <f aca="false">IF($AW96&gt;$AV$7,"",VLOOKUP($AW96,$AY$8:$BE$507,6,FALSE()))</f>
        <v/>
      </c>
      <c r="BL96" s="50"/>
    </row>
    <row r="97" customFormat="false" ht="15.75" hidden="false" customHeight="false" outlineLevel="0" collapsed="false">
      <c r="A97" s="5"/>
      <c r="B97" s="124"/>
      <c r="C97" s="125"/>
      <c r="D97" s="110"/>
      <c r="E97" s="130"/>
      <c r="F97" s="135"/>
      <c r="G97" s="88"/>
      <c r="H97" s="136"/>
      <c r="I97" s="137"/>
      <c r="J97" s="91"/>
      <c r="K97" s="92"/>
      <c r="L97" s="137"/>
      <c r="M97" s="93"/>
      <c r="N97" s="94"/>
      <c r="O97" s="130"/>
      <c r="P97" s="96"/>
      <c r="Q97" s="97" t="str">
        <f aca="false">IF(ISBLANK($C97),"",IF(E97=Constants!$B$2, TRUE(), IF(E97=Constants!$B$3, FALSE(), TRUE())))</f>
        <v/>
      </c>
      <c r="R97" s="97" t="str">
        <f aca="false">IF(ISBLANK($C97),"",IF(F97=Constants!$B$2, TRUE(), IF(F97=Constants!$B$3, FALSE(), TRUE())))</f>
        <v/>
      </c>
      <c r="S97" s="97" t="str">
        <f aca="false">IF(ISBLANK($C97),"",IF(G97=Constants!$B$15,Constants!$B$8,IF(G97=Constants!$B$16,Constants!$B$9,Constants!$B$10)))</f>
        <v/>
      </c>
      <c r="T97" s="97" t="str">
        <f aca="false">IF(ISBLANK($C97),"",IF(H97=Constants!$B$2, TRUE(), IF(H97=Constants!$B$3, FALSE(), TRUE())))</f>
        <v/>
      </c>
      <c r="U97" s="97" t="str">
        <f aca="false">IF(ISBLANK($C97),"",IF(I97=Constants!$B$19,Constants!$B$19,Constants!$B$18))</f>
        <v/>
      </c>
      <c r="V97" s="97" t="str">
        <f aca="false">IF(ISBLANK($C97),"",IF(COUNTA(J97:K97)=0,"",IF(AND(OR(ISBLANK(J97),AND(ISNUMBER(J97),J97&gt;=0)),OR(ISBLANK(K97),AND(ISNUMBER(K97),K97&gt;=0))),60*IF(ISBLANK(J97),0,J97)+IF(ISBLANK(K97),0,K97),"")))</f>
        <v/>
      </c>
      <c r="W97" s="97" t="str">
        <f aca="false">IF(ISBLANK($C97),"",IF(L97=Constants!$B$19,Constants!$B$19,Constants!$B$18))</f>
        <v/>
      </c>
      <c r="X97" s="97" t="str">
        <f aca="false">IF(ISBLANK($C97),"",IF(COUNTA(M97:N97)=0,"",IF(AND(OR(ISBLANK(M97),AND(ISNUMBER(M97),M97&gt;=0)),OR(ISBLANK(N97),AND(ISNUMBER(N97),N97&gt;=0))),60*IF(ISBLANK(M97),0,M97)+IF(ISBLANK(N97),0,N97),"")))</f>
        <v/>
      </c>
      <c r="Y97" s="97" t="str">
        <f aca="false">IF(ISBLANK($C97),"",IF(O97=Constants!$B$2, TRUE(), IF(O97=Constants!$B$3, FALSE(), FALSE())))</f>
        <v/>
      </c>
      <c r="Z97" s="97" t="str">
        <f aca="false">IF(ISBLANK($C97),"",IF(Y97,Constants!$B$4,IF(COUNTA(E97:N97)=0,Constants!$B$5,IF(COUNTA(J97:K97,M97:N97)=0,Constants!$B$6,Constants!$B$7))))</f>
        <v/>
      </c>
      <c r="AA97" s="97" t="str">
        <f aca="false">IF(ISBLANK($C97),"",IF($Z97&lt;&gt;Constants!$B$7,$Z97,IF(OR(NOT(T97),AND(NOT(Q97),COUNTIFS(U97:W97,Constants!$B$18,V97:X97,"&gt;=0")&gt;0),AND(NOT(R97),COUNTIFS(U97:W97,Constants!$B$19,V97:X97,"&gt;=0")&gt;0)),Constants!$B$12,Constants!$B$11)))</f>
        <v/>
      </c>
      <c r="AB97" s="97" t="str">
        <f aca="false">IF($Z97=Constants!$B$7,IF(V97="",Constants!$B$13,V97),"")</f>
        <v/>
      </c>
      <c r="AC97" s="97" t="str">
        <f aca="false">IF($Z97=Constants!$B$7,IF(X97="",Constants!$B$13,X97),"")</f>
        <v/>
      </c>
      <c r="AD97" s="97" t="str">
        <f aca="false">IF($Z97=Constants!$B$7,IF($AB97&gt;=$AC97,1,2),"")</f>
        <v/>
      </c>
      <c r="AE97" s="97" t="str">
        <f aca="false">IF($Z97=Constants!$B$7,LARGE(AB97:AC97,1),"")</f>
        <v/>
      </c>
      <c r="AF97" s="97" t="str">
        <f aca="false">IF(ISBLANK($C97),"",IF($Z97&lt;&gt;Constants!$B$7,$Z97,AE97*S97))</f>
        <v/>
      </c>
      <c r="AG97" s="97" t="str">
        <f aca="false">IF(ISBLANK($C97),"",IF($Z97=Constants!$B$7,IF(ISNUMBER(AF97),RANK(AF97,$AF$8:$AF$507),Constants!$B$14),$Z97))</f>
        <v/>
      </c>
      <c r="AH97" s="97" t="str">
        <f aca="false">IF(ISBLANK($C97),"",IF($Z97=Constants!$B$7,IF(ISNUMBER(AG97),COUNTIFS($AA$8:$AA$507,"&lt;"&amp;$AA97)+COUNTIFS($AA$8:$AA$507,$AA97,$AG$8:$AG$507,"&lt;"&amp;$AG97)+1,Constants!$B$14),$Z97))</f>
        <v/>
      </c>
      <c r="AI97" s="97" t="str">
        <f aca="false">IF(ISBLANK($C97),"",IF($Z97=Constants!$B$7,LARGE(AB97:AC97,2)*S97,""))</f>
        <v/>
      </c>
      <c r="AJ97" s="97" t="str">
        <f aca="false">IF(ISBLANK($C97),"",IF($Z97=Constants!$B$7,RANK(AI97,$AI$8:$AI$507),$Z97))</f>
        <v/>
      </c>
      <c r="AK97" s="97" t="str">
        <f aca="false">IF(ISBLANK($C97),"",IF($Z97=Constants!$B$7,IF(ISNUMBER(AG97),COUNTIFS($AA$8:$AA$507,"&lt;"&amp;$AA97)+COUNTIFS($AA$8:$AA$507,$AA97,$AG$8:$AG$507,"&lt;"&amp;$AG97)+COUNTIFS($AA$8:$AA$507,$AA97,$AG$8:$AG$507,$AG97,$AJ$8:$AJ$507,"&lt;"&amp;$AJ97)+1,Constants!$B$14),$Z97))</f>
        <v/>
      </c>
      <c r="AL97" s="97" t="str">
        <f aca="false">IF(ISBLANK($C97),"",IF($Z97=Constants!$B$7,IF(ISNUMBER(AH97),AH97-AK97,Constants!$B$14),$Z97))</f>
        <v/>
      </c>
      <c r="AM97" s="98"/>
      <c r="AN97" s="99" t="str">
        <f aca="false">IF(ISBLANK($C97),"",IF($Z97&lt;&gt;Constants!$B$7,$Z97,AD97))</f>
        <v/>
      </c>
      <c r="AO97" s="100" t="str">
        <f aca="false">IF(ISBLANK($C97),"",IF($Z97&lt;&gt;Constants!$B$7,$Z97,S97))</f>
        <v/>
      </c>
      <c r="AP97" s="101" t="str">
        <f aca="false">IF(ISBLANK($C97),"",IF($Z97&lt;&gt;Constants!$B$7,$Z97,AF97))</f>
        <v/>
      </c>
      <c r="AQ97" s="102" t="str">
        <f aca="false">IF(ISBLANK($C97),"",IF($Z97&lt;&gt;Constants!$B$7,$Z97,AA97))</f>
        <v/>
      </c>
      <c r="AR97" s="100" t="str">
        <f aca="false">IF(ISBLANK($C97),"",AL97)</f>
        <v/>
      </c>
      <c r="AS97" s="100" t="str">
        <f aca="false">IF(ISBLANK($C97),"",AK97)</f>
        <v/>
      </c>
      <c r="AT97" s="103" t="str">
        <f aca="false">IF(ISBLANK($C97),"",IF(AS97=Constants!$B$4,COUNTA($C$8:$C$507)+2,IF(AS97=Constants!$B$5,COUNTA($C$8:$C$507)+1,IF(AS97=Constants!$B$6,COUNTA($C$8:$C$507),AS97))))</f>
        <v/>
      </c>
      <c r="AU97" s="5"/>
      <c r="AV97" s="104" t="n">
        <f aca="false">IF(OR(ISNUMBER(AS97),AS97=Constants!$B$4,AS97=Constants!$B$6,AS97=Constants!$B$5),1,0)</f>
        <v>0</v>
      </c>
      <c r="AW97" s="104" t="n">
        <v>90</v>
      </c>
      <c r="AX97" s="104" t="str">
        <f aca="false">IF(ISBLANK($C97),"",IF(ISNUMBER(AT97),AT97+ROW($B97)/1000,""))</f>
        <v/>
      </c>
      <c r="AY97" s="104" t="str">
        <f aca="false">IF(ISNUMBER(AX97),RANK(AX97,$AX$8:$AX$507,1),"")</f>
        <v/>
      </c>
      <c r="AZ97" s="104" t="str">
        <f aca="false">IF(ISBLANK($C97),"",$B97)</f>
        <v/>
      </c>
      <c r="BA97" s="104" t="str">
        <f aca="false">IF(ISBLANK($C97),"",$C97)</f>
        <v/>
      </c>
      <c r="BB97" s="104" t="str">
        <f aca="false">IF(ISBLANK($C97),"",$D97)</f>
        <v/>
      </c>
      <c r="BC97" s="105" t="str">
        <f aca="false">AQ97</f>
        <v/>
      </c>
      <c r="BD97" s="106" t="str">
        <f aca="false">AP97</f>
        <v/>
      </c>
      <c r="BE97" s="104" t="str">
        <f aca="false">IF(ISBLANK($C97),"",AS97)</f>
        <v/>
      </c>
      <c r="BF97" s="107" t="str">
        <f aca="false">IF($AW97&gt;$AV$7,"",VLOOKUP($AW97,$AY$8:$BE$507,7,FALSE()))</f>
        <v/>
      </c>
      <c r="BG97" s="108" t="str">
        <f aca="false">IF($AW97&gt;$AV$7,"",VLOOKUP($AW97,$AY$8:$BE$507,2,FALSE()))</f>
        <v/>
      </c>
      <c r="BH97" s="108" t="str">
        <f aca="false">IF($AW97&gt;$AV$7,"",VLOOKUP($AW97,$AY$8:$BE$507,3,FALSE()))</f>
        <v/>
      </c>
      <c r="BI97" s="108" t="str">
        <f aca="false">IF($AW97&gt;$AV$7,"",VLOOKUP($AW97,$AY$8:$BE$507,4,FALSE()))</f>
        <v/>
      </c>
      <c r="BJ97" s="108" t="str">
        <f aca="false">IF($AW97&gt;$AV$7,"",VLOOKUP($AW97,$AY$8:$BE$507,5,FALSE()))</f>
        <v/>
      </c>
      <c r="BK97" s="109" t="str">
        <f aca="false">IF($AW97&gt;$AV$7,"",VLOOKUP($AW97,$AY$8:$BE$507,6,FALSE()))</f>
        <v/>
      </c>
      <c r="BL97" s="50"/>
    </row>
    <row r="98" customFormat="false" ht="15.75" hidden="false" customHeight="false" outlineLevel="0" collapsed="false">
      <c r="A98" s="5"/>
      <c r="B98" s="131"/>
      <c r="C98" s="52"/>
      <c r="D98" s="53"/>
      <c r="E98" s="80"/>
      <c r="F98" s="132"/>
      <c r="G98" s="56"/>
      <c r="H98" s="133"/>
      <c r="I98" s="134"/>
      <c r="J98" s="59"/>
      <c r="K98" s="60"/>
      <c r="L98" s="134"/>
      <c r="M98" s="61"/>
      <c r="N98" s="62"/>
      <c r="O98" s="80"/>
      <c r="P98" s="64"/>
      <c r="Q98" s="65" t="str">
        <f aca="false">IF(ISBLANK($C98),"",IF(E98=Constants!$B$2, TRUE(), IF(E98=Constants!$B$3, FALSE(), TRUE())))</f>
        <v/>
      </c>
      <c r="R98" s="65" t="str">
        <f aca="false">IF(ISBLANK($C98),"",IF(F98=Constants!$B$2, TRUE(), IF(F98=Constants!$B$3, FALSE(), TRUE())))</f>
        <v/>
      </c>
      <c r="S98" s="65" t="str">
        <f aca="false">IF(ISBLANK($C98),"",IF(G98=Constants!$B$15,Constants!$B$8,IF(G98=Constants!$B$16,Constants!$B$9,Constants!$B$10)))</f>
        <v/>
      </c>
      <c r="T98" s="65" t="str">
        <f aca="false">IF(ISBLANK($C98),"",IF(H98=Constants!$B$2, TRUE(), IF(H98=Constants!$B$3, FALSE(), TRUE())))</f>
        <v/>
      </c>
      <c r="U98" s="65" t="str">
        <f aca="false">IF(ISBLANK($C98),"",IF(I98=Constants!$B$19,Constants!$B$19,Constants!$B$18))</f>
        <v/>
      </c>
      <c r="V98" s="65" t="str">
        <f aca="false">IF(ISBLANK($C98),"",IF(COUNTA(J98:K98)=0,"",IF(AND(OR(ISBLANK(J98),AND(ISNUMBER(J98),J98&gt;=0)),OR(ISBLANK(K98),AND(ISNUMBER(K98),K98&gt;=0))),60*IF(ISBLANK(J98),0,J98)+IF(ISBLANK(K98),0,K98),"")))</f>
        <v/>
      </c>
      <c r="W98" s="65" t="str">
        <f aca="false">IF(ISBLANK($C98),"",IF(L98=Constants!$B$19,Constants!$B$19,Constants!$B$18))</f>
        <v/>
      </c>
      <c r="X98" s="65" t="str">
        <f aca="false">IF(ISBLANK($C98),"",IF(COUNTA(M98:N98)=0,"",IF(AND(OR(ISBLANK(M98),AND(ISNUMBER(M98),M98&gt;=0)),OR(ISBLANK(N98),AND(ISNUMBER(N98),N98&gt;=0))),60*IF(ISBLANK(M98),0,M98)+IF(ISBLANK(N98),0,N98),"")))</f>
        <v/>
      </c>
      <c r="Y98" s="65" t="str">
        <f aca="false">IF(ISBLANK($C98),"",IF(O98=Constants!$B$2, TRUE(), IF(O98=Constants!$B$3, FALSE(), FALSE())))</f>
        <v/>
      </c>
      <c r="Z98" s="65" t="str">
        <f aca="false">IF(ISBLANK($C98),"",IF(Y98,Constants!$B$4,IF(COUNTA(E98:N98)=0,Constants!$B$5,IF(COUNTA(J98:K98,M98:N98)=0,Constants!$B$6,Constants!$B$7))))</f>
        <v/>
      </c>
      <c r="AA98" s="65" t="str">
        <f aca="false">IF(ISBLANK($C98),"",IF($Z98&lt;&gt;Constants!$B$7,$Z98,IF(OR(NOT(T98),AND(NOT(Q98),COUNTIFS(U98:W98,Constants!$B$18,V98:X98,"&gt;=0")&gt;0),AND(NOT(R98),COUNTIFS(U98:W98,Constants!$B$19,V98:X98,"&gt;=0")&gt;0)),Constants!$B$12,Constants!$B$11)))</f>
        <v/>
      </c>
      <c r="AB98" s="65" t="str">
        <f aca="false">IF($Z98=Constants!$B$7,IF(V98="",Constants!$B$13,V98),"")</f>
        <v/>
      </c>
      <c r="AC98" s="65" t="str">
        <f aca="false">IF($Z98=Constants!$B$7,IF(X98="",Constants!$B$13,X98),"")</f>
        <v/>
      </c>
      <c r="AD98" s="65" t="str">
        <f aca="false">IF($Z98=Constants!$B$7,IF($AB98&gt;=$AC98,1,2),"")</f>
        <v/>
      </c>
      <c r="AE98" s="65" t="str">
        <f aca="false">IF($Z98=Constants!$B$7,LARGE(AB98:AC98,1),"")</f>
        <v/>
      </c>
      <c r="AF98" s="65" t="str">
        <f aca="false">IF(ISBLANK($C98),"",IF($Z98&lt;&gt;Constants!$B$7,$Z98,AE98*S98))</f>
        <v/>
      </c>
      <c r="AG98" s="65" t="str">
        <f aca="false">IF(ISBLANK($C98),"",IF($Z98=Constants!$B$7,IF(ISNUMBER(AF98),RANK(AF98,$AF$8:$AF$507),Constants!$B$14),$Z98))</f>
        <v/>
      </c>
      <c r="AH98" s="65" t="str">
        <f aca="false">IF(ISBLANK($C98),"",IF($Z98=Constants!$B$7,IF(ISNUMBER(AG98),COUNTIFS($AA$8:$AA$507,"&lt;"&amp;$AA98)+COUNTIFS($AA$8:$AA$507,$AA98,$AG$8:$AG$507,"&lt;"&amp;$AG98)+1,Constants!$B$14),$Z98))</f>
        <v/>
      </c>
      <c r="AI98" s="65" t="str">
        <f aca="false">IF(ISBLANK($C98),"",IF($Z98=Constants!$B$7,LARGE(AB98:AC98,2)*S98,""))</f>
        <v/>
      </c>
      <c r="AJ98" s="65" t="str">
        <f aca="false">IF(ISBLANK($C98),"",IF($Z98=Constants!$B$7,RANK(AI98,$AI$8:$AI$507),$Z98))</f>
        <v/>
      </c>
      <c r="AK98" s="65" t="str">
        <f aca="false">IF(ISBLANK($C98),"",IF($Z98=Constants!$B$7,IF(ISNUMBER(AG98),COUNTIFS($AA$8:$AA$507,"&lt;"&amp;$AA98)+COUNTIFS($AA$8:$AA$507,$AA98,$AG$8:$AG$507,"&lt;"&amp;$AG98)+COUNTIFS($AA$8:$AA$507,$AA98,$AG$8:$AG$507,$AG98,$AJ$8:$AJ$507,"&lt;"&amp;$AJ98)+1,Constants!$B$14),$Z98))</f>
        <v/>
      </c>
      <c r="AL98" s="65" t="str">
        <f aca="false">IF(ISBLANK($C98),"",IF($Z98=Constants!$B$7,IF(ISNUMBER(AH98),AH98-AK98,Constants!$B$14),$Z98))</f>
        <v/>
      </c>
      <c r="AM98" s="67"/>
      <c r="AN98" s="68" t="str">
        <f aca="false">IF(ISBLANK($C98),"",IF($Z98&lt;&gt;Constants!$B$7,$Z98,AD98))</f>
        <v/>
      </c>
      <c r="AO98" s="69" t="str">
        <f aca="false">IF(ISBLANK($C98),"",IF($Z98&lt;&gt;Constants!$B$7,$Z98,S98))</f>
        <v/>
      </c>
      <c r="AP98" s="70" t="str">
        <f aca="false">IF(ISBLANK($C98),"",IF($Z98&lt;&gt;Constants!$B$7,$Z98,AF98))</f>
        <v/>
      </c>
      <c r="AQ98" s="71" t="str">
        <f aca="false">IF(ISBLANK($C98),"",IF($Z98&lt;&gt;Constants!$B$7,$Z98,AA98))</f>
        <v/>
      </c>
      <c r="AR98" s="69" t="str">
        <f aca="false">IF(ISBLANK($C98),"",AL98)</f>
        <v/>
      </c>
      <c r="AS98" s="69" t="str">
        <f aca="false">IF(ISBLANK($C98),"",AK98)</f>
        <v/>
      </c>
      <c r="AT98" s="72" t="str">
        <f aca="false">IF(ISBLANK($C98),"",IF(AS98=Constants!$B$4,COUNTA($C$8:$C$507)+2,IF(AS98=Constants!$B$5,COUNTA($C$8:$C$507)+1,IF(AS98=Constants!$B$6,COUNTA($C$8:$C$507),AS98))))</f>
        <v/>
      </c>
      <c r="AU98" s="5"/>
      <c r="AV98" s="73" t="n">
        <f aca="false">IF(OR(ISNUMBER(AS98),AS98=Constants!$B$4,AS98=Constants!$B$6,AS98=Constants!$B$5),1,0)</f>
        <v>0</v>
      </c>
      <c r="AW98" s="73" t="n">
        <v>91</v>
      </c>
      <c r="AX98" s="73" t="str">
        <f aca="false">IF(ISBLANK($C98),"",IF(ISNUMBER(AT98),AT98+ROW($B98)/1000,""))</f>
        <v/>
      </c>
      <c r="AY98" s="73" t="str">
        <f aca="false">IF(ISNUMBER(AX98),RANK(AX98,$AX$8:$AX$507,1),"")</f>
        <v/>
      </c>
      <c r="AZ98" s="73" t="str">
        <f aca="false">IF(ISBLANK($C98),"",$B98)</f>
        <v/>
      </c>
      <c r="BA98" s="73" t="str">
        <f aca="false">IF(ISBLANK($C98),"",$C98)</f>
        <v/>
      </c>
      <c r="BB98" s="73" t="str">
        <f aca="false">IF(ISBLANK($C98),"",$D98)</f>
        <v/>
      </c>
      <c r="BC98" s="74" t="str">
        <f aca="false">AQ98</f>
        <v/>
      </c>
      <c r="BD98" s="75" t="str">
        <f aca="false">AP98</f>
        <v/>
      </c>
      <c r="BE98" s="73" t="str">
        <f aca="false">IF(ISBLANK($C98),"",AS98)</f>
        <v/>
      </c>
      <c r="BF98" s="76" t="str">
        <f aca="false">IF($AW98&gt;$AV$7,"",VLOOKUP($AW98,$AY$8:$BE$507,7,FALSE()))</f>
        <v/>
      </c>
      <c r="BG98" s="77" t="str">
        <f aca="false">IF($AW98&gt;$AV$7,"",VLOOKUP($AW98,$AY$8:$BE$507,2,FALSE()))</f>
        <v/>
      </c>
      <c r="BH98" s="77" t="str">
        <f aca="false">IF($AW98&gt;$AV$7,"",VLOOKUP($AW98,$AY$8:$BE$507,3,FALSE()))</f>
        <v/>
      </c>
      <c r="BI98" s="77" t="str">
        <f aca="false">IF($AW98&gt;$AV$7,"",VLOOKUP($AW98,$AY$8:$BE$507,4,FALSE()))</f>
        <v/>
      </c>
      <c r="BJ98" s="77" t="str">
        <f aca="false">IF($AW98&gt;$AV$7,"",VLOOKUP($AW98,$AY$8:$BE$507,5,FALSE()))</f>
        <v/>
      </c>
      <c r="BK98" s="78" t="str">
        <f aca="false">IF($AW98&gt;$AV$7,"",VLOOKUP($AW98,$AY$8:$BE$507,6,FALSE()))</f>
        <v/>
      </c>
      <c r="BL98" s="50"/>
    </row>
    <row r="99" customFormat="false" ht="15.75" hidden="false" customHeight="false" outlineLevel="0" collapsed="false">
      <c r="A99" s="5"/>
      <c r="B99" s="131"/>
      <c r="C99" s="52"/>
      <c r="D99" s="53"/>
      <c r="E99" s="80"/>
      <c r="F99" s="132"/>
      <c r="G99" s="56"/>
      <c r="H99" s="133"/>
      <c r="I99" s="134"/>
      <c r="J99" s="59"/>
      <c r="K99" s="60"/>
      <c r="L99" s="134"/>
      <c r="M99" s="61"/>
      <c r="N99" s="62"/>
      <c r="O99" s="80"/>
      <c r="P99" s="64"/>
      <c r="Q99" s="65" t="str">
        <f aca="false">IF(ISBLANK($C99),"",IF(E99=Constants!$B$2, TRUE(), IF(E99=Constants!$B$3, FALSE(), TRUE())))</f>
        <v/>
      </c>
      <c r="R99" s="65" t="str">
        <f aca="false">IF(ISBLANK($C99),"",IF(F99=Constants!$B$2, TRUE(), IF(F99=Constants!$B$3, FALSE(), TRUE())))</f>
        <v/>
      </c>
      <c r="S99" s="65" t="str">
        <f aca="false">IF(ISBLANK($C99),"",IF(G99=Constants!$B$15,Constants!$B$8,IF(G99=Constants!$B$16,Constants!$B$9,Constants!$B$10)))</f>
        <v/>
      </c>
      <c r="T99" s="65" t="str">
        <f aca="false">IF(ISBLANK($C99),"",IF(H99=Constants!$B$2, TRUE(), IF(H99=Constants!$B$3, FALSE(), TRUE())))</f>
        <v/>
      </c>
      <c r="U99" s="65" t="str">
        <f aca="false">IF(ISBLANK($C99),"",IF(I99=Constants!$B$19,Constants!$B$19,Constants!$B$18))</f>
        <v/>
      </c>
      <c r="V99" s="65" t="str">
        <f aca="false">IF(ISBLANK($C99),"",IF(COUNTA(J99:K99)=0,"",IF(AND(OR(ISBLANK(J99),AND(ISNUMBER(J99),J99&gt;=0)),OR(ISBLANK(K99),AND(ISNUMBER(K99),K99&gt;=0))),60*IF(ISBLANK(J99),0,J99)+IF(ISBLANK(K99),0,K99),"")))</f>
        <v/>
      </c>
      <c r="W99" s="65" t="str">
        <f aca="false">IF(ISBLANK($C99),"",IF(L99=Constants!$B$19,Constants!$B$19,Constants!$B$18))</f>
        <v/>
      </c>
      <c r="X99" s="65" t="str">
        <f aca="false">IF(ISBLANK($C99),"",IF(COUNTA(M99:N99)=0,"",IF(AND(OR(ISBLANK(M99),AND(ISNUMBER(M99),M99&gt;=0)),OR(ISBLANK(N99),AND(ISNUMBER(N99),N99&gt;=0))),60*IF(ISBLANK(M99),0,M99)+IF(ISBLANK(N99),0,N99),"")))</f>
        <v/>
      </c>
      <c r="Y99" s="65" t="str">
        <f aca="false">IF(ISBLANK($C99),"",IF(O99=Constants!$B$2, TRUE(), IF(O99=Constants!$B$3, FALSE(), FALSE())))</f>
        <v/>
      </c>
      <c r="Z99" s="65" t="str">
        <f aca="false">IF(ISBLANK($C99),"",IF(Y99,Constants!$B$4,IF(COUNTA(E99:N99)=0,Constants!$B$5,IF(COUNTA(J99:K99,M99:N99)=0,Constants!$B$6,Constants!$B$7))))</f>
        <v/>
      </c>
      <c r="AA99" s="65" t="str">
        <f aca="false">IF(ISBLANK($C99),"",IF($Z99&lt;&gt;Constants!$B$7,$Z99,IF(OR(NOT(T99),AND(NOT(Q99),COUNTIFS(U99:W99,Constants!$B$18,V99:X99,"&gt;=0")&gt;0),AND(NOT(R99),COUNTIFS(U99:W99,Constants!$B$19,V99:X99,"&gt;=0")&gt;0)),Constants!$B$12,Constants!$B$11)))</f>
        <v/>
      </c>
      <c r="AB99" s="65" t="str">
        <f aca="false">IF($Z99=Constants!$B$7,IF(V99="",Constants!$B$13,V99),"")</f>
        <v/>
      </c>
      <c r="AC99" s="65" t="str">
        <f aca="false">IF($Z99=Constants!$B$7,IF(X99="",Constants!$B$13,X99),"")</f>
        <v/>
      </c>
      <c r="AD99" s="65" t="str">
        <f aca="false">IF($Z99=Constants!$B$7,IF($AB99&gt;=$AC99,1,2),"")</f>
        <v/>
      </c>
      <c r="AE99" s="65" t="str">
        <f aca="false">IF($Z99=Constants!$B$7,LARGE(AB99:AC99,1),"")</f>
        <v/>
      </c>
      <c r="AF99" s="65" t="str">
        <f aca="false">IF(ISBLANK($C99),"",IF($Z99&lt;&gt;Constants!$B$7,$Z99,AE99*S99))</f>
        <v/>
      </c>
      <c r="AG99" s="65" t="str">
        <f aca="false">IF(ISBLANK($C99),"",IF($Z99=Constants!$B$7,IF(ISNUMBER(AF99),RANK(AF99,$AF$8:$AF$507),Constants!$B$14),$Z99))</f>
        <v/>
      </c>
      <c r="AH99" s="65" t="str">
        <f aca="false">IF(ISBLANK($C99),"",IF($Z99=Constants!$B$7,IF(ISNUMBER(AG99),COUNTIFS($AA$8:$AA$507,"&lt;"&amp;$AA99)+COUNTIFS($AA$8:$AA$507,$AA99,$AG$8:$AG$507,"&lt;"&amp;$AG99)+1,Constants!$B$14),$Z99))</f>
        <v/>
      </c>
      <c r="AI99" s="65" t="str">
        <f aca="false">IF(ISBLANK($C99),"",IF($Z99=Constants!$B$7,LARGE(AB99:AC99,2)*S99,""))</f>
        <v/>
      </c>
      <c r="AJ99" s="65" t="str">
        <f aca="false">IF(ISBLANK($C99),"",IF($Z99=Constants!$B$7,RANK(AI99,$AI$8:$AI$507),$Z99))</f>
        <v/>
      </c>
      <c r="AK99" s="65" t="str">
        <f aca="false">IF(ISBLANK($C99),"",IF($Z99=Constants!$B$7,IF(ISNUMBER(AG99),COUNTIFS($AA$8:$AA$507,"&lt;"&amp;$AA99)+COUNTIFS($AA$8:$AA$507,$AA99,$AG$8:$AG$507,"&lt;"&amp;$AG99)+COUNTIFS($AA$8:$AA$507,$AA99,$AG$8:$AG$507,$AG99,$AJ$8:$AJ$507,"&lt;"&amp;$AJ99)+1,Constants!$B$14),$Z99))</f>
        <v/>
      </c>
      <c r="AL99" s="65" t="str">
        <f aca="false">IF(ISBLANK($C99),"",IF($Z99=Constants!$B$7,IF(ISNUMBER(AH99),AH99-AK99,Constants!$B$14),$Z99))</f>
        <v/>
      </c>
      <c r="AM99" s="67"/>
      <c r="AN99" s="68" t="str">
        <f aca="false">IF(ISBLANK($C99),"",IF($Z99&lt;&gt;Constants!$B$7,$Z99,AD99))</f>
        <v/>
      </c>
      <c r="AO99" s="69" t="str">
        <f aca="false">IF(ISBLANK($C99),"",IF($Z99&lt;&gt;Constants!$B$7,$Z99,S99))</f>
        <v/>
      </c>
      <c r="AP99" s="70" t="str">
        <f aca="false">IF(ISBLANK($C99),"",IF($Z99&lt;&gt;Constants!$B$7,$Z99,AF99))</f>
        <v/>
      </c>
      <c r="AQ99" s="71" t="str">
        <f aca="false">IF(ISBLANK($C99),"",IF($Z99&lt;&gt;Constants!$B$7,$Z99,AA99))</f>
        <v/>
      </c>
      <c r="AR99" s="69" t="str">
        <f aca="false">IF(ISBLANK($C99),"",AL99)</f>
        <v/>
      </c>
      <c r="AS99" s="69" t="str">
        <f aca="false">IF(ISBLANK($C99),"",AK99)</f>
        <v/>
      </c>
      <c r="AT99" s="72" t="str">
        <f aca="false">IF(ISBLANK($C99),"",IF(AS99=Constants!$B$4,COUNTA($C$8:$C$507)+2,IF(AS99=Constants!$B$5,COUNTA($C$8:$C$507)+1,IF(AS99=Constants!$B$6,COUNTA($C$8:$C$507),AS99))))</f>
        <v/>
      </c>
      <c r="AU99" s="5"/>
      <c r="AV99" s="73" t="n">
        <f aca="false">IF(OR(ISNUMBER(AS99),AS99=Constants!$B$4,AS99=Constants!$B$6,AS99=Constants!$B$5),1,0)</f>
        <v>0</v>
      </c>
      <c r="AW99" s="73" t="n">
        <v>92</v>
      </c>
      <c r="AX99" s="73" t="str">
        <f aca="false">IF(ISBLANK($C99),"",IF(ISNUMBER(AT99),AT99+ROW($B99)/1000,""))</f>
        <v/>
      </c>
      <c r="AY99" s="73" t="str">
        <f aca="false">IF(ISNUMBER(AX99),RANK(AX99,$AX$8:$AX$507,1),"")</f>
        <v/>
      </c>
      <c r="AZ99" s="73" t="str">
        <f aca="false">IF(ISBLANK($C99),"",$B99)</f>
        <v/>
      </c>
      <c r="BA99" s="73" t="str">
        <f aca="false">IF(ISBLANK($C99),"",$C99)</f>
        <v/>
      </c>
      <c r="BB99" s="73" t="str">
        <f aca="false">IF(ISBLANK($C99),"",$D99)</f>
        <v/>
      </c>
      <c r="BC99" s="74" t="str">
        <f aca="false">AQ99</f>
        <v/>
      </c>
      <c r="BD99" s="75" t="str">
        <f aca="false">AP99</f>
        <v/>
      </c>
      <c r="BE99" s="73" t="str">
        <f aca="false">IF(ISBLANK($C99),"",AS99)</f>
        <v/>
      </c>
      <c r="BF99" s="76" t="str">
        <f aca="false">IF($AW99&gt;$AV$7,"",VLOOKUP($AW99,$AY$8:$BE$507,7,FALSE()))</f>
        <v/>
      </c>
      <c r="BG99" s="77" t="str">
        <f aca="false">IF($AW99&gt;$AV$7,"",VLOOKUP($AW99,$AY$8:$BE$507,2,FALSE()))</f>
        <v/>
      </c>
      <c r="BH99" s="77" t="str">
        <f aca="false">IF($AW99&gt;$AV$7,"",VLOOKUP($AW99,$AY$8:$BE$507,3,FALSE()))</f>
        <v/>
      </c>
      <c r="BI99" s="77" t="str">
        <f aca="false">IF($AW99&gt;$AV$7,"",VLOOKUP($AW99,$AY$8:$BE$507,4,FALSE()))</f>
        <v/>
      </c>
      <c r="BJ99" s="77" t="str">
        <f aca="false">IF($AW99&gt;$AV$7,"",VLOOKUP($AW99,$AY$8:$BE$507,5,FALSE()))</f>
        <v/>
      </c>
      <c r="BK99" s="78" t="str">
        <f aca="false">IF($AW99&gt;$AV$7,"",VLOOKUP($AW99,$AY$8:$BE$507,6,FALSE()))</f>
        <v/>
      </c>
      <c r="BL99" s="50"/>
    </row>
    <row r="100" customFormat="false" ht="15.75" hidden="false" customHeight="false" outlineLevel="0" collapsed="false">
      <c r="A100" s="5"/>
      <c r="B100" s="131"/>
      <c r="C100" s="52"/>
      <c r="D100" s="53"/>
      <c r="E100" s="80"/>
      <c r="F100" s="132"/>
      <c r="G100" s="56"/>
      <c r="H100" s="133"/>
      <c r="I100" s="134"/>
      <c r="J100" s="59"/>
      <c r="K100" s="60"/>
      <c r="L100" s="134"/>
      <c r="M100" s="61"/>
      <c r="N100" s="62"/>
      <c r="O100" s="80"/>
      <c r="P100" s="64"/>
      <c r="Q100" s="65" t="str">
        <f aca="false">IF(ISBLANK($C100),"",IF(E100=Constants!$B$2, TRUE(), IF(E100=Constants!$B$3, FALSE(), TRUE())))</f>
        <v/>
      </c>
      <c r="R100" s="65" t="str">
        <f aca="false">IF(ISBLANK($C100),"",IF(F100=Constants!$B$2, TRUE(), IF(F100=Constants!$B$3, FALSE(), TRUE())))</f>
        <v/>
      </c>
      <c r="S100" s="65" t="str">
        <f aca="false">IF(ISBLANK($C100),"",IF(G100=Constants!$B$15,Constants!$B$8,IF(G100=Constants!$B$16,Constants!$B$9,Constants!$B$10)))</f>
        <v/>
      </c>
      <c r="T100" s="65" t="str">
        <f aca="false">IF(ISBLANK($C100),"",IF(H100=Constants!$B$2, TRUE(), IF(H100=Constants!$B$3, FALSE(), TRUE())))</f>
        <v/>
      </c>
      <c r="U100" s="65" t="str">
        <f aca="false">IF(ISBLANK($C100),"",IF(I100=Constants!$B$19,Constants!$B$19,Constants!$B$18))</f>
        <v/>
      </c>
      <c r="V100" s="65" t="str">
        <f aca="false">IF(ISBLANK($C100),"",IF(COUNTA(J100:K100)=0,"",IF(AND(OR(ISBLANK(J100),AND(ISNUMBER(J100),J100&gt;=0)),OR(ISBLANK(K100),AND(ISNUMBER(K100),K100&gt;=0))),60*IF(ISBLANK(J100),0,J100)+IF(ISBLANK(K100),0,K100),"")))</f>
        <v/>
      </c>
      <c r="W100" s="65" t="str">
        <f aca="false">IF(ISBLANK($C100),"",IF(L100=Constants!$B$19,Constants!$B$19,Constants!$B$18))</f>
        <v/>
      </c>
      <c r="X100" s="65" t="str">
        <f aca="false">IF(ISBLANK($C100),"",IF(COUNTA(M100:N100)=0,"",IF(AND(OR(ISBLANK(M100),AND(ISNUMBER(M100),M100&gt;=0)),OR(ISBLANK(N100),AND(ISNUMBER(N100),N100&gt;=0))),60*IF(ISBLANK(M100),0,M100)+IF(ISBLANK(N100),0,N100),"")))</f>
        <v/>
      </c>
      <c r="Y100" s="65" t="str">
        <f aca="false">IF(ISBLANK($C100),"",IF(O100=Constants!$B$2, TRUE(), IF(O100=Constants!$B$3, FALSE(), FALSE())))</f>
        <v/>
      </c>
      <c r="Z100" s="65" t="str">
        <f aca="false">IF(ISBLANK($C100),"",IF(Y100,Constants!$B$4,IF(COUNTA(E100:N100)=0,Constants!$B$5,IF(COUNTA(J100:K100,M100:N100)=0,Constants!$B$6,Constants!$B$7))))</f>
        <v/>
      </c>
      <c r="AA100" s="65" t="str">
        <f aca="false">IF(ISBLANK($C100),"",IF($Z100&lt;&gt;Constants!$B$7,$Z100,IF(OR(NOT(T100),AND(NOT(Q100),COUNTIFS(U100:W100,Constants!$B$18,V100:X100,"&gt;=0")&gt;0),AND(NOT(R100),COUNTIFS(U100:W100,Constants!$B$19,V100:X100,"&gt;=0")&gt;0)),Constants!$B$12,Constants!$B$11)))</f>
        <v/>
      </c>
      <c r="AB100" s="65" t="str">
        <f aca="false">IF($Z100=Constants!$B$7,IF(V100="",Constants!$B$13,V100),"")</f>
        <v/>
      </c>
      <c r="AC100" s="65" t="str">
        <f aca="false">IF($Z100=Constants!$B$7,IF(X100="",Constants!$B$13,X100),"")</f>
        <v/>
      </c>
      <c r="AD100" s="65" t="str">
        <f aca="false">IF($Z100=Constants!$B$7,IF($AB100&gt;=$AC100,1,2),"")</f>
        <v/>
      </c>
      <c r="AE100" s="65" t="str">
        <f aca="false">IF($Z100=Constants!$B$7,LARGE(AB100:AC100,1),"")</f>
        <v/>
      </c>
      <c r="AF100" s="65" t="str">
        <f aca="false">IF(ISBLANK($C100),"",IF($Z100&lt;&gt;Constants!$B$7,$Z100,AE100*S100))</f>
        <v/>
      </c>
      <c r="AG100" s="65" t="str">
        <f aca="false">IF(ISBLANK($C100),"",IF($Z100=Constants!$B$7,IF(ISNUMBER(AF100),RANK(AF100,$AF$8:$AF$507),Constants!$B$14),$Z100))</f>
        <v/>
      </c>
      <c r="AH100" s="65" t="str">
        <f aca="false">IF(ISBLANK($C100),"",IF($Z100=Constants!$B$7,IF(ISNUMBER(AG100),COUNTIFS($AA$8:$AA$507,"&lt;"&amp;$AA100)+COUNTIFS($AA$8:$AA$507,$AA100,$AG$8:$AG$507,"&lt;"&amp;$AG100)+1,Constants!$B$14),$Z100))</f>
        <v/>
      </c>
      <c r="AI100" s="65" t="str">
        <f aca="false">IF(ISBLANK($C100),"",IF($Z100=Constants!$B$7,LARGE(AB100:AC100,2)*S100,""))</f>
        <v/>
      </c>
      <c r="AJ100" s="65" t="str">
        <f aca="false">IF(ISBLANK($C100),"",IF($Z100=Constants!$B$7,RANK(AI100,$AI$8:$AI$507),$Z100))</f>
        <v/>
      </c>
      <c r="AK100" s="65" t="str">
        <f aca="false">IF(ISBLANK($C100),"",IF($Z100=Constants!$B$7,IF(ISNUMBER(AG100),COUNTIFS($AA$8:$AA$507,"&lt;"&amp;$AA100)+COUNTIFS($AA$8:$AA$507,$AA100,$AG$8:$AG$507,"&lt;"&amp;$AG100)+COUNTIFS($AA$8:$AA$507,$AA100,$AG$8:$AG$507,$AG100,$AJ$8:$AJ$507,"&lt;"&amp;$AJ100)+1,Constants!$B$14),$Z100))</f>
        <v/>
      </c>
      <c r="AL100" s="65" t="str">
        <f aca="false">IF(ISBLANK($C100),"",IF($Z100=Constants!$B$7,IF(ISNUMBER(AH100),AH100-AK100,Constants!$B$14),$Z100))</f>
        <v/>
      </c>
      <c r="AM100" s="67"/>
      <c r="AN100" s="68" t="str">
        <f aca="false">IF(ISBLANK($C100),"",IF($Z100&lt;&gt;Constants!$B$7,$Z100,AD100))</f>
        <v/>
      </c>
      <c r="AO100" s="69" t="str">
        <f aca="false">IF(ISBLANK($C100),"",IF($Z100&lt;&gt;Constants!$B$7,$Z100,S100))</f>
        <v/>
      </c>
      <c r="AP100" s="70" t="str">
        <f aca="false">IF(ISBLANK($C100),"",IF($Z100&lt;&gt;Constants!$B$7,$Z100,AF100))</f>
        <v/>
      </c>
      <c r="AQ100" s="71" t="str">
        <f aca="false">IF(ISBLANK($C100),"",IF($Z100&lt;&gt;Constants!$B$7,$Z100,AA100))</f>
        <v/>
      </c>
      <c r="AR100" s="69" t="str">
        <f aca="false">IF(ISBLANK($C100),"",AL100)</f>
        <v/>
      </c>
      <c r="AS100" s="69" t="str">
        <f aca="false">IF(ISBLANK($C100),"",AK100)</f>
        <v/>
      </c>
      <c r="AT100" s="72" t="str">
        <f aca="false">IF(ISBLANK($C100),"",IF(AS100=Constants!$B$4,COUNTA($C$8:$C$507)+2,IF(AS100=Constants!$B$5,COUNTA($C$8:$C$507)+1,IF(AS100=Constants!$B$6,COUNTA($C$8:$C$507),AS100))))</f>
        <v/>
      </c>
      <c r="AU100" s="5"/>
      <c r="AV100" s="73" t="n">
        <f aca="false">IF(OR(ISNUMBER(AS100),AS100=Constants!$B$4,AS100=Constants!$B$6,AS100=Constants!$B$5),1,0)</f>
        <v>0</v>
      </c>
      <c r="AW100" s="73" t="n">
        <v>93</v>
      </c>
      <c r="AX100" s="73" t="str">
        <f aca="false">IF(ISBLANK($C100),"",IF(ISNUMBER(AT100),AT100+ROW($B100)/1000,""))</f>
        <v/>
      </c>
      <c r="AY100" s="73" t="str">
        <f aca="false">IF(ISNUMBER(AX100),RANK(AX100,$AX$8:$AX$507,1),"")</f>
        <v/>
      </c>
      <c r="AZ100" s="73" t="str">
        <f aca="false">IF(ISBLANK($C100),"",$B100)</f>
        <v/>
      </c>
      <c r="BA100" s="73" t="str">
        <f aca="false">IF(ISBLANK($C100),"",$C100)</f>
        <v/>
      </c>
      <c r="BB100" s="73" t="str">
        <f aca="false">IF(ISBLANK($C100),"",$D100)</f>
        <v/>
      </c>
      <c r="BC100" s="74" t="str">
        <f aca="false">AQ100</f>
        <v/>
      </c>
      <c r="BD100" s="75" t="str">
        <f aca="false">AP100</f>
        <v/>
      </c>
      <c r="BE100" s="73" t="str">
        <f aca="false">IF(ISBLANK($C100),"",AS100)</f>
        <v/>
      </c>
      <c r="BF100" s="76" t="str">
        <f aca="false">IF($AW100&gt;$AV$7,"",VLOOKUP($AW100,$AY$8:$BE$507,7,FALSE()))</f>
        <v/>
      </c>
      <c r="BG100" s="77" t="str">
        <f aca="false">IF($AW100&gt;$AV$7,"",VLOOKUP($AW100,$AY$8:$BE$507,2,FALSE()))</f>
        <v/>
      </c>
      <c r="BH100" s="77" t="str">
        <f aca="false">IF($AW100&gt;$AV$7,"",VLOOKUP($AW100,$AY$8:$BE$507,3,FALSE()))</f>
        <v/>
      </c>
      <c r="BI100" s="77" t="str">
        <f aca="false">IF($AW100&gt;$AV$7,"",VLOOKUP($AW100,$AY$8:$BE$507,4,FALSE()))</f>
        <v/>
      </c>
      <c r="BJ100" s="77" t="str">
        <f aca="false">IF($AW100&gt;$AV$7,"",VLOOKUP($AW100,$AY$8:$BE$507,5,FALSE()))</f>
        <v/>
      </c>
      <c r="BK100" s="78" t="str">
        <f aca="false">IF($AW100&gt;$AV$7,"",VLOOKUP($AW100,$AY$8:$BE$507,6,FALSE()))</f>
        <v/>
      </c>
      <c r="BL100" s="50"/>
    </row>
    <row r="101" customFormat="false" ht="15.75" hidden="false" customHeight="false" outlineLevel="0" collapsed="false">
      <c r="A101" s="5"/>
      <c r="B101" s="124"/>
      <c r="C101" s="125"/>
      <c r="D101" s="110"/>
      <c r="E101" s="130"/>
      <c r="F101" s="135"/>
      <c r="G101" s="88"/>
      <c r="H101" s="136"/>
      <c r="I101" s="137"/>
      <c r="J101" s="91"/>
      <c r="K101" s="92"/>
      <c r="L101" s="137"/>
      <c r="M101" s="93"/>
      <c r="N101" s="94"/>
      <c r="O101" s="130"/>
      <c r="P101" s="96"/>
      <c r="Q101" s="97" t="str">
        <f aca="false">IF(ISBLANK($C101),"",IF(E101=Constants!$B$2, TRUE(), IF(E101=Constants!$B$3, FALSE(), TRUE())))</f>
        <v/>
      </c>
      <c r="R101" s="97" t="str">
        <f aca="false">IF(ISBLANK($C101),"",IF(F101=Constants!$B$2, TRUE(), IF(F101=Constants!$B$3, FALSE(), TRUE())))</f>
        <v/>
      </c>
      <c r="S101" s="97" t="str">
        <f aca="false">IF(ISBLANK($C101),"",IF(G101=Constants!$B$15,Constants!$B$8,IF(G101=Constants!$B$16,Constants!$B$9,Constants!$B$10)))</f>
        <v/>
      </c>
      <c r="T101" s="97" t="str">
        <f aca="false">IF(ISBLANK($C101),"",IF(H101=Constants!$B$2, TRUE(), IF(H101=Constants!$B$3, FALSE(), TRUE())))</f>
        <v/>
      </c>
      <c r="U101" s="97" t="str">
        <f aca="false">IF(ISBLANK($C101),"",IF(I101=Constants!$B$19,Constants!$B$19,Constants!$B$18))</f>
        <v/>
      </c>
      <c r="V101" s="97" t="str">
        <f aca="false">IF(ISBLANK($C101),"",IF(COUNTA(J101:K101)=0,"",IF(AND(OR(ISBLANK(J101),AND(ISNUMBER(J101),J101&gt;=0)),OR(ISBLANK(K101),AND(ISNUMBER(K101),K101&gt;=0))),60*IF(ISBLANK(J101),0,J101)+IF(ISBLANK(K101),0,K101),"")))</f>
        <v/>
      </c>
      <c r="W101" s="97" t="str">
        <f aca="false">IF(ISBLANK($C101),"",IF(L101=Constants!$B$19,Constants!$B$19,Constants!$B$18))</f>
        <v/>
      </c>
      <c r="X101" s="97" t="str">
        <f aca="false">IF(ISBLANK($C101),"",IF(COUNTA(M101:N101)=0,"",IF(AND(OR(ISBLANK(M101),AND(ISNUMBER(M101),M101&gt;=0)),OR(ISBLANK(N101),AND(ISNUMBER(N101),N101&gt;=0))),60*IF(ISBLANK(M101),0,M101)+IF(ISBLANK(N101),0,N101),"")))</f>
        <v/>
      </c>
      <c r="Y101" s="97" t="str">
        <f aca="false">IF(ISBLANK($C101),"",IF(O101=Constants!$B$2, TRUE(), IF(O101=Constants!$B$3, FALSE(), FALSE())))</f>
        <v/>
      </c>
      <c r="Z101" s="97" t="str">
        <f aca="false">IF(ISBLANK($C101),"",IF(Y101,Constants!$B$4,IF(COUNTA(E101:N101)=0,Constants!$B$5,IF(COUNTA(J101:K101,M101:N101)=0,Constants!$B$6,Constants!$B$7))))</f>
        <v/>
      </c>
      <c r="AA101" s="97" t="str">
        <f aca="false">IF(ISBLANK($C101),"",IF($Z101&lt;&gt;Constants!$B$7,$Z101,IF(OR(NOT(T101),AND(NOT(Q101),COUNTIFS(U101:W101,Constants!$B$18,V101:X101,"&gt;=0")&gt;0),AND(NOT(R101),COUNTIFS(U101:W101,Constants!$B$19,V101:X101,"&gt;=0")&gt;0)),Constants!$B$12,Constants!$B$11)))</f>
        <v/>
      </c>
      <c r="AB101" s="97" t="str">
        <f aca="false">IF($Z101=Constants!$B$7,IF(V101="",Constants!$B$13,V101),"")</f>
        <v/>
      </c>
      <c r="AC101" s="97" t="str">
        <f aca="false">IF($Z101=Constants!$B$7,IF(X101="",Constants!$B$13,X101),"")</f>
        <v/>
      </c>
      <c r="AD101" s="97" t="str">
        <f aca="false">IF($Z101=Constants!$B$7,IF($AB101&gt;=$AC101,1,2),"")</f>
        <v/>
      </c>
      <c r="AE101" s="97" t="str">
        <f aca="false">IF($Z101=Constants!$B$7,LARGE(AB101:AC101,1),"")</f>
        <v/>
      </c>
      <c r="AF101" s="97" t="str">
        <f aca="false">IF(ISBLANK($C101),"",IF($Z101&lt;&gt;Constants!$B$7,$Z101,AE101*S101))</f>
        <v/>
      </c>
      <c r="AG101" s="97" t="str">
        <f aca="false">IF(ISBLANK($C101),"",IF($Z101=Constants!$B$7,IF(ISNUMBER(AF101),RANK(AF101,$AF$8:$AF$507),Constants!$B$14),$Z101))</f>
        <v/>
      </c>
      <c r="AH101" s="97" t="str">
        <f aca="false">IF(ISBLANK($C101),"",IF($Z101=Constants!$B$7,IF(ISNUMBER(AG101),COUNTIFS($AA$8:$AA$507,"&lt;"&amp;$AA101)+COUNTIFS($AA$8:$AA$507,$AA101,$AG$8:$AG$507,"&lt;"&amp;$AG101)+1,Constants!$B$14),$Z101))</f>
        <v/>
      </c>
      <c r="AI101" s="97" t="str">
        <f aca="false">IF(ISBLANK($C101),"",IF($Z101=Constants!$B$7,LARGE(AB101:AC101,2)*S101,""))</f>
        <v/>
      </c>
      <c r="AJ101" s="97" t="str">
        <f aca="false">IF(ISBLANK($C101),"",IF($Z101=Constants!$B$7,RANK(AI101,$AI$8:$AI$507),$Z101))</f>
        <v/>
      </c>
      <c r="AK101" s="97" t="str">
        <f aca="false">IF(ISBLANK($C101),"",IF($Z101=Constants!$B$7,IF(ISNUMBER(AG101),COUNTIFS($AA$8:$AA$507,"&lt;"&amp;$AA101)+COUNTIFS($AA$8:$AA$507,$AA101,$AG$8:$AG$507,"&lt;"&amp;$AG101)+COUNTIFS($AA$8:$AA$507,$AA101,$AG$8:$AG$507,$AG101,$AJ$8:$AJ$507,"&lt;"&amp;$AJ101)+1,Constants!$B$14),$Z101))</f>
        <v/>
      </c>
      <c r="AL101" s="97" t="str">
        <f aca="false">IF(ISBLANK($C101),"",IF($Z101=Constants!$B$7,IF(ISNUMBER(AH101),AH101-AK101,Constants!$B$14),$Z101))</f>
        <v/>
      </c>
      <c r="AM101" s="98"/>
      <c r="AN101" s="99" t="str">
        <f aca="false">IF(ISBLANK($C101),"",IF($Z101&lt;&gt;Constants!$B$7,$Z101,AD101))</f>
        <v/>
      </c>
      <c r="AO101" s="100" t="str">
        <f aca="false">IF(ISBLANK($C101),"",IF($Z101&lt;&gt;Constants!$B$7,$Z101,S101))</f>
        <v/>
      </c>
      <c r="AP101" s="101" t="str">
        <f aca="false">IF(ISBLANK($C101),"",IF($Z101&lt;&gt;Constants!$B$7,$Z101,AF101))</f>
        <v/>
      </c>
      <c r="AQ101" s="102" t="str">
        <f aca="false">IF(ISBLANK($C101),"",IF($Z101&lt;&gt;Constants!$B$7,$Z101,AA101))</f>
        <v/>
      </c>
      <c r="AR101" s="100" t="str">
        <f aca="false">IF(ISBLANK($C101),"",AL101)</f>
        <v/>
      </c>
      <c r="AS101" s="100" t="str">
        <f aca="false">IF(ISBLANK($C101),"",AK101)</f>
        <v/>
      </c>
      <c r="AT101" s="103" t="str">
        <f aca="false">IF(ISBLANK($C101),"",IF(AS101=Constants!$B$4,COUNTA($C$8:$C$507)+2,IF(AS101=Constants!$B$5,COUNTA($C$8:$C$507)+1,IF(AS101=Constants!$B$6,COUNTA($C$8:$C$507),AS101))))</f>
        <v/>
      </c>
      <c r="AU101" s="5"/>
      <c r="AV101" s="104" t="n">
        <f aca="false">IF(OR(ISNUMBER(AS101),AS101=Constants!$B$4,AS101=Constants!$B$6,AS101=Constants!$B$5),1,0)</f>
        <v>0</v>
      </c>
      <c r="AW101" s="104" t="n">
        <v>94</v>
      </c>
      <c r="AX101" s="104" t="str">
        <f aca="false">IF(ISBLANK($C101),"",IF(ISNUMBER(AT101),AT101+ROW($B101)/1000,""))</f>
        <v/>
      </c>
      <c r="AY101" s="104" t="str">
        <f aca="false">IF(ISNUMBER(AX101),RANK(AX101,$AX$8:$AX$507,1),"")</f>
        <v/>
      </c>
      <c r="AZ101" s="104" t="str">
        <f aca="false">IF(ISBLANK($C101),"",$B101)</f>
        <v/>
      </c>
      <c r="BA101" s="104" t="str">
        <f aca="false">IF(ISBLANK($C101),"",$C101)</f>
        <v/>
      </c>
      <c r="BB101" s="104" t="str">
        <f aca="false">IF(ISBLANK($C101),"",$D101)</f>
        <v/>
      </c>
      <c r="BC101" s="105" t="str">
        <f aca="false">AQ101</f>
        <v/>
      </c>
      <c r="BD101" s="106" t="str">
        <f aca="false">AP101</f>
        <v/>
      </c>
      <c r="BE101" s="104" t="str">
        <f aca="false">IF(ISBLANK($C101),"",AS101)</f>
        <v/>
      </c>
      <c r="BF101" s="107" t="str">
        <f aca="false">IF($AW101&gt;$AV$7,"",VLOOKUP($AW101,$AY$8:$BE$507,7,FALSE()))</f>
        <v/>
      </c>
      <c r="BG101" s="108" t="str">
        <f aca="false">IF($AW101&gt;$AV$7,"",VLOOKUP($AW101,$AY$8:$BE$507,2,FALSE()))</f>
        <v/>
      </c>
      <c r="BH101" s="108" t="str">
        <f aca="false">IF($AW101&gt;$AV$7,"",VLOOKUP($AW101,$AY$8:$BE$507,3,FALSE()))</f>
        <v/>
      </c>
      <c r="BI101" s="108" t="str">
        <f aca="false">IF($AW101&gt;$AV$7,"",VLOOKUP($AW101,$AY$8:$BE$507,4,FALSE()))</f>
        <v/>
      </c>
      <c r="BJ101" s="108" t="str">
        <f aca="false">IF($AW101&gt;$AV$7,"",VLOOKUP($AW101,$AY$8:$BE$507,5,FALSE()))</f>
        <v/>
      </c>
      <c r="BK101" s="109" t="str">
        <f aca="false">IF($AW101&gt;$AV$7,"",VLOOKUP($AW101,$AY$8:$BE$507,6,FALSE()))</f>
        <v/>
      </c>
      <c r="BL101" s="50"/>
    </row>
    <row r="102" customFormat="false" ht="15.75" hidden="false" customHeight="false" outlineLevel="0" collapsed="false">
      <c r="A102" s="5"/>
      <c r="B102" s="124"/>
      <c r="C102" s="125"/>
      <c r="D102" s="110"/>
      <c r="E102" s="130"/>
      <c r="F102" s="135"/>
      <c r="G102" s="88"/>
      <c r="H102" s="136"/>
      <c r="I102" s="137"/>
      <c r="J102" s="91"/>
      <c r="K102" s="92"/>
      <c r="L102" s="137"/>
      <c r="M102" s="93"/>
      <c r="N102" s="94"/>
      <c r="O102" s="130"/>
      <c r="P102" s="96"/>
      <c r="Q102" s="97" t="str">
        <f aca="false">IF(ISBLANK($C102),"",IF(E102=Constants!$B$2, TRUE(), IF(E102=Constants!$B$3, FALSE(), TRUE())))</f>
        <v/>
      </c>
      <c r="R102" s="97" t="str">
        <f aca="false">IF(ISBLANK($C102),"",IF(F102=Constants!$B$2, TRUE(), IF(F102=Constants!$B$3, FALSE(), TRUE())))</f>
        <v/>
      </c>
      <c r="S102" s="97" t="str">
        <f aca="false">IF(ISBLANK($C102),"",IF(G102=Constants!$B$15,Constants!$B$8,IF(G102=Constants!$B$16,Constants!$B$9,Constants!$B$10)))</f>
        <v/>
      </c>
      <c r="T102" s="97" t="str">
        <f aca="false">IF(ISBLANK($C102),"",IF(H102=Constants!$B$2, TRUE(), IF(H102=Constants!$B$3, FALSE(), TRUE())))</f>
        <v/>
      </c>
      <c r="U102" s="97" t="str">
        <f aca="false">IF(ISBLANK($C102),"",IF(I102=Constants!$B$19,Constants!$B$19,Constants!$B$18))</f>
        <v/>
      </c>
      <c r="V102" s="97" t="str">
        <f aca="false">IF(ISBLANK($C102),"",IF(COUNTA(J102:K102)=0,"",IF(AND(OR(ISBLANK(J102),AND(ISNUMBER(J102),J102&gt;=0)),OR(ISBLANK(K102),AND(ISNUMBER(K102),K102&gt;=0))),60*IF(ISBLANK(J102),0,J102)+IF(ISBLANK(K102),0,K102),"")))</f>
        <v/>
      </c>
      <c r="W102" s="97" t="str">
        <f aca="false">IF(ISBLANK($C102),"",IF(L102=Constants!$B$19,Constants!$B$19,Constants!$B$18))</f>
        <v/>
      </c>
      <c r="X102" s="97" t="str">
        <f aca="false">IF(ISBLANK($C102),"",IF(COUNTA(M102:N102)=0,"",IF(AND(OR(ISBLANK(M102),AND(ISNUMBER(M102),M102&gt;=0)),OR(ISBLANK(N102),AND(ISNUMBER(N102),N102&gt;=0))),60*IF(ISBLANK(M102),0,M102)+IF(ISBLANK(N102),0,N102),"")))</f>
        <v/>
      </c>
      <c r="Y102" s="97" t="str">
        <f aca="false">IF(ISBLANK($C102),"",IF(O102=Constants!$B$2, TRUE(), IF(O102=Constants!$B$3, FALSE(), FALSE())))</f>
        <v/>
      </c>
      <c r="Z102" s="97" t="str">
        <f aca="false">IF(ISBLANK($C102),"",IF(Y102,Constants!$B$4,IF(COUNTA(E102:N102)=0,Constants!$B$5,IF(COUNTA(J102:K102,M102:N102)=0,Constants!$B$6,Constants!$B$7))))</f>
        <v/>
      </c>
      <c r="AA102" s="97" t="str">
        <f aca="false">IF(ISBLANK($C102),"",IF($Z102&lt;&gt;Constants!$B$7,$Z102,IF(OR(NOT(T102),AND(NOT(Q102),COUNTIFS(U102:W102,Constants!$B$18,V102:X102,"&gt;=0")&gt;0),AND(NOT(R102),COUNTIFS(U102:W102,Constants!$B$19,V102:X102,"&gt;=0")&gt;0)),Constants!$B$12,Constants!$B$11)))</f>
        <v/>
      </c>
      <c r="AB102" s="97" t="str">
        <f aca="false">IF($Z102=Constants!$B$7,IF(V102="",Constants!$B$13,V102),"")</f>
        <v/>
      </c>
      <c r="AC102" s="97" t="str">
        <f aca="false">IF($Z102=Constants!$B$7,IF(X102="",Constants!$B$13,X102),"")</f>
        <v/>
      </c>
      <c r="AD102" s="97" t="str">
        <f aca="false">IF($Z102=Constants!$B$7,IF($AB102&gt;=$AC102,1,2),"")</f>
        <v/>
      </c>
      <c r="AE102" s="97" t="str">
        <f aca="false">IF($Z102=Constants!$B$7,LARGE(AB102:AC102,1),"")</f>
        <v/>
      </c>
      <c r="AF102" s="97" t="str">
        <f aca="false">IF(ISBLANK($C102),"",IF($Z102&lt;&gt;Constants!$B$7,$Z102,AE102*S102))</f>
        <v/>
      </c>
      <c r="AG102" s="97" t="str">
        <f aca="false">IF(ISBLANK($C102),"",IF($Z102=Constants!$B$7,IF(ISNUMBER(AF102),RANK(AF102,$AF$8:$AF$507),Constants!$B$14),$Z102))</f>
        <v/>
      </c>
      <c r="AH102" s="97" t="str">
        <f aca="false">IF(ISBLANK($C102),"",IF($Z102=Constants!$B$7,IF(ISNUMBER(AG102),COUNTIFS($AA$8:$AA$507,"&lt;"&amp;$AA102)+COUNTIFS($AA$8:$AA$507,$AA102,$AG$8:$AG$507,"&lt;"&amp;$AG102)+1,Constants!$B$14),$Z102))</f>
        <v/>
      </c>
      <c r="AI102" s="97" t="str">
        <f aca="false">IF(ISBLANK($C102),"",IF($Z102=Constants!$B$7,LARGE(AB102:AC102,2)*S102,""))</f>
        <v/>
      </c>
      <c r="AJ102" s="97" t="str">
        <f aca="false">IF(ISBLANK($C102),"",IF($Z102=Constants!$B$7,RANK(AI102,$AI$8:$AI$507),$Z102))</f>
        <v/>
      </c>
      <c r="AK102" s="97" t="str">
        <f aca="false">IF(ISBLANK($C102),"",IF($Z102=Constants!$B$7,IF(ISNUMBER(AG102),COUNTIFS($AA$8:$AA$507,"&lt;"&amp;$AA102)+COUNTIFS($AA$8:$AA$507,$AA102,$AG$8:$AG$507,"&lt;"&amp;$AG102)+COUNTIFS($AA$8:$AA$507,$AA102,$AG$8:$AG$507,$AG102,$AJ$8:$AJ$507,"&lt;"&amp;$AJ102)+1,Constants!$B$14),$Z102))</f>
        <v/>
      </c>
      <c r="AL102" s="97" t="str">
        <f aca="false">IF(ISBLANK($C102),"",IF($Z102=Constants!$B$7,IF(ISNUMBER(AH102),AH102-AK102,Constants!$B$14),$Z102))</f>
        <v/>
      </c>
      <c r="AM102" s="98"/>
      <c r="AN102" s="99" t="str">
        <f aca="false">IF(ISBLANK($C102),"",IF($Z102&lt;&gt;Constants!$B$7,$Z102,AD102))</f>
        <v/>
      </c>
      <c r="AO102" s="100" t="str">
        <f aca="false">IF(ISBLANK($C102),"",IF($Z102&lt;&gt;Constants!$B$7,$Z102,S102))</f>
        <v/>
      </c>
      <c r="AP102" s="101" t="str">
        <f aca="false">IF(ISBLANK($C102),"",IF($Z102&lt;&gt;Constants!$B$7,$Z102,AF102))</f>
        <v/>
      </c>
      <c r="AQ102" s="102" t="str">
        <f aca="false">IF(ISBLANK($C102),"",IF($Z102&lt;&gt;Constants!$B$7,$Z102,AA102))</f>
        <v/>
      </c>
      <c r="AR102" s="100" t="str">
        <f aca="false">IF(ISBLANK($C102),"",AL102)</f>
        <v/>
      </c>
      <c r="AS102" s="100" t="str">
        <f aca="false">IF(ISBLANK($C102),"",AK102)</f>
        <v/>
      </c>
      <c r="AT102" s="103" t="str">
        <f aca="false">IF(ISBLANK($C102),"",IF(AS102=Constants!$B$4,COUNTA($C$8:$C$507)+2,IF(AS102=Constants!$B$5,COUNTA($C$8:$C$507)+1,IF(AS102=Constants!$B$6,COUNTA($C$8:$C$507),AS102))))</f>
        <v/>
      </c>
      <c r="AU102" s="5"/>
      <c r="AV102" s="104" t="n">
        <f aca="false">IF(OR(ISNUMBER(AS102),AS102=Constants!$B$4,AS102=Constants!$B$6,AS102=Constants!$B$5),1,0)</f>
        <v>0</v>
      </c>
      <c r="AW102" s="104" t="n">
        <v>95</v>
      </c>
      <c r="AX102" s="104" t="str">
        <f aca="false">IF(ISBLANK($C102),"",IF(ISNUMBER(AT102),AT102+ROW($B102)/1000,""))</f>
        <v/>
      </c>
      <c r="AY102" s="104" t="str">
        <f aca="false">IF(ISNUMBER(AX102),RANK(AX102,$AX$8:$AX$507,1),"")</f>
        <v/>
      </c>
      <c r="AZ102" s="104" t="str">
        <f aca="false">IF(ISBLANK($C102),"",$B102)</f>
        <v/>
      </c>
      <c r="BA102" s="104" t="str">
        <f aca="false">IF(ISBLANK($C102),"",$C102)</f>
        <v/>
      </c>
      <c r="BB102" s="104" t="str">
        <f aca="false">IF(ISBLANK($C102),"",$D102)</f>
        <v/>
      </c>
      <c r="BC102" s="105" t="str">
        <f aca="false">AQ102</f>
        <v/>
      </c>
      <c r="BD102" s="106" t="str">
        <f aca="false">AP102</f>
        <v/>
      </c>
      <c r="BE102" s="104" t="str">
        <f aca="false">IF(ISBLANK($C102),"",AS102)</f>
        <v/>
      </c>
      <c r="BF102" s="107" t="str">
        <f aca="false">IF($AW102&gt;$AV$7,"",VLOOKUP($AW102,$AY$8:$BE$507,7,FALSE()))</f>
        <v/>
      </c>
      <c r="BG102" s="108" t="str">
        <f aca="false">IF($AW102&gt;$AV$7,"",VLOOKUP($AW102,$AY$8:$BE$507,2,FALSE()))</f>
        <v/>
      </c>
      <c r="BH102" s="108" t="str">
        <f aca="false">IF($AW102&gt;$AV$7,"",VLOOKUP($AW102,$AY$8:$BE$507,3,FALSE()))</f>
        <v/>
      </c>
      <c r="BI102" s="108" t="str">
        <f aca="false">IF($AW102&gt;$AV$7,"",VLOOKUP($AW102,$AY$8:$BE$507,4,FALSE()))</f>
        <v/>
      </c>
      <c r="BJ102" s="108" t="str">
        <f aca="false">IF($AW102&gt;$AV$7,"",VLOOKUP($AW102,$AY$8:$BE$507,5,FALSE()))</f>
        <v/>
      </c>
      <c r="BK102" s="109" t="str">
        <f aca="false">IF($AW102&gt;$AV$7,"",VLOOKUP($AW102,$AY$8:$BE$507,6,FALSE()))</f>
        <v/>
      </c>
      <c r="BL102" s="50"/>
    </row>
    <row r="103" customFormat="false" ht="15.75" hidden="false" customHeight="false" outlineLevel="0" collapsed="false">
      <c r="A103" s="5"/>
      <c r="B103" s="124"/>
      <c r="C103" s="125"/>
      <c r="D103" s="110"/>
      <c r="E103" s="130"/>
      <c r="F103" s="135"/>
      <c r="G103" s="88"/>
      <c r="H103" s="136"/>
      <c r="I103" s="137"/>
      <c r="J103" s="91"/>
      <c r="K103" s="92"/>
      <c r="L103" s="137"/>
      <c r="M103" s="93"/>
      <c r="N103" s="94"/>
      <c r="O103" s="130"/>
      <c r="P103" s="96"/>
      <c r="Q103" s="97" t="str">
        <f aca="false">IF(ISBLANK($C103),"",IF(E103=Constants!$B$2, TRUE(), IF(E103=Constants!$B$3, FALSE(), TRUE())))</f>
        <v/>
      </c>
      <c r="R103" s="97" t="str">
        <f aca="false">IF(ISBLANK($C103),"",IF(F103=Constants!$B$2, TRUE(), IF(F103=Constants!$B$3, FALSE(), TRUE())))</f>
        <v/>
      </c>
      <c r="S103" s="97" t="str">
        <f aca="false">IF(ISBLANK($C103),"",IF(G103=Constants!$B$15,Constants!$B$8,IF(G103=Constants!$B$16,Constants!$B$9,Constants!$B$10)))</f>
        <v/>
      </c>
      <c r="T103" s="97" t="str">
        <f aca="false">IF(ISBLANK($C103),"",IF(H103=Constants!$B$2, TRUE(), IF(H103=Constants!$B$3, FALSE(), TRUE())))</f>
        <v/>
      </c>
      <c r="U103" s="97" t="str">
        <f aca="false">IF(ISBLANK($C103),"",IF(I103=Constants!$B$19,Constants!$B$19,Constants!$B$18))</f>
        <v/>
      </c>
      <c r="V103" s="97" t="str">
        <f aca="false">IF(ISBLANK($C103),"",IF(COUNTA(J103:K103)=0,"",IF(AND(OR(ISBLANK(J103),AND(ISNUMBER(J103),J103&gt;=0)),OR(ISBLANK(K103),AND(ISNUMBER(K103),K103&gt;=0))),60*IF(ISBLANK(J103),0,J103)+IF(ISBLANK(K103),0,K103),"")))</f>
        <v/>
      </c>
      <c r="W103" s="97" t="str">
        <f aca="false">IF(ISBLANK($C103),"",IF(L103=Constants!$B$19,Constants!$B$19,Constants!$B$18))</f>
        <v/>
      </c>
      <c r="X103" s="97" t="str">
        <f aca="false">IF(ISBLANK($C103),"",IF(COUNTA(M103:N103)=0,"",IF(AND(OR(ISBLANK(M103),AND(ISNUMBER(M103),M103&gt;=0)),OR(ISBLANK(N103),AND(ISNUMBER(N103),N103&gt;=0))),60*IF(ISBLANK(M103),0,M103)+IF(ISBLANK(N103),0,N103),"")))</f>
        <v/>
      </c>
      <c r="Y103" s="97" t="str">
        <f aca="false">IF(ISBLANK($C103),"",IF(O103=Constants!$B$2, TRUE(), IF(O103=Constants!$B$3, FALSE(), FALSE())))</f>
        <v/>
      </c>
      <c r="Z103" s="97" t="str">
        <f aca="false">IF(ISBLANK($C103),"",IF(Y103,Constants!$B$4,IF(COUNTA(E103:N103)=0,Constants!$B$5,IF(COUNTA(J103:K103,M103:N103)=0,Constants!$B$6,Constants!$B$7))))</f>
        <v/>
      </c>
      <c r="AA103" s="97" t="str">
        <f aca="false">IF(ISBLANK($C103),"",IF($Z103&lt;&gt;Constants!$B$7,$Z103,IF(OR(NOT(T103),AND(NOT(Q103),COUNTIFS(U103:W103,Constants!$B$18,V103:X103,"&gt;=0")&gt;0),AND(NOT(R103),COUNTIFS(U103:W103,Constants!$B$19,V103:X103,"&gt;=0")&gt;0)),Constants!$B$12,Constants!$B$11)))</f>
        <v/>
      </c>
      <c r="AB103" s="97" t="str">
        <f aca="false">IF($Z103=Constants!$B$7,IF(V103="",Constants!$B$13,V103),"")</f>
        <v/>
      </c>
      <c r="AC103" s="97" t="str">
        <f aca="false">IF($Z103=Constants!$B$7,IF(X103="",Constants!$B$13,X103),"")</f>
        <v/>
      </c>
      <c r="AD103" s="97" t="str">
        <f aca="false">IF($Z103=Constants!$B$7,IF($AB103&gt;=$AC103,1,2),"")</f>
        <v/>
      </c>
      <c r="AE103" s="97" t="str">
        <f aca="false">IF($Z103=Constants!$B$7,LARGE(AB103:AC103,1),"")</f>
        <v/>
      </c>
      <c r="AF103" s="97" t="str">
        <f aca="false">IF(ISBLANK($C103),"",IF($Z103&lt;&gt;Constants!$B$7,$Z103,AE103*S103))</f>
        <v/>
      </c>
      <c r="AG103" s="97" t="str">
        <f aca="false">IF(ISBLANK($C103),"",IF($Z103=Constants!$B$7,IF(ISNUMBER(AF103),RANK(AF103,$AF$8:$AF$507),Constants!$B$14),$Z103))</f>
        <v/>
      </c>
      <c r="AH103" s="97" t="str">
        <f aca="false">IF(ISBLANK($C103),"",IF($Z103=Constants!$B$7,IF(ISNUMBER(AG103),COUNTIFS($AA$8:$AA$507,"&lt;"&amp;$AA103)+COUNTIFS($AA$8:$AA$507,$AA103,$AG$8:$AG$507,"&lt;"&amp;$AG103)+1,Constants!$B$14),$Z103))</f>
        <v/>
      </c>
      <c r="AI103" s="97" t="str">
        <f aca="false">IF(ISBLANK($C103),"",IF($Z103=Constants!$B$7,LARGE(AB103:AC103,2)*S103,""))</f>
        <v/>
      </c>
      <c r="AJ103" s="97" t="str">
        <f aca="false">IF(ISBLANK($C103),"",IF($Z103=Constants!$B$7,RANK(AI103,$AI$8:$AI$507),$Z103))</f>
        <v/>
      </c>
      <c r="AK103" s="97" t="str">
        <f aca="false">IF(ISBLANK($C103),"",IF($Z103=Constants!$B$7,IF(ISNUMBER(AG103),COUNTIFS($AA$8:$AA$507,"&lt;"&amp;$AA103)+COUNTIFS($AA$8:$AA$507,$AA103,$AG$8:$AG$507,"&lt;"&amp;$AG103)+COUNTIFS($AA$8:$AA$507,$AA103,$AG$8:$AG$507,$AG103,$AJ$8:$AJ$507,"&lt;"&amp;$AJ103)+1,Constants!$B$14),$Z103))</f>
        <v/>
      </c>
      <c r="AL103" s="97" t="str">
        <f aca="false">IF(ISBLANK($C103),"",IF($Z103=Constants!$B$7,IF(ISNUMBER(AH103),AH103-AK103,Constants!$B$14),$Z103))</f>
        <v/>
      </c>
      <c r="AM103" s="98"/>
      <c r="AN103" s="99" t="str">
        <f aca="false">IF(ISBLANK($C103),"",IF($Z103&lt;&gt;Constants!$B$7,$Z103,AD103))</f>
        <v/>
      </c>
      <c r="AO103" s="100" t="str">
        <f aca="false">IF(ISBLANK($C103),"",IF($Z103&lt;&gt;Constants!$B$7,$Z103,S103))</f>
        <v/>
      </c>
      <c r="AP103" s="101" t="str">
        <f aca="false">IF(ISBLANK($C103),"",IF($Z103&lt;&gt;Constants!$B$7,$Z103,AF103))</f>
        <v/>
      </c>
      <c r="AQ103" s="102" t="str">
        <f aca="false">IF(ISBLANK($C103),"",IF($Z103&lt;&gt;Constants!$B$7,$Z103,AA103))</f>
        <v/>
      </c>
      <c r="AR103" s="100" t="str">
        <f aca="false">IF(ISBLANK($C103),"",AL103)</f>
        <v/>
      </c>
      <c r="AS103" s="100" t="str">
        <f aca="false">IF(ISBLANK($C103),"",AK103)</f>
        <v/>
      </c>
      <c r="AT103" s="103" t="str">
        <f aca="false">IF(ISBLANK($C103),"",IF(AS103=Constants!$B$4,COUNTA($C$8:$C$507)+2,IF(AS103=Constants!$B$5,COUNTA($C$8:$C$507)+1,IF(AS103=Constants!$B$6,COUNTA($C$8:$C$507),AS103))))</f>
        <v/>
      </c>
      <c r="AU103" s="5"/>
      <c r="AV103" s="104" t="n">
        <f aca="false">IF(OR(ISNUMBER(AS103),AS103=Constants!$B$4,AS103=Constants!$B$6,AS103=Constants!$B$5),1,0)</f>
        <v>0</v>
      </c>
      <c r="AW103" s="104" t="n">
        <v>96</v>
      </c>
      <c r="AX103" s="104" t="str">
        <f aca="false">IF(ISBLANK($C103),"",IF(ISNUMBER(AT103),AT103+ROW($B103)/1000,""))</f>
        <v/>
      </c>
      <c r="AY103" s="104" t="str">
        <f aca="false">IF(ISNUMBER(AX103),RANK(AX103,$AX$8:$AX$507,1),"")</f>
        <v/>
      </c>
      <c r="AZ103" s="104" t="str">
        <f aca="false">IF(ISBLANK($C103),"",$B103)</f>
        <v/>
      </c>
      <c r="BA103" s="104" t="str">
        <f aca="false">IF(ISBLANK($C103),"",$C103)</f>
        <v/>
      </c>
      <c r="BB103" s="104" t="str">
        <f aca="false">IF(ISBLANK($C103),"",$D103)</f>
        <v/>
      </c>
      <c r="BC103" s="105" t="str">
        <f aca="false">AQ103</f>
        <v/>
      </c>
      <c r="BD103" s="106" t="str">
        <f aca="false">AP103</f>
        <v/>
      </c>
      <c r="BE103" s="104" t="str">
        <f aca="false">IF(ISBLANK($C103),"",AS103)</f>
        <v/>
      </c>
      <c r="BF103" s="107" t="str">
        <f aca="false">IF($AW103&gt;$AV$7,"",VLOOKUP($AW103,$AY$8:$BE$507,7,FALSE()))</f>
        <v/>
      </c>
      <c r="BG103" s="108" t="str">
        <f aca="false">IF($AW103&gt;$AV$7,"",VLOOKUP($AW103,$AY$8:$BE$507,2,FALSE()))</f>
        <v/>
      </c>
      <c r="BH103" s="108" t="str">
        <f aca="false">IF($AW103&gt;$AV$7,"",VLOOKUP($AW103,$AY$8:$BE$507,3,FALSE()))</f>
        <v/>
      </c>
      <c r="BI103" s="108" t="str">
        <f aca="false">IF($AW103&gt;$AV$7,"",VLOOKUP($AW103,$AY$8:$BE$507,4,FALSE()))</f>
        <v/>
      </c>
      <c r="BJ103" s="108" t="str">
        <f aca="false">IF($AW103&gt;$AV$7,"",VLOOKUP($AW103,$AY$8:$BE$507,5,FALSE()))</f>
        <v/>
      </c>
      <c r="BK103" s="109" t="str">
        <f aca="false">IF($AW103&gt;$AV$7,"",VLOOKUP($AW103,$AY$8:$BE$507,6,FALSE()))</f>
        <v/>
      </c>
      <c r="BL103" s="50"/>
    </row>
    <row r="104" customFormat="false" ht="15.75" hidden="false" customHeight="false" outlineLevel="0" collapsed="false">
      <c r="A104" s="5"/>
      <c r="B104" s="131"/>
      <c r="C104" s="52"/>
      <c r="D104" s="53"/>
      <c r="E104" s="80"/>
      <c r="F104" s="132"/>
      <c r="G104" s="56"/>
      <c r="H104" s="133"/>
      <c r="I104" s="134"/>
      <c r="J104" s="59"/>
      <c r="K104" s="60"/>
      <c r="L104" s="134"/>
      <c r="M104" s="61"/>
      <c r="N104" s="62"/>
      <c r="O104" s="80"/>
      <c r="P104" s="64"/>
      <c r="Q104" s="65" t="str">
        <f aca="false">IF(ISBLANK($C104),"",IF(E104=Constants!$B$2, TRUE(), IF(E104=Constants!$B$3, FALSE(), TRUE())))</f>
        <v/>
      </c>
      <c r="R104" s="65" t="str">
        <f aca="false">IF(ISBLANK($C104),"",IF(F104=Constants!$B$2, TRUE(), IF(F104=Constants!$B$3, FALSE(), TRUE())))</f>
        <v/>
      </c>
      <c r="S104" s="65" t="str">
        <f aca="false">IF(ISBLANK($C104),"",IF(G104=Constants!$B$15,Constants!$B$8,IF(G104=Constants!$B$16,Constants!$B$9,Constants!$B$10)))</f>
        <v/>
      </c>
      <c r="T104" s="65" t="str">
        <f aca="false">IF(ISBLANK($C104),"",IF(H104=Constants!$B$2, TRUE(), IF(H104=Constants!$B$3, FALSE(), TRUE())))</f>
        <v/>
      </c>
      <c r="U104" s="65" t="str">
        <f aca="false">IF(ISBLANK($C104),"",IF(I104=Constants!$B$19,Constants!$B$19,Constants!$B$18))</f>
        <v/>
      </c>
      <c r="V104" s="65" t="str">
        <f aca="false">IF(ISBLANK($C104),"",IF(COUNTA(J104:K104)=0,"",IF(AND(OR(ISBLANK(J104),AND(ISNUMBER(J104),J104&gt;=0)),OR(ISBLANK(K104),AND(ISNUMBER(K104),K104&gt;=0))),60*IF(ISBLANK(J104),0,J104)+IF(ISBLANK(K104),0,K104),"")))</f>
        <v/>
      </c>
      <c r="W104" s="65" t="str">
        <f aca="false">IF(ISBLANK($C104),"",IF(L104=Constants!$B$19,Constants!$B$19,Constants!$B$18))</f>
        <v/>
      </c>
      <c r="X104" s="65" t="str">
        <f aca="false">IF(ISBLANK($C104),"",IF(COUNTA(M104:N104)=0,"",IF(AND(OR(ISBLANK(M104),AND(ISNUMBER(M104),M104&gt;=0)),OR(ISBLANK(N104),AND(ISNUMBER(N104),N104&gt;=0))),60*IF(ISBLANK(M104),0,M104)+IF(ISBLANK(N104),0,N104),"")))</f>
        <v/>
      </c>
      <c r="Y104" s="65" t="str">
        <f aca="false">IF(ISBLANK($C104),"",IF(O104=Constants!$B$2, TRUE(), IF(O104=Constants!$B$3, FALSE(), FALSE())))</f>
        <v/>
      </c>
      <c r="Z104" s="65" t="str">
        <f aca="false">IF(ISBLANK($C104),"",IF(Y104,Constants!$B$4,IF(COUNTA(E104:N104)=0,Constants!$B$5,IF(COUNTA(J104:K104,M104:N104)=0,Constants!$B$6,Constants!$B$7))))</f>
        <v/>
      </c>
      <c r="AA104" s="65" t="str">
        <f aca="false">IF(ISBLANK($C104),"",IF($Z104&lt;&gt;Constants!$B$7,$Z104,IF(OR(NOT(T104),AND(NOT(Q104),COUNTIFS(U104:W104,Constants!$B$18,V104:X104,"&gt;=0")&gt;0),AND(NOT(R104),COUNTIFS(U104:W104,Constants!$B$19,V104:X104,"&gt;=0")&gt;0)),Constants!$B$12,Constants!$B$11)))</f>
        <v/>
      </c>
      <c r="AB104" s="65" t="str">
        <f aca="false">IF($Z104=Constants!$B$7,IF(V104="",Constants!$B$13,V104),"")</f>
        <v/>
      </c>
      <c r="AC104" s="65" t="str">
        <f aca="false">IF($Z104=Constants!$B$7,IF(X104="",Constants!$B$13,X104),"")</f>
        <v/>
      </c>
      <c r="AD104" s="65" t="str">
        <f aca="false">IF($Z104=Constants!$B$7,IF($AB104&gt;=$AC104,1,2),"")</f>
        <v/>
      </c>
      <c r="AE104" s="65" t="str">
        <f aca="false">IF($Z104=Constants!$B$7,LARGE(AB104:AC104,1),"")</f>
        <v/>
      </c>
      <c r="AF104" s="65" t="str">
        <f aca="false">IF(ISBLANK($C104),"",IF($Z104&lt;&gt;Constants!$B$7,$Z104,AE104*S104))</f>
        <v/>
      </c>
      <c r="AG104" s="65" t="str">
        <f aca="false">IF(ISBLANK($C104),"",IF($Z104=Constants!$B$7,IF(ISNUMBER(AF104),RANK(AF104,$AF$8:$AF$507),Constants!$B$14),$Z104))</f>
        <v/>
      </c>
      <c r="AH104" s="65" t="str">
        <f aca="false">IF(ISBLANK($C104),"",IF($Z104=Constants!$B$7,IF(ISNUMBER(AG104),COUNTIFS($AA$8:$AA$507,"&lt;"&amp;$AA104)+COUNTIFS($AA$8:$AA$507,$AA104,$AG$8:$AG$507,"&lt;"&amp;$AG104)+1,Constants!$B$14),$Z104))</f>
        <v/>
      </c>
      <c r="AI104" s="65" t="str">
        <f aca="false">IF(ISBLANK($C104),"",IF($Z104=Constants!$B$7,LARGE(AB104:AC104,2)*S104,""))</f>
        <v/>
      </c>
      <c r="AJ104" s="65" t="str">
        <f aca="false">IF(ISBLANK($C104),"",IF($Z104=Constants!$B$7,RANK(AI104,$AI$8:$AI$507),$Z104))</f>
        <v/>
      </c>
      <c r="AK104" s="65" t="str">
        <f aca="false">IF(ISBLANK($C104),"",IF($Z104=Constants!$B$7,IF(ISNUMBER(AG104),COUNTIFS($AA$8:$AA$507,"&lt;"&amp;$AA104)+COUNTIFS($AA$8:$AA$507,$AA104,$AG$8:$AG$507,"&lt;"&amp;$AG104)+COUNTIFS($AA$8:$AA$507,$AA104,$AG$8:$AG$507,$AG104,$AJ$8:$AJ$507,"&lt;"&amp;$AJ104)+1,Constants!$B$14),$Z104))</f>
        <v/>
      </c>
      <c r="AL104" s="65" t="str">
        <f aca="false">IF(ISBLANK($C104),"",IF($Z104=Constants!$B$7,IF(ISNUMBER(AH104),AH104-AK104,Constants!$B$14),$Z104))</f>
        <v/>
      </c>
      <c r="AM104" s="67"/>
      <c r="AN104" s="68" t="str">
        <f aca="false">IF(ISBLANK($C104),"",IF($Z104&lt;&gt;Constants!$B$7,$Z104,AD104))</f>
        <v/>
      </c>
      <c r="AO104" s="69" t="str">
        <f aca="false">IF(ISBLANK($C104),"",IF($Z104&lt;&gt;Constants!$B$7,$Z104,S104))</f>
        <v/>
      </c>
      <c r="AP104" s="70" t="str">
        <f aca="false">IF(ISBLANK($C104),"",IF($Z104&lt;&gt;Constants!$B$7,$Z104,AF104))</f>
        <v/>
      </c>
      <c r="AQ104" s="71" t="str">
        <f aca="false">IF(ISBLANK($C104),"",IF($Z104&lt;&gt;Constants!$B$7,$Z104,AA104))</f>
        <v/>
      </c>
      <c r="AR104" s="69" t="str">
        <f aca="false">IF(ISBLANK($C104),"",AL104)</f>
        <v/>
      </c>
      <c r="AS104" s="69" t="str">
        <f aca="false">IF(ISBLANK($C104),"",AK104)</f>
        <v/>
      </c>
      <c r="AT104" s="72" t="str">
        <f aca="false">IF(ISBLANK($C104),"",IF(AS104=Constants!$B$4,COUNTA($C$8:$C$507)+2,IF(AS104=Constants!$B$5,COUNTA($C$8:$C$507)+1,IF(AS104=Constants!$B$6,COUNTA($C$8:$C$507),AS104))))</f>
        <v/>
      </c>
      <c r="AU104" s="5"/>
      <c r="AV104" s="73" t="n">
        <f aca="false">IF(OR(ISNUMBER(AS104),AS104=Constants!$B$4,AS104=Constants!$B$6,AS104=Constants!$B$5),1,0)</f>
        <v>0</v>
      </c>
      <c r="AW104" s="73" t="n">
        <v>97</v>
      </c>
      <c r="AX104" s="73" t="str">
        <f aca="false">IF(ISBLANK($C104),"",IF(ISNUMBER(AT104),AT104+ROW($B104)/1000,""))</f>
        <v/>
      </c>
      <c r="AY104" s="73" t="str">
        <f aca="false">IF(ISNUMBER(AX104),RANK(AX104,$AX$8:$AX$507,1),"")</f>
        <v/>
      </c>
      <c r="AZ104" s="73" t="str">
        <f aca="false">IF(ISBLANK($C104),"",$B104)</f>
        <v/>
      </c>
      <c r="BA104" s="73" t="str">
        <f aca="false">IF(ISBLANK($C104),"",$C104)</f>
        <v/>
      </c>
      <c r="BB104" s="73" t="str">
        <f aca="false">IF(ISBLANK($C104),"",$D104)</f>
        <v/>
      </c>
      <c r="BC104" s="74" t="str">
        <f aca="false">AQ104</f>
        <v/>
      </c>
      <c r="BD104" s="75" t="str">
        <f aca="false">AP104</f>
        <v/>
      </c>
      <c r="BE104" s="73" t="str">
        <f aca="false">IF(ISBLANK($C104),"",AS104)</f>
        <v/>
      </c>
      <c r="BF104" s="76" t="str">
        <f aca="false">IF($AW104&gt;$AV$7,"",VLOOKUP($AW104,$AY$8:$BE$507,7,FALSE()))</f>
        <v/>
      </c>
      <c r="BG104" s="77" t="str">
        <f aca="false">IF($AW104&gt;$AV$7,"",VLOOKUP($AW104,$AY$8:$BE$507,2,FALSE()))</f>
        <v/>
      </c>
      <c r="BH104" s="77" t="str">
        <f aca="false">IF($AW104&gt;$AV$7,"",VLOOKUP($AW104,$AY$8:$BE$507,3,FALSE()))</f>
        <v/>
      </c>
      <c r="BI104" s="77" t="str">
        <f aca="false">IF($AW104&gt;$AV$7,"",VLOOKUP($AW104,$AY$8:$BE$507,4,FALSE()))</f>
        <v/>
      </c>
      <c r="BJ104" s="77" t="str">
        <f aca="false">IF($AW104&gt;$AV$7,"",VLOOKUP($AW104,$AY$8:$BE$507,5,FALSE()))</f>
        <v/>
      </c>
      <c r="BK104" s="78" t="str">
        <f aca="false">IF($AW104&gt;$AV$7,"",VLOOKUP($AW104,$AY$8:$BE$507,6,FALSE()))</f>
        <v/>
      </c>
      <c r="BL104" s="50"/>
    </row>
    <row r="105" customFormat="false" ht="15.75" hidden="false" customHeight="false" outlineLevel="0" collapsed="false">
      <c r="A105" s="5"/>
      <c r="B105" s="131"/>
      <c r="C105" s="52"/>
      <c r="D105" s="53"/>
      <c r="E105" s="80"/>
      <c r="F105" s="132"/>
      <c r="G105" s="56"/>
      <c r="H105" s="133"/>
      <c r="I105" s="134"/>
      <c r="J105" s="59"/>
      <c r="K105" s="60"/>
      <c r="L105" s="134"/>
      <c r="M105" s="61"/>
      <c r="N105" s="62"/>
      <c r="O105" s="80"/>
      <c r="P105" s="64"/>
      <c r="Q105" s="65" t="str">
        <f aca="false">IF(ISBLANK($C105),"",IF(E105=Constants!$B$2, TRUE(), IF(E105=Constants!$B$3, FALSE(), TRUE())))</f>
        <v/>
      </c>
      <c r="R105" s="65" t="str">
        <f aca="false">IF(ISBLANK($C105),"",IF(F105=Constants!$B$2, TRUE(), IF(F105=Constants!$B$3, FALSE(), TRUE())))</f>
        <v/>
      </c>
      <c r="S105" s="65" t="str">
        <f aca="false">IF(ISBLANK($C105),"",IF(G105=Constants!$B$15,Constants!$B$8,IF(G105=Constants!$B$16,Constants!$B$9,Constants!$B$10)))</f>
        <v/>
      </c>
      <c r="T105" s="65" t="str">
        <f aca="false">IF(ISBLANK($C105),"",IF(H105=Constants!$B$2, TRUE(), IF(H105=Constants!$B$3, FALSE(), TRUE())))</f>
        <v/>
      </c>
      <c r="U105" s="65" t="str">
        <f aca="false">IF(ISBLANK($C105),"",IF(I105=Constants!$B$19,Constants!$B$19,Constants!$B$18))</f>
        <v/>
      </c>
      <c r="V105" s="65" t="str">
        <f aca="false">IF(ISBLANK($C105),"",IF(COUNTA(J105:K105)=0,"",IF(AND(OR(ISBLANK(J105),AND(ISNUMBER(J105),J105&gt;=0)),OR(ISBLANK(K105),AND(ISNUMBER(K105),K105&gt;=0))),60*IF(ISBLANK(J105),0,J105)+IF(ISBLANK(K105),0,K105),"")))</f>
        <v/>
      </c>
      <c r="W105" s="65" t="str">
        <f aca="false">IF(ISBLANK($C105),"",IF(L105=Constants!$B$19,Constants!$B$19,Constants!$B$18))</f>
        <v/>
      </c>
      <c r="X105" s="65" t="str">
        <f aca="false">IF(ISBLANK($C105),"",IF(COUNTA(M105:N105)=0,"",IF(AND(OR(ISBLANK(M105),AND(ISNUMBER(M105),M105&gt;=0)),OR(ISBLANK(N105),AND(ISNUMBER(N105),N105&gt;=0))),60*IF(ISBLANK(M105),0,M105)+IF(ISBLANK(N105),0,N105),"")))</f>
        <v/>
      </c>
      <c r="Y105" s="65" t="str">
        <f aca="false">IF(ISBLANK($C105),"",IF(O105=Constants!$B$2, TRUE(), IF(O105=Constants!$B$3, FALSE(), FALSE())))</f>
        <v/>
      </c>
      <c r="Z105" s="65" t="str">
        <f aca="false">IF(ISBLANK($C105),"",IF(Y105,Constants!$B$4,IF(COUNTA(E105:N105)=0,Constants!$B$5,IF(COUNTA(J105:K105,M105:N105)=0,Constants!$B$6,Constants!$B$7))))</f>
        <v/>
      </c>
      <c r="AA105" s="65" t="str">
        <f aca="false">IF(ISBLANK($C105),"",IF($Z105&lt;&gt;Constants!$B$7,$Z105,IF(OR(NOT(T105),AND(NOT(Q105),COUNTIFS(U105:W105,Constants!$B$18,V105:X105,"&gt;=0")&gt;0),AND(NOT(R105),COUNTIFS(U105:W105,Constants!$B$19,V105:X105,"&gt;=0")&gt;0)),Constants!$B$12,Constants!$B$11)))</f>
        <v/>
      </c>
      <c r="AB105" s="65" t="str">
        <f aca="false">IF($Z105=Constants!$B$7,IF(V105="",Constants!$B$13,V105),"")</f>
        <v/>
      </c>
      <c r="AC105" s="65" t="str">
        <f aca="false">IF($Z105=Constants!$B$7,IF(X105="",Constants!$B$13,X105),"")</f>
        <v/>
      </c>
      <c r="AD105" s="65" t="str">
        <f aca="false">IF($Z105=Constants!$B$7,IF($AB105&gt;=$AC105,1,2),"")</f>
        <v/>
      </c>
      <c r="AE105" s="65" t="str">
        <f aca="false">IF($Z105=Constants!$B$7,LARGE(AB105:AC105,1),"")</f>
        <v/>
      </c>
      <c r="AF105" s="65" t="str">
        <f aca="false">IF(ISBLANK($C105),"",IF($Z105&lt;&gt;Constants!$B$7,$Z105,AE105*S105))</f>
        <v/>
      </c>
      <c r="AG105" s="65" t="str">
        <f aca="false">IF(ISBLANK($C105),"",IF($Z105=Constants!$B$7,IF(ISNUMBER(AF105),RANK(AF105,$AF$8:$AF$507),Constants!$B$14),$Z105))</f>
        <v/>
      </c>
      <c r="AH105" s="65" t="str">
        <f aca="false">IF(ISBLANK($C105),"",IF($Z105=Constants!$B$7,IF(ISNUMBER(AG105),COUNTIFS($AA$8:$AA$507,"&lt;"&amp;$AA105)+COUNTIFS($AA$8:$AA$507,$AA105,$AG$8:$AG$507,"&lt;"&amp;$AG105)+1,Constants!$B$14),$Z105))</f>
        <v/>
      </c>
      <c r="AI105" s="65" t="str">
        <f aca="false">IF(ISBLANK($C105),"",IF($Z105=Constants!$B$7,LARGE(AB105:AC105,2)*S105,""))</f>
        <v/>
      </c>
      <c r="AJ105" s="65" t="str">
        <f aca="false">IF(ISBLANK($C105),"",IF($Z105=Constants!$B$7,RANK(AI105,$AI$8:$AI$507),$Z105))</f>
        <v/>
      </c>
      <c r="AK105" s="65" t="str">
        <f aca="false">IF(ISBLANK($C105),"",IF($Z105=Constants!$B$7,IF(ISNUMBER(AG105),COUNTIFS($AA$8:$AA$507,"&lt;"&amp;$AA105)+COUNTIFS($AA$8:$AA$507,$AA105,$AG$8:$AG$507,"&lt;"&amp;$AG105)+COUNTIFS($AA$8:$AA$507,$AA105,$AG$8:$AG$507,$AG105,$AJ$8:$AJ$507,"&lt;"&amp;$AJ105)+1,Constants!$B$14),$Z105))</f>
        <v/>
      </c>
      <c r="AL105" s="65" t="str">
        <f aca="false">IF(ISBLANK($C105),"",IF($Z105=Constants!$B$7,IF(ISNUMBER(AH105),AH105-AK105,Constants!$B$14),$Z105))</f>
        <v/>
      </c>
      <c r="AM105" s="67"/>
      <c r="AN105" s="68" t="str">
        <f aca="false">IF(ISBLANK($C105),"",IF($Z105&lt;&gt;Constants!$B$7,$Z105,AD105))</f>
        <v/>
      </c>
      <c r="AO105" s="69" t="str">
        <f aca="false">IF(ISBLANK($C105),"",IF($Z105&lt;&gt;Constants!$B$7,$Z105,S105))</f>
        <v/>
      </c>
      <c r="AP105" s="70" t="str">
        <f aca="false">IF(ISBLANK($C105),"",IF($Z105&lt;&gt;Constants!$B$7,$Z105,AF105))</f>
        <v/>
      </c>
      <c r="AQ105" s="71" t="str">
        <f aca="false">IF(ISBLANK($C105),"",IF($Z105&lt;&gt;Constants!$B$7,$Z105,AA105))</f>
        <v/>
      </c>
      <c r="AR105" s="69" t="str">
        <f aca="false">IF(ISBLANK($C105),"",AL105)</f>
        <v/>
      </c>
      <c r="AS105" s="69" t="str">
        <f aca="false">IF(ISBLANK($C105),"",AK105)</f>
        <v/>
      </c>
      <c r="AT105" s="72" t="str">
        <f aca="false">IF(ISBLANK($C105),"",IF(AS105=Constants!$B$4,COUNTA($C$8:$C$507)+2,IF(AS105=Constants!$B$5,COUNTA($C$8:$C$507)+1,IF(AS105=Constants!$B$6,COUNTA($C$8:$C$507),AS105))))</f>
        <v/>
      </c>
      <c r="AU105" s="5"/>
      <c r="AV105" s="73" t="n">
        <f aca="false">IF(OR(ISNUMBER(AS105),AS105=Constants!$B$4,AS105=Constants!$B$6,AS105=Constants!$B$5),1,0)</f>
        <v>0</v>
      </c>
      <c r="AW105" s="73" t="n">
        <v>98</v>
      </c>
      <c r="AX105" s="73" t="str">
        <f aca="false">IF(ISBLANK($C105),"",IF(ISNUMBER(AT105),AT105+ROW($B105)/1000,""))</f>
        <v/>
      </c>
      <c r="AY105" s="73" t="str">
        <f aca="false">IF(ISNUMBER(AX105),RANK(AX105,$AX$8:$AX$507,1),"")</f>
        <v/>
      </c>
      <c r="AZ105" s="73" t="str">
        <f aca="false">IF(ISBLANK($C105),"",$B105)</f>
        <v/>
      </c>
      <c r="BA105" s="73" t="str">
        <f aca="false">IF(ISBLANK($C105),"",$C105)</f>
        <v/>
      </c>
      <c r="BB105" s="73" t="str">
        <f aca="false">IF(ISBLANK($C105),"",$D105)</f>
        <v/>
      </c>
      <c r="BC105" s="74" t="str">
        <f aca="false">AQ105</f>
        <v/>
      </c>
      <c r="BD105" s="75" t="str">
        <f aca="false">AP105</f>
        <v/>
      </c>
      <c r="BE105" s="73" t="str">
        <f aca="false">IF(ISBLANK($C105),"",AS105)</f>
        <v/>
      </c>
      <c r="BF105" s="76" t="str">
        <f aca="false">IF($AW105&gt;$AV$7,"",VLOOKUP($AW105,$AY$8:$BE$507,7,FALSE()))</f>
        <v/>
      </c>
      <c r="BG105" s="77" t="str">
        <f aca="false">IF($AW105&gt;$AV$7,"",VLOOKUP($AW105,$AY$8:$BE$507,2,FALSE()))</f>
        <v/>
      </c>
      <c r="BH105" s="77" t="str">
        <f aca="false">IF($AW105&gt;$AV$7,"",VLOOKUP($AW105,$AY$8:$BE$507,3,FALSE()))</f>
        <v/>
      </c>
      <c r="BI105" s="77" t="str">
        <f aca="false">IF($AW105&gt;$AV$7,"",VLOOKUP($AW105,$AY$8:$BE$507,4,FALSE()))</f>
        <v/>
      </c>
      <c r="BJ105" s="77" t="str">
        <f aca="false">IF($AW105&gt;$AV$7,"",VLOOKUP($AW105,$AY$8:$BE$507,5,FALSE()))</f>
        <v/>
      </c>
      <c r="BK105" s="78" t="str">
        <f aca="false">IF($AW105&gt;$AV$7,"",VLOOKUP($AW105,$AY$8:$BE$507,6,FALSE()))</f>
        <v/>
      </c>
      <c r="BL105" s="50"/>
    </row>
    <row r="106" customFormat="false" ht="15.75" hidden="false" customHeight="false" outlineLevel="0" collapsed="false">
      <c r="A106" s="5"/>
      <c r="B106" s="131"/>
      <c r="C106" s="52"/>
      <c r="D106" s="53"/>
      <c r="E106" s="80"/>
      <c r="F106" s="132"/>
      <c r="G106" s="56"/>
      <c r="H106" s="133"/>
      <c r="I106" s="134"/>
      <c r="J106" s="59"/>
      <c r="K106" s="60"/>
      <c r="L106" s="134"/>
      <c r="M106" s="61"/>
      <c r="N106" s="62"/>
      <c r="O106" s="80"/>
      <c r="P106" s="64"/>
      <c r="Q106" s="65" t="str">
        <f aca="false">IF(ISBLANK($C106),"",IF(E106=Constants!$B$2, TRUE(), IF(E106=Constants!$B$3, FALSE(), TRUE())))</f>
        <v/>
      </c>
      <c r="R106" s="65" t="str">
        <f aca="false">IF(ISBLANK($C106),"",IF(F106=Constants!$B$2, TRUE(), IF(F106=Constants!$B$3, FALSE(), TRUE())))</f>
        <v/>
      </c>
      <c r="S106" s="65" t="str">
        <f aca="false">IF(ISBLANK($C106),"",IF(G106=Constants!$B$15,Constants!$B$8,IF(G106=Constants!$B$16,Constants!$B$9,Constants!$B$10)))</f>
        <v/>
      </c>
      <c r="T106" s="65" t="str">
        <f aca="false">IF(ISBLANK($C106),"",IF(H106=Constants!$B$2, TRUE(), IF(H106=Constants!$B$3, FALSE(), TRUE())))</f>
        <v/>
      </c>
      <c r="U106" s="65" t="str">
        <f aca="false">IF(ISBLANK($C106),"",IF(I106=Constants!$B$19,Constants!$B$19,Constants!$B$18))</f>
        <v/>
      </c>
      <c r="V106" s="65" t="str">
        <f aca="false">IF(ISBLANK($C106),"",IF(COUNTA(J106:K106)=0,"",IF(AND(OR(ISBLANK(J106),AND(ISNUMBER(J106),J106&gt;=0)),OR(ISBLANK(K106),AND(ISNUMBER(K106),K106&gt;=0))),60*IF(ISBLANK(J106),0,J106)+IF(ISBLANK(K106),0,K106),"")))</f>
        <v/>
      </c>
      <c r="W106" s="65" t="str">
        <f aca="false">IF(ISBLANK($C106),"",IF(L106=Constants!$B$19,Constants!$B$19,Constants!$B$18))</f>
        <v/>
      </c>
      <c r="X106" s="65" t="str">
        <f aca="false">IF(ISBLANK($C106),"",IF(COUNTA(M106:N106)=0,"",IF(AND(OR(ISBLANK(M106),AND(ISNUMBER(M106),M106&gt;=0)),OR(ISBLANK(N106),AND(ISNUMBER(N106),N106&gt;=0))),60*IF(ISBLANK(M106),0,M106)+IF(ISBLANK(N106),0,N106),"")))</f>
        <v/>
      </c>
      <c r="Y106" s="65" t="str">
        <f aca="false">IF(ISBLANK($C106),"",IF(O106=Constants!$B$2, TRUE(), IF(O106=Constants!$B$3, FALSE(), FALSE())))</f>
        <v/>
      </c>
      <c r="Z106" s="65" t="str">
        <f aca="false">IF(ISBLANK($C106),"",IF(Y106,Constants!$B$4,IF(COUNTA(E106:N106)=0,Constants!$B$5,IF(COUNTA(J106:K106,M106:N106)=0,Constants!$B$6,Constants!$B$7))))</f>
        <v/>
      </c>
      <c r="AA106" s="65" t="str">
        <f aca="false">IF(ISBLANK($C106),"",IF($Z106&lt;&gt;Constants!$B$7,$Z106,IF(OR(NOT(T106),AND(NOT(Q106),COUNTIFS(U106:W106,Constants!$B$18,V106:X106,"&gt;=0")&gt;0),AND(NOT(R106),COUNTIFS(U106:W106,Constants!$B$19,V106:X106,"&gt;=0")&gt;0)),Constants!$B$12,Constants!$B$11)))</f>
        <v/>
      </c>
      <c r="AB106" s="65" t="str">
        <f aca="false">IF($Z106=Constants!$B$7,IF(V106="",Constants!$B$13,V106),"")</f>
        <v/>
      </c>
      <c r="AC106" s="65" t="str">
        <f aca="false">IF($Z106=Constants!$B$7,IF(X106="",Constants!$B$13,X106),"")</f>
        <v/>
      </c>
      <c r="AD106" s="65" t="str">
        <f aca="false">IF($Z106=Constants!$B$7,IF($AB106&gt;=$AC106,1,2),"")</f>
        <v/>
      </c>
      <c r="AE106" s="65" t="str">
        <f aca="false">IF($Z106=Constants!$B$7,LARGE(AB106:AC106,1),"")</f>
        <v/>
      </c>
      <c r="AF106" s="65" t="str">
        <f aca="false">IF(ISBLANK($C106),"",IF($Z106&lt;&gt;Constants!$B$7,$Z106,AE106*S106))</f>
        <v/>
      </c>
      <c r="AG106" s="65" t="str">
        <f aca="false">IF(ISBLANK($C106),"",IF($Z106=Constants!$B$7,IF(ISNUMBER(AF106),RANK(AF106,$AF$8:$AF$507),Constants!$B$14),$Z106))</f>
        <v/>
      </c>
      <c r="AH106" s="65" t="str">
        <f aca="false">IF(ISBLANK($C106),"",IF($Z106=Constants!$B$7,IF(ISNUMBER(AG106),COUNTIFS($AA$8:$AA$507,"&lt;"&amp;$AA106)+COUNTIFS($AA$8:$AA$507,$AA106,$AG$8:$AG$507,"&lt;"&amp;$AG106)+1,Constants!$B$14),$Z106))</f>
        <v/>
      </c>
      <c r="AI106" s="65" t="str">
        <f aca="false">IF(ISBLANK($C106),"",IF($Z106=Constants!$B$7,LARGE(AB106:AC106,2)*S106,""))</f>
        <v/>
      </c>
      <c r="AJ106" s="65" t="str">
        <f aca="false">IF(ISBLANK($C106),"",IF($Z106=Constants!$B$7,RANK(AI106,$AI$8:$AI$507),$Z106))</f>
        <v/>
      </c>
      <c r="AK106" s="65" t="str">
        <f aca="false">IF(ISBLANK($C106),"",IF($Z106=Constants!$B$7,IF(ISNUMBER(AG106),COUNTIFS($AA$8:$AA$507,"&lt;"&amp;$AA106)+COUNTIFS($AA$8:$AA$507,$AA106,$AG$8:$AG$507,"&lt;"&amp;$AG106)+COUNTIFS($AA$8:$AA$507,$AA106,$AG$8:$AG$507,$AG106,$AJ$8:$AJ$507,"&lt;"&amp;$AJ106)+1,Constants!$B$14),$Z106))</f>
        <v/>
      </c>
      <c r="AL106" s="65" t="str">
        <f aca="false">IF(ISBLANK($C106),"",IF($Z106=Constants!$B$7,IF(ISNUMBER(AH106),AH106-AK106,Constants!$B$14),$Z106))</f>
        <v/>
      </c>
      <c r="AM106" s="67"/>
      <c r="AN106" s="68" t="str">
        <f aca="false">IF(ISBLANK($C106),"",IF($Z106&lt;&gt;Constants!$B$7,$Z106,AD106))</f>
        <v/>
      </c>
      <c r="AO106" s="69" t="str">
        <f aca="false">IF(ISBLANK($C106),"",IF($Z106&lt;&gt;Constants!$B$7,$Z106,S106))</f>
        <v/>
      </c>
      <c r="AP106" s="70" t="str">
        <f aca="false">IF(ISBLANK($C106),"",IF($Z106&lt;&gt;Constants!$B$7,$Z106,AF106))</f>
        <v/>
      </c>
      <c r="AQ106" s="71" t="str">
        <f aca="false">IF(ISBLANK($C106),"",IF($Z106&lt;&gt;Constants!$B$7,$Z106,AA106))</f>
        <v/>
      </c>
      <c r="AR106" s="69" t="str">
        <f aca="false">IF(ISBLANK($C106),"",AL106)</f>
        <v/>
      </c>
      <c r="AS106" s="69" t="str">
        <f aca="false">IF(ISBLANK($C106),"",AK106)</f>
        <v/>
      </c>
      <c r="AT106" s="72" t="str">
        <f aca="false">IF(ISBLANK($C106),"",IF(AS106=Constants!$B$4,COUNTA($C$8:$C$507)+2,IF(AS106=Constants!$B$5,COUNTA($C$8:$C$507)+1,IF(AS106=Constants!$B$6,COUNTA($C$8:$C$507),AS106))))</f>
        <v/>
      </c>
      <c r="AU106" s="5"/>
      <c r="AV106" s="73" t="n">
        <f aca="false">IF(OR(ISNUMBER(AS106),AS106=Constants!$B$4,AS106=Constants!$B$6,AS106=Constants!$B$5),1,0)</f>
        <v>0</v>
      </c>
      <c r="AW106" s="73" t="n">
        <v>99</v>
      </c>
      <c r="AX106" s="73" t="str">
        <f aca="false">IF(ISBLANK($C106),"",IF(ISNUMBER(AT106),AT106+ROW($B106)/1000,""))</f>
        <v/>
      </c>
      <c r="AY106" s="73" t="str">
        <f aca="false">IF(ISNUMBER(AX106),RANK(AX106,$AX$8:$AX$507,1),"")</f>
        <v/>
      </c>
      <c r="AZ106" s="73" t="str">
        <f aca="false">IF(ISBLANK($C106),"",$B106)</f>
        <v/>
      </c>
      <c r="BA106" s="73" t="str">
        <f aca="false">IF(ISBLANK($C106),"",$C106)</f>
        <v/>
      </c>
      <c r="BB106" s="73" t="str">
        <f aca="false">IF(ISBLANK($C106),"",$D106)</f>
        <v/>
      </c>
      <c r="BC106" s="74" t="str">
        <f aca="false">AQ106</f>
        <v/>
      </c>
      <c r="BD106" s="75" t="str">
        <f aca="false">AP106</f>
        <v/>
      </c>
      <c r="BE106" s="73" t="str">
        <f aca="false">IF(ISBLANK($C106),"",AS106)</f>
        <v/>
      </c>
      <c r="BF106" s="76" t="str">
        <f aca="false">IF($AW106&gt;$AV$7,"",VLOOKUP($AW106,$AY$8:$BE$507,7,FALSE()))</f>
        <v/>
      </c>
      <c r="BG106" s="77" t="str">
        <f aca="false">IF($AW106&gt;$AV$7,"",VLOOKUP($AW106,$AY$8:$BE$507,2,FALSE()))</f>
        <v/>
      </c>
      <c r="BH106" s="77" t="str">
        <f aca="false">IF($AW106&gt;$AV$7,"",VLOOKUP($AW106,$AY$8:$BE$507,3,FALSE()))</f>
        <v/>
      </c>
      <c r="BI106" s="77" t="str">
        <f aca="false">IF($AW106&gt;$AV$7,"",VLOOKUP($AW106,$AY$8:$BE$507,4,FALSE()))</f>
        <v/>
      </c>
      <c r="BJ106" s="77" t="str">
        <f aca="false">IF($AW106&gt;$AV$7,"",VLOOKUP($AW106,$AY$8:$BE$507,5,FALSE()))</f>
        <v/>
      </c>
      <c r="BK106" s="78" t="str">
        <f aca="false">IF($AW106&gt;$AV$7,"",VLOOKUP($AW106,$AY$8:$BE$507,6,FALSE()))</f>
        <v/>
      </c>
      <c r="BL106" s="50"/>
    </row>
    <row r="107" customFormat="false" ht="15.75" hidden="false" customHeight="false" outlineLevel="0" collapsed="false">
      <c r="A107" s="5"/>
      <c r="B107" s="124"/>
      <c r="C107" s="125"/>
      <c r="D107" s="110"/>
      <c r="E107" s="130"/>
      <c r="F107" s="135"/>
      <c r="G107" s="88"/>
      <c r="H107" s="136"/>
      <c r="I107" s="137"/>
      <c r="J107" s="91"/>
      <c r="K107" s="92"/>
      <c r="L107" s="137"/>
      <c r="M107" s="93"/>
      <c r="N107" s="94"/>
      <c r="O107" s="130"/>
      <c r="P107" s="96"/>
      <c r="Q107" s="97" t="str">
        <f aca="false">IF(ISBLANK($C107),"",IF(E107=Constants!$B$2, TRUE(), IF(E107=Constants!$B$3, FALSE(), TRUE())))</f>
        <v/>
      </c>
      <c r="R107" s="97" t="str">
        <f aca="false">IF(ISBLANK($C107),"",IF(F107=Constants!$B$2, TRUE(), IF(F107=Constants!$B$3, FALSE(), TRUE())))</f>
        <v/>
      </c>
      <c r="S107" s="97" t="str">
        <f aca="false">IF(ISBLANK($C107),"",IF(G107=Constants!$B$15,Constants!$B$8,IF(G107=Constants!$B$16,Constants!$B$9,Constants!$B$10)))</f>
        <v/>
      </c>
      <c r="T107" s="97" t="str">
        <f aca="false">IF(ISBLANK($C107),"",IF(H107=Constants!$B$2, TRUE(), IF(H107=Constants!$B$3, FALSE(), TRUE())))</f>
        <v/>
      </c>
      <c r="U107" s="97" t="str">
        <f aca="false">IF(ISBLANK($C107),"",IF(I107=Constants!$B$19,Constants!$B$19,Constants!$B$18))</f>
        <v/>
      </c>
      <c r="V107" s="97" t="str">
        <f aca="false">IF(ISBLANK($C107),"",IF(COUNTA(J107:K107)=0,"",IF(AND(OR(ISBLANK(J107),AND(ISNUMBER(J107),J107&gt;=0)),OR(ISBLANK(K107),AND(ISNUMBER(K107),K107&gt;=0))),60*IF(ISBLANK(J107),0,J107)+IF(ISBLANK(K107),0,K107),"")))</f>
        <v/>
      </c>
      <c r="W107" s="97" t="str">
        <f aca="false">IF(ISBLANK($C107),"",IF(L107=Constants!$B$19,Constants!$B$19,Constants!$B$18))</f>
        <v/>
      </c>
      <c r="X107" s="97" t="str">
        <f aca="false">IF(ISBLANK($C107),"",IF(COUNTA(M107:N107)=0,"",IF(AND(OR(ISBLANK(M107),AND(ISNUMBER(M107),M107&gt;=0)),OR(ISBLANK(N107),AND(ISNUMBER(N107),N107&gt;=0))),60*IF(ISBLANK(M107),0,M107)+IF(ISBLANK(N107),0,N107),"")))</f>
        <v/>
      </c>
      <c r="Y107" s="97" t="str">
        <f aca="false">IF(ISBLANK($C107),"",IF(O107=Constants!$B$2, TRUE(), IF(O107=Constants!$B$3, FALSE(), FALSE())))</f>
        <v/>
      </c>
      <c r="Z107" s="97" t="str">
        <f aca="false">IF(ISBLANK($C107),"",IF(Y107,Constants!$B$4,IF(COUNTA(E107:N107)=0,Constants!$B$5,IF(COUNTA(J107:K107,M107:N107)=0,Constants!$B$6,Constants!$B$7))))</f>
        <v/>
      </c>
      <c r="AA107" s="97" t="str">
        <f aca="false">IF(ISBLANK($C107),"",IF($Z107&lt;&gt;Constants!$B$7,$Z107,IF(OR(NOT(T107),AND(NOT(Q107),COUNTIFS(U107:W107,Constants!$B$18,V107:X107,"&gt;=0")&gt;0),AND(NOT(R107),COUNTIFS(U107:W107,Constants!$B$19,V107:X107,"&gt;=0")&gt;0)),Constants!$B$12,Constants!$B$11)))</f>
        <v/>
      </c>
      <c r="AB107" s="97" t="str">
        <f aca="false">IF($Z107=Constants!$B$7,IF(V107="",Constants!$B$13,V107),"")</f>
        <v/>
      </c>
      <c r="AC107" s="97" t="str">
        <f aca="false">IF($Z107=Constants!$B$7,IF(X107="",Constants!$B$13,X107),"")</f>
        <v/>
      </c>
      <c r="AD107" s="97" t="str">
        <f aca="false">IF($Z107=Constants!$B$7,IF($AB107&gt;=$AC107,1,2),"")</f>
        <v/>
      </c>
      <c r="AE107" s="97" t="str">
        <f aca="false">IF($Z107=Constants!$B$7,LARGE(AB107:AC107,1),"")</f>
        <v/>
      </c>
      <c r="AF107" s="97" t="str">
        <f aca="false">IF(ISBLANK($C107),"",IF($Z107&lt;&gt;Constants!$B$7,$Z107,AE107*S107))</f>
        <v/>
      </c>
      <c r="AG107" s="97" t="str">
        <f aca="false">IF(ISBLANK($C107),"",IF($Z107=Constants!$B$7,IF(ISNUMBER(AF107),RANK(AF107,$AF$8:$AF$507),Constants!$B$14),$Z107))</f>
        <v/>
      </c>
      <c r="AH107" s="97" t="str">
        <f aca="false">IF(ISBLANK($C107),"",IF($Z107=Constants!$B$7,IF(ISNUMBER(AG107),COUNTIFS($AA$8:$AA$507,"&lt;"&amp;$AA107)+COUNTIFS($AA$8:$AA$507,$AA107,$AG$8:$AG$507,"&lt;"&amp;$AG107)+1,Constants!$B$14),$Z107))</f>
        <v/>
      </c>
      <c r="AI107" s="97" t="str">
        <f aca="false">IF(ISBLANK($C107),"",IF($Z107=Constants!$B$7,LARGE(AB107:AC107,2)*S107,""))</f>
        <v/>
      </c>
      <c r="AJ107" s="97" t="str">
        <f aca="false">IF(ISBLANK($C107),"",IF($Z107=Constants!$B$7,RANK(AI107,$AI$8:$AI$507),$Z107))</f>
        <v/>
      </c>
      <c r="AK107" s="97" t="str">
        <f aca="false">IF(ISBLANK($C107),"",IF($Z107=Constants!$B$7,IF(ISNUMBER(AG107),COUNTIFS($AA$8:$AA$507,"&lt;"&amp;$AA107)+COUNTIFS($AA$8:$AA$507,$AA107,$AG$8:$AG$507,"&lt;"&amp;$AG107)+COUNTIFS($AA$8:$AA$507,$AA107,$AG$8:$AG$507,$AG107,$AJ$8:$AJ$507,"&lt;"&amp;$AJ107)+1,Constants!$B$14),$Z107))</f>
        <v/>
      </c>
      <c r="AL107" s="97" t="str">
        <f aca="false">IF(ISBLANK($C107),"",IF($Z107=Constants!$B$7,IF(ISNUMBER(AH107),AH107-AK107,Constants!$B$14),$Z107))</f>
        <v/>
      </c>
      <c r="AM107" s="98"/>
      <c r="AN107" s="99" t="str">
        <f aca="false">IF(ISBLANK($C107),"",IF($Z107&lt;&gt;Constants!$B$7,$Z107,AD107))</f>
        <v/>
      </c>
      <c r="AO107" s="100" t="str">
        <f aca="false">IF(ISBLANK($C107),"",IF($Z107&lt;&gt;Constants!$B$7,$Z107,S107))</f>
        <v/>
      </c>
      <c r="AP107" s="101" t="str">
        <f aca="false">IF(ISBLANK($C107),"",IF($Z107&lt;&gt;Constants!$B$7,$Z107,AF107))</f>
        <v/>
      </c>
      <c r="AQ107" s="102" t="str">
        <f aca="false">IF(ISBLANK($C107),"",IF($Z107&lt;&gt;Constants!$B$7,$Z107,AA107))</f>
        <v/>
      </c>
      <c r="AR107" s="100" t="str">
        <f aca="false">IF(ISBLANK($C107),"",AL107)</f>
        <v/>
      </c>
      <c r="AS107" s="100" t="str">
        <f aca="false">IF(ISBLANK($C107),"",AK107)</f>
        <v/>
      </c>
      <c r="AT107" s="103" t="str">
        <f aca="false">IF(ISBLANK($C107),"",IF(AS107=Constants!$B$4,COUNTA($C$8:$C$507)+2,IF(AS107=Constants!$B$5,COUNTA($C$8:$C$507)+1,IF(AS107=Constants!$B$6,COUNTA($C$8:$C$507),AS107))))</f>
        <v/>
      </c>
      <c r="AU107" s="5"/>
      <c r="AV107" s="104" t="n">
        <f aca="false">IF(OR(ISNUMBER(AS107),AS107=Constants!$B$4,AS107=Constants!$B$6,AS107=Constants!$B$5),1,0)</f>
        <v>0</v>
      </c>
      <c r="AW107" s="104" t="n">
        <v>100</v>
      </c>
      <c r="AX107" s="104" t="str">
        <f aca="false">IF(ISBLANK($C107),"",IF(ISNUMBER(AT107),AT107+ROW($B107)/1000,""))</f>
        <v/>
      </c>
      <c r="AY107" s="104" t="str">
        <f aca="false">IF(ISNUMBER(AX107),RANK(AX107,$AX$8:$AX$507,1),"")</f>
        <v/>
      </c>
      <c r="AZ107" s="104" t="str">
        <f aca="false">IF(ISBLANK($C107),"",$B107)</f>
        <v/>
      </c>
      <c r="BA107" s="104" t="str">
        <f aca="false">IF(ISBLANK($C107),"",$C107)</f>
        <v/>
      </c>
      <c r="BB107" s="104" t="str">
        <f aca="false">IF(ISBLANK($C107),"",$D107)</f>
        <v/>
      </c>
      <c r="BC107" s="105" t="str">
        <f aca="false">AQ107</f>
        <v/>
      </c>
      <c r="BD107" s="106" t="str">
        <f aca="false">AP107</f>
        <v/>
      </c>
      <c r="BE107" s="104" t="str">
        <f aca="false">IF(ISBLANK($C107),"",AS107)</f>
        <v/>
      </c>
      <c r="BF107" s="107" t="str">
        <f aca="false">IF($AW107&gt;$AV$7,"",VLOOKUP($AW107,$AY$8:$BE$507,7,FALSE()))</f>
        <v/>
      </c>
      <c r="BG107" s="108" t="str">
        <f aca="false">IF($AW107&gt;$AV$7,"",VLOOKUP($AW107,$AY$8:$BE$507,2,FALSE()))</f>
        <v/>
      </c>
      <c r="BH107" s="108" t="str">
        <f aca="false">IF($AW107&gt;$AV$7,"",VLOOKUP($AW107,$AY$8:$BE$507,3,FALSE()))</f>
        <v/>
      </c>
      <c r="BI107" s="108" t="str">
        <f aca="false">IF($AW107&gt;$AV$7,"",VLOOKUP($AW107,$AY$8:$BE$507,4,FALSE()))</f>
        <v/>
      </c>
      <c r="BJ107" s="108" t="str">
        <f aca="false">IF($AW107&gt;$AV$7,"",VLOOKUP($AW107,$AY$8:$BE$507,5,FALSE()))</f>
        <v/>
      </c>
      <c r="BK107" s="109" t="str">
        <f aca="false">IF($AW107&gt;$AV$7,"",VLOOKUP($AW107,$AY$8:$BE$507,6,FALSE()))</f>
        <v/>
      </c>
      <c r="BL107" s="50"/>
    </row>
    <row r="108" customFormat="false" ht="15.75" hidden="false" customHeight="false" outlineLevel="0" collapsed="false">
      <c r="A108" s="5"/>
      <c r="B108" s="124"/>
      <c r="C108" s="125"/>
      <c r="D108" s="110"/>
      <c r="E108" s="130"/>
      <c r="F108" s="135"/>
      <c r="G108" s="88"/>
      <c r="H108" s="136"/>
      <c r="I108" s="137"/>
      <c r="J108" s="91"/>
      <c r="K108" s="92"/>
      <c r="L108" s="137"/>
      <c r="M108" s="93"/>
      <c r="N108" s="94"/>
      <c r="O108" s="130"/>
      <c r="P108" s="96"/>
      <c r="Q108" s="97" t="str">
        <f aca="false">IF(ISBLANK($C108),"",IF(E108=Constants!$B$2, TRUE(), IF(E108=Constants!$B$3, FALSE(), TRUE())))</f>
        <v/>
      </c>
      <c r="R108" s="97" t="str">
        <f aca="false">IF(ISBLANK($C108),"",IF(F108=Constants!$B$2, TRUE(), IF(F108=Constants!$B$3, FALSE(), TRUE())))</f>
        <v/>
      </c>
      <c r="S108" s="97" t="str">
        <f aca="false">IF(ISBLANK($C108),"",IF(G108=Constants!$B$15,Constants!$B$8,IF(G108=Constants!$B$16,Constants!$B$9,Constants!$B$10)))</f>
        <v/>
      </c>
      <c r="T108" s="97" t="str">
        <f aca="false">IF(ISBLANK($C108),"",IF(H108=Constants!$B$2, TRUE(), IF(H108=Constants!$B$3, FALSE(), TRUE())))</f>
        <v/>
      </c>
      <c r="U108" s="97" t="str">
        <f aca="false">IF(ISBLANK($C108),"",IF(I108=Constants!$B$19,Constants!$B$19,Constants!$B$18))</f>
        <v/>
      </c>
      <c r="V108" s="97" t="str">
        <f aca="false">IF(ISBLANK($C108),"",IF(COUNTA(J108:K108)=0,"",IF(AND(OR(ISBLANK(J108),AND(ISNUMBER(J108),J108&gt;=0)),OR(ISBLANK(K108),AND(ISNUMBER(K108),K108&gt;=0))),60*IF(ISBLANK(J108),0,J108)+IF(ISBLANK(K108),0,K108),"")))</f>
        <v/>
      </c>
      <c r="W108" s="97" t="str">
        <f aca="false">IF(ISBLANK($C108),"",IF(L108=Constants!$B$19,Constants!$B$19,Constants!$B$18))</f>
        <v/>
      </c>
      <c r="X108" s="97" t="str">
        <f aca="false">IF(ISBLANK($C108),"",IF(COUNTA(M108:N108)=0,"",IF(AND(OR(ISBLANK(M108),AND(ISNUMBER(M108),M108&gt;=0)),OR(ISBLANK(N108),AND(ISNUMBER(N108),N108&gt;=0))),60*IF(ISBLANK(M108),0,M108)+IF(ISBLANK(N108),0,N108),"")))</f>
        <v/>
      </c>
      <c r="Y108" s="97" t="str">
        <f aca="false">IF(ISBLANK($C108),"",IF(O108=Constants!$B$2, TRUE(), IF(O108=Constants!$B$3, FALSE(), FALSE())))</f>
        <v/>
      </c>
      <c r="Z108" s="97" t="str">
        <f aca="false">IF(ISBLANK($C108),"",IF(Y108,Constants!$B$4,IF(COUNTA(E108:N108)=0,Constants!$B$5,IF(COUNTA(J108:K108,M108:N108)=0,Constants!$B$6,Constants!$B$7))))</f>
        <v/>
      </c>
      <c r="AA108" s="97" t="str">
        <f aca="false">IF(ISBLANK($C108),"",IF($Z108&lt;&gt;Constants!$B$7,$Z108,IF(OR(NOT(T108),AND(NOT(Q108),COUNTIFS(U108:W108,Constants!$B$18,V108:X108,"&gt;=0")&gt;0),AND(NOT(R108),COUNTIFS(U108:W108,Constants!$B$19,V108:X108,"&gt;=0")&gt;0)),Constants!$B$12,Constants!$B$11)))</f>
        <v/>
      </c>
      <c r="AB108" s="97" t="str">
        <f aca="false">IF($Z108=Constants!$B$7,IF(V108="",Constants!$B$13,V108),"")</f>
        <v/>
      </c>
      <c r="AC108" s="97" t="str">
        <f aca="false">IF($Z108=Constants!$B$7,IF(X108="",Constants!$B$13,X108),"")</f>
        <v/>
      </c>
      <c r="AD108" s="97" t="str">
        <f aca="false">IF($Z108=Constants!$B$7,IF($AB108&gt;=$AC108,1,2),"")</f>
        <v/>
      </c>
      <c r="AE108" s="97" t="str">
        <f aca="false">IF($Z108=Constants!$B$7,LARGE(AB108:AC108,1),"")</f>
        <v/>
      </c>
      <c r="AF108" s="97" t="str">
        <f aca="false">IF(ISBLANK($C108),"",IF($Z108&lt;&gt;Constants!$B$7,$Z108,AE108*S108))</f>
        <v/>
      </c>
      <c r="AG108" s="97" t="str">
        <f aca="false">IF(ISBLANK($C108),"",IF($Z108=Constants!$B$7,IF(ISNUMBER(AF108),RANK(AF108,$AF$8:$AF$507),Constants!$B$14),$Z108))</f>
        <v/>
      </c>
      <c r="AH108" s="97" t="str">
        <f aca="false">IF(ISBLANK($C108),"",IF($Z108=Constants!$B$7,IF(ISNUMBER(AG108),COUNTIFS($AA$8:$AA$507,"&lt;"&amp;$AA108)+COUNTIFS($AA$8:$AA$507,$AA108,$AG$8:$AG$507,"&lt;"&amp;$AG108)+1,Constants!$B$14),$Z108))</f>
        <v/>
      </c>
      <c r="AI108" s="97" t="str">
        <f aca="false">IF(ISBLANK($C108),"",IF($Z108=Constants!$B$7,LARGE(AB108:AC108,2)*S108,""))</f>
        <v/>
      </c>
      <c r="AJ108" s="97" t="str">
        <f aca="false">IF(ISBLANK($C108),"",IF($Z108=Constants!$B$7,RANK(AI108,$AI$8:$AI$507),$Z108))</f>
        <v/>
      </c>
      <c r="AK108" s="97" t="str">
        <f aca="false">IF(ISBLANK($C108),"",IF($Z108=Constants!$B$7,IF(ISNUMBER(AG108),COUNTIFS($AA$8:$AA$507,"&lt;"&amp;$AA108)+COUNTIFS($AA$8:$AA$507,$AA108,$AG$8:$AG$507,"&lt;"&amp;$AG108)+COUNTIFS($AA$8:$AA$507,$AA108,$AG$8:$AG$507,$AG108,$AJ$8:$AJ$507,"&lt;"&amp;$AJ108)+1,Constants!$B$14),$Z108))</f>
        <v/>
      </c>
      <c r="AL108" s="97" t="str">
        <f aca="false">IF(ISBLANK($C108),"",IF($Z108=Constants!$B$7,IF(ISNUMBER(AH108),AH108-AK108,Constants!$B$14),$Z108))</f>
        <v/>
      </c>
      <c r="AM108" s="98"/>
      <c r="AN108" s="99" t="str">
        <f aca="false">IF(ISBLANK($C108),"",IF($Z108&lt;&gt;Constants!$B$7,$Z108,AD108))</f>
        <v/>
      </c>
      <c r="AO108" s="100" t="str">
        <f aca="false">IF(ISBLANK($C108),"",IF($Z108&lt;&gt;Constants!$B$7,$Z108,S108))</f>
        <v/>
      </c>
      <c r="AP108" s="101" t="str">
        <f aca="false">IF(ISBLANK($C108),"",IF($Z108&lt;&gt;Constants!$B$7,$Z108,AF108))</f>
        <v/>
      </c>
      <c r="AQ108" s="102" t="str">
        <f aca="false">IF(ISBLANK($C108),"",IF($Z108&lt;&gt;Constants!$B$7,$Z108,AA108))</f>
        <v/>
      </c>
      <c r="AR108" s="100" t="str">
        <f aca="false">IF(ISBLANK($C108),"",AL108)</f>
        <v/>
      </c>
      <c r="AS108" s="100" t="str">
        <f aca="false">IF(ISBLANK($C108),"",AK108)</f>
        <v/>
      </c>
      <c r="AT108" s="103" t="str">
        <f aca="false">IF(ISBLANK($C108),"",IF(AS108=Constants!$B$4,COUNTA($C$8:$C$507)+2,IF(AS108=Constants!$B$5,COUNTA($C$8:$C$507)+1,IF(AS108=Constants!$B$6,COUNTA($C$8:$C$507),AS108))))</f>
        <v/>
      </c>
      <c r="AU108" s="5"/>
      <c r="AV108" s="104" t="n">
        <f aca="false">IF(OR(ISNUMBER(AS108),AS108=Constants!$B$4,AS108=Constants!$B$6,AS108=Constants!$B$5),1,0)</f>
        <v>0</v>
      </c>
      <c r="AW108" s="104" t="n">
        <v>101</v>
      </c>
      <c r="AX108" s="104" t="str">
        <f aca="false">IF(ISBLANK($C108),"",IF(ISNUMBER(AT108),AT108+ROW($B108)/1000,""))</f>
        <v/>
      </c>
      <c r="AY108" s="104" t="str">
        <f aca="false">IF(ISNUMBER(AX108),RANK(AX108,$AX$8:$AX$507,1),"")</f>
        <v/>
      </c>
      <c r="AZ108" s="104" t="str">
        <f aca="false">IF(ISBLANK($C108),"",$B108)</f>
        <v/>
      </c>
      <c r="BA108" s="104" t="str">
        <f aca="false">IF(ISBLANK($C108),"",$C108)</f>
        <v/>
      </c>
      <c r="BB108" s="104" t="str">
        <f aca="false">IF(ISBLANK($C108),"",$D108)</f>
        <v/>
      </c>
      <c r="BC108" s="105" t="str">
        <f aca="false">AQ108</f>
        <v/>
      </c>
      <c r="BD108" s="106" t="str">
        <f aca="false">AP108</f>
        <v/>
      </c>
      <c r="BE108" s="104" t="str">
        <f aca="false">IF(ISBLANK($C108),"",AS108)</f>
        <v/>
      </c>
      <c r="BF108" s="107" t="str">
        <f aca="false">IF($AW108&gt;$AV$7,"",VLOOKUP($AW108,$AY$8:$BE$507,7,FALSE()))</f>
        <v/>
      </c>
      <c r="BG108" s="108" t="str">
        <f aca="false">IF($AW108&gt;$AV$7,"",VLOOKUP($AW108,$AY$8:$BE$507,2,FALSE()))</f>
        <v/>
      </c>
      <c r="BH108" s="108" t="str">
        <f aca="false">IF($AW108&gt;$AV$7,"",VLOOKUP($AW108,$AY$8:$BE$507,3,FALSE()))</f>
        <v/>
      </c>
      <c r="BI108" s="108" t="str">
        <f aca="false">IF($AW108&gt;$AV$7,"",VLOOKUP($AW108,$AY$8:$BE$507,4,FALSE()))</f>
        <v/>
      </c>
      <c r="BJ108" s="108" t="str">
        <f aca="false">IF($AW108&gt;$AV$7,"",VLOOKUP($AW108,$AY$8:$BE$507,5,FALSE()))</f>
        <v/>
      </c>
      <c r="BK108" s="109" t="str">
        <f aca="false">IF($AW108&gt;$AV$7,"",VLOOKUP($AW108,$AY$8:$BE$507,6,FALSE()))</f>
        <v/>
      </c>
      <c r="BL108" s="50"/>
    </row>
    <row r="109" customFormat="false" ht="15.75" hidden="false" customHeight="false" outlineLevel="0" collapsed="false">
      <c r="A109" s="5"/>
      <c r="B109" s="124"/>
      <c r="C109" s="125"/>
      <c r="D109" s="110"/>
      <c r="E109" s="130"/>
      <c r="F109" s="135"/>
      <c r="G109" s="88"/>
      <c r="H109" s="136"/>
      <c r="I109" s="137"/>
      <c r="J109" s="91"/>
      <c r="K109" s="92"/>
      <c r="L109" s="137"/>
      <c r="M109" s="93"/>
      <c r="N109" s="94"/>
      <c r="O109" s="130"/>
      <c r="P109" s="96"/>
      <c r="Q109" s="97" t="str">
        <f aca="false">IF(ISBLANK($C109),"",IF(E109=Constants!$B$2, TRUE(), IF(E109=Constants!$B$3, FALSE(), TRUE())))</f>
        <v/>
      </c>
      <c r="R109" s="97" t="str">
        <f aca="false">IF(ISBLANK($C109),"",IF(F109=Constants!$B$2, TRUE(), IF(F109=Constants!$B$3, FALSE(), TRUE())))</f>
        <v/>
      </c>
      <c r="S109" s="97" t="str">
        <f aca="false">IF(ISBLANK($C109),"",IF(G109=Constants!$B$15,Constants!$B$8,IF(G109=Constants!$B$16,Constants!$B$9,Constants!$B$10)))</f>
        <v/>
      </c>
      <c r="T109" s="97" t="str">
        <f aca="false">IF(ISBLANK($C109),"",IF(H109=Constants!$B$2, TRUE(), IF(H109=Constants!$B$3, FALSE(), TRUE())))</f>
        <v/>
      </c>
      <c r="U109" s="97" t="str">
        <f aca="false">IF(ISBLANK($C109),"",IF(I109=Constants!$B$19,Constants!$B$19,Constants!$B$18))</f>
        <v/>
      </c>
      <c r="V109" s="97" t="str">
        <f aca="false">IF(ISBLANK($C109),"",IF(COUNTA(J109:K109)=0,"",IF(AND(OR(ISBLANK(J109),AND(ISNUMBER(J109),J109&gt;=0)),OR(ISBLANK(K109),AND(ISNUMBER(K109),K109&gt;=0))),60*IF(ISBLANK(J109),0,J109)+IF(ISBLANK(K109),0,K109),"")))</f>
        <v/>
      </c>
      <c r="W109" s="97" t="str">
        <f aca="false">IF(ISBLANK($C109),"",IF(L109=Constants!$B$19,Constants!$B$19,Constants!$B$18))</f>
        <v/>
      </c>
      <c r="X109" s="97" t="str">
        <f aca="false">IF(ISBLANK($C109),"",IF(COUNTA(M109:N109)=0,"",IF(AND(OR(ISBLANK(M109),AND(ISNUMBER(M109),M109&gt;=0)),OR(ISBLANK(N109),AND(ISNUMBER(N109),N109&gt;=0))),60*IF(ISBLANK(M109),0,M109)+IF(ISBLANK(N109),0,N109),"")))</f>
        <v/>
      </c>
      <c r="Y109" s="97" t="str">
        <f aca="false">IF(ISBLANK($C109),"",IF(O109=Constants!$B$2, TRUE(), IF(O109=Constants!$B$3, FALSE(), FALSE())))</f>
        <v/>
      </c>
      <c r="Z109" s="97" t="str">
        <f aca="false">IF(ISBLANK($C109),"",IF(Y109,Constants!$B$4,IF(COUNTA(E109:N109)=0,Constants!$B$5,IF(COUNTA(J109:K109,M109:N109)=0,Constants!$B$6,Constants!$B$7))))</f>
        <v/>
      </c>
      <c r="AA109" s="97" t="str">
        <f aca="false">IF(ISBLANK($C109),"",IF($Z109&lt;&gt;Constants!$B$7,$Z109,IF(OR(NOT(T109),AND(NOT(Q109),COUNTIFS(U109:W109,Constants!$B$18,V109:X109,"&gt;=0")&gt;0),AND(NOT(R109),COUNTIFS(U109:W109,Constants!$B$19,V109:X109,"&gt;=0")&gt;0)),Constants!$B$12,Constants!$B$11)))</f>
        <v/>
      </c>
      <c r="AB109" s="97" t="str">
        <f aca="false">IF($Z109=Constants!$B$7,IF(V109="",Constants!$B$13,V109),"")</f>
        <v/>
      </c>
      <c r="AC109" s="97" t="str">
        <f aca="false">IF($Z109=Constants!$B$7,IF(X109="",Constants!$B$13,X109),"")</f>
        <v/>
      </c>
      <c r="AD109" s="97" t="str">
        <f aca="false">IF($Z109=Constants!$B$7,IF($AB109&gt;=$AC109,1,2),"")</f>
        <v/>
      </c>
      <c r="AE109" s="97" t="str">
        <f aca="false">IF($Z109=Constants!$B$7,LARGE(AB109:AC109,1),"")</f>
        <v/>
      </c>
      <c r="AF109" s="97" t="str">
        <f aca="false">IF(ISBLANK($C109),"",IF($Z109&lt;&gt;Constants!$B$7,$Z109,AE109*S109))</f>
        <v/>
      </c>
      <c r="AG109" s="97" t="str">
        <f aca="false">IF(ISBLANK($C109),"",IF($Z109=Constants!$B$7,IF(ISNUMBER(AF109),RANK(AF109,$AF$8:$AF$507),Constants!$B$14),$Z109))</f>
        <v/>
      </c>
      <c r="AH109" s="97" t="str">
        <f aca="false">IF(ISBLANK($C109),"",IF($Z109=Constants!$B$7,IF(ISNUMBER(AG109),COUNTIFS($AA$8:$AA$507,"&lt;"&amp;$AA109)+COUNTIFS($AA$8:$AA$507,$AA109,$AG$8:$AG$507,"&lt;"&amp;$AG109)+1,Constants!$B$14),$Z109))</f>
        <v/>
      </c>
      <c r="AI109" s="97" t="str">
        <f aca="false">IF(ISBLANK($C109),"",IF($Z109=Constants!$B$7,LARGE(AB109:AC109,2)*S109,""))</f>
        <v/>
      </c>
      <c r="AJ109" s="97" t="str">
        <f aca="false">IF(ISBLANK($C109),"",IF($Z109=Constants!$B$7,RANK(AI109,$AI$8:$AI$507),$Z109))</f>
        <v/>
      </c>
      <c r="AK109" s="97" t="str">
        <f aca="false">IF(ISBLANK($C109),"",IF($Z109=Constants!$B$7,IF(ISNUMBER(AG109),COUNTIFS($AA$8:$AA$507,"&lt;"&amp;$AA109)+COUNTIFS($AA$8:$AA$507,$AA109,$AG$8:$AG$507,"&lt;"&amp;$AG109)+COUNTIFS($AA$8:$AA$507,$AA109,$AG$8:$AG$507,$AG109,$AJ$8:$AJ$507,"&lt;"&amp;$AJ109)+1,Constants!$B$14),$Z109))</f>
        <v/>
      </c>
      <c r="AL109" s="97" t="str">
        <f aca="false">IF(ISBLANK($C109),"",IF($Z109=Constants!$B$7,IF(ISNUMBER(AH109),AH109-AK109,Constants!$B$14),$Z109))</f>
        <v/>
      </c>
      <c r="AM109" s="98"/>
      <c r="AN109" s="99" t="str">
        <f aca="false">IF(ISBLANK($C109),"",IF($Z109&lt;&gt;Constants!$B$7,$Z109,AD109))</f>
        <v/>
      </c>
      <c r="AO109" s="100" t="str">
        <f aca="false">IF(ISBLANK($C109),"",IF($Z109&lt;&gt;Constants!$B$7,$Z109,S109))</f>
        <v/>
      </c>
      <c r="AP109" s="101" t="str">
        <f aca="false">IF(ISBLANK($C109),"",IF($Z109&lt;&gt;Constants!$B$7,$Z109,AF109))</f>
        <v/>
      </c>
      <c r="AQ109" s="102" t="str">
        <f aca="false">IF(ISBLANK($C109),"",IF($Z109&lt;&gt;Constants!$B$7,$Z109,AA109))</f>
        <v/>
      </c>
      <c r="AR109" s="100" t="str">
        <f aca="false">IF(ISBLANK($C109),"",AL109)</f>
        <v/>
      </c>
      <c r="AS109" s="100" t="str">
        <f aca="false">IF(ISBLANK($C109),"",AK109)</f>
        <v/>
      </c>
      <c r="AT109" s="103" t="str">
        <f aca="false">IF(ISBLANK($C109),"",IF(AS109=Constants!$B$4,COUNTA($C$8:$C$507)+2,IF(AS109=Constants!$B$5,COUNTA($C$8:$C$507)+1,IF(AS109=Constants!$B$6,COUNTA($C$8:$C$507),AS109))))</f>
        <v/>
      </c>
      <c r="AU109" s="5"/>
      <c r="AV109" s="104" t="n">
        <f aca="false">IF(OR(ISNUMBER(AS109),AS109=Constants!$B$4,AS109=Constants!$B$6,AS109=Constants!$B$5),1,0)</f>
        <v>0</v>
      </c>
      <c r="AW109" s="104" t="n">
        <v>102</v>
      </c>
      <c r="AX109" s="104" t="str">
        <f aca="false">IF(ISBLANK($C109),"",IF(ISNUMBER(AT109),AT109+ROW($B109)/1000,""))</f>
        <v/>
      </c>
      <c r="AY109" s="104" t="str">
        <f aca="false">IF(ISNUMBER(AX109),RANK(AX109,$AX$8:$AX$507,1),"")</f>
        <v/>
      </c>
      <c r="AZ109" s="104" t="str">
        <f aca="false">IF(ISBLANK($C109),"",$B109)</f>
        <v/>
      </c>
      <c r="BA109" s="104" t="str">
        <f aca="false">IF(ISBLANK($C109),"",$C109)</f>
        <v/>
      </c>
      <c r="BB109" s="104" t="str">
        <f aca="false">IF(ISBLANK($C109),"",$D109)</f>
        <v/>
      </c>
      <c r="BC109" s="105" t="str">
        <f aca="false">AQ109</f>
        <v/>
      </c>
      <c r="BD109" s="106" t="str">
        <f aca="false">AP109</f>
        <v/>
      </c>
      <c r="BE109" s="104" t="str">
        <f aca="false">IF(ISBLANK($C109),"",AS109)</f>
        <v/>
      </c>
      <c r="BF109" s="107" t="str">
        <f aca="false">IF($AW109&gt;$AV$7,"",VLOOKUP($AW109,$AY$8:$BE$507,7,FALSE()))</f>
        <v/>
      </c>
      <c r="BG109" s="108" t="str">
        <f aca="false">IF($AW109&gt;$AV$7,"",VLOOKUP($AW109,$AY$8:$BE$507,2,FALSE()))</f>
        <v/>
      </c>
      <c r="BH109" s="108" t="str">
        <f aca="false">IF($AW109&gt;$AV$7,"",VLOOKUP($AW109,$AY$8:$BE$507,3,FALSE()))</f>
        <v/>
      </c>
      <c r="BI109" s="108" t="str">
        <f aca="false">IF($AW109&gt;$AV$7,"",VLOOKUP($AW109,$AY$8:$BE$507,4,FALSE()))</f>
        <v/>
      </c>
      <c r="BJ109" s="108" t="str">
        <f aca="false">IF($AW109&gt;$AV$7,"",VLOOKUP($AW109,$AY$8:$BE$507,5,FALSE()))</f>
        <v/>
      </c>
      <c r="BK109" s="109" t="str">
        <f aca="false">IF($AW109&gt;$AV$7,"",VLOOKUP($AW109,$AY$8:$BE$507,6,FALSE()))</f>
        <v/>
      </c>
      <c r="BL109" s="50"/>
    </row>
    <row r="110" customFormat="false" ht="15.75" hidden="false" customHeight="false" outlineLevel="0" collapsed="false">
      <c r="A110" s="5"/>
      <c r="B110" s="131"/>
      <c r="C110" s="52"/>
      <c r="D110" s="53"/>
      <c r="E110" s="80"/>
      <c r="F110" s="132"/>
      <c r="G110" s="56"/>
      <c r="H110" s="133"/>
      <c r="I110" s="134"/>
      <c r="J110" s="59"/>
      <c r="K110" s="60"/>
      <c r="L110" s="134"/>
      <c r="M110" s="61"/>
      <c r="N110" s="62"/>
      <c r="O110" s="80"/>
      <c r="P110" s="64"/>
      <c r="Q110" s="65" t="str">
        <f aca="false">IF(ISBLANK($C110),"",IF(E110=Constants!$B$2, TRUE(), IF(E110=Constants!$B$3, FALSE(), TRUE())))</f>
        <v/>
      </c>
      <c r="R110" s="65" t="str">
        <f aca="false">IF(ISBLANK($C110),"",IF(F110=Constants!$B$2, TRUE(), IF(F110=Constants!$B$3, FALSE(), TRUE())))</f>
        <v/>
      </c>
      <c r="S110" s="65" t="str">
        <f aca="false">IF(ISBLANK($C110),"",IF(G110=Constants!$B$15,Constants!$B$8,IF(G110=Constants!$B$16,Constants!$B$9,Constants!$B$10)))</f>
        <v/>
      </c>
      <c r="T110" s="65" t="str">
        <f aca="false">IF(ISBLANK($C110),"",IF(H110=Constants!$B$2, TRUE(), IF(H110=Constants!$B$3, FALSE(), TRUE())))</f>
        <v/>
      </c>
      <c r="U110" s="65" t="str">
        <f aca="false">IF(ISBLANK($C110),"",IF(I110=Constants!$B$19,Constants!$B$19,Constants!$B$18))</f>
        <v/>
      </c>
      <c r="V110" s="65" t="str">
        <f aca="false">IF(ISBLANK($C110),"",IF(COUNTA(J110:K110)=0,"",IF(AND(OR(ISBLANK(J110),AND(ISNUMBER(J110),J110&gt;=0)),OR(ISBLANK(K110),AND(ISNUMBER(K110),K110&gt;=0))),60*IF(ISBLANK(J110),0,J110)+IF(ISBLANK(K110),0,K110),"")))</f>
        <v/>
      </c>
      <c r="W110" s="65" t="str">
        <f aca="false">IF(ISBLANK($C110),"",IF(L110=Constants!$B$19,Constants!$B$19,Constants!$B$18))</f>
        <v/>
      </c>
      <c r="X110" s="65" t="str">
        <f aca="false">IF(ISBLANK($C110),"",IF(COUNTA(M110:N110)=0,"",IF(AND(OR(ISBLANK(M110),AND(ISNUMBER(M110),M110&gt;=0)),OR(ISBLANK(N110),AND(ISNUMBER(N110),N110&gt;=0))),60*IF(ISBLANK(M110),0,M110)+IF(ISBLANK(N110),0,N110),"")))</f>
        <v/>
      </c>
      <c r="Y110" s="65" t="str">
        <f aca="false">IF(ISBLANK($C110),"",IF(O110=Constants!$B$2, TRUE(), IF(O110=Constants!$B$3, FALSE(), FALSE())))</f>
        <v/>
      </c>
      <c r="Z110" s="65" t="str">
        <f aca="false">IF(ISBLANK($C110),"",IF(Y110,Constants!$B$4,IF(COUNTA(E110:N110)=0,Constants!$B$5,IF(COUNTA(J110:K110,M110:N110)=0,Constants!$B$6,Constants!$B$7))))</f>
        <v/>
      </c>
      <c r="AA110" s="65" t="str">
        <f aca="false">IF(ISBLANK($C110),"",IF($Z110&lt;&gt;Constants!$B$7,$Z110,IF(OR(NOT(T110),AND(NOT(Q110),COUNTIFS(U110:W110,Constants!$B$18,V110:X110,"&gt;=0")&gt;0),AND(NOT(R110),COUNTIFS(U110:W110,Constants!$B$19,V110:X110,"&gt;=0")&gt;0)),Constants!$B$12,Constants!$B$11)))</f>
        <v/>
      </c>
      <c r="AB110" s="65" t="str">
        <f aca="false">IF($Z110=Constants!$B$7,IF(V110="",Constants!$B$13,V110),"")</f>
        <v/>
      </c>
      <c r="AC110" s="65" t="str">
        <f aca="false">IF($Z110=Constants!$B$7,IF(X110="",Constants!$B$13,X110),"")</f>
        <v/>
      </c>
      <c r="AD110" s="65" t="str">
        <f aca="false">IF($Z110=Constants!$B$7,IF($AB110&gt;=$AC110,1,2),"")</f>
        <v/>
      </c>
      <c r="AE110" s="65" t="str">
        <f aca="false">IF($Z110=Constants!$B$7,LARGE(AB110:AC110,1),"")</f>
        <v/>
      </c>
      <c r="AF110" s="65" t="str">
        <f aca="false">IF(ISBLANK($C110),"",IF($Z110&lt;&gt;Constants!$B$7,$Z110,AE110*S110))</f>
        <v/>
      </c>
      <c r="AG110" s="65" t="str">
        <f aca="false">IF(ISBLANK($C110),"",IF($Z110=Constants!$B$7,IF(ISNUMBER(AF110),RANK(AF110,$AF$8:$AF$507),Constants!$B$14),$Z110))</f>
        <v/>
      </c>
      <c r="AH110" s="65" t="str">
        <f aca="false">IF(ISBLANK($C110),"",IF($Z110=Constants!$B$7,IF(ISNUMBER(AG110),COUNTIFS($AA$8:$AA$507,"&lt;"&amp;$AA110)+COUNTIFS($AA$8:$AA$507,$AA110,$AG$8:$AG$507,"&lt;"&amp;$AG110)+1,Constants!$B$14),$Z110))</f>
        <v/>
      </c>
      <c r="AI110" s="65" t="str">
        <f aca="false">IF(ISBLANK($C110),"",IF($Z110=Constants!$B$7,LARGE(AB110:AC110,2)*S110,""))</f>
        <v/>
      </c>
      <c r="AJ110" s="65" t="str">
        <f aca="false">IF(ISBLANK($C110),"",IF($Z110=Constants!$B$7,RANK(AI110,$AI$8:$AI$507),$Z110))</f>
        <v/>
      </c>
      <c r="AK110" s="65" t="str">
        <f aca="false">IF(ISBLANK($C110),"",IF($Z110=Constants!$B$7,IF(ISNUMBER(AG110),COUNTIFS($AA$8:$AA$507,"&lt;"&amp;$AA110)+COUNTIFS($AA$8:$AA$507,$AA110,$AG$8:$AG$507,"&lt;"&amp;$AG110)+COUNTIFS($AA$8:$AA$507,$AA110,$AG$8:$AG$507,$AG110,$AJ$8:$AJ$507,"&lt;"&amp;$AJ110)+1,Constants!$B$14),$Z110))</f>
        <v/>
      </c>
      <c r="AL110" s="65" t="str">
        <f aca="false">IF(ISBLANK($C110),"",IF($Z110=Constants!$B$7,IF(ISNUMBER(AH110),AH110-AK110,Constants!$B$14),$Z110))</f>
        <v/>
      </c>
      <c r="AM110" s="67"/>
      <c r="AN110" s="68" t="str">
        <f aca="false">IF(ISBLANK($C110),"",IF($Z110&lt;&gt;Constants!$B$7,$Z110,AD110))</f>
        <v/>
      </c>
      <c r="AO110" s="69" t="str">
        <f aca="false">IF(ISBLANK($C110),"",IF($Z110&lt;&gt;Constants!$B$7,$Z110,S110))</f>
        <v/>
      </c>
      <c r="AP110" s="70" t="str">
        <f aca="false">IF(ISBLANK($C110),"",IF($Z110&lt;&gt;Constants!$B$7,$Z110,AF110))</f>
        <v/>
      </c>
      <c r="AQ110" s="71" t="str">
        <f aca="false">IF(ISBLANK($C110),"",IF($Z110&lt;&gt;Constants!$B$7,$Z110,AA110))</f>
        <v/>
      </c>
      <c r="AR110" s="69" t="str">
        <f aca="false">IF(ISBLANK($C110),"",AL110)</f>
        <v/>
      </c>
      <c r="AS110" s="69" t="str">
        <f aca="false">IF(ISBLANK($C110),"",AK110)</f>
        <v/>
      </c>
      <c r="AT110" s="72" t="str">
        <f aca="false">IF(ISBLANK($C110),"",IF(AS110=Constants!$B$4,COUNTA($C$8:$C$507)+2,IF(AS110=Constants!$B$5,COUNTA($C$8:$C$507)+1,IF(AS110=Constants!$B$6,COUNTA($C$8:$C$507),AS110))))</f>
        <v/>
      </c>
      <c r="AU110" s="5"/>
      <c r="AV110" s="73" t="n">
        <f aca="false">IF(OR(ISNUMBER(AS110),AS110=Constants!$B$4,AS110=Constants!$B$6,AS110=Constants!$B$5),1,0)</f>
        <v>0</v>
      </c>
      <c r="AW110" s="73" t="n">
        <v>103</v>
      </c>
      <c r="AX110" s="73" t="str">
        <f aca="false">IF(ISBLANK($C110),"",IF(ISNUMBER(AT110),AT110+ROW($B110)/1000,""))</f>
        <v/>
      </c>
      <c r="AY110" s="73" t="str">
        <f aca="false">IF(ISNUMBER(AX110),RANK(AX110,$AX$8:$AX$507,1),"")</f>
        <v/>
      </c>
      <c r="AZ110" s="73" t="str">
        <f aca="false">IF(ISBLANK($C110),"",$B110)</f>
        <v/>
      </c>
      <c r="BA110" s="73" t="str">
        <f aca="false">IF(ISBLANK($C110),"",$C110)</f>
        <v/>
      </c>
      <c r="BB110" s="73" t="str">
        <f aca="false">IF(ISBLANK($C110),"",$D110)</f>
        <v/>
      </c>
      <c r="BC110" s="74" t="str">
        <f aca="false">AQ110</f>
        <v/>
      </c>
      <c r="BD110" s="75" t="str">
        <f aca="false">AP110</f>
        <v/>
      </c>
      <c r="BE110" s="73" t="str">
        <f aca="false">IF(ISBLANK($C110),"",AS110)</f>
        <v/>
      </c>
      <c r="BF110" s="76" t="str">
        <f aca="false">IF($AW110&gt;$AV$7,"",VLOOKUP($AW110,$AY$8:$BE$507,7,FALSE()))</f>
        <v/>
      </c>
      <c r="BG110" s="77" t="str">
        <f aca="false">IF($AW110&gt;$AV$7,"",VLOOKUP($AW110,$AY$8:$BE$507,2,FALSE()))</f>
        <v/>
      </c>
      <c r="BH110" s="77" t="str">
        <f aca="false">IF($AW110&gt;$AV$7,"",VLOOKUP($AW110,$AY$8:$BE$507,3,FALSE()))</f>
        <v/>
      </c>
      <c r="BI110" s="77" t="str">
        <f aca="false">IF($AW110&gt;$AV$7,"",VLOOKUP($AW110,$AY$8:$BE$507,4,FALSE()))</f>
        <v/>
      </c>
      <c r="BJ110" s="77" t="str">
        <f aca="false">IF($AW110&gt;$AV$7,"",VLOOKUP($AW110,$AY$8:$BE$507,5,FALSE()))</f>
        <v/>
      </c>
      <c r="BK110" s="78" t="str">
        <f aca="false">IF($AW110&gt;$AV$7,"",VLOOKUP($AW110,$AY$8:$BE$507,6,FALSE()))</f>
        <v/>
      </c>
      <c r="BL110" s="50"/>
    </row>
    <row r="111" customFormat="false" ht="15.75" hidden="false" customHeight="false" outlineLevel="0" collapsed="false">
      <c r="A111" s="5"/>
      <c r="B111" s="131"/>
      <c r="C111" s="52"/>
      <c r="D111" s="53"/>
      <c r="E111" s="80"/>
      <c r="F111" s="132"/>
      <c r="G111" s="56"/>
      <c r="H111" s="133"/>
      <c r="I111" s="134"/>
      <c r="J111" s="59"/>
      <c r="K111" s="60"/>
      <c r="L111" s="134"/>
      <c r="M111" s="61"/>
      <c r="N111" s="62"/>
      <c r="O111" s="80"/>
      <c r="P111" s="64"/>
      <c r="Q111" s="65" t="str">
        <f aca="false">IF(ISBLANK($C111),"",IF(E111=Constants!$B$2, TRUE(), IF(E111=Constants!$B$3, FALSE(), TRUE())))</f>
        <v/>
      </c>
      <c r="R111" s="65" t="str">
        <f aca="false">IF(ISBLANK($C111),"",IF(F111=Constants!$B$2, TRUE(), IF(F111=Constants!$B$3, FALSE(), TRUE())))</f>
        <v/>
      </c>
      <c r="S111" s="65" t="str">
        <f aca="false">IF(ISBLANK($C111),"",IF(G111=Constants!$B$15,Constants!$B$8,IF(G111=Constants!$B$16,Constants!$B$9,Constants!$B$10)))</f>
        <v/>
      </c>
      <c r="T111" s="65" t="str">
        <f aca="false">IF(ISBLANK($C111),"",IF(H111=Constants!$B$2, TRUE(), IF(H111=Constants!$B$3, FALSE(), TRUE())))</f>
        <v/>
      </c>
      <c r="U111" s="65" t="str">
        <f aca="false">IF(ISBLANK($C111),"",IF(I111=Constants!$B$19,Constants!$B$19,Constants!$B$18))</f>
        <v/>
      </c>
      <c r="V111" s="65" t="str">
        <f aca="false">IF(ISBLANK($C111),"",IF(COUNTA(J111:K111)=0,"",IF(AND(OR(ISBLANK(J111),AND(ISNUMBER(J111),J111&gt;=0)),OR(ISBLANK(K111),AND(ISNUMBER(K111),K111&gt;=0))),60*IF(ISBLANK(J111),0,J111)+IF(ISBLANK(K111),0,K111),"")))</f>
        <v/>
      </c>
      <c r="W111" s="65" t="str">
        <f aca="false">IF(ISBLANK($C111),"",IF(L111=Constants!$B$19,Constants!$B$19,Constants!$B$18))</f>
        <v/>
      </c>
      <c r="X111" s="65" t="str">
        <f aca="false">IF(ISBLANK($C111),"",IF(COUNTA(M111:N111)=0,"",IF(AND(OR(ISBLANK(M111),AND(ISNUMBER(M111),M111&gt;=0)),OR(ISBLANK(N111),AND(ISNUMBER(N111),N111&gt;=0))),60*IF(ISBLANK(M111),0,M111)+IF(ISBLANK(N111),0,N111),"")))</f>
        <v/>
      </c>
      <c r="Y111" s="65" t="str">
        <f aca="false">IF(ISBLANK($C111),"",IF(O111=Constants!$B$2, TRUE(), IF(O111=Constants!$B$3, FALSE(), FALSE())))</f>
        <v/>
      </c>
      <c r="Z111" s="65" t="str">
        <f aca="false">IF(ISBLANK($C111),"",IF(Y111,Constants!$B$4,IF(COUNTA(E111:N111)=0,Constants!$B$5,IF(COUNTA(J111:K111,M111:N111)=0,Constants!$B$6,Constants!$B$7))))</f>
        <v/>
      </c>
      <c r="AA111" s="65" t="str">
        <f aca="false">IF(ISBLANK($C111),"",IF($Z111&lt;&gt;Constants!$B$7,$Z111,IF(OR(NOT(T111),AND(NOT(Q111),COUNTIFS(U111:W111,Constants!$B$18,V111:X111,"&gt;=0")&gt;0),AND(NOT(R111),COUNTIFS(U111:W111,Constants!$B$19,V111:X111,"&gt;=0")&gt;0)),Constants!$B$12,Constants!$B$11)))</f>
        <v/>
      </c>
      <c r="AB111" s="65" t="str">
        <f aca="false">IF($Z111=Constants!$B$7,IF(V111="",Constants!$B$13,V111),"")</f>
        <v/>
      </c>
      <c r="AC111" s="65" t="str">
        <f aca="false">IF($Z111=Constants!$B$7,IF(X111="",Constants!$B$13,X111),"")</f>
        <v/>
      </c>
      <c r="AD111" s="65" t="str">
        <f aca="false">IF($Z111=Constants!$B$7,IF($AB111&gt;=$AC111,1,2),"")</f>
        <v/>
      </c>
      <c r="AE111" s="65" t="str">
        <f aca="false">IF($Z111=Constants!$B$7,LARGE(AB111:AC111,1),"")</f>
        <v/>
      </c>
      <c r="AF111" s="65" t="str">
        <f aca="false">IF(ISBLANK($C111),"",IF($Z111&lt;&gt;Constants!$B$7,$Z111,AE111*S111))</f>
        <v/>
      </c>
      <c r="AG111" s="65" t="str">
        <f aca="false">IF(ISBLANK($C111),"",IF($Z111=Constants!$B$7,IF(ISNUMBER(AF111),RANK(AF111,$AF$8:$AF$507),Constants!$B$14),$Z111))</f>
        <v/>
      </c>
      <c r="AH111" s="65" t="str">
        <f aca="false">IF(ISBLANK($C111),"",IF($Z111=Constants!$B$7,IF(ISNUMBER(AG111),COUNTIFS($AA$8:$AA$507,"&lt;"&amp;$AA111)+COUNTIFS($AA$8:$AA$507,$AA111,$AG$8:$AG$507,"&lt;"&amp;$AG111)+1,Constants!$B$14),$Z111))</f>
        <v/>
      </c>
      <c r="AI111" s="65" t="str">
        <f aca="false">IF(ISBLANK($C111),"",IF($Z111=Constants!$B$7,LARGE(AB111:AC111,2)*S111,""))</f>
        <v/>
      </c>
      <c r="AJ111" s="65" t="str">
        <f aca="false">IF(ISBLANK($C111),"",IF($Z111=Constants!$B$7,RANK(AI111,$AI$8:$AI$507),$Z111))</f>
        <v/>
      </c>
      <c r="AK111" s="65" t="str">
        <f aca="false">IF(ISBLANK($C111),"",IF($Z111=Constants!$B$7,IF(ISNUMBER(AG111),COUNTIFS($AA$8:$AA$507,"&lt;"&amp;$AA111)+COUNTIFS($AA$8:$AA$507,$AA111,$AG$8:$AG$507,"&lt;"&amp;$AG111)+COUNTIFS($AA$8:$AA$507,$AA111,$AG$8:$AG$507,$AG111,$AJ$8:$AJ$507,"&lt;"&amp;$AJ111)+1,Constants!$B$14),$Z111))</f>
        <v/>
      </c>
      <c r="AL111" s="65" t="str">
        <f aca="false">IF(ISBLANK($C111),"",IF($Z111=Constants!$B$7,IF(ISNUMBER(AH111),AH111-AK111,Constants!$B$14),$Z111))</f>
        <v/>
      </c>
      <c r="AM111" s="67"/>
      <c r="AN111" s="68" t="str">
        <f aca="false">IF(ISBLANK($C111),"",IF($Z111&lt;&gt;Constants!$B$7,$Z111,AD111))</f>
        <v/>
      </c>
      <c r="AO111" s="69" t="str">
        <f aca="false">IF(ISBLANK($C111),"",IF($Z111&lt;&gt;Constants!$B$7,$Z111,S111))</f>
        <v/>
      </c>
      <c r="AP111" s="70" t="str">
        <f aca="false">IF(ISBLANK($C111),"",IF($Z111&lt;&gt;Constants!$B$7,$Z111,AF111))</f>
        <v/>
      </c>
      <c r="AQ111" s="71" t="str">
        <f aca="false">IF(ISBLANK($C111),"",IF($Z111&lt;&gt;Constants!$B$7,$Z111,AA111))</f>
        <v/>
      </c>
      <c r="AR111" s="69" t="str">
        <f aca="false">IF(ISBLANK($C111),"",AL111)</f>
        <v/>
      </c>
      <c r="AS111" s="69" t="str">
        <f aca="false">IF(ISBLANK($C111),"",AK111)</f>
        <v/>
      </c>
      <c r="AT111" s="72" t="str">
        <f aca="false">IF(ISBLANK($C111),"",IF(AS111=Constants!$B$4,COUNTA($C$8:$C$507)+2,IF(AS111=Constants!$B$5,COUNTA($C$8:$C$507)+1,IF(AS111=Constants!$B$6,COUNTA($C$8:$C$507),AS111))))</f>
        <v/>
      </c>
      <c r="AU111" s="5"/>
      <c r="AV111" s="73" t="n">
        <f aca="false">IF(OR(ISNUMBER(AS111),AS111=Constants!$B$4,AS111=Constants!$B$6,AS111=Constants!$B$5),1,0)</f>
        <v>0</v>
      </c>
      <c r="AW111" s="73" t="n">
        <v>104</v>
      </c>
      <c r="AX111" s="73" t="str">
        <f aca="false">IF(ISBLANK($C111),"",IF(ISNUMBER(AT111),AT111+ROW($B111)/1000,""))</f>
        <v/>
      </c>
      <c r="AY111" s="73" t="str">
        <f aca="false">IF(ISNUMBER(AX111),RANK(AX111,$AX$8:$AX$507,1),"")</f>
        <v/>
      </c>
      <c r="AZ111" s="73" t="str">
        <f aca="false">IF(ISBLANK($C111),"",$B111)</f>
        <v/>
      </c>
      <c r="BA111" s="73" t="str">
        <f aca="false">IF(ISBLANK($C111),"",$C111)</f>
        <v/>
      </c>
      <c r="BB111" s="73" t="str">
        <f aca="false">IF(ISBLANK($C111),"",$D111)</f>
        <v/>
      </c>
      <c r="BC111" s="74" t="str">
        <f aca="false">AQ111</f>
        <v/>
      </c>
      <c r="BD111" s="75" t="str">
        <f aca="false">AP111</f>
        <v/>
      </c>
      <c r="BE111" s="73" t="str">
        <f aca="false">IF(ISBLANK($C111),"",AS111)</f>
        <v/>
      </c>
      <c r="BF111" s="76" t="str">
        <f aca="false">IF($AW111&gt;$AV$7,"",VLOOKUP($AW111,$AY$8:$BE$507,7,FALSE()))</f>
        <v/>
      </c>
      <c r="BG111" s="77" t="str">
        <f aca="false">IF($AW111&gt;$AV$7,"",VLOOKUP($AW111,$AY$8:$BE$507,2,FALSE()))</f>
        <v/>
      </c>
      <c r="BH111" s="77" t="str">
        <f aca="false">IF($AW111&gt;$AV$7,"",VLOOKUP($AW111,$AY$8:$BE$507,3,FALSE()))</f>
        <v/>
      </c>
      <c r="BI111" s="77" t="str">
        <f aca="false">IF($AW111&gt;$AV$7,"",VLOOKUP($AW111,$AY$8:$BE$507,4,FALSE()))</f>
        <v/>
      </c>
      <c r="BJ111" s="77" t="str">
        <f aca="false">IF($AW111&gt;$AV$7,"",VLOOKUP($AW111,$AY$8:$BE$507,5,FALSE()))</f>
        <v/>
      </c>
      <c r="BK111" s="78" t="str">
        <f aca="false">IF($AW111&gt;$AV$7,"",VLOOKUP($AW111,$AY$8:$BE$507,6,FALSE()))</f>
        <v/>
      </c>
      <c r="BL111" s="50"/>
    </row>
    <row r="112" customFormat="false" ht="15.75" hidden="false" customHeight="false" outlineLevel="0" collapsed="false">
      <c r="A112" s="5"/>
      <c r="B112" s="131"/>
      <c r="C112" s="52"/>
      <c r="D112" s="53"/>
      <c r="E112" s="80"/>
      <c r="F112" s="132"/>
      <c r="G112" s="56"/>
      <c r="H112" s="133"/>
      <c r="I112" s="134"/>
      <c r="J112" s="59"/>
      <c r="K112" s="60"/>
      <c r="L112" s="134"/>
      <c r="M112" s="61"/>
      <c r="N112" s="62"/>
      <c r="O112" s="80"/>
      <c r="P112" s="64"/>
      <c r="Q112" s="65" t="str">
        <f aca="false">IF(ISBLANK($C112),"",IF(E112=Constants!$B$2, TRUE(), IF(E112=Constants!$B$3, FALSE(), TRUE())))</f>
        <v/>
      </c>
      <c r="R112" s="65" t="str">
        <f aca="false">IF(ISBLANK($C112),"",IF(F112=Constants!$B$2, TRUE(), IF(F112=Constants!$B$3, FALSE(), TRUE())))</f>
        <v/>
      </c>
      <c r="S112" s="65" t="str">
        <f aca="false">IF(ISBLANK($C112),"",IF(G112=Constants!$B$15,Constants!$B$8,IF(G112=Constants!$B$16,Constants!$B$9,Constants!$B$10)))</f>
        <v/>
      </c>
      <c r="T112" s="65" t="str">
        <f aca="false">IF(ISBLANK($C112),"",IF(H112=Constants!$B$2, TRUE(), IF(H112=Constants!$B$3, FALSE(), TRUE())))</f>
        <v/>
      </c>
      <c r="U112" s="65" t="str">
        <f aca="false">IF(ISBLANK($C112),"",IF(I112=Constants!$B$19,Constants!$B$19,Constants!$B$18))</f>
        <v/>
      </c>
      <c r="V112" s="65" t="str">
        <f aca="false">IF(ISBLANK($C112),"",IF(COUNTA(J112:K112)=0,"",IF(AND(OR(ISBLANK(J112),AND(ISNUMBER(J112),J112&gt;=0)),OR(ISBLANK(K112),AND(ISNUMBER(K112),K112&gt;=0))),60*IF(ISBLANK(J112),0,J112)+IF(ISBLANK(K112),0,K112),"")))</f>
        <v/>
      </c>
      <c r="W112" s="65" t="str">
        <f aca="false">IF(ISBLANK($C112),"",IF(L112=Constants!$B$19,Constants!$B$19,Constants!$B$18))</f>
        <v/>
      </c>
      <c r="X112" s="65" t="str">
        <f aca="false">IF(ISBLANK($C112),"",IF(COUNTA(M112:N112)=0,"",IF(AND(OR(ISBLANK(M112),AND(ISNUMBER(M112),M112&gt;=0)),OR(ISBLANK(N112),AND(ISNUMBER(N112),N112&gt;=0))),60*IF(ISBLANK(M112),0,M112)+IF(ISBLANK(N112),0,N112),"")))</f>
        <v/>
      </c>
      <c r="Y112" s="65" t="str">
        <f aca="false">IF(ISBLANK($C112),"",IF(O112=Constants!$B$2, TRUE(), IF(O112=Constants!$B$3, FALSE(), FALSE())))</f>
        <v/>
      </c>
      <c r="Z112" s="65" t="str">
        <f aca="false">IF(ISBLANK($C112),"",IF(Y112,Constants!$B$4,IF(COUNTA(E112:N112)=0,Constants!$B$5,IF(COUNTA(J112:K112,M112:N112)=0,Constants!$B$6,Constants!$B$7))))</f>
        <v/>
      </c>
      <c r="AA112" s="65" t="str">
        <f aca="false">IF(ISBLANK($C112),"",IF($Z112&lt;&gt;Constants!$B$7,$Z112,IF(OR(NOT(T112),AND(NOT(Q112),COUNTIFS(U112:W112,Constants!$B$18,V112:X112,"&gt;=0")&gt;0),AND(NOT(R112),COUNTIFS(U112:W112,Constants!$B$19,V112:X112,"&gt;=0")&gt;0)),Constants!$B$12,Constants!$B$11)))</f>
        <v/>
      </c>
      <c r="AB112" s="65" t="str">
        <f aca="false">IF($Z112=Constants!$B$7,IF(V112="",Constants!$B$13,V112),"")</f>
        <v/>
      </c>
      <c r="AC112" s="65" t="str">
        <f aca="false">IF($Z112=Constants!$B$7,IF(X112="",Constants!$B$13,X112),"")</f>
        <v/>
      </c>
      <c r="AD112" s="65" t="str">
        <f aca="false">IF($Z112=Constants!$B$7,IF($AB112&gt;=$AC112,1,2),"")</f>
        <v/>
      </c>
      <c r="AE112" s="65" t="str">
        <f aca="false">IF($Z112=Constants!$B$7,LARGE(AB112:AC112,1),"")</f>
        <v/>
      </c>
      <c r="AF112" s="65" t="str">
        <f aca="false">IF(ISBLANK($C112),"",IF($Z112&lt;&gt;Constants!$B$7,$Z112,AE112*S112))</f>
        <v/>
      </c>
      <c r="AG112" s="65" t="str">
        <f aca="false">IF(ISBLANK($C112),"",IF($Z112=Constants!$B$7,IF(ISNUMBER(AF112),RANK(AF112,$AF$8:$AF$507),Constants!$B$14),$Z112))</f>
        <v/>
      </c>
      <c r="AH112" s="65" t="str">
        <f aca="false">IF(ISBLANK($C112),"",IF($Z112=Constants!$B$7,IF(ISNUMBER(AG112),COUNTIFS($AA$8:$AA$507,"&lt;"&amp;$AA112)+COUNTIFS($AA$8:$AA$507,$AA112,$AG$8:$AG$507,"&lt;"&amp;$AG112)+1,Constants!$B$14),$Z112))</f>
        <v/>
      </c>
      <c r="AI112" s="65" t="str">
        <f aca="false">IF(ISBLANK($C112),"",IF($Z112=Constants!$B$7,LARGE(AB112:AC112,2)*S112,""))</f>
        <v/>
      </c>
      <c r="AJ112" s="65" t="str">
        <f aca="false">IF(ISBLANK($C112),"",IF($Z112=Constants!$B$7,RANK(AI112,$AI$8:$AI$507),$Z112))</f>
        <v/>
      </c>
      <c r="AK112" s="65" t="str">
        <f aca="false">IF(ISBLANK($C112),"",IF($Z112=Constants!$B$7,IF(ISNUMBER(AG112),COUNTIFS($AA$8:$AA$507,"&lt;"&amp;$AA112)+COUNTIFS($AA$8:$AA$507,$AA112,$AG$8:$AG$507,"&lt;"&amp;$AG112)+COUNTIFS($AA$8:$AA$507,$AA112,$AG$8:$AG$507,$AG112,$AJ$8:$AJ$507,"&lt;"&amp;$AJ112)+1,Constants!$B$14),$Z112))</f>
        <v/>
      </c>
      <c r="AL112" s="65" t="str">
        <f aca="false">IF(ISBLANK($C112),"",IF($Z112=Constants!$B$7,IF(ISNUMBER(AH112),AH112-AK112,Constants!$B$14),$Z112))</f>
        <v/>
      </c>
      <c r="AM112" s="67"/>
      <c r="AN112" s="68" t="str">
        <f aca="false">IF(ISBLANK($C112),"",IF($Z112&lt;&gt;Constants!$B$7,$Z112,AD112))</f>
        <v/>
      </c>
      <c r="AO112" s="69" t="str">
        <f aca="false">IF(ISBLANK($C112),"",IF($Z112&lt;&gt;Constants!$B$7,$Z112,S112))</f>
        <v/>
      </c>
      <c r="AP112" s="70" t="str">
        <f aca="false">IF(ISBLANK($C112),"",IF($Z112&lt;&gt;Constants!$B$7,$Z112,AF112))</f>
        <v/>
      </c>
      <c r="AQ112" s="71" t="str">
        <f aca="false">IF(ISBLANK($C112),"",IF($Z112&lt;&gt;Constants!$B$7,$Z112,AA112))</f>
        <v/>
      </c>
      <c r="AR112" s="69" t="str">
        <f aca="false">IF(ISBLANK($C112),"",AL112)</f>
        <v/>
      </c>
      <c r="AS112" s="69" t="str">
        <f aca="false">IF(ISBLANK($C112),"",AK112)</f>
        <v/>
      </c>
      <c r="AT112" s="72" t="str">
        <f aca="false">IF(ISBLANK($C112),"",IF(AS112=Constants!$B$4,COUNTA($C$8:$C$507)+2,IF(AS112=Constants!$B$5,COUNTA($C$8:$C$507)+1,IF(AS112=Constants!$B$6,COUNTA($C$8:$C$507),AS112))))</f>
        <v/>
      </c>
      <c r="AU112" s="5"/>
      <c r="AV112" s="73" t="n">
        <f aca="false">IF(OR(ISNUMBER(AS112),AS112=Constants!$B$4,AS112=Constants!$B$6,AS112=Constants!$B$5),1,0)</f>
        <v>0</v>
      </c>
      <c r="AW112" s="73" t="n">
        <v>105</v>
      </c>
      <c r="AX112" s="73" t="str">
        <f aca="false">IF(ISBLANK($C112),"",IF(ISNUMBER(AT112),AT112+ROW($B112)/1000,""))</f>
        <v/>
      </c>
      <c r="AY112" s="73" t="str">
        <f aca="false">IF(ISNUMBER(AX112),RANK(AX112,$AX$8:$AX$507,1),"")</f>
        <v/>
      </c>
      <c r="AZ112" s="73" t="str">
        <f aca="false">IF(ISBLANK($C112),"",$B112)</f>
        <v/>
      </c>
      <c r="BA112" s="73" t="str">
        <f aca="false">IF(ISBLANK($C112),"",$C112)</f>
        <v/>
      </c>
      <c r="BB112" s="73" t="str">
        <f aca="false">IF(ISBLANK($C112),"",$D112)</f>
        <v/>
      </c>
      <c r="BC112" s="74" t="str">
        <f aca="false">AQ112</f>
        <v/>
      </c>
      <c r="BD112" s="75" t="str">
        <f aca="false">AP112</f>
        <v/>
      </c>
      <c r="BE112" s="73" t="str">
        <f aca="false">IF(ISBLANK($C112),"",AS112)</f>
        <v/>
      </c>
      <c r="BF112" s="76" t="str">
        <f aca="false">IF($AW112&gt;$AV$7,"",VLOOKUP($AW112,$AY$8:$BE$507,7,FALSE()))</f>
        <v/>
      </c>
      <c r="BG112" s="77" t="str">
        <f aca="false">IF($AW112&gt;$AV$7,"",VLOOKUP($AW112,$AY$8:$BE$507,2,FALSE()))</f>
        <v/>
      </c>
      <c r="BH112" s="77" t="str">
        <f aca="false">IF($AW112&gt;$AV$7,"",VLOOKUP($AW112,$AY$8:$BE$507,3,FALSE()))</f>
        <v/>
      </c>
      <c r="BI112" s="77" t="str">
        <f aca="false">IF($AW112&gt;$AV$7,"",VLOOKUP($AW112,$AY$8:$BE$507,4,FALSE()))</f>
        <v/>
      </c>
      <c r="BJ112" s="77" t="str">
        <f aca="false">IF($AW112&gt;$AV$7,"",VLOOKUP($AW112,$AY$8:$BE$507,5,FALSE()))</f>
        <v/>
      </c>
      <c r="BK112" s="78" t="str">
        <f aca="false">IF($AW112&gt;$AV$7,"",VLOOKUP($AW112,$AY$8:$BE$507,6,FALSE()))</f>
        <v/>
      </c>
      <c r="BL112" s="50"/>
    </row>
    <row r="113" customFormat="false" ht="15.75" hidden="false" customHeight="false" outlineLevel="0" collapsed="false">
      <c r="A113" s="5"/>
      <c r="B113" s="124"/>
      <c r="C113" s="125"/>
      <c r="D113" s="110"/>
      <c r="E113" s="130"/>
      <c r="F113" s="135"/>
      <c r="G113" s="88"/>
      <c r="H113" s="136"/>
      <c r="I113" s="137"/>
      <c r="J113" s="91"/>
      <c r="K113" s="92"/>
      <c r="L113" s="137"/>
      <c r="M113" s="93"/>
      <c r="N113" s="94"/>
      <c r="O113" s="130"/>
      <c r="P113" s="96"/>
      <c r="Q113" s="97" t="str">
        <f aca="false">IF(ISBLANK($C113),"",IF(E113=Constants!$B$2, TRUE(), IF(E113=Constants!$B$3, FALSE(), TRUE())))</f>
        <v/>
      </c>
      <c r="R113" s="97" t="str">
        <f aca="false">IF(ISBLANK($C113),"",IF(F113=Constants!$B$2, TRUE(), IF(F113=Constants!$B$3, FALSE(), TRUE())))</f>
        <v/>
      </c>
      <c r="S113" s="97" t="str">
        <f aca="false">IF(ISBLANK($C113),"",IF(G113=Constants!$B$15,Constants!$B$8,IF(G113=Constants!$B$16,Constants!$B$9,Constants!$B$10)))</f>
        <v/>
      </c>
      <c r="T113" s="97" t="str">
        <f aca="false">IF(ISBLANK($C113),"",IF(H113=Constants!$B$2, TRUE(), IF(H113=Constants!$B$3, FALSE(), TRUE())))</f>
        <v/>
      </c>
      <c r="U113" s="97" t="str">
        <f aca="false">IF(ISBLANK($C113),"",IF(I113=Constants!$B$19,Constants!$B$19,Constants!$B$18))</f>
        <v/>
      </c>
      <c r="V113" s="97" t="str">
        <f aca="false">IF(ISBLANK($C113),"",IF(COUNTA(J113:K113)=0,"",IF(AND(OR(ISBLANK(J113),AND(ISNUMBER(J113),J113&gt;=0)),OR(ISBLANK(K113),AND(ISNUMBER(K113),K113&gt;=0))),60*IF(ISBLANK(J113),0,J113)+IF(ISBLANK(K113),0,K113),"")))</f>
        <v/>
      </c>
      <c r="W113" s="97" t="str">
        <f aca="false">IF(ISBLANK($C113),"",IF(L113=Constants!$B$19,Constants!$B$19,Constants!$B$18))</f>
        <v/>
      </c>
      <c r="X113" s="97" t="str">
        <f aca="false">IF(ISBLANK($C113),"",IF(COUNTA(M113:N113)=0,"",IF(AND(OR(ISBLANK(M113),AND(ISNUMBER(M113),M113&gt;=0)),OR(ISBLANK(N113),AND(ISNUMBER(N113),N113&gt;=0))),60*IF(ISBLANK(M113),0,M113)+IF(ISBLANK(N113),0,N113),"")))</f>
        <v/>
      </c>
      <c r="Y113" s="97" t="str">
        <f aca="false">IF(ISBLANK($C113),"",IF(O113=Constants!$B$2, TRUE(), IF(O113=Constants!$B$3, FALSE(), FALSE())))</f>
        <v/>
      </c>
      <c r="Z113" s="97" t="str">
        <f aca="false">IF(ISBLANK($C113),"",IF(Y113,Constants!$B$4,IF(COUNTA(E113:N113)=0,Constants!$B$5,IF(COUNTA(J113:K113,M113:N113)=0,Constants!$B$6,Constants!$B$7))))</f>
        <v/>
      </c>
      <c r="AA113" s="97" t="str">
        <f aca="false">IF(ISBLANK($C113),"",IF($Z113&lt;&gt;Constants!$B$7,$Z113,IF(OR(NOT(T113),AND(NOT(Q113),COUNTIFS(U113:W113,Constants!$B$18,V113:X113,"&gt;=0")&gt;0),AND(NOT(R113),COUNTIFS(U113:W113,Constants!$B$19,V113:X113,"&gt;=0")&gt;0)),Constants!$B$12,Constants!$B$11)))</f>
        <v/>
      </c>
      <c r="AB113" s="97" t="str">
        <f aca="false">IF($Z113=Constants!$B$7,IF(V113="",Constants!$B$13,V113),"")</f>
        <v/>
      </c>
      <c r="AC113" s="97" t="str">
        <f aca="false">IF($Z113=Constants!$B$7,IF(X113="",Constants!$B$13,X113),"")</f>
        <v/>
      </c>
      <c r="AD113" s="97" t="str">
        <f aca="false">IF($Z113=Constants!$B$7,IF($AB113&gt;=$AC113,1,2),"")</f>
        <v/>
      </c>
      <c r="AE113" s="97" t="str">
        <f aca="false">IF($Z113=Constants!$B$7,LARGE(AB113:AC113,1),"")</f>
        <v/>
      </c>
      <c r="AF113" s="97" t="str">
        <f aca="false">IF(ISBLANK($C113),"",IF($Z113&lt;&gt;Constants!$B$7,$Z113,AE113*S113))</f>
        <v/>
      </c>
      <c r="AG113" s="97" t="str">
        <f aca="false">IF(ISBLANK($C113),"",IF($Z113=Constants!$B$7,IF(ISNUMBER(AF113),RANK(AF113,$AF$8:$AF$507),Constants!$B$14),$Z113))</f>
        <v/>
      </c>
      <c r="AH113" s="97" t="str">
        <f aca="false">IF(ISBLANK($C113),"",IF($Z113=Constants!$B$7,IF(ISNUMBER(AG113),COUNTIFS($AA$8:$AA$507,"&lt;"&amp;$AA113)+COUNTIFS($AA$8:$AA$507,$AA113,$AG$8:$AG$507,"&lt;"&amp;$AG113)+1,Constants!$B$14),$Z113))</f>
        <v/>
      </c>
      <c r="AI113" s="97" t="str">
        <f aca="false">IF(ISBLANK($C113),"",IF($Z113=Constants!$B$7,LARGE(AB113:AC113,2)*S113,""))</f>
        <v/>
      </c>
      <c r="AJ113" s="97" t="str">
        <f aca="false">IF(ISBLANK($C113),"",IF($Z113=Constants!$B$7,RANK(AI113,$AI$8:$AI$507),$Z113))</f>
        <v/>
      </c>
      <c r="AK113" s="97" t="str">
        <f aca="false">IF(ISBLANK($C113),"",IF($Z113=Constants!$B$7,IF(ISNUMBER(AG113),COUNTIFS($AA$8:$AA$507,"&lt;"&amp;$AA113)+COUNTIFS($AA$8:$AA$507,$AA113,$AG$8:$AG$507,"&lt;"&amp;$AG113)+COUNTIFS($AA$8:$AA$507,$AA113,$AG$8:$AG$507,$AG113,$AJ$8:$AJ$507,"&lt;"&amp;$AJ113)+1,Constants!$B$14),$Z113))</f>
        <v/>
      </c>
      <c r="AL113" s="97" t="str">
        <f aca="false">IF(ISBLANK($C113),"",IF($Z113=Constants!$B$7,IF(ISNUMBER(AH113),AH113-AK113,Constants!$B$14),$Z113))</f>
        <v/>
      </c>
      <c r="AM113" s="98"/>
      <c r="AN113" s="99" t="str">
        <f aca="false">IF(ISBLANK($C113),"",IF($Z113&lt;&gt;Constants!$B$7,$Z113,AD113))</f>
        <v/>
      </c>
      <c r="AO113" s="100" t="str">
        <f aca="false">IF(ISBLANK($C113),"",IF($Z113&lt;&gt;Constants!$B$7,$Z113,S113))</f>
        <v/>
      </c>
      <c r="AP113" s="101" t="str">
        <f aca="false">IF(ISBLANK($C113),"",IF($Z113&lt;&gt;Constants!$B$7,$Z113,AF113))</f>
        <v/>
      </c>
      <c r="AQ113" s="102" t="str">
        <f aca="false">IF(ISBLANK($C113),"",IF($Z113&lt;&gt;Constants!$B$7,$Z113,AA113))</f>
        <v/>
      </c>
      <c r="AR113" s="100" t="str">
        <f aca="false">IF(ISBLANK($C113),"",AL113)</f>
        <v/>
      </c>
      <c r="AS113" s="100" t="str">
        <f aca="false">IF(ISBLANK($C113),"",AK113)</f>
        <v/>
      </c>
      <c r="AT113" s="103" t="str">
        <f aca="false">IF(ISBLANK($C113),"",IF(AS113=Constants!$B$4,COUNTA($C$8:$C$507)+2,IF(AS113=Constants!$B$5,COUNTA($C$8:$C$507)+1,IF(AS113=Constants!$B$6,COUNTA($C$8:$C$507),AS113))))</f>
        <v/>
      </c>
      <c r="AU113" s="5"/>
      <c r="AV113" s="104" t="n">
        <f aca="false">IF(OR(ISNUMBER(AS113),AS113=Constants!$B$4,AS113=Constants!$B$6,AS113=Constants!$B$5),1,0)</f>
        <v>0</v>
      </c>
      <c r="AW113" s="104" t="n">
        <v>106</v>
      </c>
      <c r="AX113" s="104" t="str">
        <f aca="false">IF(ISBLANK($C113),"",IF(ISNUMBER(AT113),AT113+ROW($B113)/1000,""))</f>
        <v/>
      </c>
      <c r="AY113" s="104" t="str">
        <f aca="false">IF(ISNUMBER(AX113),RANK(AX113,$AX$8:$AX$507,1),"")</f>
        <v/>
      </c>
      <c r="AZ113" s="104" t="str">
        <f aca="false">IF(ISBLANK($C113),"",$B113)</f>
        <v/>
      </c>
      <c r="BA113" s="104" t="str">
        <f aca="false">IF(ISBLANK($C113),"",$C113)</f>
        <v/>
      </c>
      <c r="BB113" s="104" t="str">
        <f aca="false">IF(ISBLANK($C113),"",$D113)</f>
        <v/>
      </c>
      <c r="BC113" s="105" t="str">
        <f aca="false">AQ113</f>
        <v/>
      </c>
      <c r="BD113" s="106" t="str">
        <f aca="false">AP113</f>
        <v/>
      </c>
      <c r="BE113" s="104" t="str">
        <f aca="false">IF(ISBLANK($C113),"",AS113)</f>
        <v/>
      </c>
      <c r="BF113" s="107" t="str">
        <f aca="false">IF($AW113&gt;$AV$7,"",VLOOKUP($AW113,$AY$8:$BE$507,7,FALSE()))</f>
        <v/>
      </c>
      <c r="BG113" s="108" t="str">
        <f aca="false">IF($AW113&gt;$AV$7,"",VLOOKUP($AW113,$AY$8:$BE$507,2,FALSE()))</f>
        <v/>
      </c>
      <c r="BH113" s="108" t="str">
        <f aca="false">IF($AW113&gt;$AV$7,"",VLOOKUP($AW113,$AY$8:$BE$507,3,FALSE()))</f>
        <v/>
      </c>
      <c r="BI113" s="108" t="str">
        <f aca="false">IF($AW113&gt;$AV$7,"",VLOOKUP($AW113,$AY$8:$BE$507,4,FALSE()))</f>
        <v/>
      </c>
      <c r="BJ113" s="108" t="str">
        <f aca="false">IF($AW113&gt;$AV$7,"",VLOOKUP($AW113,$AY$8:$BE$507,5,FALSE()))</f>
        <v/>
      </c>
      <c r="BK113" s="109" t="str">
        <f aca="false">IF($AW113&gt;$AV$7,"",VLOOKUP($AW113,$AY$8:$BE$507,6,FALSE()))</f>
        <v/>
      </c>
      <c r="BL113" s="50"/>
    </row>
    <row r="114" customFormat="false" ht="15.75" hidden="false" customHeight="false" outlineLevel="0" collapsed="false">
      <c r="A114" s="5"/>
      <c r="B114" s="124"/>
      <c r="C114" s="125"/>
      <c r="D114" s="110"/>
      <c r="E114" s="130"/>
      <c r="F114" s="135"/>
      <c r="G114" s="88"/>
      <c r="H114" s="136"/>
      <c r="I114" s="137"/>
      <c r="J114" s="91"/>
      <c r="K114" s="92"/>
      <c r="L114" s="137"/>
      <c r="M114" s="93"/>
      <c r="N114" s="94"/>
      <c r="O114" s="130"/>
      <c r="P114" s="96"/>
      <c r="Q114" s="97" t="str">
        <f aca="false">IF(ISBLANK($C114),"",IF(E114=Constants!$B$2, TRUE(), IF(E114=Constants!$B$3, FALSE(), TRUE())))</f>
        <v/>
      </c>
      <c r="R114" s="97" t="str">
        <f aca="false">IF(ISBLANK($C114),"",IF(F114=Constants!$B$2, TRUE(), IF(F114=Constants!$B$3, FALSE(), TRUE())))</f>
        <v/>
      </c>
      <c r="S114" s="97" t="str">
        <f aca="false">IF(ISBLANK($C114),"",IF(G114=Constants!$B$15,Constants!$B$8,IF(G114=Constants!$B$16,Constants!$B$9,Constants!$B$10)))</f>
        <v/>
      </c>
      <c r="T114" s="97" t="str">
        <f aca="false">IF(ISBLANK($C114),"",IF(H114=Constants!$B$2, TRUE(), IF(H114=Constants!$B$3, FALSE(), TRUE())))</f>
        <v/>
      </c>
      <c r="U114" s="97" t="str">
        <f aca="false">IF(ISBLANK($C114),"",IF(I114=Constants!$B$19,Constants!$B$19,Constants!$B$18))</f>
        <v/>
      </c>
      <c r="V114" s="97" t="str">
        <f aca="false">IF(ISBLANK($C114),"",IF(COUNTA(J114:K114)=0,"",IF(AND(OR(ISBLANK(J114),AND(ISNUMBER(J114),J114&gt;=0)),OR(ISBLANK(K114),AND(ISNUMBER(K114),K114&gt;=0))),60*IF(ISBLANK(J114),0,J114)+IF(ISBLANK(K114),0,K114),"")))</f>
        <v/>
      </c>
      <c r="W114" s="97" t="str">
        <f aca="false">IF(ISBLANK($C114),"",IF(L114=Constants!$B$19,Constants!$B$19,Constants!$B$18))</f>
        <v/>
      </c>
      <c r="X114" s="97" t="str">
        <f aca="false">IF(ISBLANK($C114),"",IF(COUNTA(M114:N114)=0,"",IF(AND(OR(ISBLANK(M114),AND(ISNUMBER(M114),M114&gt;=0)),OR(ISBLANK(N114),AND(ISNUMBER(N114),N114&gt;=0))),60*IF(ISBLANK(M114),0,M114)+IF(ISBLANK(N114),0,N114),"")))</f>
        <v/>
      </c>
      <c r="Y114" s="97" t="str">
        <f aca="false">IF(ISBLANK($C114),"",IF(O114=Constants!$B$2, TRUE(), IF(O114=Constants!$B$3, FALSE(), FALSE())))</f>
        <v/>
      </c>
      <c r="Z114" s="97" t="str">
        <f aca="false">IF(ISBLANK($C114),"",IF(Y114,Constants!$B$4,IF(COUNTA(E114:N114)=0,Constants!$B$5,IF(COUNTA(J114:K114,M114:N114)=0,Constants!$B$6,Constants!$B$7))))</f>
        <v/>
      </c>
      <c r="AA114" s="97" t="str">
        <f aca="false">IF(ISBLANK($C114),"",IF($Z114&lt;&gt;Constants!$B$7,$Z114,IF(OR(NOT(T114),AND(NOT(Q114),COUNTIFS(U114:W114,Constants!$B$18,V114:X114,"&gt;=0")&gt;0),AND(NOT(R114),COUNTIFS(U114:W114,Constants!$B$19,V114:X114,"&gt;=0")&gt;0)),Constants!$B$12,Constants!$B$11)))</f>
        <v/>
      </c>
      <c r="AB114" s="97" t="str">
        <f aca="false">IF($Z114=Constants!$B$7,IF(V114="",Constants!$B$13,V114),"")</f>
        <v/>
      </c>
      <c r="AC114" s="97" t="str">
        <f aca="false">IF($Z114=Constants!$B$7,IF(X114="",Constants!$B$13,X114),"")</f>
        <v/>
      </c>
      <c r="AD114" s="97" t="str">
        <f aca="false">IF($Z114=Constants!$B$7,IF($AB114&gt;=$AC114,1,2),"")</f>
        <v/>
      </c>
      <c r="AE114" s="97" t="str">
        <f aca="false">IF($Z114=Constants!$B$7,LARGE(AB114:AC114,1),"")</f>
        <v/>
      </c>
      <c r="AF114" s="97" t="str">
        <f aca="false">IF(ISBLANK($C114),"",IF($Z114&lt;&gt;Constants!$B$7,$Z114,AE114*S114))</f>
        <v/>
      </c>
      <c r="AG114" s="97" t="str">
        <f aca="false">IF(ISBLANK($C114),"",IF($Z114=Constants!$B$7,IF(ISNUMBER(AF114),RANK(AF114,$AF$8:$AF$507),Constants!$B$14),$Z114))</f>
        <v/>
      </c>
      <c r="AH114" s="97" t="str">
        <f aca="false">IF(ISBLANK($C114),"",IF($Z114=Constants!$B$7,IF(ISNUMBER(AG114),COUNTIFS($AA$8:$AA$507,"&lt;"&amp;$AA114)+COUNTIFS($AA$8:$AA$507,$AA114,$AG$8:$AG$507,"&lt;"&amp;$AG114)+1,Constants!$B$14),$Z114))</f>
        <v/>
      </c>
      <c r="AI114" s="97" t="str">
        <f aca="false">IF(ISBLANK($C114),"",IF($Z114=Constants!$B$7,LARGE(AB114:AC114,2)*S114,""))</f>
        <v/>
      </c>
      <c r="AJ114" s="97" t="str">
        <f aca="false">IF(ISBLANK($C114),"",IF($Z114=Constants!$B$7,RANK(AI114,$AI$8:$AI$507),$Z114))</f>
        <v/>
      </c>
      <c r="AK114" s="97" t="str">
        <f aca="false">IF(ISBLANK($C114),"",IF($Z114=Constants!$B$7,IF(ISNUMBER(AG114),COUNTIFS($AA$8:$AA$507,"&lt;"&amp;$AA114)+COUNTIFS($AA$8:$AA$507,$AA114,$AG$8:$AG$507,"&lt;"&amp;$AG114)+COUNTIFS($AA$8:$AA$507,$AA114,$AG$8:$AG$507,$AG114,$AJ$8:$AJ$507,"&lt;"&amp;$AJ114)+1,Constants!$B$14),$Z114))</f>
        <v/>
      </c>
      <c r="AL114" s="97" t="str">
        <f aca="false">IF(ISBLANK($C114),"",IF($Z114=Constants!$B$7,IF(ISNUMBER(AH114),AH114-AK114,Constants!$B$14),$Z114))</f>
        <v/>
      </c>
      <c r="AM114" s="98"/>
      <c r="AN114" s="99" t="str">
        <f aca="false">IF(ISBLANK($C114),"",IF($Z114&lt;&gt;Constants!$B$7,$Z114,AD114))</f>
        <v/>
      </c>
      <c r="AO114" s="100" t="str">
        <f aca="false">IF(ISBLANK($C114),"",IF($Z114&lt;&gt;Constants!$B$7,$Z114,S114))</f>
        <v/>
      </c>
      <c r="AP114" s="101" t="str">
        <f aca="false">IF(ISBLANK($C114),"",IF($Z114&lt;&gt;Constants!$B$7,$Z114,AF114))</f>
        <v/>
      </c>
      <c r="AQ114" s="102" t="str">
        <f aca="false">IF(ISBLANK($C114),"",IF($Z114&lt;&gt;Constants!$B$7,$Z114,AA114))</f>
        <v/>
      </c>
      <c r="AR114" s="100" t="str">
        <f aca="false">IF(ISBLANK($C114),"",AL114)</f>
        <v/>
      </c>
      <c r="AS114" s="100" t="str">
        <f aca="false">IF(ISBLANK($C114),"",AK114)</f>
        <v/>
      </c>
      <c r="AT114" s="103" t="str">
        <f aca="false">IF(ISBLANK($C114),"",IF(AS114=Constants!$B$4,COUNTA($C$8:$C$507)+2,IF(AS114=Constants!$B$5,COUNTA($C$8:$C$507)+1,IF(AS114=Constants!$B$6,COUNTA($C$8:$C$507),AS114))))</f>
        <v/>
      </c>
      <c r="AU114" s="5"/>
      <c r="AV114" s="104" t="n">
        <f aca="false">IF(OR(ISNUMBER(AS114),AS114=Constants!$B$4,AS114=Constants!$B$6,AS114=Constants!$B$5),1,0)</f>
        <v>0</v>
      </c>
      <c r="AW114" s="104" t="n">
        <v>107</v>
      </c>
      <c r="AX114" s="104" t="str">
        <f aca="false">IF(ISBLANK($C114),"",IF(ISNUMBER(AT114),AT114+ROW($B114)/1000,""))</f>
        <v/>
      </c>
      <c r="AY114" s="104" t="str">
        <f aca="false">IF(ISNUMBER(AX114),RANK(AX114,$AX$8:$AX$507,1),"")</f>
        <v/>
      </c>
      <c r="AZ114" s="104" t="str">
        <f aca="false">IF(ISBLANK($C114),"",$B114)</f>
        <v/>
      </c>
      <c r="BA114" s="104" t="str">
        <f aca="false">IF(ISBLANK($C114),"",$C114)</f>
        <v/>
      </c>
      <c r="BB114" s="104" t="str">
        <f aca="false">IF(ISBLANK($C114),"",$D114)</f>
        <v/>
      </c>
      <c r="BC114" s="105" t="str">
        <f aca="false">AQ114</f>
        <v/>
      </c>
      <c r="BD114" s="106" t="str">
        <f aca="false">AP114</f>
        <v/>
      </c>
      <c r="BE114" s="104" t="str">
        <f aca="false">IF(ISBLANK($C114),"",AS114)</f>
        <v/>
      </c>
      <c r="BF114" s="107" t="str">
        <f aca="false">IF($AW114&gt;$AV$7,"",VLOOKUP($AW114,$AY$8:$BE$507,7,FALSE()))</f>
        <v/>
      </c>
      <c r="BG114" s="108" t="str">
        <f aca="false">IF($AW114&gt;$AV$7,"",VLOOKUP($AW114,$AY$8:$BE$507,2,FALSE()))</f>
        <v/>
      </c>
      <c r="BH114" s="108" t="str">
        <f aca="false">IF($AW114&gt;$AV$7,"",VLOOKUP($AW114,$AY$8:$BE$507,3,FALSE()))</f>
        <v/>
      </c>
      <c r="BI114" s="108" t="str">
        <f aca="false">IF($AW114&gt;$AV$7,"",VLOOKUP($AW114,$AY$8:$BE$507,4,FALSE()))</f>
        <v/>
      </c>
      <c r="BJ114" s="108" t="str">
        <f aca="false">IF($AW114&gt;$AV$7,"",VLOOKUP($AW114,$AY$8:$BE$507,5,FALSE()))</f>
        <v/>
      </c>
      <c r="BK114" s="109" t="str">
        <f aca="false">IF($AW114&gt;$AV$7,"",VLOOKUP($AW114,$AY$8:$BE$507,6,FALSE()))</f>
        <v/>
      </c>
      <c r="BL114" s="50"/>
    </row>
    <row r="115" customFormat="false" ht="15.75" hidden="false" customHeight="false" outlineLevel="0" collapsed="false">
      <c r="A115" s="5"/>
      <c r="B115" s="124"/>
      <c r="C115" s="125"/>
      <c r="D115" s="110"/>
      <c r="E115" s="130"/>
      <c r="F115" s="135"/>
      <c r="G115" s="88"/>
      <c r="H115" s="136"/>
      <c r="I115" s="137"/>
      <c r="J115" s="91"/>
      <c r="K115" s="92"/>
      <c r="L115" s="137"/>
      <c r="M115" s="93"/>
      <c r="N115" s="94"/>
      <c r="O115" s="130"/>
      <c r="P115" s="96"/>
      <c r="Q115" s="97" t="str">
        <f aca="false">IF(ISBLANK($C115),"",IF(E115=Constants!$B$2, TRUE(), IF(E115=Constants!$B$3, FALSE(), TRUE())))</f>
        <v/>
      </c>
      <c r="R115" s="97" t="str">
        <f aca="false">IF(ISBLANK($C115),"",IF(F115=Constants!$B$2, TRUE(), IF(F115=Constants!$B$3, FALSE(), TRUE())))</f>
        <v/>
      </c>
      <c r="S115" s="97" t="str">
        <f aca="false">IF(ISBLANK($C115),"",IF(G115=Constants!$B$15,Constants!$B$8,IF(G115=Constants!$B$16,Constants!$B$9,Constants!$B$10)))</f>
        <v/>
      </c>
      <c r="T115" s="97" t="str">
        <f aca="false">IF(ISBLANK($C115),"",IF(H115=Constants!$B$2, TRUE(), IF(H115=Constants!$B$3, FALSE(), TRUE())))</f>
        <v/>
      </c>
      <c r="U115" s="97" t="str">
        <f aca="false">IF(ISBLANK($C115),"",IF(I115=Constants!$B$19,Constants!$B$19,Constants!$B$18))</f>
        <v/>
      </c>
      <c r="V115" s="97" t="str">
        <f aca="false">IF(ISBLANK($C115),"",IF(COUNTA(J115:K115)=0,"",IF(AND(OR(ISBLANK(J115),AND(ISNUMBER(J115),J115&gt;=0)),OR(ISBLANK(K115),AND(ISNUMBER(K115),K115&gt;=0))),60*IF(ISBLANK(J115),0,J115)+IF(ISBLANK(K115),0,K115),"")))</f>
        <v/>
      </c>
      <c r="W115" s="97" t="str">
        <f aca="false">IF(ISBLANK($C115),"",IF(L115=Constants!$B$19,Constants!$B$19,Constants!$B$18))</f>
        <v/>
      </c>
      <c r="X115" s="97" t="str">
        <f aca="false">IF(ISBLANK($C115),"",IF(COUNTA(M115:N115)=0,"",IF(AND(OR(ISBLANK(M115),AND(ISNUMBER(M115),M115&gt;=0)),OR(ISBLANK(N115),AND(ISNUMBER(N115),N115&gt;=0))),60*IF(ISBLANK(M115),0,M115)+IF(ISBLANK(N115),0,N115),"")))</f>
        <v/>
      </c>
      <c r="Y115" s="97" t="str">
        <f aca="false">IF(ISBLANK($C115),"",IF(O115=Constants!$B$2, TRUE(), IF(O115=Constants!$B$3, FALSE(), FALSE())))</f>
        <v/>
      </c>
      <c r="Z115" s="97" t="str">
        <f aca="false">IF(ISBLANK($C115),"",IF(Y115,Constants!$B$4,IF(COUNTA(E115:N115)=0,Constants!$B$5,IF(COUNTA(J115:K115,M115:N115)=0,Constants!$B$6,Constants!$B$7))))</f>
        <v/>
      </c>
      <c r="AA115" s="97" t="str">
        <f aca="false">IF(ISBLANK($C115),"",IF($Z115&lt;&gt;Constants!$B$7,$Z115,IF(OR(NOT(T115),AND(NOT(Q115),COUNTIFS(U115:W115,Constants!$B$18,V115:X115,"&gt;=0")&gt;0),AND(NOT(R115),COUNTIFS(U115:W115,Constants!$B$19,V115:X115,"&gt;=0")&gt;0)),Constants!$B$12,Constants!$B$11)))</f>
        <v/>
      </c>
      <c r="AB115" s="97" t="str">
        <f aca="false">IF($Z115=Constants!$B$7,IF(V115="",Constants!$B$13,V115),"")</f>
        <v/>
      </c>
      <c r="AC115" s="97" t="str">
        <f aca="false">IF($Z115=Constants!$B$7,IF(X115="",Constants!$B$13,X115),"")</f>
        <v/>
      </c>
      <c r="AD115" s="97" t="str">
        <f aca="false">IF($Z115=Constants!$B$7,IF($AB115&gt;=$AC115,1,2),"")</f>
        <v/>
      </c>
      <c r="AE115" s="97" t="str">
        <f aca="false">IF($Z115=Constants!$B$7,LARGE(AB115:AC115,1),"")</f>
        <v/>
      </c>
      <c r="AF115" s="97" t="str">
        <f aca="false">IF(ISBLANK($C115),"",IF($Z115&lt;&gt;Constants!$B$7,$Z115,AE115*S115))</f>
        <v/>
      </c>
      <c r="AG115" s="97" t="str">
        <f aca="false">IF(ISBLANK($C115),"",IF($Z115=Constants!$B$7,IF(ISNUMBER(AF115),RANK(AF115,$AF$8:$AF$507),Constants!$B$14),$Z115))</f>
        <v/>
      </c>
      <c r="AH115" s="97" t="str">
        <f aca="false">IF(ISBLANK($C115),"",IF($Z115=Constants!$B$7,IF(ISNUMBER(AG115),COUNTIFS($AA$8:$AA$507,"&lt;"&amp;$AA115)+COUNTIFS($AA$8:$AA$507,$AA115,$AG$8:$AG$507,"&lt;"&amp;$AG115)+1,Constants!$B$14),$Z115))</f>
        <v/>
      </c>
      <c r="AI115" s="97" t="str">
        <f aca="false">IF(ISBLANK($C115),"",IF($Z115=Constants!$B$7,LARGE(AB115:AC115,2)*S115,""))</f>
        <v/>
      </c>
      <c r="AJ115" s="97" t="str">
        <f aca="false">IF(ISBLANK($C115),"",IF($Z115=Constants!$B$7,RANK(AI115,$AI$8:$AI$507),$Z115))</f>
        <v/>
      </c>
      <c r="AK115" s="97" t="str">
        <f aca="false">IF(ISBLANK($C115),"",IF($Z115=Constants!$B$7,IF(ISNUMBER(AG115),COUNTIFS($AA$8:$AA$507,"&lt;"&amp;$AA115)+COUNTIFS($AA$8:$AA$507,$AA115,$AG$8:$AG$507,"&lt;"&amp;$AG115)+COUNTIFS($AA$8:$AA$507,$AA115,$AG$8:$AG$507,$AG115,$AJ$8:$AJ$507,"&lt;"&amp;$AJ115)+1,Constants!$B$14),$Z115))</f>
        <v/>
      </c>
      <c r="AL115" s="97" t="str">
        <f aca="false">IF(ISBLANK($C115),"",IF($Z115=Constants!$B$7,IF(ISNUMBER(AH115),AH115-AK115,Constants!$B$14),$Z115))</f>
        <v/>
      </c>
      <c r="AM115" s="98"/>
      <c r="AN115" s="99" t="str">
        <f aca="false">IF(ISBLANK($C115),"",IF($Z115&lt;&gt;Constants!$B$7,$Z115,AD115))</f>
        <v/>
      </c>
      <c r="AO115" s="100" t="str">
        <f aca="false">IF(ISBLANK($C115),"",IF($Z115&lt;&gt;Constants!$B$7,$Z115,S115))</f>
        <v/>
      </c>
      <c r="AP115" s="101" t="str">
        <f aca="false">IF(ISBLANK($C115),"",IF($Z115&lt;&gt;Constants!$B$7,$Z115,AF115))</f>
        <v/>
      </c>
      <c r="AQ115" s="102" t="str">
        <f aca="false">IF(ISBLANK($C115),"",IF($Z115&lt;&gt;Constants!$B$7,$Z115,AA115))</f>
        <v/>
      </c>
      <c r="AR115" s="100" t="str">
        <f aca="false">IF(ISBLANK($C115),"",AL115)</f>
        <v/>
      </c>
      <c r="AS115" s="100" t="str">
        <f aca="false">IF(ISBLANK($C115),"",AK115)</f>
        <v/>
      </c>
      <c r="AT115" s="103" t="str">
        <f aca="false">IF(ISBLANK($C115),"",IF(AS115=Constants!$B$4,COUNTA($C$8:$C$507)+2,IF(AS115=Constants!$B$5,COUNTA($C$8:$C$507)+1,IF(AS115=Constants!$B$6,COUNTA($C$8:$C$507),AS115))))</f>
        <v/>
      </c>
      <c r="AU115" s="5"/>
      <c r="AV115" s="104" t="n">
        <f aca="false">IF(OR(ISNUMBER(AS115),AS115=Constants!$B$4,AS115=Constants!$B$6,AS115=Constants!$B$5),1,0)</f>
        <v>0</v>
      </c>
      <c r="AW115" s="104" t="n">
        <v>108</v>
      </c>
      <c r="AX115" s="104" t="str">
        <f aca="false">IF(ISBLANK($C115),"",IF(ISNUMBER(AT115),AT115+ROW($B115)/1000,""))</f>
        <v/>
      </c>
      <c r="AY115" s="104" t="str">
        <f aca="false">IF(ISNUMBER(AX115),RANK(AX115,$AX$8:$AX$507,1),"")</f>
        <v/>
      </c>
      <c r="AZ115" s="104" t="str">
        <f aca="false">IF(ISBLANK($C115),"",$B115)</f>
        <v/>
      </c>
      <c r="BA115" s="104" t="str">
        <f aca="false">IF(ISBLANK($C115),"",$C115)</f>
        <v/>
      </c>
      <c r="BB115" s="104" t="str">
        <f aca="false">IF(ISBLANK($C115),"",$D115)</f>
        <v/>
      </c>
      <c r="BC115" s="105" t="str">
        <f aca="false">AQ115</f>
        <v/>
      </c>
      <c r="BD115" s="106" t="str">
        <f aca="false">AP115</f>
        <v/>
      </c>
      <c r="BE115" s="104" t="str">
        <f aca="false">IF(ISBLANK($C115),"",AS115)</f>
        <v/>
      </c>
      <c r="BF115" s="107" t="str">
        <f aca="false">IF($AW115&gt;$AV$7,"",VLOOKUP($AW115,$AY$8:$BE$507,7,FALSE()))</f>
        <v/>
      </c>
      <c r="BG115" s="108" t="str">
        <f aca="false">IF($AW115&gt;$AV$7,"",VLOOKUP($AW115,$AY$8:$BE$507,2,FALSE()))</f>
        <v/>
      </c>
      <c r="BH115" s="108" t="str">
        <f aca="false">IF($AW115&gt;$AV$7,"",VLOOKUP($AW115,$AY$8:$BE$507,3,FALSE()))</f>
        <v/>
      </c>
      <c r="BI115" s="108" t="str">
        <f aca="false">IF($AW115&gt;$AV$7,"",VLOOKUP($AW115,$AY$8:$BE$507,4,FALSE()))</f>
        <v/>
      </c>
      <c r="BJ115" s="108" t="str">
        <f aca="false">IF($AW115&gt;$AV$7,"",VLOOKUP($AW115,$AY$8:$BE$507,5,FALSE()))</f>
        <v/>
      </c>
      <c r="BK115" s="109" t="str">
        <f aca="false">IF($AW115&gt;$AV$7,"",VLOOKUP($AW115,$AY$8:$BE$507,6,FALSE()))</f>
        <v/>
      </c>
      <c r="BL115" s="50"/>
    </row>
    <row r="116" customFormat="false" ht="15.75" hidden="false" customHeight="false" outlineLevel="0" collapsed="false">
      <c r="A116" s="5"/>
      <c r="B116" s="131"/>
      <c r="C116" s="52"/>
      <c r="D116" s="53"/>
      <c r="E116" s="80"/>
      <c r="F116" s="132"/>
      <c r="G116" s="56"/>
      <c r="H116" s="133"/>
      <c r="I116" s="134"/>
      <c r="J116" s="59"/>
      <c r="K116" s="60"/>
      <c r="L116" s="134"/>
      <c r="M116" s="61"/>
      <c r="N116" s="62"/>
      <c r="O116" s="80"/>
      <c r="P116" s="64"/>
      <c r="Q116" s="65" t="str">
        <f aca="false">IF(ISBLANK($C116),"",IF(E116=Constants!$B$2, TRUE(), IF(E116=Constants!$B$3, FALSE(), TRUE())))</f>
        <v/>
      </c>
      <c r="R116" s="65" t="str">
        <f aca="false">IF(ISBLANK($C116),"",IF(F116=Constants!$B$2, TRUE(), IF(F116=Constants!$B$3, FALSE(), TRUE())))</f>
        <v/>
      </c>
      <c r="S116" s="65" t="str">
        <f aca="false">IF(ISBLANK($C116),"",IF(G116=Constants!$B$15,Constants!$B$8,IF(G116=Constants!$B$16,Constants!$B$9,Constants!$B$10)))</f>
        <v/>
      </c>
      <c r="T116" s="65" t="str">
        <f aca="false">IF(ISBLANK($C116),"",IF(H116=Constants!$B$2, TRUE(), IF(H116=Constants!$B$3, FALSE(), TRUE())))</f>
        <v/>
      </c>
      <c r="U116" s="65" t="str">
        <f aca="false">IF(ISBLANK($C116),"",IF(I116=Constants!$B$19,Constants!$B$19,Constants!$B$18))</f>
        <v/>
      </c>
      <c r="V116" s="65" t="str">
        <f aca="false">IF(ISBLANK($C116),"",IF(COUNTA(J116:K116)=0,"",IF(AND(OR(ISBLANK(J116),AND(ISNUMBER(J116),J116&gt;=0)),OR(ISBLANK(K116),AND(ISNUMBER(K116),K116&gt;=0))),60*IF(ISBLANK(J116),0,J116)+IF(ISBLANK(K116),0,K116),"")))</f>
        <v/>
      </c>
      <c r="W116" s="65" t="str">
        <f aca="false">IF(ISBLANK($C116),"",IF(L116=Constants!$B$19,Constants!$B$19,Constants!$B$18))</f>
        <v/>
      </c>
      <c r="X116" s="65" t="str">
        <f aca="false">IF(ISBLANK($C116),"",IF(COUNTA(M116:N116)=0,"",IF(AND(OR(ISBLANK(M116),AND(ISNUMBER(M116),M116&gt;=0)),OR(ISBLANK(N116),AND(ISNUMBER(N116),N116&gt;=0))),60*IF(ISBLANK(M116),0,M116)+IF(ISBLANK(N116),0,N116),"")))</f>
        <v/>
      </c>
      <c r="Y116" s="65" t="str">
        <f aca="false">IF(ISBLANK($C116),"",IF(O116=Constants!$B$2, TRUE(), IF(O116=Constants!$B$3, FALSE(), FALSE())))</f>
        <v/>
      </c>
      <c r="Z116" s="65" t="str">
        <f aca="false">IF(ISBLANK($C116),"",IF(Y116,Constants!$B$4,IF(COUNTA(E116:N116)=0,Constants!$B$5,IF(COUNTA(J116:K116,M116:N116)=0,Constants!$B$6,Constants!$B$7))))</f>
        <v/>
      </c>
      <c r="AA116" s="65" t="str">
        <f aca="false">IF(ISBLANK($C116),"",IF($Z116&lt;&gt;Constants!$B$7,$Z116,IF(OR(NOT(T116),AND(NOT(Q116),COUNTIFS(U116:W116,Constants!$B$18,V116:X116,"&gt;=0")&gt;0),AND(NOT(R116),COUNTIFS(U116:W116,Constants!$B$19,V116:X116,"&gt;=0")&gt;0)),Constants!$B$12,Constants!$B$11)))</f>
        <v/>
      </c>
      <c r="AB116" s="65" t="str">
        <f aca="false">IF($Z116=Constants!$B$7,IF(V116="",Constants!$B$13,V116),"")</f>
        <v/>
      </c>
      <c r="AC116" s="65" t="str">
        <f aca="false">IF($Z116=Constants!$B$7,IF(X116="",Constants!$B$13,X116),"")</f>
        <v/>
      </c>
      <c r="AD116" s="65" t="str">
        <f aca="false">IF($Z116=Constants!$B$7,IF($AB116&gt;=$AC116,1,2),"")</f>
        <v/>
      </c>
      <c r="AE116" s="65" t="str">
        <f aca="false">IF($Z116=Constants!$B$7,LARGE(AB116:AC116,1),"")</f>
        <v/>
      </c>
      <c r="AF116" s="65" t="str">
        <f aca="false">IF(ISBLANK($C116),"",IF($Z116&lt;&gt;Constants!$B$7,$Z116,AE116*S116))</f>
        <v/>
      </c>
      <c r="AG116" s="65" t="str">
        <f aca="false">IF(ISBLANK($C116),"",IF($Z116=Constants!$B$7,IF(ISNUMBER(AF116),RANK(AF116,$AF$8:$AF$507),Constants!$B$14),$Z116))</f>
        <v/>
      </c>
      <c r="AH116" s="65" t="str">
        <f aca="false">IF(ISBLANK($C116),"",IF($Z116=Constants!$B$7,IF(ISNUMBER(AG116),COUNTIFS($AA$8:$AA$507,"&lt;"&amp;$AA116)+COUNTIFS($AA$8:$AA$507,$AA116,$AG$8:$AG$507,"&lt;"&amp;$AG116)+1,Constants!$B$14),$Z116))</f>
        <v/>
      </c>
      <c r="AI116" s="65" t="str">
        <f aca="false">IF(ISBLANK($C116),"",IF($Z116=Constants!$B$7,LARGE(AB116:AC116,2)*S116,""))</f>
        <v/>
      </c>
      <c r="AJ116" s="65" t="str">
        <f aca="false">IF(ISBLANK($C116),"",IF($Z116=Constants!$B$7,RANK(AI116,$AI$8:$AI$507),$Z116))</f>
        <v/>
      </c>
      <c r="AK116" s="65" t="str">
        <f aca="false">IF(ISBLANK($C116),"",IF($Z116=Constants!$B$7,IF(ISNUMBER(AG116),COUNTIFS($AA$8:$AA$507,"&lt;"&amp;$AA116)+COUNTIFS($AA$8:$AA$507,$AA116,$AG$8:$AG$507,"&lt;"&amp;$AG116)+COUNTIFS($AA$8:$AA$507,$AA116,$AG$8:$AG$507,$AG116,$AJ$8:$AJ$507,"&lt;"&amp;$AJ116)+1,Constants!$B$14),$Z116))</f>
        <v/>
      </c>
      <c r="AL116" s="65" t="str">
        <f aca="false">IF(ISBLANK($C116),"",IF($Z116=Constants!$B$7,IF(ISNUMBER(AH116),AH116-AK116,Constants!$B$14),$Z116))</f>
        <v/>
      </c>
      <c r="AM116" s="67"/>
      <c r="AN116" s="68" t="str">
        <f aca="false">IF(ISBLANK($C116),"",IF($Z116&lt;&gt;Constants!$B$7,$Z116,AD116))</f>
        <v/>
      </c>
      <c r="AO116" s="69" t="str">
        <f aca="false">IF(ISBLANK($C116),"",IF($Z116&lt;&gt;Constants!$B$7,$Z116,S116))</f>
        <v/>
      </c>
      <c r="AP116" s="70" t="str">
        <f aca="false">IF(ISBLANK($C116),"",IF($Z116&lt;&gt;Constants!$B$7,$Z116,AF116))</f>
        <v/>
      </c>
      <c r="AQ116" s="71" t="str">
        <f aca="false">IF(ISBLANK($C116),"",IF($Z116&lt;&gt;Constants!$B$7,$Z116,AA116))</f>
        <v/>
      </c>
      <c r="AR116" s="69" t="str">
        <f aca="false">IF(ISBLANK($C116),"",AL116)</f>
        <v/>
      </c>
      <c r="AS116" s="69" t="str">
        <f aca="false">IF(ISBLANK($C116),"",AK116)</f>
        <v/>
      </c>
      <c r="AT116" s="72" t="str">
        <f aca="false">IF(ISBLANK($C116),"",IF(AS116=Constants!$B$4,COUNTA($C$8:$C$507)+2,IF(AS116=Constants!$B$5,COUNTA($C$8:$C$507)+1,IF(AS116=Constants!$B$6,COUNTA($C$8:$C$507),AS116))))</f>
        <v/>
      </c>
      <c r="AU116" s="5"/>
      <c r="AV116" s="73" t="n">
        <f aca="false">IF(OR(ISNUMBER(AS116),AS116=Constants!$B$4,AS116=Constants!$B$6,AS116=Constants!$B$5),1,0)</f>
        <v>0</v>
      </c>
      <c r="AW116" s="73" t="n">
        <v>109</v>
      </c>
      <c r="AX116" s="73" t="str">
        <f aca="false">IF(ISBLANK($C116),"",IF(ISNUMBER(AT116),AT116+ROW($B116)/1000,""))</f>
        <v/>
      </c>
      <c r="AY116" s="73" t="str">
        <f aca="false">IF(ISNUMBER(AX116),RANK(AX116,$AX$8:$AX$507,1),"")</f>
        <v/>
      </c>
      <c r="AZ116" s="73" t="str">
        <f aca="false">IF(ISBLANK($C116),"",$B116)</f>
        <v/>
      </c>
      <c r="BA116" s="73" t="str">
        <f aca="false">IF(ISBLANK($C116),"",$C116)</f>
        <v/>
      </c>
      <c r="BB116" s="73" t="str">
        <f aca="false">IF(ISBLANK($C116),"",$D116)</f>
        <v/>
      </c>
      <c r="BC116" s="74" t="str">
        <f aca="false">AQ116</f>
        <v/>
      </c>
      <c r="BD116" s="75" t="str">
        <f aca="false">AP116</f>
        <v/>
      </c>
      <c r="BE116" s="73" t="str">
        <f aca="false">IF(ISBLANK($C116),"",AS116)</f>
        <v/>
      </c>
      <c r="BF116" s="76" t="str">
        <f aca="false">IF($AW116&gt;$AV$7,"",VLOOKUP($AW116,$AY$8:$BE$507,7,FALSE()))</f>
        <v/>
      </c>
      <c r="BG116" s="77" t="str">
        <f aca="false">IF($AW116&gt;$AV$7,"",VLOOKUP($AW116,$AY$8:$BE$507,2,FALSE()))</f>
        <v/>
      </c>
      <c r="BH116" s="77" t="str">
        <f aca="false">IF($AW116&gt;$AV$7,"",VLOOKUP($AW116,$AY$8:$BE$507,3,FALSE()))</f>
        <v/>
      </c>
      <c r="BI116" s="77" t="str">
        <f aca="false">IF($AW116&gt;$AV$7,"",VLOOKUP($AW116,$AY$8:$BE$507,4,FALSE()))</f>
        <v/>
      </c>
      <c r="BJ116" s="77" t="str">
        <f aca="false">IF($AW116&gt;$AV$7,"",VLOOKUP($AW116,$AY$8:$BE$507,5,FALSE()))</f>
        <v/>
      </c>
      <c r="BK116" s="78" t="str">
        <f aca="false">IF($AW116&gt;$AV$7,"",VLOOKUP($AW116,$AY$8:$BE$507,6,FALSE()))</f>
        <v/>
      </c>
      <c r="BL116" s="50"/>
    </row>
    <row r="117" customFormat="false" ht="15.75" hidden="false" customHeight="false" outlineLevel="0" collapsed="false">
      <c r="A117" s="5"/>
      <c r="B117" s="131"/>
      <c r="C117" s="52"/>
      <c r="D117" s="53"/>
      <c r="E117" s="80"/>
      <c r="F117" s="132"/>
      <c r="G117" s="56"/>
      <c r="H117" s="133"/>
      <c r="I117" s="134"/>
      <c r="J117" s="59"/>
      <c r="K117" s="60"/>
      <c r="L117" s="134"/>
      <c r="M117" s="61"/>
      <c r="N117" s="62"/>
      <c r="O117" s="80"/>
      <c r="P117" s="64"/>
      <c r="Q117" s="65" t="str">
        <f aca="false">IF(ISBLANK($C117),"",IF(E117=Constants!$B$2, TRUE(), IF(E117=Constants!$B$3, FALSE(), TRUE())))</f>
        <v/>
      </c>
      <c r="R117" s="65" t="str">
        <f aca="false">IF(ISBLANK($C117),"",IF(F117=Constants!$B$2, TRUE(), IF(F117=Constants!$B$3, FALSE(), TRUE())))</f>
        <v/>
      </c>
      <c r="S117" s="65" t="str">
        <f aca="false">IF(ISBLANK($C117),"",IF(G117=Constants!$B$15,Constants!$B$8,IF(G117=Constants!$B$16,Constants!$B$9,Constants!$B$10)))</f>
        <v/>
      </c>
      <c r="T117" s="65" t="str">
        <f aca="false">IF(ISBLANK($C117),"",IF(H117=Constants!$B$2, TRUE(), IF(H117=Constants!$B$3, FALSE(), TRUE())))</f>
        <v/>
      </c>
      <c r="U117" s="65" t="str">
        <f aca="false">IF(ISBLANK($C117),"",IF(I117=Constants!$B$19,Constants!$B$19,Constants!$B$18))</f>
        <v/>
      </c>
      <c r="V117" s="65" t="str">
        <f aca="false">IF(ISBLANK($C117),"",IF(COUNTA(J117:K117)=0,"",IF(AND(OR(ISBLANK(J117),AND(ISNUMBER(J117),J117&gt;=0)),OR(ISBLANK(K117),AND(ISNUMBER(K117),K117&gt;=0))),60*IF(ISBLANK(J117),0,J117)+IF(ISBLANK(K117),0,K117),"")))</f>
        <v/>
      </c>
      <c r="W117" s="65" t="str">
        <f aca="false">IF(ISBLANK($C117),"",IF(L117=Constants!$B$19,Constants!$B$19,Constants!$B$18))</f>
        <v/>
      </c>
      <c r="X117" s="65" t="str">
        <f aca="false">IF(ISBLANK($C117),"",IF(COUNTA(M117:N117)=0,"",IF(AND(OR(ISBLANK(M117),AND(ISNUMBER(M117),M117&gt;=0)),OR(ISBLANK(N117),AND(ISNUMBER(N117),N117&gt;=0))),60*IF(ISBLANK(M117),0,M117)+IF(ISBLANK(N117),0,N117),"")))</f>
        <v/>
      </c>
      <c r="Y117" s="65" t="str">
        <f aca="false">IF(ISBLANK($C117),"",IF(O117=Constants!$B$2, TRUE(), IF(O117=Constants!$B$3, FALSE(), FALSE())))</f>
        <v/>
      </c>
      <c r="Z117" s="65" t="str">
        <f aca="false">IF(ISBLANK($C117),"",IF(Y117,Constants!$B$4,IF(COUNTA(E117:N117)=0,Constants!$B$5,IF(COUNTA(J117:K117,M117:N117)=0,Constants!$B$6,Constants!$B$7))))</f>
        <v/>
      </c>
      <c r="AA117" s="65" t="str">
        <f aca="false">IF(ISBLANK($C117),"",IF($Z117&lt;&gt;Constants!$B$7,$Z117,IF(OR(NOT(T117),AND(NOT(Q117),COUNTIFS(U117:W117,Constants!$B$18,V117:X117,"&gt;=0")&gt;0),AND(NOT(R117),COUNTIFS(U117:W117,Constants!$B$19,V117:X117,"&gt;=0")&gt;0)),Constants!$B$12,Constants!$B$11)))</f>
        <v/>
      </c>
      <c r="AB117" s="65" t="str">
        <f aca="false">IF($Z117=Constants!$B$7,IF(V117="",Constants!$B$13,V117),"")</f>
        <v/>
      </c>
      <c r="AC117" s="65" t="str">
        <f aca="false">IF($Z117=Constants!$B$7,IF(X117="",Constants!$B$13,X117),"")</f>
        <v/>
      </c>
      <c r="AD117" s="65" t="str">
        <f aca="false">IF($Z117=Constants!$B$7,IF($AB117&gt;=$AC117,1,2),"")</f>
        <v/>
      </c>
      <c r="AE117" s="65" t="str">
        <f aca="false">IF($Z117=Constants!$B$7,LARGE(AB117:AC117,1),"")</f>
        <v/>
      </c>
      <c r="AF117" s="65" t="str">
        <f aca="false">IF(ISBLANK($C117),"",IF($Z117&lt;&gt;Constants!$B$7,$Z117,AE117*S117))</f>
        <v/>
      </c>
      <c r="AG117" s="65" t="str">
        <f aca="false">IF(ISBLANK($C117),"",IF($Z117=Constants!$B$7,IF(ISNUMBER(AF117),RANK(AF117,$AF$8:$AF$507),Constants!$B$14),$Z117))</f>
        <v/>
      </c>
      <c r="AH117" s="65" t="str">
        <f aca="false">IF(ISBLANK($C117),"",IF($Z117=Constants!$B$7,IF(ISNUMBER(AG117),COUNTIFS($AA$8:$AA$507,"&lt;"&amp;$AA117)+COUNTIFS($AA$8:$AA$507,$AA117,$AG$8:$AG$507,"&lt;"&amp;$AG117)+1,Constants!$B$14),$Z117))</f>
        <v/>
      </c>
      <c r="AI117" s="65" t="str">
        <f aca="false">IF(ISBLANK($C117),"",IF($Z117=Constants!$B$7,LARGE(AB117:AC117,2)*S117,""))</f>
        <v/>
      </c>
      <c r="AJ117" s="65" t="str">
        <f aca="false">IF(ISBLANK($C117),"",IF($Z117=Constants!$B$7,RANK(AI117,$AI$8:$AI$507),$Z117))</f>
        <v/>
      </c>
      <c r="AK117" s="65" t="str">
        <f aca="false">IF(ISBLANK($C117),"",IF($Z117=Constants!$B$7,IF(ISNUMBER(AG117),COUNTIFS($AA$8:$AA$507,"&lt;"&amp;$AA117)+COUNTIFS($AA$8:$AA$507,$AA117,$AG$8:$AG$507,"&lt;"&amp;$AG117)+COUNTIFS($AA$8:$AA$507,$AA117,$AG$8:$AG$507,$AG117,$AJ$8:$AJ$507,"&lt;"&amp;$AJ117)+1,Constants!$B$14),$Z117))</f>
        <v/>
      </c>
      <c r="AL117" s="65" t="str">
        <f aca="false">IF(ISBLANK($C117),"",IF($Z117=Constants!$B$7,IF(ISNUMBER(AH117),AH117-AK117,Constants!$B$14),$Z117))</f>
        <v/>
      </c>
      <c r="AM117" s="67"/>
      <c r="AN117" s="68" t="str">
        <f aca="false">IF(ISBLANK($C117),"",IF($Z117&lt;&gt;Constants!$B$7,$Z117,AD117))</f>
        <v/>
      </c>
      <c r="AO117" s="69" t="str">
        <f aca="false">IF(ISBLANK($C117),"",IF($Z117&lt;&gt;Constants!$B$7,$Z117,S117))</f>
        <v/>
      </c>
      <c r="AP117" s="70" t="str">
        <f aca="false">IF(ISBLANK($C117),"",IF($Z117&lt;&gt;Constants!$B$7,$Z117,AF117))</f>
        <v/>
      </c>
      <c r="AQ117" s="71" t="str">
        <f aca="false">IF(ISBLANK($C117),"",IF($Z117&lt;&gt;Constants!$B$7,$Z117,AA117))</f>
        <v/>
      </c>
      <c r="AR117" s="69" t="str">
        <f aca="false">IF(ISBLANK($C117),"",AL117)</f>
        <v/>
      </c>
      <c r="AS117" s="69" t="str">
        <f aca="false">IF(ISBLANK($C117),"",AK117)</f>
        <v/>
      </c>
      <c r="AT117" s="72" t="str">
        <f aca="false">IF(ISBLANK($C117),"",IF(AS117=Constants!$B$4,COUNTA($C$8:$C$507)+2,IF(AS117=Constants!$B$5,COUNTA($C$8:$C$507)+1,IF(AS117=Constants!$B$6,COUNTA($C$8:$C$507),AS117))))</f>
        <v/>
      </c>
      <c r="AU117" s="5"/>
      <c r="AV117" s="73" t="n">
        <f aca="false">IF(OR(ISNUMBER(AS117),AS117=Constants!$B$4,AS117=Constants!$B$6,AS117=Constants!$B$5),1,0)</f>
        <v>0</v>
      </c>
      <c r="AW117" s="73" t="n">
        <v>110</v>
      </c>
      <c r="AX117" s="73" t="str">
        <f aca="false">IF(ISBLANK($C117),"",IF(ISNUMBER(AT117),AT117+ROW($B117)/1000,""))</f>
        <v/>
      </c>
      <c r="AY117" s="73" t="str">
        <f aca="false">IF(ISNUMBER(AX117),RANK(AX117,$AX$8:$AX$507,1),"")</f>
        <v/>
      </c>
      <c r="AZ117" s="73" t="str">
        <f aca="false">IF(ISBLANK($C117),"",$B117)</f>
        <v/>
      </c>
      <c r="BA117" s="73" t="str">
        <f aca="false">IF(ISBLANK($C117),"",$C117)</f>
        <v/>
      </c>
      <c r="BB117" s="73" t="str">
        <f aca="false">IF(ISBLANK($C117),"",$D117)</f>
        <v/>
      </c>
      <c r="BC117" s="74" t="str">
        <f aca="false">AQ117</f>
        <v/>
      </c>
      <c r="BD117" s="75" t="str">
        <f aca="false">AP117</f>
        <v/>
      </c>
      <c r="BE117" s="73" t="str">
        <f aca="false">IF(ISBLANK($C117),"",AS117)</f>
        <v/>
      </c>
      <c r="BF117" s="76" t="str">
        <f aca="false">IF($AW117&gt;$AV$7,"",VLOOKUP($AW117,$AY$8:$BE$507,7,FALSE()))</f>
        <v/>
      </c>
      <c r="BG117" s="77" t="str">
        <f aca="false">IF($AW117&gt;$AV$7,"",VLOOKUP($AW117,$AY$8:$BE$507,2,FALSE()))</f>
        <v/>
      </c>
      <c r="BH117" s="77" t="str">
        <f aca="false">IF($AW117&gt;$AV$7,"",VLOOKUP($AW117,$AY$8:$BE$507,3,FALSE()))</f>
        <v/>
      </c>
      <c r="BI117" s="77" t="str">
        <f aca="false">IF($AW117&gt;$AV$7,"",VLOOKUP($AW117,$AY$8:$BE$507,4,FALSE()))</f>
        <v/>
      </c>
      <c r="BJ117" s="77" t="str">
        <f aca="false">IF($AW117&gt;$AV$7,"",VLOOKUP($AW117,$AY$8:$BE$507,5,FALSE()))</f>
        <v/>
      </c>
      <c r="BK117" s="78" t="str">
        <f aca="false">IF($AW117&gt;$AV$7,"",VLOOKUP($AW117,$AY$8:$BE$507,6,FALSE()))</f>
        <v/>
      </c>
      <c r="BL117" s="50"/>
    </row>
    <row r="118" customFormat="false" ht="15.75" hidden="false" customHeight="false" outlineLevel="0" collapsed="false">
      <c r="A118" s="5"/>
      <c r="B118" s="131"/>
      <c r="C118" s="52"/>
      <c r="D118" s="53"/>
      <c r="E118" s="80"/>
      <c r="F118" s="132"/>
      <c r="G118" s="56"/>
      <c r="H118" s="133"/>
      <c r="I118" s="134"/>
      <c r="J118" s="59"/>
      <c r="K118" s="60"/>
      <c r="L118" s="134"/>
      <c r="M118" s="61"/>
      <c r="N118" s="62"/>
      <c r="O118" s="80"/>
      <c r="P118" s="64"/>
      <c r="Q118" s="65" t="str">
        <f aca="false">IF(ISBLANK($C118),"",IF(E118=Constants!$B$2, TRUE(), IF(E118=Constants!$B$3, FALSE(), TRUE())))</f>
        <v/>
      </c>
      <c r="R118" s="65" t="str">
        <f aca="false">IF(ISBLANK($C118),"",IF(F118=Constants!$B$2, TRUE(), IF(F118=Constants!$B$3, FALSE(), TRUE())))</f>
        <v/>
      </c>
      <c r="S118" s="65" t="str">
        <f aca="false">IF(ISBLANK($C118),"",IF(G118=Constants!$B$15,Constants!$B$8,IF(G118=Constants!$B$16,Constants!$B$9,Constants!$B$10)))</f>
        <v/>
      </c>
      <c r="T118" s="65" t="str">
        <f aca="false">IF(ISBLANK($C118),"",IF(H118=Constants!$B$2, TRUE(), IF(H118=Constants!$B$3, FALSE(), TRUE())))</f>
        <v/>
      </c>
      <c r="U118" s="65" t="str">
        <f aca="false">IF(ISBLANK($C118),"",IF(I118=Constants!$B$19,Constants!$B$19,Constants!$B$18))</f>
        <v/>
      </c>
      <c r="V118" s="65" t="str">
        <f aca="false">IF(ISBLANK($C118),"",IF(COUNTA(J118:K118)=0,"",IF(AND(OR(ISBLANK(J118),AND(ISNUMBER(J118),J118&gt;=0)),OR(ISBLANK(K118),AND(ISNUMBER(K118),K118&gt;=0))),60*IF(ISBLANK(J118),0,J118)+IF(ISBLANK(K118),0,K118),"")))</f>
        <v/>
      </c>
      <c r="W118" s="65" t="str">
        <f aca="false">IF(ISBLANK($C118),"",IF(L118=Constants!$B$19,Constants!$B$19,Constants!$B$18))</f>
        <v/>
      </c>
      <c r="X118" s="65" t="str">
        <f aca="false">IF(ISBLANK($C118),"",IF(COUNTA(M118:N118)=0,"",IF(AND(OR(ISBLANK(M118),AND(ISNUMBER(M118),M118&gt;=0)),OR(ISBLANK(N118),AND(ISNUMBER(N118),N118&gt;=0))),60*IF(ISBLANK(M118),0,M118)+IF(ISBLANK(N118),0,N118),"")))</f>
        <v/>
      </c>
      <c r="Y118" s="65" t="str">
        <f aca="false">IF(ISBLANK($C118),"",IF(O118=Constants!$B$2, TRUE(), IF(O118=Constants!$B$3, FALSE(), FALSE())))</f>
        <v/>
      </c>
      <c r="Z118" s="65" t="str">
        <f aca="false">IF(ISBLANK($C118),"",IF(Y118,Constants!$B$4,IF(COUNTA(E118:N118)=0,Constants!$B$5,IF(COUNTA(J118:K118,M118:N118)=0,Constants!$B$6,Constants!$B$7))))</f>
        <v/>
      </c>
      <c r="AA118" s="65" t="str">
        <f aca="false">IF(ISBLANK($C118),"",IF($Z118&lt;&gt;Constants!$B$7,$Z118,IF(OR(NOT(T118),AND(NOT(Q118),COUNTIFS(U118:W118,Constants!$B$18,V118:X118,"&gt;=0")&gt;0),AND(NOT(R118),COUNTIFS(U118:W118,Constants!$B$19,V118:X118,"&gt;=0")&gt;0)),Constants!$B$12,Constants!$B$11)))</f>
        <v/>
      </c>
      <c r="AB118" s="65" t="str">
        <f aca="false">IF($Z118=Constants!$B$7,IF(V118="",Constants!$B$13,V118),"")</f>
        <v/>
      </c>
      <c r="AC118" s="65" t="str">
        <f aca="false">IF($Z118=Constants!$B$7,IF(X118="",Constants!$B$13,X118),"")</f>
        <v/>
      </c>
      <c r="AD118" s="65" t="str">
        <f aca="false">IF($Z118=Constants!$B$7,IF($AB118&gt;=$AC118,1,2),"")</f>
        <v/>
      </c>
      <c r="AE118" s="65" t="str">
        <f aca="false">IF($Z118=Constants!$B$7,LARGE(AB118:AC118,1),"")</f>
        <v/>
      </c>
      <c r="AF118" s="65" t="str">
        <f aca="false">IF(ISBLANK($C118),"",IF($Z118&lt;&gt;Constants!$B$7,$Z118,AE118*S118))</f>
        <v/>
      </c>
      <c r="AG118" s="65" t="str">
        <f aca="false">IF(ISBLANK($C118),"",IF($Z118=Constants!$B$7,IF(ISNUMBER(AF118),RANK(AF118,$AF$8:$AF$507),Constants!$B$14),$Z118))</f>
        <v/>
      </c>
      <c r="AH118" s="65" t="str">
        <f aca="false">IF(ISBLANK($C118),"",IF($Z118=Constants!$B$7,IF(ISNUMBER(AG118),COUNTIFS($AA$8:$AA$507,"&lt;"&amp;$AA118)+COUNTIFS($AA$8:$AA$507,$AA118,$AG$8:$AG$507,"&lt;"&amp;$AG118)+1,Constants!$B$14),$Z118))</f>
        <v/>
      </c>
      <c r="AI118" s="65" t="str">
        <f aca="false">IF(ISBLANK($C118),"",IF($Z118=Constants!$B$7,LARGE(AB118:AC118,2)*S118,""))</f>
        <v/>
      </c>
      <c r="AJ118" s="65" t="str">
        <f aca="false">IF(ISBLANK($C118),"",IF($Z118=Constants!$B$7,RANK(AI118,$AI$8:$AI$507),$Z118))</f>
        <v/>
      </c>
      <c r="AK118" s="65" t="str">
        <f aca="false">IF(ISBLANK($C118),"",IF($Z118=Constants!$B$7,IF(ISNUMBER(AG118),COUNTIFS($AA$8:$AA$507,"&lt;"&amp;$AA118)+COUNTIFS($AA$8:$AA$507,$AA118,$AG$8:$AG$507,"&lt;"&amp;$AG118)+COUNTIFS($AA$8:$AA$507,$AA118,$AG$8:$AG$507,$AG118,$AJ$8:$AJ$507,"&lt;"&amp;$AJ118)+1,Constants!$B$14),$Z118))</f>
        <v/>
      </c>
      <c r="AL118" s="65" t="str">
        <f aca="false">IF(ISBLANK($C118),"",IF($Z118=Constants!$B$7,IF(ISNUMBER(AH118),AH118-AK118,Constants!$B$14),$Z118))</f>
        <v/>
      </c>
      <c r="AM118" s="67"/>
      <c r="AN118" s="68" t="str">
        <f aca="false">IF(ISBLANK($C118),"",IF($Z118&lt;&gt;Constants!$B$7,$Z118,AD118))</f>
        <v/>
      </c>
      <c r="AO118" s="69" t="str">
        <f aca="false">IF(ISBLANK($C118),"",IF($Z118&lt;&gt;Constants!$B$7,$Z118,S118))</f>
        <v/>
      </c>
      <c r="AP118" s="70" t="str">
        <f aca="false">IF(ISBLANK($C118),"",IF($Z118&lt;&gt;Constants!$B$7,$Z118,AF118))</f>
        <v/>
      </c>
      <c r="AQ118" s="71" t="str">
        <f aca="false">IF(ISBLANK($C118),"",IF($Z118&lt;&gt;Constants!$B$7,$Z118,AA118))</f>
        <v/>
      </c>
      <c r="AR118" s="69" t="str">
        <f aca="false">IF(ISBLANK($C118),"",AL118)</f>
        <v/>
      </c>
      <c r="AS118" s="69" t="str">
        <f aca="false">IF(ISBLANK($C118),"",AK118)</f>
        <v/>
      </c>
      <c r="AT118" s="72" t="str">
        <f aca="false">IF(ISBLANK($C118),"",IF(AS118=Constants!$B$4,COUNTA($C$8:$C$507)+2,IF(AS118=Constants!$B$5,COUNTA($C$8:$C$507)+1,IF(AS118=Constants!$B$6,COUNTA($C$8:$C$507),AS118))))</f>
        <v/>
      </c>
      <c r="AU118" s="5"/>
      <c r="AV118" s="73" t="n">
        <f aca="false">IF(OR(ISNUMBER(AS118),AS118=Constants!$B$4,AS118=Constants!$B$6,AS118=Constants!$B$5),1,0)</f>
        <v>0</v>
      </c>
      <c r="AW118" s="73" t="n">
        <v>111</v>
      </c>
      <c r="AX118" s="73" t="str">
        <f aca="false">IF(ISBLANK($C118),"",IF(ISNUMBER(AT118),AT118+ROW($B118)/1000,""))</f>
        <v/>
      </c>
      <c r="AY118" s="73" t="str">
        <f aca="false">IF(ISNUMBER(AX118),RANK(AX118,$AX$8:$AX$507,1),"")</f>
        <v/>
      </c>
      <c r="AZ118" s="73" t="str">
        <f aca="false">IF(ISBLANK($C118),"",$B118)</f>
        <v/>
      </c>
      <c r="BA118" s="73" t="str">
        <f aca="false">IF(ISBLANK($C118),"",$C118)</f>
        <v/>
      </c>
      <c r="BB118" s="73" t="str">
        <f aca="false">IF(ISBLANK($C118),"",$D118)</f>
        <v/>
      </c>
      <c r="BC118" s="74" t="str">
        <f aca="false">AQ118</f>
        <v/>
      </c>
      <c r="BD118" s="75" t="str">
        <f aca="false">AP118</f>
        <v/>
      </c>
      <c r="BE118" s="73" t="str">
        <f aca="false">IF(ISBLANK($C118),"",AS118)</f>
        <v/>
      </c>
      <c r="BF118" s="76" t="str">
        <f aca="false">IF($AW118&gt;$AV$7,"",VLOOKUP($AW118,$AY$8:$BE$507,7,FALSE()))</f>
        <v/>
      </c>
      <c r="BG118" s="77" t="str">
        <f aca="false">IF($AW118&gt;$AV$7,"",VLOOKUP($AW118,$AY$8:$BE$507,2,FALSE()))</f>
        <v/>
      </c>
      <c r="BH118" s="77" t="str">
        <f aca="false">IF($AW118&gt;$AV$7,"",VLOOKUP($AW118,$AY$8:$BE$507,3,FALSE()))</f>
        <v/>
      </c>
      <c r="BI118" s="77" t="str">
        <f aca="false">IF($AW118&gt;$AV$7,"",VLOOKUP($AW118,$AY$8:$BE$507,4,FALSE()))</f>
        <v/>
      </c>
      <c r="BJ118" s="77" t="str">
        <f aca="false">IF($AW118&gt;$AV$7,"",VLOOKUP($AW118,$AY$8:$BE$507,5,FALSE()))</f>
        <v/>
      </c>
      <c r="BK118" s="78" t="str">
        <f aca="false">IF($AW118&gt;$AV$7,"",VLOOKUP($AW118,$AY$8:$BE$507,6,FALSE()))</f>
        <v/>
      </c>
      <c r="BL118" s="50"/>
    </row>
    <row r="119" customFormat="false" ht="15.75" hidden="false" customHeight="false" outlineLevel="0" collapsed="false">
      <c r="A119" s="5"/>
      <c r="B119" s="124"/>
      <c r="C119" s="125"/>
      <c r="D119" s="110"/>
      <c r="E119" s="130"/>
      <c r="F119" s="135"/>
      <c r="G119" s="88"/>
      <c r="H119" s="136"/>
      <c r="I119" s="137"/>
      <c r="J119" s="91"/>
      <c r="K119" s="92"/>
      <c r="L119" s="137"/>
      <c r="M119" s="93"/>
      <c r="N119" s="94"/>
      <c r="O119" s="130"/>
      <c r="P119" s="96"/>
      <c r="Q119" s="97" t="str">
        <f aca="false">IF(ISBLANK($C119),"",IF(E119=Constants!$B$2, TRUE(), IF(E119=Constants!$B$3, FALSE(), TRUE())))</f>
        <v/>
      </c>
      <c r="R119" s="97" t="str">
        <f aca="false">IF(ISBLANK($C119),"",IF(F119=Constants!$B$2, TRUE(), IF(F119=Constants!$B$3, FALSE(), TRUE())))</f>
        <v/>
      </c>
      <c r="S119" s="97" t="str">
        <f aca="false">IF(ISBLANK($C119),"",IF(G119=Constants!$B$15,Constants!$B$8,IF(G119=Constants!$B$16,Constants!$B$9,Constants!$B$10)))</f>
        <v/>
      </c>
      <c r="T119" s="97" t="str">
        <f aca="false">IF(ISBLANK($C119),"",IF(H119=Constants!$B$2, TRUE(), IF(H119=Constants!$B$3, FALSE(), TRUE())))</f>
        <v/>
      </c>
      <c r="U119" s="97" t="str">
        <f aca="false">IF(ISBLANK($C119),"",IF(I119=Constants!$B$19,Constants!$B$19,Constants!$B$18))</f>
        <v/>
      </c>
      <c r="V119" s="97" t="str">
        <f aca="false">IF(ISBLANK($C119),"",IF(COUNTA(J119:K119)=0,"",IF(AND(OR(ISBLANK(J119),AND(ISNUMBER(J119),J119&gt;=0)),OR(ISBLANK(K119),AND(ISNUMBER(K119),K119&gt;=0))),60*IF(ISBLANK(J119),0,J119)+IF(ISBLANK(K119),0,K119),"")))</f>
        <v/>
      </c>
      <c r="W119" s="97" t="str">
        <f aca="false">IF(ISBLANK($C119),"",IF(L119=Constants!$B$19,Constants!$B$19,Constants!$B$18))</f>
        <v/>
      </c>
      <c r="X119" s="97" t="str">
        <f aca="false">IF(ISBLANK($C119),"",IF(COUNTA(M119:N119)=0,"",IF(AND(OR(ISBLANK(M119),AND(ISNUMBER(M119),M119&gt;=0)),OR(ISBLANK(N119),AND(ISNUMBER(N119),N119&gt;=0))),60*IF(ISBLANK(M119),0,M119)+IF(ISBLANK(N119),0,N119),"")))</f>
        <v/>
      </c>
      <c r="Y119" s="97" t="str">
        <f aca="false">IF(ISBLANK($C119),"",IF(O119=Constants!$B$2, TRUE(), IF(O119=Constants!$B$3, FALSE(), FALSE())))</f>
        <v/>
      </c>
      <c r="Z119" s="97" t="str">
        <f aca="false">IF(ISBLANK($C119),"",IF(Y119,Constants!$B$4,IF(COUNTA(E119:N119)=0,Constants!$B$5,IF(COUNTA(J119:K119,M119:N119)=0,Constants!$B$6,Constants!$B$7))))</f>
        <v/>
      </c>
      <c r="AA119" s="97" t="str">
        <f aca="false">IF(ISBLANK($C119),"",IF($Z119&lt;&gt;Constants!$B$7,$Z119,IF(OR(NOT(T119),AND(NOT(Q119),COUNTIFS(U119:W119,Constants!$B$18,V119:X119,"&gt;=0")&gt;0),AND(NOT(R119),COUNTIFS(U119:W119,Constants!$B$19,V119:X119,"&gt;=0")&gt;0)),Constants!$B$12,Constants!$B$11)))</f>
        <v/>
      </c>
      <c r="AB119" s="97" t="str">
        <f aca="false">IF($Z119=Constants!$B$7,IF(V119="",Constants!$B$13,V119),"")</f>
        <v/>
      </c>
      <c r="AC119" s="97" t="str">
        <f aca="false">IF($Z119=Constants!$B$7,IF(X119="",Constants!$B$13,X119),"")</f>
        <v/>
      </c>
      <c r="AD119" s="97" t="str">
        <f aca="false">IF($Z119=Constants!$B$7,IF($AB119&gt;=$AC119,1,2),"")</f>
        <v/>
      </c>
      <c r="AE119" s="97" t="str">
        <f aca="false">IF($Z119=Constants!$B$7,LARGE(AB119:AC119,1),"")</f>
        <v/>
      </c>
      <c r="AF119" s="97" t="str">
        <f aca="false">IF(ISBLANK($C119),"",IF($Z119&lt;&gt;Constants!$B$7,$Z119,AE119*S119))</f>
        <v/>
      </c>
      <c r="AG119" s="97" t="str">
        <f aca="false">IF(ISBLANK($C119),"",IF($Z119=Constants!$B$7,IF(ISNUMBER(AF119),RANK(AF119,$AF$8:$AF$507),Constants!$B$14),$Z119))</f>
        <v/>
      </c>
      <c r="AH119" s="97" t="str">
        <f aca="false">IF(ISBLANK($C119),"",IF($Z119=Constants!$B$7,IF(ISNUMBER(AG119),COUNTIFS($AA$8:$AA$507,"&lt;"&amp;$AA119)+COUNTIFS($AA$8:$AA$507,$AA119,$AG$8:$AG$507,"&lt;"&amp;$AG119)+1,Constants!$B$14),$Z119))</f>
        <v/>
      </c>
      <c r="AI119" s="97" t="str">
        <f aca="false">IF(ISBLANK($C119),"",IF($Z119=Constants!$B$7,LARGE(AB119:AC119,2)*S119,""))</f>
        <v/>
      </c>
      <c r="AJ119" s="97" t="str">
        <f aca="false">IF(ISBLANK($C119),"",IF($Z119=Constants!$B$7,RANK(AI119,$AI$8:$AI$507),$Z119))</f>
        <v/>
      </c>
      <c r="AK119" s="97" t="str">
        <f aca="false">IF(ISBLANK($C119),"",IF($Z119=Constants!$B$7,IF(ISNUMBER(AG119),COUNTIFS($AA$8:$AA$507,"&lt;"&amp;$AA119)+COUNTIFS($AA$8:$AA$507,$AA119,$AG$8:$AG$507,"&lt;"&amp;$AG119)+COUNTIFS($AA$8:$AA$507,$AA119,$AG$8:$AG$507,$AG119,$AJ$8:$AJ$507,"&lt;"&amp;$AJ119)+1,Constants!$B$14),$Z119))</f>
        <v/>
      </c>
      <c r="AL119" s="97" t="str">
        <f aca="false">IF(ISBLANK($C119),"",IF($Z119=Constants!$B$7,IF(ISNUMBER(AH119),AH119-AK119,Constants!$B$14),$Z119))</f>
        <v/>
      </c>
      <c r="AM119" s="98"/>
      <c r="AN119" s="99" t="str">
        <f aca="false">IF(ISBLANK($C119),"",IF($Z119&lt;&gt;Constants!$B$7,$Z119,AD119))</f>
        <v/>
      </c>
      <c r="AO119" s="100" t="str">
        <f aca="false">IF(ISBLANK($C119),"",IF($Z119&lt;&gt;Constants!$B$7,$Z119,S119))</f>
        <v/>
      </c>
      <c r="AP119" s="101" t="str">
        <f aca="false">IF(ISBLANK($C119),"",IF($Z119&lt;&gt;Constants!$B$7,$Z119,AF119))</f>
        <v/>
      </c>
      <c r="AQ119" s="102" t="str">
        <f aca="false">IF(ISBLANK($C119),"",IF($Z119&lt;&gt;Constants!$B$7,$Z119,AA119))</f>
        <v/>
      </c>
      <c r="AR119" s="100" t="str">
        <f aca="false">IF(ISBLANK($C119),"",AL119)</f>
        <v/>
      </c>
      <c r="AS119" s="100" t="str">
        <f aca="false">IF(ISBLANK($C119),"",AK119)</f>
        <v/>
      </c>
      <c r="AT119" s="103" t="str">
        <f aca="false">IF(ISBLANK($C119),"",IF(AS119=Constants!$B$4,COUNTA($C$8:$C$507)+2,IF(AS119=Constants!$B$5,COUNTA($C$8:$C$507)+1,IF(AS119=Constants!$B$6,COUNTA($C$8:$C$507),AS119))))</f>
        <v/>
      </c>
      <c r="AU119" s="5"/>
      <c r="AV119" s="104" t="n">
        <f aca="false">IF(OR(ISNUMBER(AS119),AS119=Constants!$B$4,AS119=Constants!$B$6,AS119=Constants!$B$5),1,0)</f>
        <v>0</v>
      </c>
      <c r="AW119" s="104" t="n">
        <v>112</v>
      </c>
      <c r="AX119" s="104" t="str">
        <f aca="false">IF(ISBLANK($C119),"",IF(ISNUMBER(AT119),AT119+ROW($B119)/1000,""))</f>
        <v/>
      </c>
      <c r="AY119" s="104" t="str">
        <f aca="false">IF(ISNUMBER(AX119),RANK(AX119,$AX$8:$AX$507,1),"")</f>
        <v/>
      </c>
      <c r="AZ119" s="104" t="str">
        <f aca="false">IF(ISBLANK($C119),"",$B119)</f>
        <v/>
      </c>
      <c r="BA119" s="104" t="str">
        <f aca="false">IF(ISBLANK($C119),"",$C119)</f>
        <v/>
      </c>
      <c r="BB119" s="104" t="str">
        <f aca="false">IF(ISBLANK($C119),"",$D119)</f>
        <v/>
      </c>
      <c r="BC119" s="105" t="str">
        <f aca="false">AQ119</f>
        <v/>
      </c>
      <c r="BD119" s="106" t="str">
        <f aca="false">AP119</f>
        <v/>
      </c>
      <c r="BE119" s="104" t="str">
        <f aca="false">IF(ISBLANK($C119),"",AS119)</f>
        <v/>
      </c>
      <c r="BF119" s="107" t="str">
        <f aca="false">IF($AW119&gt;$AV$7,"",VLOOKUP($AW119,$AY$8:$BE$507,7,FALSE()))</f>
        <v/>
      </c>
      <c r="BG119" s="108" t="str">
        <f aca="false">IF($AW119&gt;$AV$7,"",VLOOKUP($AW119,$AY$8:$BE$507,2,FALSE()))</f>
        <v/>
      </c>
      <c r="BH119" s="108" t="str">
        <f aca="false">IF($AW119&gt;$AV$7,"",VLOOKUP($AW119,$AY$8:$BE$507,3,FALSE()))</f>
        <v/>
      </c>
      <c r="BI119" s="108" t="str">
        <f aca="false">IF($AW119&gt;$AV$7,"",VLOOKUP($AW119,$AY$8:$BE$507,4,FALSE()))</f>
        <v/>
      </c>
      <c r="BJ119" s="108" t="str">
        <f aca="false">IF($AW119&gt;$AV$7,"",VLOOKUP($AW119,$AY$8:$BE$507,5,FALSE()))</f>
        <v/>
      </c>
      <c r="BK119" s="109" t="str">
        <f aca="false">IF($AW119&gt;$AV$7,"",VLOOKUP($AW119,$AY$8:$BE$507,6,FALSE()))</f>
        <v/>
      </c>
      <c r="BL119" s="50"/>
    </row>
    <row r="120" customFormat="false" ht="15.75" hidden="false" customHeight="false" outlineLevel="0" collapsed="false">
      <c r="A120" s="5"/>
      <c r="B120" s="124"/>
      <c r="C120" s="125"/>
      <c r="D120" s="110"/>
      <c r="E120" s="130"/>
      <c r="F120" s="135"/>
      <c r="G120" s="88"/>
      <c r="H120" s="136"/>
      <c r="I120" s="137"/>
      <c r="J120" s="91"/>
      <c r="K120" s="92"/>
      <c r="L120" s="137"/>
      <c r="M120" s="93"/>
      <c r="N120" s="94"/>
      <c r="O120" s="130"/>
      <c r="P120" s="96"/>
      <c r="Q120" s="97" t="str">
        <f aca="false">IF(ISBLANK($C120),"",IF(E120=Constants!$B$2, TRUE(), IF(E120=Constants!$B$3, FALSE(), TRUE())))</f>
        <v/>
      </c>
      <c r="R120" s="97" t="str">
        <f aca="false">IF(ISBLANK($C120),"",IF(F120=Constants!$B$2, TRUE(), IF(F120=Constants!$B$3, FALSE(), TRUE())))</f>
        <v/>
      </c>
      <c r="S120" s="97" t="str">
        <f aca="false">IF(ISBLANK($C120),"",IF(G120=Constants!$B$15,Constants!$B$8,IF(G120=Constants!$B$16,Constants!$B$9,Constants!$B$10)))</f>
        <v/>
      </c>
      <c r="T120" s="97" t="str">
        <f aca="false">IF(ISBLANK($C120),"",IF(H120=Constants!$B$2, TRUE(), IF(H120=Constants!$B$3, FALSE(), TRUE())))</f>
        <v/>
      </c>
      <c r="U120" s="97" t="str">
        <f aca="false">IF(ISBLANK($C120),"",IF(I120=Constants!$B$19,Constants!$B$19,Constants!$B$18))</f>
        <v/>
      </c>
      <c r="V120" s="97" t="str">
        <f aca="false">IF(ISBLANK($C120),"",IF(COUNTA(J120:K120)=0,"",IF(AND(OR(ISBLANK(J120),AND(ISNUMBER(J120),J120&gt;=0)),OR(ISBLANK(K120),AND(ISNUMBER(K120),K120&gt;=0))),60*IF(ISBLANK(J120),0,J120)+IF(ISBLANK(K120),0,K120),"")))</f>
        <v/>
      </c>
      <c r="W120" s="97" t="str">
        <f aca="false">IF(ISBLANK($C120),"",IF(L120=Constants!$B$19,Constants!$B$19,Constants!$B$18))</f>
        <v/>
      </c>
      <c r="X120" s="97" t="str">
        <f aca="false">IF(ISBLANK($C120),"",IF(COUNTA(M120:N120)=0,"",IF(AND(OR(ISBLANK(M120),AND(ISNUMBER(M120),M120&gt;=0)),OR(ISBLANK(N120),AND(ISNUMBER(N120),N120&gt;=0))),60*IF(ISBLANK(M120),0,M120)+IF(ISBLANK(N120),0,N120),"")))</f>
        <v/>
      </c>
      <c r="Y120" s="97" t="str">
        <f aca="false">IF(ISBLANK($C120),"",IF(O120=Constants!$B$2, TRUE(), IF(O120=Constants!$B$3, FALSE(), FALSE())))</f>
        <v/>
      </c>
      <c r="Z120" s="97" t="str">
        <f aca="false">IF(ISBLANK($C120),"",IF(Y120,Constants!$B$4,IF(COUNTA(E120:N120)=0,Constants!$B$5,IF(COUNTA(J120:K120,M120:N120)=0,Constants!$B$6,Constants!$B$7))))</f>
        <v/>
      </c>
      <c r="AA120" s="97" t="str">
        <f aca="false">IF(ISBLANK($C120),"",IF($Z120&lt;&gt;Constants!$B$7,$Z120,IF(OR(NOT(T120),AND(NOT(Q120),COUNTIFS(U120:W120,Constants!$B$18,V120:X120,"&gt;=0")&gt;0),AND(NOT(R120),COUNTIFS(U120:W120,Constants!$B$19,V120:X120,"&gt;=0")&gt;0)),Constants!$B$12,Constants!$B$11)))</f>
        <v/>
      </c>
      <c r="AB120" s="97" t="str">
        <f aca="false">IF($Z120=Constants!$B$7,IF(V120="",Constants!$B$13,V120),"")</f>
        <v/>
      </c>
      <c r="AC120" s="97" t="str">
        <f aca="false">IF($Z120=Constants!$B$7,IF(X120="",Constants!$B$13,X120),"")</f>
        <v/>
      </c>
      <c r="AD120" s="97" t="str">
        <f aca="false">IF($Z120=Constants!$B$7,IF($AB120&gt;=$AC120,1,2),"")</f>
        <v/>
      </c>
      <c r="AE120" s="97" t="str">
        <f aca="false">IF($Z120=Constants!$B$7,LARGE(AB120:AC120,1),"")</f>
        <v/>
      </c>
      <c r="AF120" s="97" t="str">
        <f aca="false">IF(ISBLANK($C120),"",IF($Z120&lt;&gt;Constants!$B$7,$Z120,AE120*S120))</f>
        <v/>
      </c>
      <c r="AG120" s="97" t="str">
        <f aca="false">IF(ISBLANK($C120),"",IF($Z120=Constants!$B$7,IF(ISNUMBER(AF120),RANK(AF120,$AF$8:$AF$507),Constants!$B$14),$Z120))</f>
        <v/>
      </c>
      <c r="AH120" s="97" t="str">
        <f aca="false">IF(ISBLANK($C120),"",IF($Z120=Constants!$B$7,IF(ISNUMBER(AG120),COUNTIFS($AA$8:$AA$507,"&lt;"&amp;$AA120)+COUNTIFS($AA$8:$AA$507,$AA120,$AG$8:$AG$507,"&lt;"&amp;$AG120)+1,Constants!$B$14),$Z120))</f>
        <v/>
      </c>
      <c r="AI120" s="97" t="str">
        <f aca="false">IF(ISBLANK($C120),"",IF($Z120=Constants!$B$7,LARGE(AB120:AC120,2)*S120,""))</f>
        <v/>
      </c>
      <c r="AJ120" s="97" t="str">
        <f aca="false">IF(ISBLANK($C120),"",IF($Z120=Constants!$B$7,RANK(AI120,$AI$8:$AI$507),$Z120))</f>
        <v/>
      </c>
      <c r="AK120" s="97" t="str">
        <f aca="false">IF(ISBLANK($C120),"",IF($Z120=Constants!$B$7,IF(ISNUMBER(AG120),COUNTIFS($AA$8:$AA$507,"&lt;"&amp;$AA120)+COUNTIFS($AA$8:$AA$507,$AA120,$AG$8:$AG$507,"&lt;"&amp;$AG120)+COUNTIFS($AA$8:$AA$507,$AA120,$AG$8:$AG$507,$AG120,$AJ$8:$AJ$507,"&lt;"&amp;$AJ120)+1,Constants!$B$14),$Z120))</f>
        <v/>
      </c>
      <c r="AL120" s="97" t="str">
        <f aca="false">IF(ISBLANK($C120),"",IF($Z120=Constants!$B$7,IF(ISNUMBER(AH120),AH120-AK120,Constants!$B$14),$Z120))</f>
        <v/>
      </c>
      <c r="AM120" s="98"/>
      <c r="AN120" s="99" t="str">
        <f aca="false">IF(ISBLANK($C120),"",IF($Z120&lt;&gt;Constants!$B$7,$Z120,AD120))</f>
        <v/>
      </c>
      <c r="AO120" s="100" t="str">
        <f aca="false">IF(ISBLANK($C120),"",IF($Z120&lt;&gt;Constants!$B$7,$Z120,S120))</f>
        <v/>
      </c>
      <c r="AP120" s="101" t="str">
        <f aca="false">IF(ISBLANK($C120),"",IF($Z120&lt;&gt;Constants!$B$7,$Z120,AF120))</f>
        <v/>
      </c>
      <c r="AQ120" s="102" t="str">
        <f aca="false">IF(ISBLANK($C120),"",IF($Z120&lt;&gt;Constants!$B$7,$Z120,AA120))</f>
        <v/>
      </c>
      <c r="AR120" s="100" t="str">
        <f aca="false">IF(ISBLANK($C120),"",AL120)</f>
        <v/>
      </c>
      <c r="AS120" s="100" t="str">
        <f aca="false">IF(ISBLANK($C120),"",AK120)</f>
        <v/>
      </c>
      <c r="AT120" s="103" t="str">
        <f aca="false">IF(ISBLANK($C120),"",IF(AS120=Constants!$B$4,COUNTA($C$8:$C$507)+2,IF(AS120=Constants!$B$5,COUNTA($C$8:$C$507)+1,IF(AS120=Constants!$B$6,COUNTA($C$8:$C$507),AS120))))</f>
        <v/>
      </c>
      <c r="AU120" s="5"/>
      <c r="AV120" s="104" t="n">
        <f aca="false">IF(OR(ISNUMBER(AS120),AS120=Constants!$B$4,AS120=Constants!$B$6,AS120=Constants!$B$5),1,0)</f>
        <v>0</v>
      </c>
      <c r="AW120" s="104" t="n">
        <v>113</v>
      </c>
      <c r="AX120" s="104" t="str">
        <f aca="false">IF(ISBLANK($C120),"",IF(ISNUMBER(AT120),AT120+ROW($B120)/1000,""))</f>
        <v/>
      </c>
      <c r="AY120" s="104" t="str">
        <f aca="false">IF(ISNUMBER(AX120),RANK(AX120,$AX$8:$AX$507,1),"")</f>
        <v/>
      </c>
      <c r="AZ120" s="104" t="str">
        <f aca="false">IF(ISBLANK($C120),"",$B120)</f>
        <v/>
      </c>
      <c r="BA120" s="104" t="str">
        <f aca="false">IF(ISBLANK($C120),"",$C120)</f>
        <v/>
      </c>
      <c r="BB120" s="104" t="str">
        <f aca="false">IF(ISBLANK($C120),"",$D120)</f>
        <v/>
      </c>
      <c r="BC120" s="105" t="str">
        <f aca="false">AQ120</f>
        <v/>
      </c>
      <c r="BD120" s="106" t="str">
        <f aca="false">AP120</f>
        <v/>
      </c>
      <c r="BE120" s="104" t="str">
        <f aca="false">IF(ISBLANK($C120),"",AS120)</f>
        <v/>
      </c>
      <c r="BF120" s="107" t="str">
        <f aca="false">IF($AW120&gt;$AV$7,"",VLOOKUP($AW120,$AY$8:$BE$507,7,FALSE()))</f>
        <v/>
      </c>
      <c r="BG120" s="108" t="str">
        <f aca="false">IF($AW120&gt;$AV$7,"",VLOOKUP($AW120,$AY$8:$BE$507,2,FALSE()))</f>
        <v/>
      </c>
      <c r="BH120" s="108" t="str">
        <f aca="false">IF($AW120&gt;$AV$7,"",VLOOKUP($AW120,$AY$8:$BE$507,3,FALSE()))</f>
        <v/>
      </c>
      <c r="BI120" s="108" t="str">
        <f aca="false">IF($AW120&gt;$AV$7,"",VLOOKUP($AW120,$AY$8:$BE$507,4,FALSE()))</f>
        <v/>
      </c>
      <c r="BJ120" s="108" t="str">
        <f aca="false">IF($AW120&gt;$AV$7,"",VLOOKUP($AW120,$AY$8:$BE$507,5,FALSE()))</f>
        <v/>
      </c>
      <c r="BK120" s="109" t="str">
        <f aca="false">IF($AW120&gt;$AV$7,"",VLOOKUP($AW120,$AY$8:$BE$507,6,FALSE()))</f>
        <v/>
      </c>
      <c r="BL120" s="50"/>
    </row>
    <row r="121" customFormat="false" ht="15.75" hidden="false" customHeight="false" outlineLevel="0" collapsed="false">
      <c r="A121" s="5"/>
      <c r="B121" s="124"/>
      <c r="C121" s="125"/>
      <c r="D121" s="110"/>
      <c r="E121" s="130"/>
      <c r="F121" s="135"/>
      <c r="G121" s="88"/>
      <c r="H121" s="136"/>
      <c r="I121" s="137"/>
      <c r="J121" s="91"/>
      <c r="K121" s="92"/>
      <c r="L121" s="137"/>
      <c r="M121" s="93"/>
      <c r="N121" s="94"/>
      <c r="O121" s="130"/>
      <c r="P121" s="96"/>
      <c r="Q121" s="97" t="str">
        <f aca="false">IF(ISBLANK($C121),"",IF(E121=Constants!$B$2, TRUE(), IF(E121=Constants!$B$3, FALSE(), TRUE())))</f>
        <v/>
      </c>
      <c r="R121" s="97" t="str">
        <f aca="false">IF(ISBLANK($C121),"",IF(F121=Constants!$B$2, TRUE(), IF(F121=Constants!$B$3, FALSE(), TRUE())))</f>
        <v/>
      </c>
      <c r="S121" s="97" t="str">
        <f aca="false">IF(ISBLANK($C121),"",IF(G121=Constants!$B$15,Constants!$B$8,IF(G121=Constants!$B$16,Constants!$B$9,Constants!$B$10)))</f>
        <v/>
      </c>
      <c r="T121" s="97" t="str">
        <f aca="false">IF(ISBLANK($C121),"",IF(H121=Constants!$B$2, TRUE(), IF(H121=Constants!$B$3, FALSE(), TRUE())))</f>
        <v/>
      </c>
      <c r="U121" s="97" t="str">
        <f aca="false">IF(ISBLANK($C121),"",IF(I121=Constants!$B$19,Constants!$B$19,Constants!$B$18))</f>
        <v/>
      </c>
      <c r="V121" s="97" t="str">
        <f aca="false">IF(ISBLANK($C121),"",IF(COUNTA(J121:K121)=0,"",IF(AND(OR(ISBLANK(J121),AND(ISNUMBER(J121),J121&gt;=0)),OR(ISBLANK(K121),AND(ISNUMBER(K121),K121&gt;=0))),60*IF(ISBLANK(J121),0,J121)+IF(ISBLANK(K121),0,K121),"")))</f>
        <v/>
      </c>
      <c r="W121" s="97" t="str">
        <f aca="false">IF(ISBLANK($C121),"",IF(L121=Constants!$B$19,Constants!$B$19,Constants!$B$18))</f>
        <v/>
      </c>
      <c r="X121" s="97" t="str">
        <f aca="false">IF(ISBLANK($C121),"",IF(COUNTA(M121:N121)=0,"",IF(AND(OR(ISBLANK(M121),AND(ISNUMBER(M121),M121&gt;=0)),OR(ISBLANK(N121),AND(ISNUMBER(N121),N121&gt;=0))),60*IF(ISBLANK(M121),0,M121)+IF(ISBLANK(N121),0,N121),"")))</f>
        <v/>
      </c>
      <c r="Y121" s="97" t="str">
        <f aca="false">IF(ISBLANK($C121),"",IF(O121=Constants!$B$2, TRUE(), IF(O121=Constants!$B$3, FALSE(), FALSE())))</f>
        <v/>
      </c>
      <c r="Z121" s="97" t="str">
        <f aca="false">IF(ISBLANK($C121),"",IF(Y121,Constants!$B$4,IF(COUNTA(E121:N121)=0,Constants!$B$5,IF(COUNTA(J121:K121,M121:N121)=0,Constants!$B$6,Constants!$B$7))))</f>
        <v/>
      </c>
      <c r="AA121" s="97" t="str">
        <f aca="false">IF(ISBLANK($C121),"",IF($Z121&lt;&gt;Constants!$B$7,$Z121,IF(OR(NOT(T121),AND(NOT(Q121),COUNTIFS(U121:W121,Constants!$B$18,V121:X121,"&gt;=0")&gt;0),AND(NOT(R121),COUNTIFS(U121:W121,Constants!$B$19,V121:X121,"&gt;=0")&gt;0)),Constants!$B$12,Constants!$B$11)))</f>
        <v/>
      </c>
      <c r="AB121" s="97" t="str">
        <f aca="false">IF($Z121=Constants!$B$7,IF(V121="",Constants!$B$13,V121),"")</f>
        <v/>
      </c>
      <c r="AC121" s="97" t="str">
        <f aca="false">IF($Z121=Constants!$B$7,IF(X121="",Constants!$B$13,X121),"")</f>
        <v/>
      </c>
      <c r="AD121" s="97" t="str">
        <f aca="false">IF($Z121=Constants!$B$7,IF($AB121&gt;=$AC121,1,2),"")</f>
        <v/>
      </c>
      <c r="AE121" s="97" t="str">
        <f aca="false">IF($Z121=Constants!$B$7,LARGE(AB121:AC121,1),"")</f>
        <v/>
      </c>
      <c r="AF121" s="97" t="str">
        <f aca="false">IF(ISBLANK($C121),"",IF($Z121&lt;&gt;Constants!$B$7,$Z121,AE121*S121))</f>
        <v/>
      </c>
      <c r="AG121" s="97" t="str">
        <f aca="false">IF(ISBLANK($C121),"",IF($Z121=Constants!$B$7,IF(ISNUMBER(AF121),RANK(AF121,$AF$8:$AF$507),Constants!$B$14),$Z121))</f>
        <v/>
      </c>
      <c r="AH121" s="97" t="str">
        <f aca="false">IF(ISBLANK($C121),"",IF($Z121=Constants!$B$7,IF(ISNUMBER(AG121),COUNTIFS($AA$8:$AA$507,"&lt;"&amp;$AA121)+COUNTIFS($AA$8:$AA$507,$AA121,$AG$8:$AG$507,"&lt;"&amp;$AG121)+1,Constants!$B$14),$Z121))</f>
        <v/>
      </c>
      <c r="AI121" s="97" t="str">
        <f aca="false">IF(ISBLANK($C121),"",IF($Z121=Constants!$B$7,LARGE(AB121:AC121,2)*S121,""))</f>
        <v/>
      </c>
      <c r="AJ121" s="97" t="str">
        <f aca="false">IF(ISBLANK($C121),"",IF($Z121=Constants!$B$7,RANK(AI121,$AI$8:$AI$507),$Z121))</f>
        <v/>
      </c>
      <c r="AK121" s="97" t="str">
        <f aca="false">IF(ISBLANK($C121),"",IF($Z121=Constants!$B$7,IF(ISNUMBER(AG121),COUNTIFS($AA$8:$AA$507,"&lt;"&amp;$AA121)+COUNTIFS($AA$8:$AA$507,$AA121,$AG$8:$AG$507,"&lt;"&amp;$AG121)+COUNTIFS($AA$8:$AA$507,$AA121,$AG$8:$AG$507,$AG121,$AJ$8:$AJ$507,"&lt;"&amp;$AJ121)+1,Constants!$B$14),$Z121))</f>
        <v/>
      </c>
      <c r="AL121" s="97" t="str">
        <f aca="false">IF(ISBLANK($C121),"",IF($Z121=Constants!$B$7,IF(ISNUMBER(AH121),AH121-AK121,Constants!$B$14),$Z121))</f>
        <v/>
      </c>
      <c r="AM121" s="98"/>
      <c r="AN121" s="99" t="str">
        <f aca="false">IF(ISBLANK($C121),"",IF($Z121&lt;&gt;Constants!$B$7,$Z121,AD121))</f>
        <v/>
      </c>
      <c r="AO121" s="100" t="str">
        <f aca="false">IF(ISBLANK($C121),"",IF($Z121&lt;&gt;Constants!$B$7,$Z121,S121))</f>
        <v/>
      </c>
      <c r="AP121" s="101" t="str">
        <f aca="false">IF(ISBLANK($C121),"",IF($Z121&lt;&gt;Constants!$B$7,$Z121,AF121))</f>
        <v/>
      </c>
      <c r="AQ121" s="102" t="str">
        <f aca="false">IF(ISBLANK($C121),"",IF($Z121&lt;&gt;Constants!$B$7,$Z121,AA121))</f>
        <v/>
      </c>
      <c r="AR121" s="100" t="str">
        <f aca="false">IF(ISBLANK($C121),"",AL121)</f>
        <v/>
      </c>
      <c r="AS121" s="100" t="str">
        <f aca="false">IF(ISBLANK($C121),"",AK121)</f>
        <v/>
      </c>
      <c r="AT121" s="103" t="str">
        <f aca="false">IF(ISBLANK($C121),"",IF(AS121=Constants!$B$4,COUNTA($C$8:$C$507)+2,IF(AS121=Constants!$B$5,COUNTA($C$8:$C$507)+1,IF(AS121=Constants!$B$6,COUNTA($C$8:$C$507),AS121))))</f>
        <v/>
      </c>
      <c r="AU121" s="5"/>
      <c r="AV121" s="104" t="n">
        <f aca="false">IF(OR(ISNUMBER(AS121),AS121=Constants!$B$4,AS121=Constants!$B$6,AS121=Constants!$B$5),1,0)</f>
        <v>0</v>
      </c>
      <c r="AW121" s="104" t="n">
        <v>114</v>
      </c>
      <c r="AX121" s="104" t="str">
        <f aca="false">IF(ISBLANK($C121),"",IF(ISNUMBER(AT121),AT121+ROW($B121)/1000,""))</f>
        <v/>
      </c>
      <c r="AY121" s="104" t="str">
        <f aca="false">IF(ISNUMBER(AX121),RANK(AX121,$AX$8:$AX$507,1),"")</f>
        <v/>
      </c>
      <c r="AZ121" s="104" t="str">
        <f aca="false">IF(ISBLANK($C121),"",$B121)</f>
        <v/>
      </c>
      <c r="BA121" s="104" t="str">
        <f aca="false">IF(ISBLANK($C121),"",$C121)</f>
        <v/>
      </c>
      <c r="BB121" s="104" t="str">
        <f aca="false">IF(ISBLANK($C121),"",$D121)</f>
        <v/>
      </c>
      <c r="BC121" s="105" t="str">
        <f aca="false">AQ121</f>
        <v/>
      </c>
      <c r="BD121" s="106" t="str">
        <f aca="false">AP121</f>
        <v/>
      </c>
      <c r="BE121" s="104" t="str">
        <f aca="false">IF(ISBLANK($C121),"",AS121)</f>
        <v/>
      </c>
      <c r="BF121" s="107" t="str">
        <f aca="false">IF($AW121&gt;$AV$7,"",VLOOKUP($AW121,$AY$8:$BE$507,7,FALSE()))</f>
        <v/>
      </c>
      <c r="BG121" s="108" t="str">
        <f aca="false">IF($AW121&gt;$AV$7,"",VLOOKUP($AW121,$AY$8:$BE$507,2,FALSE()))</f>
        <v/>
      </c>
      <c r="BH121" s="108" t="str">
        <f aca="false">IF($AW121&gt;$AV$7,"",VLOOKUP($AW121,$AY$8:$BE$507,3,FALSE()))</f>
        <v/>
      </c>
      <c r="BI121" s="108" t="str">
        <f aca="false">IF($AW121&gt;$AV$7,"",VLOOKUP($AW121,$AY$8:$BE$507,4,FALSE()))</f>
        <v/>
      </c>
      <c r="BJ121" s="108" t="str">
        <f aca="false">IF($AW121&gt;$AV$7,"",VLOOKUP($AW121,$AY$8:$BE$507,5,FALSE()))</f>
        <v/>
      </c>
      <c r="BK121" s="109" t="str">
        <f aca="false">IF($AW121&gt;$AV$7,"",VLOOKUP($AW121,$AY$8:$BE$507,6,FALSE()))</f>
        <v/>
      </c>
      <c r="BL121" s="50"/>
    </row>
    <row r="122" customFormat="false" ht="15.75" hidden="false" customHeight="false" outlineLevel="0" collapsed="false">
      <c r="A122" s="5"/>
      <c r="B122" s="131"/>
      <c r="C122" s="52"/>
      <c r="D122" s="53"/>
      <c r="E122" s="80"/>
      <c r="F122" s="132"/>
      <c r="G122" s="56"/>
      <c r="H122" s="133"/>
      <c r="I122" s="134"/>
      <c r="J122" s="59"/>
      <c r="K122" s="60"/>
      <c r="L122" s="134"/>
      <c r="M122" s="61"/>
      <c r="N122" s="62"/>
      <c r="O122" s="80"/>
      <c r="P122" s="64"/>
      <c r="Q122" s="65" t="str">
        <f aca="false">IF(ISBLANK($C122),"",IF(E122=Constants!$B$2, TRUE(), IF(E122=Constants!$B$3, FALSE(), TRUE())))</f>
        <v/>
      </c>
      <c r="R122" s="65" t="str">
        <f aca="false">IF(ISBLANK($C122),"",IF(F122=Constants!$B$2, TRUE(), IF(F122=Constants!$B$3, FALSE(), TRUE())))</f>
        <v/>
      </c>
      <c r="S122" s="65" t="str">
        <f aca="false">IF(ISBLANK($C122),"",IF(G122=Constants!$B$15,Constants!$B$8,IF(G122=Constants!$B$16,Constants!$B$9,Constants!$B$10)))</f>
        <v/>
      </c>
      <c r="T122" s="65" t="str">
        <f aca="false">IF(ISBLANK($C122),"",IF(H122=Constants!$B$2, TRUE(), IF(H122=Constants!$B$3, FALSE(), TRUE())))</f>
        <v/>
      </c>
      <c r="U122" s="65" t="str">
        <f aca="false">IF(ISBLANK($C122),"",IF(I122=Constants!$B$19,Constants!$B$19,Constants!$B$18))</f>
        <v/>
      </c>
      <c r="V122" s="65" t="str">
        <f aca="false">IF(ISBLANK($C122),"",IF(COUNTA(J122:K122)=0,"",IF(AND(OR(ISBLANK(J122),AND(ISNUMBER(J122),J122&gt;=0)),OR(ISBLANK(K122),AND(ISNUMBER(K122),K122&gt;=0))),60*IF(ISBLANK(J122),0,J122)+IF(ISBLANK(K122),0,K122),"")))</f>
        <v/>
      </c>
      <c r="W122" s="65" t="str">
        <f aca="false">IF(ISBLANK($C122),"",IF(L122=Constants!$B$19,Constants!$B$19,Constants!$B$18))</f>
        <v/>
      </c>
      <c r="X122" s="65" t="str">
        <f aca="false">IF(ISBLANK($C122),"",IF(COUNTA(M122:N122)=0,"",IF(AND(OR(ISBLANK(M122),AND(ISNUMBER(M122),M122&gt;=0)),OR(ISBLANK(N122),AND(ISNUMBER(N122),N122&gt;=0))),60*IF(ISBLANK(M122),0,M122)+IF(ISBLANK(N122),0,N122),"")))</f>
        <v/>
      </c>
      <c r="Y122" s="65" t="str">
        <f aca="false">IF(ISBLANK($C122),"",IF(O122=Constants!$B$2, TRUE(), IF(O122=Constants!$B$3, FALSE(), FALSE())))</f>
        <v/>
      </c>
      <c r="Z122" s="65" t="str">
        <f aca="false">IF(ISBLANK($C122),"",IF(Y122,Constants!$B$4,IF(COUNTA(E122:N122)=0,Constants!$B$5,IF(COUNTA(J122:K122,M122:N122)=0,Constants!$B$6,Constants!$B$7))))</f>
        <v/>
      </c>
      <c r="AA122" s="65" t="str">
        <f aca="false">IF(ISBLANK($C122),"",IF($Z122&lt;&gt;Constants!$B$7,$Z122,IF(OR(NOT(T122),AND(NOT(Q122),COUNTIFS(U122:W122,Constants!$B$18,V122:X122,"&gt;=0")&gt;0),AND(NOT(R122),COUNTIFS(U122:W122,Constants!$B$19,V122:X122,"&gt;=0")&gt;0)),Constants!$B$12,Constants!$B$11)))</f>
        <v/>
      </c>
      <c r="AB122" s="65" t="str">
        <f aca="false">IF($Z122=Constants!$B$7,IF(V122="",Constants!$B$13,V122),"")</f>
        <v/>
      </c>
      <c r="AC122" s="65" t="str">
        <f aca="false">IF($Z122=Constants!$B$7,IF(X122="",Constants!$B$13,X122),"")</f>
        <v/>
      </c>
      <c r="AD122" s="65" t="str">
        <f aca="false">IF($Z122=Constants!$B$7,IF($AB122&gt;=$AC122,1,2),"")</f>
        <v/>
      </c>
      <c r="AE122" s="65" t="str">
        <f aca="false">IF($Z122=Constants!$B$7,LARGE(AB122:AC122,1),"")</f>
        <v/>
      </c>
      <c r="AF122" s="65" t="str">
        <f aca="false">IF(ISBLANK($C122),"",IF($Z122&lt;&gt;Constants!$B$7,$Z122,AE122*S122))</f>
        <v/>
      </c>
      <c r="AG122" s="65" t="str">
        <f aca="false">IF(ISBLANK($C122),"",IF($Z122=Constants!$B$7,IF(ISNUMBER(AF122),RANK(AF122,$AF$8:$AF$507),Constants!$B$14),$Z122))</f>
        <v/>
      </c>
      <c r="AH122" s="65" t="str">
        <f aca="false">IF(ISBLANK($C122),"",IF($Z122=Constants!$B$7,IF(ISNUMBER(AG122),COUNTIFS($AA$8:$AA$507,"&lt;"&amp;$AA122)+COUNTIFS($AA$8:$AA$507,$AA122,$AG$8:$AG$507,"&lt;"&amp;$AG122)+1,Constants!$B$14),$Z122))</f>
        <v/>
      </c>
      <c r="AI122" s="65" t="str">
        <f aca="false">IF(ISBLANK($C122),"",IF($Z122=Constants!$B$7,LARGE(AB122:AC122,2)*S122,""))</f>
        <v/>
      </c>
      <c r="AJ122" s="65" t="str">
        <f aca="false">IF(ISBLANK($C122),"",IF($Z122=Constants!$B$7,RANK(AI122,$AI$8:$AI$507),$Z122))</f>
        <v/>
      </c>
      <c r="AK122" s="65" t="str">
        <f aca="false">IF(ISBLANK($C122),"",IF($Z122=Constants!$B$7,IF(ISNUMBER(AG122),COUNTIFS($AA$8:$AA$507,"&lt;"&amp;$AA122)+COUNTIFS($AA$8:$AA$507,$AA122,$AG$8:$AG$507,"&lt;"&amp;$AG122)+COUNTIFS($AA$8:$AA$507,$AA122,$AG$8:$AG$507,$AG122,$AJ$8:$AJ$507,"&lt;"&amp;$AJ122)+1,Constants!$B$14),$Z122))</f>
        <v/>
      </c>
      <c r="AL122" s="65" t="str">
        <f aca="false">IF(ISBLANK($C122),"",IF($Z122=Constants!$B$7,IF(ISNUMBER(AH122),AH122-AK122,Constants!$B$14),$Z122))</f>
        <v/>
      </c>
      <c r="AM122" s="67"/>
      <c r="AN122" s="68" t="str">
        <f aca="false">IF(ISBLANK($C122),"",IF($Z122&lt;&gt;Constants!$B$7,$Z122,AD122))</f>
        <v/>
      </c>
      <c r="AO122" s="69" t="str">
        <f aca="false">IF(ISBLANK($C122),"",IF($Z122&lt;&gt;Constants!$B$7,$Z122,S122))</f>
        <v/>
      </c>
      <c r="AP122" s="70" t="str">
        <f aca="false">IF(ISBLANK($C122),"",IF($Z122&lt;&gt;Constants!$B$7,$Z122,AF122))</f>
        <v/>
      </c>
      <c r="AQ122" s="71" t="str">
        <f aca="false">IF(ISBLANK($C122),"",IF($Z122&lt;&gt;Constants!$B$7,$Z122,AA122))</f>
        <v/>
      </c>
      <c r="AR122" s="69" t="str">
        <f aca="false">IF(ISBLANK($C122),"",AL122)</f>
        <v/>
      </c>
      <c r="AS122" s="69" t="str">
        <f aca="false">IF(ISBLANK($C122),"",AK122)</f>
        <v/>
      </c>
      <c r="AT122" s="72" t="str">
        <f aca="false">IF(ISBLANK($C122),"",IF(AS122=Constants!$B$4,COUNTA($C$8:$C$507)+2,IF(AS122=Constants!$B$5,COUNTA($C$8:$C$507)+1,IF(AS122=Constants!$B$6,COUNTA($C$8:$C$507),AS122))))</f>
        <v/>
      </c>
      <c r="AU122" s="5"/>
      <c r="AV122" s="73" t="n">
        <f aca="false">IF(OR(ISNUMBER(AS122),AS122=Constants!$B$4,AS122=Constants!$B$6,AS122=Constants!$B$5),1,0)</f>
        <v>0</v>
      </c>
      <c r="AW122" s="73" t="n">
        <v>115</v>
      </c>
      <c r="AX122" s="73" t="str">
        <f aca="false">IF(ISBLANK($C122),"",IF(ISNUMBER(AT122),AT122+ROW($B122)/1000,""))</f>
        <v/>
      </c>
      <c r="AY122" s="73" t="str">
        <f aca="false">IF(ISNUMBER(AX122),RANK(AX122,$AX$8:$AX$507,1),"")</f>
        <v/>
      </c>
      <c r="AZ122" s="73" t="str">
        <f aca="false">IF(ISBLANK($C122),"",$B122)</f>
        <v/>
      </c>
      <c r="BA122" s="73" t="str">
        <f aca="false">IF(ISBLANK($C122),"",$C122)</f>
        <v/>
      </c>
      <c r="BB122" s="73" t="str">
        <f aca="false">IF(ISBLANK($C122),"",$D122)</f>
        <v/>
      </c>
      <c r="BC122" s="74" t="str">
        <f aca="false">AQ122</f>
        <v/>
      </c>
      <c r="BD122" s="75" t="str">
        <f aca="false">AP122</f>
        <v/>
      </c>
      <c r="BE122" s="73" t="str">
        <f aca="false">IF(ISBLANK($C122),"",AS122)</f>
        <v/>
      </c>
      <c r="BF122" s="76" t="str">
        <f aca="false">IF($AW122&gt;$AV$7,"",VLOOKUP($AW122,$AY$8:$BE$507,7,FALSE()))</f>
        <v/>
      </c>
      <c r="BG122" s="77" t="str">
        <f aca="false">IF($AW122&gt;$AV$7,"",VLOOKUP($AW122,$AY$8:$BE$507,2,FALSE()))</f>
        <v/>
      </c>
      <c r="BH122" s="77" t="str">
        <f aca="false">IF($AW122&gt;$AV$7,"",VLOOKUP($AW122,$AY$8:$BE$507,3,FALSE()))</f>
        <v/>
      </c>
      <c r="BI122" s="77" t="str">
        <f aca="false">IF($AW122&gt;$AV$7,"",VLOOKUP($AW122,$AY$8:$BE$507,4,FALSE()))</f>
        <v/>
      </c>
      <c r="BJ122" s="77" t="str">
        <f aca="false">IF($AW122&gt;$AV$7,"",VLOOKUP($AW122,$AY$8:$BE$507,5,FALSE()))</f>
        <v/>
      </c>
      <c r="BK122" s="78" t="str">
        <f aca="false">IF($AW122&gt;$AV$7,"",VLOOKUP($AW122,$AY$8:$BE$507,6,FALSE()))</f>
        <v/>
      </c>
      <c r="BL122" s="50"/>
    </row>
    <row r="123" customFormat="false" ht="15.75" hidden="false" customHeight="false" outlineLevel="0" collapsed="false">
      <c r="A123" s="5"/>
      <c r="B123" s="131"/>
      <c r="C123" s="52"/>
      <c r="D123" s="53"/>
      <c r="E123" s="80"/>
      <c r="F123" s="132"/>
      <c r="G123" s="56"/>
      <c r="H123" s="133"/>
      <c r="I123" s="134"/>
      <c r="J123" s="59"/>
      <c r="K123" s="60"/>
      <c r="L123" s="134"/>
      <c r="M123" s="61"/>
      <c r="N123" s="62"/>
      <c r="O123" s="80"/>
      <c r="P123" s="64"/>
      <c r="Q123" s="65" t="str">
        <f aca="false">IF(ISBLANK($C123),"",IF(E123=Constants!$B$2, TRUE(), IF(E123=Constants!$B$3, FALSE(), TRUE())))</f>
        <v/>
      </c>
      <c r="R123" s="65" t="str">
        <f aca="false">IF(ISBLANK($C123),"",IF(F123=Constants!$B$2, TRUE(), IF(F123=Constants!$B$3, FALSE(), TRUE())))</f>
        <v/>
      </c>
      <c r="S123" s="65" t="str">
        <f aca="false">IF(ISBLANK($C123),"",IF(G123=Constants!$B$15,Constants!$B$8,IF(G123=Constants!$B$16,Constants!$B$9,Constants!$B$10)))</f>
        <v/>
      </c>
      <c r="T123" s="65" t="str">
        <f aca="false">IF(ISBLANK($C123),"",IF(H123=Constants!$B$2, TRUE(), IF(H123=Constants!$B$3, FALSE(), TRUE())))</f>
        <v/>
      </c>
      <c r="U123" s="65" t="str">
        <f aca="false">IF(ISBLANK($C123),"",IF(I123=Constants!$B$19,Constants!$B$19,Constants!$B$18))</f>
        <v/>
      </c>
      <c r="V123" s="65" t="str">
        <f aca="false">IF(ISBLANK($C123),"",IF(COUNTA(J123:K123)=0,"",IF(AND(OR(ISBLANK(J123),AND(ISNUMBER(J123),J123&gt;=0)),OR(ISBLANK(K123),AND(ISNUMBER(K123),K123&gt;=0))),60*IF(ISBLANK(J123),0,J123)+IF(ISBLANK(K123),0,K123),"")))</f>
        <v/>
      </c>
      <c r="W123" s="65" t="str">
        <f aca="false">IF(ISBLANK($C123),"",IF(L123=Constants!$B$19,Constants!$B$19,Constants!$B$18))</f>
        <v/>
      </c>
      <c r="X123" s="65" t="str">
        <f aca="false">IF(ISBLANK($C123),"",IF(COUNTA(M123:N123)=0,"",IF(AND(OR(ISBLANK(M123),AND(ISNUMBER(M123),M123&gt;=0)),OR(ISBLANK(N123),AND(ISNUMBER(N123),N123&gt;=0))),60*IF(ISBLANK(M123),0,M123)+IF(ISBLANK(N123),0,N123),"")))</f>
        <v/>
      </c>
      <c r="Y123" s="65" t="str">
        <f aca="false">IF(ISBLANK($C123),"",IF(O123=Constants!$B$2, TRUE(), IF(O123=Constants!$B$3, FALSE(), FALSE())))</f>
        <v/>
      </c>
      <c r="Z123" s="65" t="str">
        <f aca="false">IF(ISBLANK($C123),"",IF(Y123,Constants!$B$4,IF(COUNTA(E123:N123)=0,Constants!$B$5,IF(COUNTA(J123:K123,M123:N123)=0,Constants!$B$6,Constants!$B$7))))</f>
        <v/>
      </c>
      <c r="AA123" s="65" t="str">
        <f aca="false">IF(ISBLANK($C123),"",IF($Z123&lt;&gt;Constants!$B$7,$Z123,IF(OR(NOT(T123),AND(NOT(Q123),COUNTIFS(U123:W123,Constants!$B$18,V123:X123,"&gt;=0")&gt;0),AND(NOT(R123),COUNTIFS(U123:W123,Constants!$B$19,V123:X123,"&gt;=0")&gt;0)),Constants!$B$12,Constants!$B$11)))</f>
        <v/>
      </c>
      <c r="AB123" s="65" t="str">
        <f aca="false">IF($Z123=Constants!$B$7,IF(V123="",Constants!$B$13,V123),"")</f>
        <v/>
      </c>
      <c r="AC123" s="65" t="str">
        <f aca="false">IF($Z123=Constants!$B$7,IF(X123="",Constants!$B$13,X123),"")</f>
        <v/>
      </c>
      <c r="AD123" s="65" t="str">
        <f aca="false">IF($Z123=Constants!$B$7,IF($AB123&gt;=$AC123,1,2),"")</f>
        <v/>
      </c>
      <c r="AE123" s="65" t="str">
        <f aca="false">IF($Z123=Constants!$B$7,LARGE(AB123:AC123,1),"")</f>
        <v/>
      </c>
      <c r="AF123" s="65" t="str">
        <f aca="false">IF(ISBLANK($C123),"",IF($Z123&lt;&gt;Constants!$B$7,$Z123,AE123*S123))</f>
        <v/>
      </c>
      <c r="AG123" s="65" t="str">
        <f aca="false">IF(ISBLANK($C123),"",IF($Z123=Constants!$B$7,IF(ISNUMBER(AF123),RANK(AF123,$AF$8:$AF$507),Constants!$B$14),$Z123))</f>
        <v/>
      </c>
      <c r="AH123" s="65" t="str">
        <f aca="false">IF(ISBLANK($C123),"",IF($Z123=Constants!$B$7,IF(ISNUMBER(AG123),COUNTIFS($AA$8:$AA$507,"&lt;"&amp;$AA123)+COUNTIFS($AA$8:$AA$507,$AA123,$AG$8:$AG$507,"&lt;"&amp;$AG123)+1,Constants!$B$14),$Z123))</f>
        <v/>
      </c>
      <c r="AI123" s="65" t="str">
        <f aca="false">IF(ISBLANK($C123),"",IF($Z123=Constants!$B$7,LARGE(AB123:AC123,2)*S123,""))</f>
        <v/>
      </c>
      <c r="AJ123" s="65" t="str">
        <f aca="false">IF(ISBLANK($C123),"",IF($Z123=Constants!$B$7,RANK(AI123,$AI$8:$AI$507),$Z123))</f>
        <v/>
      </c>
      <c r="AK123" s="65" t="str">
        <f aca="false">IF(ISBLANK($C123),"",IF($Z123=Constants!$B$7,IF(ISNUMBER(AG123),COUNTIFS($AA$8:$AA$507,"&lt;"&amp;$AA123)+COUNTIFS($AA$8:$AA$507,$AA123,$AG$8:$AG$507,"&lt;"&amp;$AG123)+COUNTIFS($AA$8:$AA$507,$AA123,$AG$8:$AG$507,$AG123,$AJ$8:$AJ$507,"&lt;"&amp;$AJ123)+1,Constants!$B$14),$Z123))</f>
        <v/>
      </c>
      <c r="AL123" s="65" t="str">
        <f aca="false">IF(ISBLANK($C123),"",IF($Z123=Constants!$B$7,IF(ISNUMBER(AH123),AH123-AK123,Constants!$B$14),$Z123))</f>
        <v/>
      </c>
      <c r="AM123" s="67"/>
      <c r="AN123" s="68" t="str">
        <f aca="false">IF(ISBLANK($C123),"",IF($Z123&lt;&gt;Constants!$B$7,$Z123,AD123))</f>
        <v/>
      </c>
      <c r="AO123" s="69" t="str">
        <f aca="false">IF(ISBLANK($C123),"",IF($Z123&lt;&gt;Constants!$B$7,$Z123,S123))</f>
        <v/>
      </c>
      <c r="AP123" s="70" t="str">
        <f aca="false">IF(ISBLANK($C123),"",IF($Z123&lt;&gt;Constants!$B$7,$Z123,AF123))</f>
        <v/>
      </c>
      <c r="AQ123" s="71" t="str">
        <f aca="false">IF(ISBLANK($C123),"",IF($Z123&lt;&gt;Constants!$B$7,$Z123,AA123))</f>
        <v/>
      </c>
      <c r="AR123" s="69" t="str">
        <f aca="false">IF(ISBLANK($C123),"",AL123)</f>
        <v/>
      </c>
      <c r="AS123" s="69" t="str">
        <f aca="false">IF(ISBLANK($C123),"",AK123)</f>
        <v/>
      </c>
      <c r="AT123" s="72" t="str">
        <f aca="false">IF(ISBLANK($C123),"",IF(AS123=Constants!$B$4,COUNTA($C$8:$C$507)+2,IF(AS123=Constants!$B$5,COUNTA($C$8:$C$507)+1,IF(AS123=Constants!$B$6,COUNTA($C$8:$C$507),AS123))))</f>
        <v/>
      </c>
      <c r="AU123" s="5"/>
      <c r="AV123" s="73" t="n">
        <f aca="false">IF(OR(ISNUMBER(AS123),AS123=Constants!$B$4,AS123=Constants!$B$6,AS123=Constants!$B$5),1,0)</f>
        <v>0</v>
      </c>
      <c r="AW123" s="73" t="n">
        <v>116</v>
      </c>
      <c r="AX123" s="73" t="str">
        <f aca="false">IF(ISBLANK($C123),"",IF(ISNUMBER(AT123),AT123+ROW($B123)/1000,""))</f>
        <v/>
      </c>
      <c r="AY123" s="73" t="str">
        <f aca="false">IF(ISNUMBER(AX123),RANK(AX123,$AX$8:$AX$507,1),"")</f>
        <v/>
      </c>
      <c r="AZ123" s="73" t="str">
        <f aca="false">IF(ISBLANK($C123),"",$B123)</f>
        <v/>
      </c>
      <c r="BA123" s="73" t="str">
        <f aca="false">IF(ISBLANK($C123),"",$C123)</f>
        <v/>
      </c>
      <c r="BB123" s="73" t="str">
        <f aca="false">IF(ISBLANK($C123),"",$D123)</f>
        <v/>
      </c>
      <c r="BC123" s="74" t="str">
        <f aca="false">AQ123</f>
        <v/>
      </c>
      <c r="BD123" s="75" t="str">
        <f aca="false">AP123</f>
        <v/>
      </c>
      <c r="BE123" s="73" t="str">
        <f aca="false">IF(ISBLANK($C123),"",AS123)</f>
        <v/>
      </c>
      <c r="BF123" s="76" t="str">
        <f aca="false">IF($AW123&gt;$AV$7,"",VLOOKUP($AW123,$AY$8:$BE$507,7,FALSE()))</f>
        <v/>
      </c>
      <c r="BG123" s="77" t="str">
        <f aca="false">IF($AW123&gt;$AV$7,"",VLOOKUP($AW123,$AY$8:$BE$507,2,FALSE()))</f>
        <v/>
      </c>
      <c r="BH123" s="77" t="str">
        <f aca="false">IF($AW123&gt;$AV$7,"",VLOOKUP($AW123,$AY$8:$BE$507,3,FALSE()))</f>
        <v/>
      </c>
      <c r="BI123" s="77" t="str">
        <f aca="false">IF($AW123&gt;$AV$7,"",VLOOKUP($AW123,$AY$8:$BE$507,4,FALSE()))</f>
        <v/>
      </c>
      <c r="BJ123" s="77" t="str">
        <f aca="false">IF($AW123&gt;$AV$7,"",VLOOKUP($AW123,$AY$8:$BE$507,5,FALSE()))</f>
        <v/>
      </c>
      <c r="BK123" s="78" t="str">
        <f aca="false">IF($AW123&gt;$AV$7,"",VLOOKUP($AW123,$AY$8:$BE$507,6,FALSE()))</f>
        <v/>
      </c>
      <c r="BL123" s="50"/>
    </row>
    <row r="124" customFormat="false" ht="15.75" hidden="false" customHeight="false" outlineLevel="0" collapsed="false">
      <c r="A124" s="5"/>
      <c r="B124" s="131"/>
      <c r="C124" s="52"/>
      <c r="D124" s="53"/>
      <c r="E124" s="80"/>
      <c r="F124" s="132"/>
      <c r="G124" s="56"/>
      <c r="H124" s="133"/>
      <c r="I124" s="134"/>
      <c r="J124" s="59"/>
      <c r="K124" s="60"/>
      <c r="L124" s="134"/>
      <c r="M124" s="61"/>
      <c r="N124" s="62"/>
      <c r="O124" s="80"/>
      <c r="P124" s="64"/>
      <c r="Q124" s="65" t="str">
        <f aca="false">IF(ISBLANK($C124),"",IF(E124=Constants!$B$2, TRUE(), IF(E124=Constants!$B$3, FALSE(), TRUE())))</f>
        <v/>
      </c>
      <c r="R124" s="65" t="str">
        <f aca="false">IF(ISBLANK($C124),"",IF(F124=Constants!$B$2, TRUE(), IF(F124=Constants!$B$3, FALSE(), TRUE())))</f>
        <v/>
      </c>
      <c r="S124" s="65" t="str">
        <f aca="false">IF(ISBLANK($C124),"",IF(G124=Constants!$B$15,Constants!$B$8,IF(G124=Constants!$B$16,Constants!$B$9,Constants!$B$10)))</f>
        <v/>
      </c>
      <c r="T124" s="65" t="str">
        <f aca="false">IF(ISBLANK($C124),"",IF(H124=Constants!$B$2, TRUE(), IF(H124=Constants!$B$3, FALSE(), TRUE())))</f>
        <v/>
      </c>
      <c r="U124" s="65" t="str">
        <f aca="false">IF(ISBLANK($C124),"",IF(I124=Constants!$B$19,Constants!$B$19,Constants!$B$18))</f>
        <v/>
      </c>
      <c r="V124" s="65" t="str">
        <f aca="false">IF(ISBLANK($C124),"",IF(COUNTA(J124:K124)=0,"",IF(AND(OR(ISBLANK(J124),AND(ISNUMBER(J124),J124&gt;=0)),OR(ISBLANK(K124),AND(ISNUMBER(K124),K124&gt;=0))),60*IF(ISBLANK(J124),0,J124)+IF(ISBLANK(K124),0,K124),"")))</f>
        <v/>
      </c>
      <c r="W124" s="65" t="str">
        <f aca="false">IF(ISBLANK($C124),"",IF(L124=Constants!$B$19,Constants!$B$19,Constants!$B$18))</f>
        <v/>
      </c>
      <c r="X124" s="65" t="str">
        <f aca="false">IF(ISBLANK($C124),"",IF(COUNTA(M124:N124)=0,"",IF(AND(OR(ISBLANK(M124),AND(ISNUMBER(M124),M124&gt;=0)),OR(ISBLANK(N124),AND(ISNUMBER(N124),N124&gt;=0))),60*IF(ISBLANK(M124),0,M124)+IF(ISBLANK(N124),0,N124),"")))</f>
        <v/>
      </c>
      <c r="Y124" s="65" t="str">
        <f aca="false">IF(ISBLANK($C124),"",IF(O124=Constants!$B$2, TRUE(), IF(O124=Constants!$B$3, FALSE(), FALSE())))</f>
        <v/>
      </c>
      <c r="Z124" s="65" t="str">
        <f aca="false">IF(ISBLANK($C124),"",IF(Y124,Constants!$B$4,IF(COUNTA(E124:N124)=0,Constants!$B$5,IF(COUNTA(J124:K124,M124:N124)=0,Constants!$B$6,Constants!$B$7))))</f>
        <v/>
      </c>
      <c r="AA124" s="65" t="str">
        <f aca="false">IF(ISBLANK($C124),"",IF($Z124&lt;&gt;Constants!$B$7,$Z124,IF(OR(NOT(T124),AND(NOT(Q124),COUNTIFS(U124:W124,Constants!$B$18,V124:X124,"&gt;=0")&gt;0),AND(NOT(R124),COUNTIFS(U124:W124,Constants!$B$19,V124:X124,"&gt;=0")&gt;0)),Constants!$B$12,Constants!$B$11)))</f>
        <v/>
      </c>
      <c r="AB124" s="65" t="str">
        <f aca="false">IF($Z124=Constants!$B$7,IF(V124="",Constants!$B$13,V124),"")</f>
        <v/>
      </c>
      <c r="AC124" s="65" t="str">
        <f aca="false">IF($Z124=Constants!$B$7,IF(X124="",Constants!$B$13,X124),"")</f>
        <v/>
      </c>
      <c r="AD124" s="65" t="str">
        <f aca="false">IF($Z124=Constants!$B$7,IF($AB124&gt;=$AC124,1,2),"")</f>
        <v/>
      </c>
      <c r="AE124" s="65" t="str">
        <f aca="false">IF($Z124=Constants!$B$7,LARGE(AB124:AC124,1),"")</f>
        <v/>
      </c>
      <c r="AF124" s="65" t="str">
        <f aca="false">IF(ISBLANK($C124),"",IF($Z124&lt;&gt;Constants!$B$7,$Z124,AE124*S124))</f>
        <v/>
      </c>
      <c r="AG124" s="65" t="str">
        <f aca="false">IF(ISBLANK($C124),"",IF($Z124=Constants!$B$7,IF(ISNUMBER(AF124),RANK(AF124,$AF$8:$AF$507),Constants!$B$14),$Z124))</f>
        <v/>
      </c>
      <c r="AH124" s="65" t="str">
        <f aca="false">IF(ISBLANK($C124),"",IF($Z124=Constants!$B$7,IF(ISNUMBER(AG124),COUNTIFS($AA$8:$AA$507,"&lt;"&amp;$AA124)+COUNTIFS($AA$8:$AA$507,$AA124,$AG$8:$AG$507,"&lt;"&amp;$AG124)+1,Constants!$B$14),$Z124))</f>
        <v/>
      </c>
      <c r="AI124" s="65" t="str">
        <f aca="false">IF(ISBLANK($C124),"",IF($Z124=Constants!$B$7,LARGE(AB124:AC124,2)*S124,""))</f>
        <v/>
      </c>
      <c r="AJ124" s="65" t="str">
        <f aca="false">IF(ISBLANK($C124),"",IF($Z124=Constants!$B$7,RANK(AI124,$AI$8:$AI$507),$Z124))</f>
        <v/>
      </c>
      <c r="AK124" s="65" t="str">
        <f aca="false">IF(ISBLANK($C124),"",IF($Z124=Constants!$B$7,IF(ISNUMBER(AG124),COUNTIFS($AA$8:$AA$507,"&lt;"&amp;$AA124)+COUNTIFS($AA$8:$AA$507,$AA124,$AG$8:$AG$507,"&lt;"&amp;$AG124)+COUNTIFS($AA$8:$AA$507,$AA124,$AG$8:$AG$507,$AG124,$AJ$8:$AJ$507,"&lt;"&amp;$AJ124)+1,Constants!$B$14),$Z124))</f>
        <v/>
      </c>
      <c r="AL124" s="65" t="str">
        <f aca="false">IF(ISBLANK($C124),"",IF($Z124=Constants!$B$7,IF(ISNUMBER(AH124),AH124-AK124,Constants!$B$14),$Z124))</f>
        <v/>
      </c>
      <c r="AM124" s="67"/>
      <c r="AN124" s="68" t="str">
        <f aca="false">IF(ISBLANK($C124),"",IF($Z124&lt;&gt;Constants!$B$7,$Z124,AD124))</f>
        <v/>
      </c>
      <c r="AO124" s="69" t="str">
        <f aca="false">IF(ISBLANK($C124),"",IF($Z124&lt;&gt;Constants!$B$7,$Z124,S124))</f>
        <v/>
      </c>
      <c r="AP124" s="70" t="str">
        <f aca="false">IF(ISBLANK($C124),"",IF($Z124&lt;&gt;Constants!$B$7,$Z124,AF124))</f>
        <v/>
      </c>
      <c r="AQ124" s="71" t="str">
        <f aca="false">IF(ISBLANK($C124),"",IF($Z124&lt;&gt;Constants!$B$7,$Z124,AA124))</f>
        <v/>
      </c>
      <c r="AR124" s="69" t="str">
        <f aca="false">IF(ISBLANK($C124),"",AL124)</f>
        <v/>
      </c>
      <c r="AS124" s="69" t="str">
        <f aca="false">IF(ISBLANK($C124),"",AK124)</f>
        <v/>
      </c>
      <c r="AT124" s="72" t="str">
        <f aca="false">IF(ISBLANK($C124),"",IF(AS124=Constants!$B$4,COUNTA($C$8:$C$507)+2,IF(AS124=Constants!$B$5,COUNTA($C$8:$C$507)+1,IF(AS124=Constants!$B$6,COUNTA($C$8:$C$507),AS124))))</f>
        <v/>
      </c>
      <c r="AU124" s="5"/>
      <c r="AV124" s="73" t="n">
        <f aca="false">IF(OR(ISNUMBER(AS124),AS124=Constants!$B$4,AS124=Constants!$B$6,AS124=Constants!$B$5),1,0)</f>
        <v>0</v>
      </c>
      <c r="AW124" s="73" t="n">
        <v>117</v>
      </c>
      <c r="AX124" s="73" t="str">
        <f aca="false">IF(ISBLANK($C124),"",IF(ISNUMBER(AT124),AT124+ROW($B124)/1000,""))</f>
        <v/>
      </c>
      <c r="AY124" s="73" t="str">
        <f aca="false">IF(ISNUMBER(AX124),RANK(AX124,$AX$8:$AX$507,1),"")</f>
        <v/>
      </c>
      <c r="AZ124" s="73" t="str">
        <f aca="false">IF(ISBLANK($C124),"",$B124)</f>
        <v/>
      </c>
      <c r="BA124" s="73" t="str">
        <f aca="false">IF(ISBLANK($C124),"",$C124)</f>
        <v/>
      </c>
      <c r="BB124" s="73" t="str">
        <f aca="false">IF(ISBLANK($C124),"",$D124)</f>
        <v/>
      </c>
      <c r="BC124" s="74" t="str">
        <f aca="false">AQ124</f>
        <v/>
      </c>
      <c r="BD124" s="75" t="str">
        <f aca="false">AP124</f>
        <v/>
      </c>
      <c r="BE124" s="73" t="str">
        <f aca="false">IF(ISBLANK($C124),"",AS124)</f>
        <v/>
      </c>
      <c r="BF124" s="76" t="str">
        <f aca="false">IF($AW124&gt;$AV$7,"",VLOOKUP($AW124,$AY$8:$BE$507,7,FALSE()))</f>
        <v/>
      </c>
      <c r="BG124" s="77" t="str">
        <f aca="false">IF($AW124&gt;$AV$7,"",VLOOKUP($AW124,$AY$8:$BE$507,2,FALSE()))</f>
        <v/>
      </c>
      <c r="BH124" s="77" t="str">
        <f aca="false">IF($AW124&gt;$AV$7,"",VLOOKUP($AW124,$AY$8:$BE$507,3,FALSE()))</f>
        <v/>
      </c>
      <c r="BI124" s="77" t="str">
        <f aca="false">IF($AW124&gt;$AV$7,"",VLOOKUP($AW124,$AY$8:$BE$507,4,FALSE()))</f>
        <v/>
      </c>
      <c r="BJ124" s="77" t="str">
        <f aca="false">IF($AW124&gt;$AV$7,"",VLOOKUP($AW124,$AY$8:$BE$507,5,FALSE()))</f>
        <v/>
      </c>
      <c r="BK124" s="78" t="str">
        <f aca="false">IF($AW124&gt;$AV$7,"",VLOOKUP($AW124,$AY$8:$BE$507,6,FALSE()))</f>
        <v/>
      </c>
      <c r="BL124" s="50"/>
    </row>
    <row r="125" customFormat="false" ht="15.75" hidden="false" customHeight="false" outlineLevel="0" collapsed="false">
      <c r="A125" s="5"/>
      <c r="B125" s="124"/>
      <c r="C125" s="125"/>
      <c r="D125" s="110"/>
      <c r="E125" s="130"/>
      <c r="F125" s="135"/>
      <c r="G125" s="88"/>
      <c r="H125" s="136"/>
      <c r="I125" s="137"/>
      <c r="J125" s="91"/>
      <c r="K125" s="92"/>
      <c r="L125" s="137"/>
      <c r="M125" s="93"/>
      <c r="N125" s="94"/>
      <c r="O125" s="130"/>
      <c r="P125" s="96"/>
      <c r="Q125" s="97" t="str">
        <f aca="false">IF(ISBLANK($C125),"",IF(E125=Constants!$B$2, TRUE(), IF(E125=Constants!$B$3, FALSE(), TRUE())))</f>
        <v/>
      </c>
      <c r="R125" s="97" t="str">
        <f aca="false">IF(ISBLANK($C125),"",IF(F125=Constants!$B$2, TRUE(), IF(F125=Constants!$B$3, FALSE(), TRUE())))</f>
        <v/>
      </c>
      <c r="S125" s="97" t="str">
        <f aca="false">IF(ISBLANK($C125),"",IF(G125=Constants!$B$15,Constants!$B$8,IF(G125=Constants!$B$16,Constants!$B$9,Constants!$B$10)))</f>
        <v/>
      </c>
      <c r="T125" s="97" t="str">
        <f aca="false">IF(ISBLANK($C125),"",IF(H125=Constants!$B$2, TRUE(), IF(H125=Constants!$B$3, FALSE(), TRUE())))</f>
        <v/>
      </c>
      <c r="U125" s="97" t="str">
        <f aca="false">IF(ISBLANK($C125),"",IF(I125=Constants!$B$19,Constants!$B$19,Constants!$B$18))</f>
        <v/>
      </c>
      <c r="V125" s="97" t="str">
        <f aca="false">IF(ISBLANK($C125),"",IF(COUNTA(J125:K125)=0,"",IF(AND(OR(ISBLANK(J125),AND(ISNUMBER(J125),J125&gt;=0)),OR(ISBLANK(K125),AND(ISNUMBER(K125),K125&gt;=0))),60*IF(ISBLANK(J125),0,J125)+IF(ISBLANK(K125),0,K125),"")))</f>
        <v/>
      </c>
      <c r="W125" s="97" t="str">
        <f aca="false">IF(ISBLANK($C125),"",IF(L125=Constants!$B$19,Constants!$B$19,Constants!$B$18))</f>
        <v/>
      </c>
      <c r="X125" s="97" t="str">
        <f aca="false">IF(ISBLANK($C125),"",IF(COUNTA(M125:N125)=0,"",IF(AND(OR(ISBLANK(M125),AND(ISNUMBER(M125),M125&gt;=0)),OR(ISBLANK(N125),AND(ISNUMBER(N125),N125&gt;=0))),60*IF(ISBLANK(M125),0,M125)+IF(ISBLANK(N125),0,N125),"")))</f>
        <v/>
      </c>
      <c r="Y125" s="97" t="str">
        <f aca="false">IF(ISBLANK($C125),"",IF(O125=Constants!$B$2, TRUE(), IF(O125=Constants!$B$3, FALSE(), FALSE())))</f>
        <v/>
      </c>
      <c r="Z125" s="97" t="str">
        <f aca="false">IF(ISBLANK($C125),"",IF(Y125,Constants!$B$4,IF(COUNTA(E125:N125)=0,Constants!$B$5,IF(COUNTA(J125:K125,M125:N125)=0,Constants!$B$6,Constants!$B$7))))</f>
        <v/>
      </c>
      <c r="AA125" s="97" t="str">
        <f aca="false">IF(ISBLANK($C125),"",IF($Z125&lt;&gt;Constants!$B$7,$Z125,IF(OR(NOT(T125),AND(NOT(Q125),COUNTIFS(U125:W125,Constants!$B$18,V125:X125,"&gt;=0")&gt;0),AND(NOT(R125),COUNTIFS(U125:W125,Constants!$B$19,V125:X125,"&gt;=0")&gt;0)),Constants!$B$12,Constants!$B$11)))</f>
        <v/>
      </c>
      <c r="AB125" s="97" t="str">
        <f aca="false">IF($Z125=Constants!$B$7,IF(V125="",Constants!$B$13,V125),"")</f>
        <v/>
      </c>
      <c r="AC125" s="97" t="str">
        <f aca="false">IF($Z125=Constants!$B$7,IF(X125="",Constants!$B$13,X125),"")</f>
        <v/>
      </c>
      <c r="AD125" s="97" t="str">
        <f aca="false">IF($Z125=Constants!$B$7,IF($AB125&gt;=$AC125,1,2),"")</f>
        <v/>
      </c>
      <c r="AE125" s="97" t="str">
        <f aca="false">IF($Z125=Constants!$B$7,LARGE(AB125:AC125,1),"")</f>
        <v/>
      </c>
      <c r="AF125" s="97" t="str">
        <f aca="false">IF(ISBLANK($C125),"",IF($Z125&lt;&gt;Constants!$B$7,$Z125,AE125*S125))</f>
        <v/>
      </c>
      <c r="AG125" s="97" t="str">
        <f aca="false">IF(ISBLANK($C125),"",IF($Z125=Constants!$B$7,IF(ISNUMBER(AF125),RANK(AF125,$AF$8:$AF$507),Constants!$B$14),$Z125))</f>
        <v/>
      </c>
      <c r="AH125" s="97" t="str">
        <f aca="false">IF(ISBLANK($C125),"",IF($Z125=Constants!$B$7,IF(ISNUMBER(AG125),COUNTIFS($AA$8:$AA$507,"&lt;"&amp;$AA125)+COUNTIFS($AA$8:$AA$507,$AA125,$AG$8:$AG$507,"&lt;"&amp;$AG125)+1,Constants!$B$14),$Z125))</f>
        <v/>
      </c>
      <c r="AI125" s="97" t="str">
        <f aca="false">IF(ISBLANK($C125),"",IF($Z125=Constants!$B$7,LARGE(AB125:AC125,2)*S125,""))</f>
        <v/>
      </c>
      <c r="AJ125" s="97" t="str">
        <f aca="false">IF(ISBLANK($C125),"",IF($Z125=Constants!$B$7,RANK(AI125,$AI$8:$AI$507),$Z125))</f>
        <v/>
      </c>
      <c r="AK125" s="97" t="str">
        <f aca="false">IF(ISBLANK($C125),"",IF($Z125=Constants!$B$7,IF(ISNUMBER(AG125),COUNTIFS($AA$8:$AA$507,"&lt;"&amp;$AA125)+COUNTIFS($AA$8:$AA$507,$AA125,$AG$8:$AG$507,"&lt;"&amp;$AG125)+COUNTIFS($AA$8:$AA$507,$AA125,$AG$8:$AG$507,$AG125,$AJ$8:$AJ$507,"&lt;"&amp;$AJ125)+1,Constants!$B$14),$Z125))</f>
        <v/>
      </c>
      <c r="AL125" s="97" t="str">
        <f aca="false">IF(ISBLANK($C125),"",IF($Z125=Constants!$B$7,IF(ISNUMBER(AH125),AH125-AK125,Constants!$B$14),$Z125))</f>
        <v/>
      </c>
      <c r="AM125" s="98"/>
      <c r="AN125" s="99" t="str">
        <f aca="false">IF(ISBLANK($C125),"",IF($Z125&lt;&gt;Constants!$B$7,$Z125,AD125))</f>
        <v/>
      </c>
      <c r="AO125" s="100" t="str">
        <f aca="false">IF(ISBLANK($C125),"",IF($Z125&lt;&gt;Constants!$B$7,$Z125,S125))</f>
        <v/>
      </c>
      <c r="AP125" s="101" t="str">
        <f aca="false">IF(ISBLANK($C125),"",IF($Z125&lt;&gt;Constants!$B$7,$Z125,AF125))</f>
        <v/>
      </c>
      <c r="AQ125" s="102" t="str">
        <f aca="false">IF(ISBLANK($C125),"",IF($Z125&lt;&gt;Constants!$B$7,$Z125,AA125))</f>
        <v/>
      </c>
      <c r="AR125" s="100" t="str">
        <f aca="false">IF(ISBLANK($C125),"",AL125)</f>
        <v/>
      </c>
      <c r="AS125" s="100" t="str">
        <f aca="false">IF(ISBLANK($C125),"",AK125)</f>
        <v/>
      </c>
      <c r="AT125" s="103" t="str">
        <f aca="false">IF(ISBLANK($C125),"",IF(AS125=Constants!$B$4,COUNTA($C$8:$C$507)+2,IF(AS125=Constants!$B$5,COUNTA($C$8:$C$507)+1,IF(AS125=Constants!$B$6,COUNTA($C$8:$C$507),AS125))))</f>
        <v/>
      </c>
      <c r="AU125" s="5"/>
      <c r="AV125" s="104" t="n">
        <f aca="false">IF(OR(ISNUMBER(AS125),AS125=Constants!$B$4,AS125=Constants!$B$6,AS125=Constants!$B$5),1,0)</f>
        <v>0</v>
      </c>
      <c r="AW125" s="104" t="n">
        <v>118</v>
      </c>
      <c r="AX125" s="104" t="str">
        <f aca="false">IF(ISBLANK($C125),"",IF(ISNUMBER(AT125),AT125+ROW($B125)/1000,""))</f>
        <v/>
      </c>
      <c r="AY125" s="104" t="str">
        <f aca="false">IF(ISNUMBER(AX125),RANK(AX125,$AX$8:$AX$507,1),"")</f>
        <v/>
      </c>
      <c r="AZ125" s="104" t="str">
        <f aca="false">IF(ISBLANK($C125),"",$B125)</f>
        <v/>
      </c>
      <c r="BA125" s="104" t="str">
        <f aca="false">IF(ISBLANK($C125),"",$C125)</f>
        <v/>
      </c>
      <c r="BB125" s="104" t="str">
        <f aca="false">IF(ISBLANK($C125),"",$D125)</f>
        <v/>
      </c>
      <c r="BC125" s="105" t="str">
        <f aca="false">AQ125</f>
        <v/>
      </c>
      <c r="BD125" s="106" t="str">
        <f aca="false">AP125</f>
        <v/>
      </c>
      <c r="BE125" s="104" t="str">
        <f aca="false">IF(ISBLANK($C125),"",AS125)</f>
        <v/>
      </c>
      <c r="BF125" s="107" t="str">
        <f aca="false">IF($AW125&gt;$AV$7,"",VLOOKUP($AW125,$AY$8:$BE$507,7,FALSE()))</f>
        <v/>
      </c>
      <c r="BG125" s="108" t="str">
        <f aca="false">IF($AW125&gt;$AV$7,"",VLOOKUP($AW125,$AY$8:$BE$507,2,FALSE()))</f>
        <v/>
      </c>
      <c r="BH125" s="108" t="str">
        <f aca="false">IF($AW125&gt;$AV$7,"",VLOOKUP($AW125,$AY$8:$BE$507,3,FALSE()))</f>
        <v/>
      </c>
      <c r="BI125" s="108" t="str">
        <f aca="false">IF($AW125&gt;$AV$7,"",VLOOKUP($AW125,$AY$8:$BE$507,4,FALSE()))</f>
        <v/>
      </c>
      <c r="BJ125" s="108" t="str">
        <f aca="false">IF($AW125&gt;$AV$7,"",VLOOKUP($AW125,$AY$8:$BE$507,5,FALSE()))</f>
        <v/>
      </c>
      <c r="BK125" s="109" t="str">
        <f aca="false">IF($AW125&gt;$AV$7,"",VLOOKUP($AW125,$AY$8:$BE$507,6,FALSE()))</f>
        <v/>
      </c>
      <c r="BL125" s="50"/>
    </row>
    <row r="126" customFormat="false" ht="15.75" hidden="false" customHeight="false" outlineLevel="0" collapsed="false">
      <c r="A126" s="5"/>
      <c r="B126" s="124"/>
      <c r="C126" s="125"/>
      <c r="D126" s="110"/>
      <c r="E126" s="130"/>
      <c r="F126" s="135"/>
      <c r="G126" s="88"/>
      <c r="H126" s="136"/>
      <c r="I126" s="137"/>
      <c r="J126" s="91"/>
      <c r="K126" s="92"/>
      <c r="L126" s="137"/>
      <c r="M126" s="93"/>
      <c r="N126" s="94"/>
      <c r="O126" s="130"/>
      <c r="P126" s="96"/>
      <c r="Q126" s="97" t="str">
        <f aca="false">IF(ISBLANK($C126),"",IF(E126=Constants!$B$2, TRUE(), IF(E126=Constants!$B$3, FALSE(), TRUE())))</f>
        <v/>
      </c>
      <c r="R126" s="97" t="str">
        <f aca="false">IF(ISBLANK($C126),"",IF(F126=Constants!$B$2, TRUE(), IF(F126=Constants!$B$3, FALSE(), TRUE())))</f>
        <v/>
      </c>
      <c r="S126" s="97" t="str">
        <f aca="false">IF(ISBLANK($C126),"",IF(G126=Constants!$B$15,Constants!$B$8,IF(G126=Constants!$B$16,Constants!$B$9,Constants!$B$10)))</f>
        <v/>
      </c>
      <c r="T126" s="97" t="str">
        <f aca="false">IF(ISBLANK($C126),"",IF(H126=Constants!$B$2, TRUE(), IF(H126=Constants!$B$3, FALSE(), TRUE())))</f>
        <v/>
      </c>
      <c r="U126" s="97" t="str">
        <f aca="false">IF(ISBLANK($C126),"",IF(I126=Constants!$B$19,Constants!$B$19,Constants!$B$18))</f>
        <v/>
      </c>
      <c r="V126" s="97" t="str">
        <f aca="false">IF(ISBLANK($C126),"",IF(COUNTA(J126:K126)=0,"",IF(AND(OR(ISBLANK(J126),AND(ISNUMBER(J126),J126&gt;=0)),OR(ISBLANK(K126),AND(ISNUMBER(K126),K126&gt;=0))),60*IF(ISBLANK(J126),0,J126)+IF(ISBLANK(K126),0,K126),"")))</f>
        <v/>
      </c>
      <c r="W126" s="97" t="str">
        <f aca="false">IF(ISBLANK($C126),"",IF(L126=Constants!$B$19,Constants!$B$19,Constants!$B$18))</f>
        <v/>
      </c>
      <c r="X126" s="97" t="str">
        <f aca="false">IF(ISBLANK($C126),"",IF(COUNTA(M126:N126)=0,"",IF(AND(OR(ISBLANK(M126),AND(ISNUMBER(M126),M126&gt;=0)),OR(ISBLANK(N126),AND(ISNUMBER(N126),N126&gt;=0))),60*IF(ISBLANK(M126),0,M126)+IF(ISBLANK(N126),0,N126),"")))</f>
        <v/>
      </c>
      <c r="Y126" s="97" t="str">
        <f aca="false">IF(ISBLANK($C126),"",IF(O126=Constants!$B$2, TRUE(), IF(O126=Constants!$B$3, FALSE(), FALSE())))</f>
        <v/>
      </c>
      <c r="Z126" s="97" t="str">
        <f aca="false">IF(ISBLANK($C126),"",IF(Y126,Constants!$B$4,IF(COUNTA(E126:N126)=0,Constants!$B$5,IF(COUNTA(J126:K126,M126:N126)=0,Constants!$B$6,Constants!$B$7))))</f>
        <v/>
      </c>
      <c r="AA126" s="97" t="str">
        <f aca="false">IF(ISBLANK($C126),"",IF($Z126&lt;&gt;Constants!$B$7,$Z126,IF(OR(NOT(T126),AND(NOT(Q126),COUNTIFS(U126:W126,Constants!$B$18,V126:X126,"&gt;=0")&gt;0),AND(NOT(R126),COUNTIFS(U126:W126,Constants!$B$19,V126:X126,"&gt;=0")&gt;0)),Constants!$B$12,Constants!$B$11)))</f>
        <v/>
      </c>
      <c r="AB126" s="97" t="str">
        <f aca="false">IF($Z126=Constants!$B$7,IF(V126="",Constants!$B$13,V126),"")</f>
        <v/>
      </c>
      <c r="AC126" s="97" t="str">
        <f aca="false">IF($Z126=Constants!$B$7,IF(X126="",Constants!$B$13,X126),"")</f>
        <v/>
      </c>
      <c r="AD126" s="97" t="str">
        <f aca="false">IF($Z126=Constants!$B$7,IF($AB126&gt;=$AC126,1,2),"")</f>
        <v/>
      </c>
      <c r="AE126" s="97" t="str">
        <f aca="false">IF($Z126=Constants!$B$7,LARGE(AB126:AC126,1),"")</f>
        <v/>
      </c>
      <c r="AF126" s="97" t="str">
        <f aca="false">IF(ISBLANK($C126),"",IF($Z126&lt;&gt;Constants!$B$7,$Z126,AE126*S126))</f>
        <v/>
      </c>
      <c r="AG126" s="97" t="str">
        <f aca="false">IF(ISBLANK($C126),"",IF($Z126=Constants!$B$7,IF(ISNUMBER(AF126),RANK(AF126,$AF$8:$AF$507),Constants!$B$14),$Z126))</f>
        <v/>
      </c>
      <c r="AH126" s="97" t="str">
        <f aca="false">IF(ISBLANK($C126),"",IF($Z126=Constants!$B$7,IF(ISNUMBER(AG126),COUNTIFS($AA$8:$AA$507,"&lt;"&amp;$AA126)+COUNTIFS($AA$8:$AA$507,$AA126,$AG$8:$AG$507,"&lt;"&amp;$AG126)+1,Constants!$B$14),$Z126))</f>
        <v/>
      </c>
      <c r="AI126" s="97" t="str">
        <f aca="false">IF(ISBLANK($C126),"",IF($Z126=Constants!$B$7,LARGE(AB126:AC126,2)*S126,""))</f>
        <v/>
      </c>
      <c r="AJ126" s="97" t="str">
        <f aca="false">IF(ISBLANK($C126),"",IF($Z126=Constants!$B$7,RANK(AI126,$AI$8:$AI$507),$Z126))</f>
        <v/>
      </c>
      <c r="AK126" s="97" t="str">
        <f aca="false">IF(ISBLANK($C126),"",IF($Z126=Constants!$B$7,IF(ISNUMBER(AG126),COUNTIFS($AA$8:$AA$507,"&lt;"&amp;$AA126)+COUNTIFS($AA$8:$AA$507,$AA126,$AG$8:$AG$507,"&lt;"&amp;$AG126)+COUNTIFS($AA$8:$AA$507,$AA126,$AG$8:$AG$507,$AG126,$AJ$8:$AJ$507,"&lt;"&amp;$AJ126)+1,Constants!$B$14),$Z126))</f>
        <v/>
      </c>
      <c r="AL126" s="97" t="str">
        <f aca="false">IF(ISBLANK($C126),"",IF($Z126=Constants!$B$7,IF(ISNUMBER(AH126),AH126-AK126,Constants!$B$14),$Z126))</f>
        <v/>
      </c>
      <c r="AM126" s="98"/>
      <c r="AN126" s="99" t="str">
        <f aca="false">IF(ISBLANK($C126),"",IF($Z126&lt;&gt;Constants!$B$7,$Z126,AD126))</f>
        <v/>
      </c>
      <c r="AO126" s="100" t="str">
        <f aca="false">IF(ISBLANK($C126),"",IF($Z126&lt;&gt;Constants!$B$7,$Z126,S126))</f>
        <v/>
      </c>
      <c r="AP126" s="101" t="str">
        <f aca="false">IF(ISBLANK($C126),"",IF($Z126&lt;&gt;Constants!$B$7,$Z126,AF126))</f>
        <v/>
      </c>
      <c r="AQ126" s="102" t="str">
        <f aca="false">IF(ISBLANK($C126),"",IF($Z126&lt;&gt;Constants!$B$7,$Z126,AA126))</f>
        <v/>
      </c>
      <c r="AR126" s="100" t="str">
        <f aca="false">IF(ISBLANK($C126),"",AL126)</f>
        <v/>
      </c>
      <c r="AS126" s="100" t="str">
        <f aca="false">IF(ISBLANK($C126),"",AK126)</f>
        <v/>
      </c>
      <c r="AT126" s="103" t="str">
        <f aca="false">IF(ISBLANK($C126),"",IF(AS126=Constants!$B$4,COUNTA($C$8:$C$507)+2,IF(AS126=Constants!$B$5,COUNTA($C$8:$C$507)+1,IF(AS126=Constants!$B$6,COUNTA($C$8:$C$507),AS126))))</f>
        <v/>
      </c>
      <c r="AU126" s="5"/>
      <c r="AV126" s="104" t="n">
        <f aca="false">IF(OR(ISNUMBER(AS126),AS126=Constants!$B$4,AS126=Constants!$B$6,AS126=Constants!$B$5),1,0)</f>
        <v>0</v>
      </c>
      <c r="AW126" s="104" t="n">
        <v>119</v>
      </c>
      <c r="AX126" s="104" t="str">
        <f aca="false">IF(ISBLANK($C126),"",IF(ISNUMBER(AT126),AT126+ROW($B126)/1000,""))</f>
        <v/>
      </c>
      <c r="AY126" s="104" t="str">
        <f aca="false">IF(ISNUMBER(AX126),RANK(AX126,$AX$8:$AX$507,1),"")</f>
        <v/>
      </c>
      <c r="AZ126" s="104" t="str">
        <f aca="false">IF(ISBLANK($C126),"",$B126)</f>
        <v/>
      </c>
      <c r="BA126" s="104" t="str">
        <f aca="false">IF(ISBLANK($C126),"",$C126)</f>
        <v/>
      </c>
      <c r="BB126" s="104" t="str">
        <f aca="false">IF(ISBLANK($C126),"",$D126)</f>
        <v/>
      </c>
      <c r="BC126" s="105" t="str">
        <f aca="false">AQ126</f>
        <v/>
      </c>
      <c r="BD126" s="106" t="str">
        <f aca="false">AP126</f>
        <v/>
      </c>
      <c r="BE126" s="104" t="str">
        <f aca="false">IF(ISBLANK($C126),"",AS126)</f>
        <v/>
      </c>
      <c r="BF126" s="107" t="str">
        <f aca="false">IF($AW126&gt;$AV$7,"",VLOOKUP($AW126,$AY$8:$BE$507,7,FALSE()))</f>
        <v/>
      </c>
      <c r="BG126" s="108" t="str">
        <f aca="false">IF($AW126&gt;$AV$7,"",VLOOKUP($AW126,$AY$8:$BE$507,2,FALSE()))</f>
        <v/>
      </c>
      <c r="BH126" s="108" t="str">
        <f aca="false">IF($AW126&gt;$AV$7,"",VLOOKUP($AW126,$AY$8:$BE$507,3,FALSE()))</f>
        <v/>
      </c>
      <c r="BI126" s="108" t="str">
        <f aca="false">IF($AW126&gt;$AV$7,"",VLOOKUP($AW126,$AY$8:$BE$507,4,FALSE()))</f>
        <v/>
      </c>
      <c r="BJ126" s="108" t="str">
        <f aca="false">IF($AW126&gt;$AV$7,"",VLOOKUP($AW126,$AY$8:$BE$507,5,FALSE()))</f>
        <v/>
      </c>
      <c r="BK126" s="109" t="str">
        <f aca="false">IF($AW126&gt;$AV$7,"",VLOOKUP($AW126,$AY$8:$BE$507,6,FALSE()))</f>
        <v/>
      </c>
      <c r="BL126" s="50"/>
    </row>
    <row r="127" customFormat="false" ht="15.75" hidden="false" customHeight="false" outlineLevel="0" collapsed="false">
      <c r="A127" s="5"/>
      <c r="B127" s="124"/>
      <c r="C127" s="125"/>
      <c r="D127" s="110"/>
      <c r="E127" s="130"/>
      <c r="F127" s="135"/>
      <c r="G127" s="88"/>
      <c r="H127" s="136"/>
      <c r="I127" s="137"/>
      <c r="J127" s="91"/>
      <c r="K127" s="92"/>
      <c r="L127" s="137"/>
      <c r="M127" s="93"/>
      <c r="N127" s="94"/>
      <c r="O127" s="130"/>
      <c r="P127" s="96"/>
      <c r="Q127" s="97" t="str">
        <f aca="false">IF(ISBLANK($C127),"",IF(E127=Constants!$B$2, TRUE(), IF(E127=Constants!$B$3, FALSE(), TRUE())))</f>
        <v/>
      </c>
      <c r="R127" s="97" t="str">
        <f aca="false">IF(ISBLANK($C127),"",IF(F127=Constants!$B$2, TRUE(), IF(F127=Constants!$B$3, FALSE(), TRUE())))</f>
        <v/>
      </c>
      <c r="S127" s="97" t="str">
        <f aca="false">IF(ISBLANK($C127),"",IF(G127=Constants!$B$15,Constants!$B$8,IF(G127=Constants!$B$16,Constants!$B$9,Constants!$B$10)))</f>
        <v/>
      </c>
      <c r="T127" s="97" t="str">
        <f aca="false">IF(ISBLANK($C127),"",IF(H127=Constants!$B$2, TRUE(), IF(H127=Constants!$B$3, FALSE(), TRUE())))</f>
        <v/>
      </c>
      <c r="U127" s="97" t="str">
        <f aca="false">IF(ISBLANK($C127),"",IF(I127=Constants!$B$19,Constants!$B$19,Constants!$B$18))</f>
        <v/>
      </c>
      <c r="V127" s="97" t="str">
        <f aca="false">IF(ISBLANK($C127),"",IF(COUNTA(J127:K127)=0,"",IF(AND(OR(ISBLANK(J127),AND(ISNUMBER(J127),J127&gt;=0)),OR(ISBLANK(K127),AND(ISNUMBER(K127),K127&gt;=0))),60*IF(ISBLANK(J127),0,J127)+IF(ISBLANK(K127),0,K127),"")))</f>
        <v/>
      </c>
      <c r="W127" s="97" t="str">
        <f aca="false">IF(ISBLANK($C127),"",IF(L127=Constants!$B$19,Constants!$B$19,Constants!$B$18))</f>
        <v/>
      </c>
      <c r="X127" s="97" t="str">
        <f aca="false">IF(ISBLANK($C127),"",IF(COUNTA(M127:N127)=0,"",IF(AND(OR(ISBLANK(M127),AND(ISNUMBER(M127),M127&gt;=0)),OR(ISBLANK(N127),AND(ISNUMBER(N127),N127&gt;=0))),60*IF(ISBLANK(M127),0,M127)+IF(ISBLANK(N127),0,N127),"")))</f>
        <v/>
      </c>
      <c r="Y127" s="97" t="str">
        <f aca="false">IF(ISBLANK($C127),"",IF(O127=Constants!$B$2, TRUE(), IF(O127=Constants!$B$3, FALSE(), FALSE())))</f>
        <v/>
      </c>
      <c r="Z127" s="97" t="str">
        <f aca="false">IF(ISBLANK($C127),"",IF(Y127,Constants!$B$4,IF(COUNTA(E127:N127)=0,Constants!$B$5,IF(COUNTA(J127:K127,M127:N127)=0,Constants!$B$6,Constants!$B$7))))</f>
        <v/>
      </c>
      <c r="AA127" s="97" t="str">
        <f aca="false">IF(ISBLANK($C127),"",IF($Z127&lt;&gt;Constants!$B$7,$Z127,IF(OR(NOT(T127),AND(NOT(Q127),COUNTIFS(U127:W127,Constants!$B$18,V127:X127,"&gt;=0")&gt;0),AND(NOT(R127),COUNTIFS(U127:W127,Constants!$B$19,V127:X127,"&gt;=0")&gt;0)),Constants!$B$12,Constants!$B$11)))</f>
        <v/>
      </c>
      <c r="AB127" s="97" t="str">
        <f aca="false">IF($Z127=Constants!$B$7,IF(V127="",Constants!$B$13,V127),"")</f>
        <v/>
      </c>
      <c r="AC127" s="97" t="str">
        <f aca="false">IF($Z127=Constants!$B$7,IF(X127="",Constants!$B$13,X127),"")</f>
        <v/>
      </c>
      <c r="AD127" s="97" t="str">
        <f aca="false">IF($Z127=Constants!$B$7,IF($AB127&gt;=$AC127,1,2),"")</f>
        <v/>
      </c>
      <c r="AE127" s="97" t="str">
        <f aca="false">IF($Z127=Constants!$B$7,LARGE(AB127:AC127,1),"")</f>
        <v/>
      </c>
      <c r="AF127" s="97" t="str">
        <f aca="false">IF(ISBLANK($C127),"",IF($Z127&lt;&gt;Constants!$B$7,$Z127,AE127*S127))</f>
        <v/>
      </c>
      <c r="AG127" s="97" t="str">
        <f aca="false">IF(ISBLANK($C127),"",IF($Z127=Constants!$B$7,IF(ISNUMBER(AF127),RANK(AF127,$AF$8:$AF$507),Constants!$B$14),$Z127))</f>
        <v/>
      </c>
      <c r="AH127" s="97" t="str">
        <f aca="false">IF(ISBLANK($C127),"",IF($Z127=Constants!$B$7,IF(ISNUMBER(AG127),COUNTIFS($AA$8:$AA$507,"&lt;"&amp;$AA127)+COUNTIFS($AA$8:$AA$507,$AA127,$AG$8:$AG$507,"&lt;"&amp;$AG127)+1,Constants!$B$14),$Z127))</f>
        <v/>
      </c>
      <c r="AI127" s="97" t="str">
        <f aca="false">IF(ISBLANK($C127),"",IF($Z127=Constants!$B$7,LARGE(AB127:AC127,2)*S127,""))</f>
        <v/>
      </c>
      <c r="AJ127" s="97" t="str">
        <f aca="false">IF(ISBLANK($C127),"",IF($Z127=Constants!$B$7,RANK(AI127,$AI$8:$AI$507),$Z127))</f>
        <v/>
      </c>
      <c r="AK127" s="97" t="str">
        <f aca="false">IF(ISBLANK($C127),"",IF($Z127=Constants!$B$7,IF(ISNUMBER(AG127),COUNTIFS($AA$8:$AA$507,"&lt;"&amp;$AA127)+COUNTIFS($AA$8:$AA$507,$AA127,$AG$8:$AG$507,"&lt;"&amp;$AG127)+COUNTIFS($AA$8:$AA$507,$AA127,$AG$8:$AG$507,$AG127,$AJ$8:$AJ$507,"&lt;"&amp;$AJ127)+1,Constants!$B$14),$Z127))</f>
        <v/>
      </c>
      <c r="AL127" s="97" t="str">
        <f aca="false">IF(ISBLANK($C127),"",IF($Z127=Constants!$B$7,IF(ISNUMBER(AH127),AH127-AK127,Constants!$B$14),$Z127))</f>
        <v/>
      </c>
      <c r="AM127" s="98"/>
      <c r="AN127" s="99" t="str">
        <f aca="false">IF(ISBLANK($C127),"",IF($Z127&lt;&gt;Constants!$B$7,$Z127,AD127))</f>
        <v/>
      </c>
      <c r="AO127" s="100" t="str">
        <f aca="false">IF(ISBLANK($C127),"",IF($Z127&lt;&gt;Constants!$B$7,$Z127,S127))</f>
        <v/>
      </c>
      <c r="AP127" s="101" t="str">
        <f aca="false">IF(ISBLANK($C127),"",IF($Z127&lt;&gt;Constants!$B$7,$Z127,AF127))</f>
        <v/>
      </c>
      <c r="AQ127" s="102" t="str">
        <f aca="false">IF(ISBLANK($C127),"",IF($Z127&lt;&gt;Constants!$B$7,$Z127,AA127))</f>
        <v/>
      </c>
      <c r="AR127" s="100" t="str">
        <f aca="false">IF(ISBLANK($C127),"",AL127)</f>
        <v/>
      </c>
      <c r="AS127" s="100" t="str">
        <f aca="false">IF(ISBLANK($C127),"",AK127)</f>
        <v/>
      </c>
      <c r="AT127" s="103" t="str">
        <f aca="false">IF(ISBLANK($C127),"",IF(AS127=Constants!$B$4,COUNTA($C$8:$C$507)+2,IF(AS127=Constants!$B$5,COUNTA($C$8:$C$507)+1,IF(AS127=Constants!$B$6,COUNTA($C$8:$C$507),AS127))))</f>
        <v/>
      </c>
      <c r="AU127" s="5"/>
      <c r="AV127" s="104" t="n">
        <f aca="false">IF(OR(ISNUMBER(AS127),AS127=Constants!$B$4,AS127=Constants!$B$6,AS127=Constants!$B$5),1,0)</f>
        <v>0</v>
      </c>
      <c r="AW127" s="104" t="n">
        <v>120</v>
      </c>
      <c r="AX127" s="104" t="str">
        <f aca="false">IF(ISBLANK($C127),"",IF(ISNUMBER(AT127),AT127+ROW($B127)/1000,""))</f>
        <v/>
      </c>
      <c r="AY127" s="104" t="str">
        <f aca="false">IF(ISNUMBER(AX127),RANK(AX127,$AX$8:$AX$507,1),"")</f>
        <v/>
      </c>
      <c r="AZ127" s="104" t="str">
        <f aca="false">IF(ISBLANK($C127),"",$B127)</f>
        <v/>
      </c>
      <c r="BA127" s="104" t="str">
        <f aca="false">IF(ISBLANK($C127),"",$C127)</f>
        <v/>
      </c>
      <c r="BB127" s="104" t="str">
        <f aca="false">IF(ISBLANK($C127),"",$D127)</f>
        <v/>
      </c>
      <c r="BC127" s="105" t="str">
        <f aca="false">AQ127</f>
        <v/>
      </c>
      <c r="BD127" s="106" t="str">
        <f aca="false">AP127</f>
        <v/>
      </c>
      <c r="BE127" s="104" t="str">
        <f aca="false">IF(ISBLANK($C127),"",AS127)</f>
        <v/>
      </c>
      <c r="BF127" s="107" t="str">
        <f aca="false">IF($AW127&gt;$AV$7,"",VLOOKUP($AW127,$AY$8:$BE$507,7,FALSE()))</f>
        <v/>
      </c>
      <c r="BG127" s="108" t="str">
        <f aca="false">IF($AW127&gt;$AV$7,"",VLOOKUP($AW127,$AY$8:$BE$507,2,FALSE()))</f>
        <v/>
      </c>
      <c r="BH127" s="108" t="str">
        <f aca="false">IF($AW127&gt;$AV$7,"",VLOOKUP($AW127,$AY$8:$BE$507,3,FALSE()))</f>
        <v/>
      </c>
      <c r="BI127" s="108" t="str">
        <f aca="false">IF($AW127&gt;$AV$7,"",VLOOKUP($AW127,$AY$8:$BE$507,4,FALSE()))</f>
        <v/>
      </c>
      <c r="BJ127" s="108" t="str">
        <f aca="false">IF($AW127&gt;$AV$7,"",VLOOKUP($AW127,$AY$8:$BE$507,5,FALSE()))</f>
        <v/>
      </c>
      <c r="BK127" s="109" t="str">
        <f aca="false">IF($AW127&gt;$AV$7,"",VLOOKUP($AW127,$AY$8:$BE$507,6,FALSE()))</f>
        <v/>
      </c>
      <c r="BL127" s="50"/>
    </row>
    <row r="128" customFormat="false" ht="15.75" hidden="false" customHeight="false" outlineLevel="0" collapsed="false">
      <c r="A128" s="5"/>
      <c r="B128" s="131"/>
      <c r="C128" s="52"/>
      <c r="D128" s="53"/>
      <c r="E128" s="80"/>
      <c r="F128" s="132"/>
      <c r="G128" s="56"/>
      <c r="H128" s="133"/>
      <c r="I128" s="134"/>
      <c r="J128" s="59"/>
      <c r="K128" s="60"/>
      <c r="L128" s="134"/>
      <c r="M128" s="61"/>
      <c r="N128" s="62"/>
      <c r="O128" s="80"/>
      <c r="P128" s="64"/>
      <c r="Q128" s="65" t="str">
        <f aca="false">IF(ISBLANK($C128),"",IF(E128=Constants!$B$2, TRUE(), IF(E128=Constants!$B$3, FALSE(), TRUE())))</f>
        <v/>
      </c>
      <c r="R128" s="65" t="str">
        <f aca="false">IF(ISBLANK($C128),"",IF(F128=Constants!$B$2, TRUE(), IF(F128=Constants!$B$3, FALSE(), TRUE())))</f>
        <v/>
      </c>
      <c r="S128" s="65" t="str">
        <f aca="false">IF(ISBLANK($C128),"",IF(G128=Constants!$B$15,Constants!$B$8,IF(G128=Constants!$B$16,Constants!$B$9,Constants!$B$10)))</f>
        <v/>
      </c>
      <c r="T128" s="65" t="str">
        <f aca="false">IF(ISBLANK($C128),"",IF(H128=Constants!$B$2, TRUE(), IF(H128=Constants!$B$3, FALSE(), TRUE())))</f>
        <v/>
      </c>
      <c r="U128" s="65" t="str">
        <f aca="false">IF(ISBLANK($C128),"",IF(I128=Constants!$B$19,Constants!$B$19,Constants!$B$18))</f>
        <v/>
      </c>
      <c r="V128" s="65" t="str">
        <f aca="false">IF(ISBLANK($C128),"",IF(COUNTA(J128:K128)=0,"",IF(AND(OR(ISBLANK(J128),AND(ISNUMBER(J128),J128&gt;=0)),OR(ISBLANK(K128),AND(ISNUMBER(K128),K128&gt;=0))),60*IF(ISBLANK(J128),0,J128)+IF(ISBLANK(K128),0,K128),"")))</f>
        <v/>
      </c>
      <c r="W128" s="65" t="str">
        <f aca="false">IF(ISBLANK($C128),"",IF(L128=Constants!$B$19,Constants!$B$19,Constants!$B$18))</f>
        <v/>
      </c>
      <c r="X128" s="65" t="str">
        <f aca="false">IF(ISBLANK($C128),"",IF(COUNTA(M128:N128)=0,"",IF(AND(OR(ISBLANK(M128),AND(ISNUMBER(M128),M128&gt;=0)),OR(ISBLANK(N128),AND(ISNUMBER(N128),N128&gt;=0))),60*IF(ISBLANK(M128),0,M128)+IF(ISBLANK(N128),0,N128),"")))</f>
        <v/>
      </c>
      <c r="Y128" s="65" t="str">
        <f aca="false">IF(ISBLANK($C128),"",IF(O128=Constants!$B$2, TRUE(), IF(O128=Constants!$B$3, FALSE(), FALSE())))</f>
        <v/>
      </c>
      <c r="Z128" s="65" t="str">
        <f aca="false">IF(ISBLANK($C128),"",IF(Y128,Constants!$B$4,IF(COUNTA(E128:N128)=0,Constants!$B$5,IF(COUNTA(J128:K128,M128:N128)=0,Constants!$B$6,Constants!$B$7))))</f>
        <v/>
      </c>
      <c r="AA128" s="65" t="str">
        <f aca="false">IF(ISBLANK($C128),"",IF($Z128&lt;&gt;Constants!$B$7,$Z128,IF(OR(NOT(T128),AND(NOT(Q128),COUNTIFS(U128:W128,Constants!$B$18,V128:X128,"&gt;=0")&gt;0),AND(NOT(R128),COUNTIFS(U128:W128,Constants!$B$19,V128:X128,"&gt;=0")&gt;0)),Constants!$B$12,Constants!$B$11)))</f>
        <v/>
      </c>
      <c r="AB128" s="65" t="str">
        <f aca="false">IF($Z128=Constants!$B$7,IF(V128="",Constants!$B$13,V128),"")</f>
        <v/>
      </c>
      <c r="AC128" s="65" t="str">
        <f aca="false">IF($Z128=Constants!$B$7,IF(X128="",Constants!$B$13,X128),"")</f>
        <v/>
      </c>
      <c r="AD128" s="65" t="str">
        <f aca="false">IF($Z128=Constants!$B$7,IF($AB128&gt;=$AC128,1,2),"")</f>
        <v/>
      </c>
      <c r="AE128" s="65" t="str">
        <f aca="false">IF($Z128=Constants!$B$7,LARGE(AB128:AC128,1),"")</f>
        <v/>
      </c>
      <c r="AF128" s="65" t="str">
        <f aca="false">IF(ISBLANK($C128),"",IF($Z128&lt;&gt;Constants!$B$7,$Z128,AE128*S128))</f>
        <v/>
      </c>
      <c r="AG128" s="65" t="str">
        <f aca="false">IF(ISBLANK($C128),"",IF($Z128=Constants!$B$7,IF(ISNUMBER(AF128),RANK(AF128,$AF$8:$AF$507),Constants!$B$14),$Z128))</f>
        <v/>
      </c>
      <c r="AH128" s="65" t="str">
        <f aca="false">IF(ISBLANK($C128),"",IF($Z128=Constants!$B$7,IF(ISNUMBER(AG128),COUNTIFS($AA$8:$AA$507,"&lt;"&amp;$AA128)+COUNTIFS($AA$8:$AA$507,$AA128,$AG$8:$AG$507,"&lt;"&amp;$AG128)+1,Constants!$B$14),$Z128))</f>
        <v/>
      </c>
      <c r="AI128" s="65" t="str">
        <f aca="false">IF(ISBLANK($C128),"",IF($Z128=Constants!$B$7,LARGE(AB128:AC128,2)*S128,""))</f>
        <v/>
      </c>
      <c r="AJ128" s="65" t="str">
        <f aca="false">IF(ISBLANK($C128),"",IF($Z128=Constants!$B$7,RANK(AI128,$AI$8:$AI$507),$Z128))</f>
        <v/>
      </c>
      <c r="AK128" s="65" t="str">
        <f aca="false">IF(ISBLANK($C128),"",IF($Z128=Constants!$B$7,IF(ISNUMBER(AG128),COUNTIFS($AA$8:$AA$507,"&lt;"&amp;$AA128)+COUNTIFS($AA$8:$AA$507,$AA128,$AG$8:$AG$507,"&lt;"&amp;$AG128)+COUNTIFS($AA$8:$AA$507,$AA128,$AG$8:$AG$507,$AG128,$AJ$8:$AJ$507,"&lt;"&amp;$AJ128)+1,Constants!$B$14),$Z128))</f>
        <v/>
      </c>
      <c r="AL128" s="65" t="str">
        <f aca="false">IF(ISBLANK($C128),"",IF($Z128=Constants!$B$7,IF(ISNUMBER(AH128),AH128-AK128,Constants!$B$14),$Z128))</f>
        <v/>
      </c>
      <c r="AM128" s="67"/>
      <c r="AN128" s="68" t="str">
        <f aca="false">IF(ISBLANK($C128),"",IF($Z128&lt;&gt;Constants!$B$7,$Z128,AD128))</f>
        <v/>
      </c>
      <c r="AO128" s="69" t="str">
        <f aca="false">IF(ISBLANK($C128),"",IF($Z128&lt;&gt;Constants!$B$7,$Z128,S128))</f>
        <v/>
      </c>
      <c r="AP128" s="70" t="str">
        <f aca="false">IF(ISBLANK($C128),"",IF($Z128&lt;&gt;Constants!$B$7,$Z128,AF128))</f>
        <v/>
      </c>
      <c r="AQ128" s="71" t="str">
        <f aca="false">IF(ISBLANK($C128),"",IF($Z128&lt;&gt;Constants!$B$7,$Z128,AA128))</f>
        <v/>
      </c>
      <c r="AR128" s="69" t="str">
        <f aca="false">IF(ISBLANK($C128),"",AL128)</f>
        <v/>
      </c>
      <c r="AS128" s="69" t="str">
        <f aca="false">IF(ISBLANK($C128),"",AK128)</f>
        <v/>
      </c>
      <c r="AT128" s="72" t="str">
        <f aca="false">IF(ISBLANK($C128),"",IF(AS128=Constants!$B$4,COUNTA($C$8:$C$507)+2,IF(AS128=Constants!$B$5,COUNTA($C$8:$C$507)+1,IF(AS128=Constants!$B$6,COUNTA($C$8:$C$507),AS128))))</f>
        <v/>
      </c>
      <c r="AU128" s="5"/>
      <c r="AV128" s="73" t="n">
        <f aca="false">IF(OR(ISNUMBER(AS128),AS128=Constants!$B$4,AS128=Constants!$B$6,AS128=Constants!$B$5),1,0)</f>
        <v>0</v>
      </c>
      <c r="AW128" s="73" t="n">
        <v>121</v>
      </c>
      <c r="AX128" s="73" t="str">
        <f aca="false">IF(ISBLANK($C128),"",IF(ISNUMBER(AT128),AT128+ROW($B128)/1000,""))</f>
        <v/>
      </c>
      <c r="AY128" s="73" t="str">
        <f aca="false">IF(ISNUMBER(AX128),RANK(AX128,$AX$8:$AX$507,1),"")</f>
        <v/>
      </c>
      <c r="AZ128" s="73" t="str">
        <f aca="false">IF(ISBLANK($C128),"",$B128)</f>
        <v/>
      </c>
      <c r="BA128" s="73" t="str">
        <f aca="false">IF(ISBLANK($C128),"",$C128)</f>
        <v/>
      </c>
      <c r="BB128" s="73" t="str">
        <f aca="false">IF(ISBLANK($C128),"",$D128)</f>
        <v/>
      </c>
      <c r="BC128" s="74" t="str">
        <f aca="false">AQ128</f>
        <v/>
      </c>
      <c r="BD128" s="75" t="str">
        <f aca="false">AP128</f>
        <v/>
      </c>
      <c r="BE128" s="73" t="str">
        <f aca="false">IF(ISBLANK($C128),"",AS128)</f>
        <v/>
      </c>
      <c r="BF128" s="76" t="str">
        <f aca="false">IF($AW128&gt;$AV$7,"",VLOOKUP($AW128,$AY$8:$BE$507,7,FALSE()))</f>
        <v/>
      </c>
      <c r="BG128" s="77" t="str">
        <f aca="false">IF($AW128&gt;$AV$7,"",VLOOKUP($AW128,$AY$8:$BE$507,2,FALSE()))</f>
        <v/>
      </c>
      <c r="BH128" s="77" t="str">
        <f aca="false">IF($AW128&gt;$AV$7,"",VLOOKUP($AW128,$AY$8:$BE$507,3,FALSE()))</f>
        <v/>
      </c>
      <c r="BI128" s="77" t="str">
        <f aca="false">IF($AW128&gt;$AV$7,"",VLOOKUP($AW128,$AY$8:$BE$507,4,FALSE()))</f>
        <v/>
      </c>
      <c r="BJ128" s="77" t="str">
        <f aca="false">IF($AW128&gt;$AV$7,"",VLOOKUP($AW128,$AY$8:$BE$507,5,FALSE()))</f>
        <v/>
      </c>
      <c r="BK128" s="78" t="str">
        <f aca="false">IF($AW128&gt;$AV$7,"",VLOOKUP($AW128,$AY$8:$BE$507,6,FALSE()))</f>
        <v/>
      </c>
      <c r="BL128" s="50"/>
    </row>
    <row r="129" customFormat="false" ht="15.75" hidden="false" customHeight="false" outlineLevel="0" collapsed="false">
      <c r="A129" s="5"/>
      <c r="B129" s="131"/>
      <c r="C129" s="52"/>
      <c r="D129" s="53"/>
      <c r="E129" s="80"/>
      <c r="F129" s="132"/>
      <c r="G129" s="56"/>
      <c r="H129" s="133"/>
      <c r="I129" s="134"/>
      <c r="J129" s="59"/>
      <c r="K129" s="60"/>
      <c r="L129" s="134"/>
      <c r="M129" s="61"/>
      <c r="N129" s="62"/>
      <c r="O129" s="80"/>
      <c r="P129" s="64"/>
      <c r="Q129" s="65" t="str">
        <f aca="false">IF(ISBLANK($C129),"",IF(E129=Constants!$B$2, TRUE(), IF(E129=Constants!$B$3, FALSE(), TRUE())))</f>
        <v/>
      </c>
      <c r="R129" s="65" t="str">
        <f aca="false">IF(ISBLANK($C129),"",IF(F129=Constants!$B$2, TRUE(), IF(F129=Constants!$B$3, FALSE(), TRUE())))</f>
        <v/>
      </c>
      <c r="S129" s="65" t="str">
        <f aca="false">IF(ISBLANK($C129),"",IF(G129=Constants!$B$15,Constants!$B$8,IF(G129=Constants!$B$16,Constants!$B$9,Constants!$B$10)))</f>
        <v/>
      </c>
      <c r="T129" s="65" t="str">
        <f aca="false">IF(ISBLANK($C129),"",IF(H129=Constants!$B$2, TRUE(), IF(H129=Constants!$B$3, FALSE(), TRUE())))</f>
        <v/>
      </c>
      <c r="U129" s="65" t="str">
        <f aca="false">IF(ISBLANK($C129),"",IF(I129=Constants!$B$19,Constants!$B$19,Constants!$B$18))</f>
        <v/>
      </c>
      <c r="V129" s="65" t="str">
        <f aca="false">IF(ISBLANK($C129),"",IF(COUNTA(J129:K129)=0,"",IF(AND(OR(ISBLANK(J129),AND(ISNUMBER(J129),J129&gt;=0)),OR(ISBLANK(K129),AND(ISNUMBER(K129),K129&gt;=0))),60*IF(ISBLANK(J129),0,J129)+IF(ISBLANK(K129),0,K129),"")))</f>
        <v/>
      </c>
      <c r="W129" s="65" t="str">
        <f aca="false">IF(ISBLANK($C129),"",IF(L129=Constants!$B$19,Constants!$B$19,Constants!$B$18))</f>
        <v/>
      </c>
      <c r="X129" s="65" t="str">
        <f aca="false">IF(ISBLANK($C129),"",IF(COUNTA(M129:N129)=0,"",IF(AND(OR(ISBLANK(M129),AND(ISNUMBER(M129),M129&gt;=0)),OR(ISBLANK(N129),AND(ISNUMBER(N129),N129&gt;=0))),60*IF(ISBLANK(M129),0,M129)+IF(ISBLANK(N129),0,N129),"")))</f>
        <v/>
      </c>
      <c r="Y129" s="65" t="str">
        <f aca="false">IF(ISBLANK($C129),"",IF(O129=Constants!$B$2, TRUE(), IF(O129=Constants!$B$3, FALSE(), FALSE())))</f>
        <v/>
      </c>
      <c r="Z129" s="65" t="str">
        <f aca="false">IF(ISBLANK($C129),"",IF(Y129,Constants!$B$4,IF(COUNTA(E129:N129)=0,Constants!$B$5,IF(COUNTA(J129:K129,M129:N129)=0,Constants!$B$6,Constants!$B$7))))</f>
        <v/>
      </c>
      <c r="AA129" s="65" t="str">
        <f aca="false">IF(ISBLANK($C129),"",IF($Z129&lt;&gt;Constants!$B$7,$Z129,IF(OR(NOT(T129),AND(NOT(Q129),COUNTIFS(U129:W129,Constants!$B$18,V129:X129,"&gt;=0")&gt;0),AND(NOT(R129),COUNTIFS(U129:W129,Constants!$B$19,V129:X129,"&gt;=0")&gt;0)),Constants!$B$12,Constants!$B$11)))</f>
        <v/>
      </c>
      <c r="AB129" s="65" t="str">
        <f aca="false">IF($Z129=Constants!$B$7,IF(V129="",Constants!$B$13,V129),"")</f>
        <v/>
      </c>
      <c r="AC129" s="65" t="str">
        <f aca="false">IF($Z129=Constants!$B$7,IF(X129="",Constants!$B$13,X129),"")</f>
        <v/>
      </c>
      <c r="AD129" s="65" t="str">
        <f aca="false">IF($Z129=Constants!$B$7,IF($AB129&gt;=$AC129,1,2),"")</f>
        <v/>
      </c>
      <c r="AE129" s="65" t="str">
        <f aca="false">IF($Z129=Constants!$B$7,LARGE(AB129:AC129,1),"")</f>
        <v/>
      </c>
      <c r="AF129" s="65" t="str">
        <f aca="false">IF(ISBLANK($C129),"",IF($Z129&lt;&gt;Constants!$B$7,$Z129,AE129*S129))</f>
        <v/>
      </c>
      <c r="AG129" s="65" t="str">
        <f aca="false">IF(ISBLANK($C129),"",IF($Z129=Constants!$B$7,IF(ISNUMBER(AF129),RANK(AF129,$AF$8:$AF$507),Constants!$B$14),$Z129))</f>
        <v/>
      </c>
      <c r="AH129" s="65" t="str">
        <f aca="false">IF(ISBLANK($C129),"",IF($Z129=Constants!$B$7,IF(ISNUMBER(AG129),COUNTIFS($AA$8:$AA$507,"&lt;"&amp;$AA129)+COUNTIFS($AA$8:$AA$507,$AA129,$AG$8:$AG$507,"&lt;"&amp;$AG129)+1,Constants!$B$14),$Z129))</f>
        <v/>
      </c>
      <c r="AI129" s="65" t="str">
        <f aca="false">IF(ISBLANK($C129),"",IF($Z129=Constants!$B$7,LARGE(AB129:AC129,2)*S129,""))</f>
        <v/>
      </c>
      <c r="AJ129" s="65" t="str">
        <f aca="false">IF(ISBLANK($C129),"",IF($Z129=Constants!$B$7,RANK(AI129,$AI$8:$AI$507),$Z129))</f>
        <v/>
      </c>
      <c r="AK129" s="65" t="str">
        <f aca="false">IF(ISBLANK($C129),"",IF($Z129=Constants!$B$7,IF(ISNUMBER(AG129),COUNTIFS($AA$8:$AA$507,"&lt;"&amp;$AA129)+COUNTIFS($AA$8:$AA$507,$AA129,$AG$8:$AG$507,"&lt;"&amp;$AG129)+COUNTIFS($AA$8:$AA$507,$AA129,$AG$8:$AG$507,$AG129,$AJ$8:$AJ$507,"&lt;"&amp;$AJ129)+1,Constants!$B$14),$Z129))</f>
        <v/>
      </c>
      <c r="AL129" s="65" t="str">
        <f aca="false">IF(ISBLANK($C129),"",IF($Z129=Constants!$B$7,IF(ISNUMBER(AH129),AH129-AK129,Constants!$B$14),$Z129))</f>
        <v/>
      </c>
      <c r="AM129" s="67"/>
      <c r="AN129" s="68" t="str">
        <f aca="false">IF(ISBLANK($C129),"",IF($Z129&lt;&gt;Constants!$B$7,$Z129,AD129))</f>
        <v/>
      </c>
      <c r="AO129" s="69" t="str">
        <f aca="false">IF(ISBLANK($C129),"",IF($Z129&lt;&gt;Constants!$B$7,$Z129,S129))</f>
        <v/>
      </c>
      <c r="AP129" s="70" t="str">
        <f aca="false">IF(ISBLANK($C129),"",IF($Z129&lt;&gt;Constants!$B$7,$Z129,AF129))</f>
        <v/>
      </c>
      <c r="AQ129" s="71" t="str">
        <f aca="false">IF(ISBLANK($C129),"",IF($Z129&lt;&gt;Constants!$B$7,$Z129,AA129))</f>
        <v/>
      </c>
      <c r="AR129" s="69" t="str">
        <f aca="false">IF(ISBLANK($C129),"",AL129)</f>
        <v/>
      </c>
      <c r="AS129" s="69" t="str">
        <f aca="false">IF(ISBLANK($C129),"",AK129)</f>
        <v/>
      </c>
      <c r="AT129" s="72" t="str">
        <f aca="false">IF(ISBLANK($C129),"",IF(AS129=Constants!$B$4,COUNTA($C$8:$C$507)+2,IF(AS129=Constants!$B$5,COUNTA($C$8:$C$507)+1,IF(AS129=Constants!$B$6,COUNTA($C$8:$C$507),AS129))))</f>
        <v/>
      </c>
      <c r="AU129" s="5"/>
      <c r="AV129" s="73" t="n">
        <f aca="false">IF(OR(ISNUMBER(AS129),AS129=Constants!$B$4,AS129=Constants!$B$6,AS129=Constants!$B$5),1,0)</f>
        <v>0</v>
      </c>
      <c r="AW129" s="73" t="n">
        <v>122</v>
      </c>
      <c r="AX129" s="73" t="str">
        <f aca="false">IF(ISBLANK($C129),"",IF(ISNUMBER(AT129),AT129+ROW($B129)/1000,""))</f>
        <v/>
      </c>
      <c r="AY129" s="73" t="str">
        <f aca="false">IF(ISNUMBER(AX129),RANK(AX129,$AX$8:$AX$507,1),"")</f>
        <v/>
      </c>
      <c r="AZ129" s="73" t="str">
        <f aca="false">IF(ISBLANK($C129),"",$B129)</f>
        <v/>
      </c>
      <c r="BA129" s="73" t="str">
        <f aca="false">IF(ISBLANK($C129),"",$C129)</f>
        <v/>
      </c>
      <c r="BB129" s="73" t="str">
        <f aca="false">IF(ISBLANK($C129),"",$D129)</f>
        <v/>
      </c>
      <c r="BC129" s="74" t="str">
        <f aca="false">AQ129</f>
        <v/>
      </c>
      <c r="BD129" s="75" t="str">
        <f aca="false">AP129</f>
        <v/>
      </c>
      <c r="BE129" s="73" t="str">
        <f aca="false">IF(ISBLANK($C129),"",AS129)</f>
        <v/>
      </c>
      <c r="BF129" s="76" t="str">
        <f aca="false">IF($AW129&gt;$AV$7,"",VLOOKUP($AW129,$AY$8:$BE$507,7,FALSE()))</f>
        <v/>
      </c>
      <c r="BG129" s="77" t="str">
        <f aca="false">IF($AW129&gt;$AV$7,"",VLOOKUP($AW129,$AY$8:$BE$507,2,FALSE()))</f>
        <v/>
      </c>
      <c r="BH129" s="77" t="str">
        <f aca="false">IF($AW129&gt;$AV$7,"",VLOOKUP($AW129,$AY$8:$BE$507,3,FALSE()))</f>
        <v/>
      </c>
      <c r="BI129" s="77" t="str">
        <f aca="false">IF($AW129&gt;$AV$7,"",VLOOKUP($AW129,$AY$8:$BE$507,4,FALSE()))</f>
        <v/>
      </c>
      <c r="BJ129" s="77" t="str">
        <f aca="false">IF($AW129&gt;$AV$7,"",VLOOKUP($AW129,$AY$8:$BE$507,5,FALSE()))</f>
        <v/>
      </c>
      <c r="BK129" s="78" t="str">
        <f aca="false">IF($AW129&gt;$AV$7,"",VLOOKUP($AW129,$AY$8:$BE$507,6,FALSE()))</f>
        <v/>
      </c>
      <c r="BL129" s="50"/>
    </row>
    <row r="130" customFormat="false" ht="15.75" hidden="false" customHeight="false" outlineLevel="0" collapsed="false">
      <c r="A130" s="5"/>
      <c r="B130" s="131"/>
      <c r="C130" s="52"/>
      <c r="D130" s="53"/>
      <c r="E130" s="80"/>
      <c r="F130" s="132"/>
      <c r="G130" s="56"/>
      <c r="H130" s="133"/>
      <c r="I130" s="134"/>
      <c r="J130" s="59"/>
      <c r="K130" s="60"/>
      <c r="L130" s="134"/>
      <c r="M130" s="61"/>
      <c r="N130" s="62"/>
      <c r="O130" s="80"/>
      <c r="P130" s="64"/>
      <c r="Q130" s="65" t="str">
        <f aca="false">IF(ISBLANK($C130),"",IF(E130=Constants!$B$2, TRUE(), IF(E130=Constants!$B$3, FALSE(), TRUE())))</f>
        <v/>
      </c>
      <c r="R130" s="65" t="str">
        <f aca="false">IF(ISBLANK($C130),"",IF(F130=Constants!$B$2, TRUE(), IF(F130=Constants!$B$3, FALSE(), TRUE())))</f>
        <v/>
      </c>
      <c r="S130" s="65" t="str">
        <f aca="false">IF(ISBLANK($C130),"",IF(G130=Constants!$B$15,Constants!$B$8,IF(G130=Constants!$B$16,Constants!$B$9,Constants!$B$10)))</f>
        <v/>
      </c>
      <c r="T130" s="65" t="str">
        <f aca="false">IF(ISBLANK($C130),"",IF(H130=Constants!$B$2, TRUE(), IF(H130=Constants!$B$3, FALSE(), TRUE())))</f>
        <v/>
      </c>
      <c r="U130" s="65" t="str">
        <f aca="false">IF(ISBLANK($C130),"",IF(I130=Constants!$B$19,Constants!$B$19,Constants!$B$18))</f>
        <v/>
      </c>
      <c r="V130" s="65" t="str">
        <f aca="false">IF(ISBLANK($C130),"",IF(COUNTA(J130:K130)=0,"",IF(AND(OR(ISBLANK(J130),AND(ISNUMBER(J130),J130&gt;=0)),OR(ISBLANK(K130),AND(ISNUMBER(K130),K130&gt;=0))),60*IF(ISBLANK(J130),0,J130)+IF(ISBLANK(K130),0,K130),"")))</f>
        <v/>
      </c>
      <c r="W130" s="65" t="str">
        <f aca="false">IF(ISBLANK($C130),"",IF(L130=Constants!$B$19,Constants!$B$19,Constants!$B$18))</f>
        <v/>
      </c>
      <c r="X130" s="65" t="str">
        <f aca="false">IF(ISBLANK($C130),"",IF(COUNTA(M130:N130)=0,"",IF(AND(OR(ISBLANK(M130),AND(ISNUMBER(M130),M130&gt;=0)),OR(ISBLANK(N130),AND(ISNUMBER(N130),N130&gt;=0))),60*IF(ISBLANK(M130),0,M130)+IF(ISBLANK(N130),0,N130),"")))</f>
        <v/>
      </c>
      <c r="Y130" s="65" t="str">
        <f aca="false">IF(ISBLANK($C130),"",IF(O130=Constants!$B$2, TRUE(), IF(O130=Constants!$B$3, FALSE(), FALSE())))</f>
        <v/>
      </c>
      <c r="Z130" s="65" t="str">
        <f aca="false">IF(ISBLANK($C130),"",IF(Y130,Constants!$B$4,IF(COUNTA(E130:N130)=0,Constants!$B$5,IF(COUNTA(J130:K130,M130:N130)=0,Constants!$B$6,Constants!$B$7))))</f>
        <v/>
      </c>
      <c r="AA130" s="65" t="str">
        <f aca="false">IF(ISBLANK($C130),"",IF($Z130&lt;&gt;Constants!$B$7,$Z130,IF(OR(NOT(T130),AND(NOT(Q130),COUNTIFS(U130:W130,Constants!$B$18,V130:X130,"&gt;=0")&gt;0),AND(NOT(R130),COUNTIFS(U130:W130,Constants!$B$19,V130:X130,"&gt;=0")&gt;0)),Constants!$B$12,Constants!$B$11)))</f>
        <v/>
      </c>
      <c r="AB130" s="65" t="str">
        <f aca="false">IF($Z130=Constants!$B$7,IF(V130="",Constants!$B$13,V130),"")</f>
        <v/>
      </c>
      <c r="AC130" s="65" t="str">
        <f aca="false">IF($Z130=Constants!$B$7,IF(X130="",Constants!$B$13,X130),"")</f>
        <v/>
      </c>
      <c r="AD130" s="65" t="str">
        <f aca="false">IF($Z130=Constants!$B$7,IF($AB130&gt;=$AC130,1,2),"")</f>
        <v/>
      </c>
      <c r="AE130" s="65" t="str">
        <f aca="false">IF($Z130=Constants!$B$7,LARGE(AB130:AC130,1),"")</f>
        <v/>
      </c>
      <c r="AF130" s="65" t="str">
        <f aca="false">IF(ISBLANK($C130),"",IF($Z130&lt;&gt;Constants!$B$7,$Z130,AE130*S130))</f>
        <v/>
      </c>
      <c r="AG130" s="65" t="str">
        <f aca="false">IF(ISBLANK($C130),"",IF($Z130=Constants!$B$7,IF(ISNUMBER(AF130),RANK(AF130,$AF$8:$AF$507),Constants!$B$14),$Z130))</f>
        <v/>
      </c>
      <c r="AH130" s="65" t="str">
        <f aca="false">IF(ISBLANK($C130),"",IF($Z130=Constants!$B$7,IF(ISNUMBER(AG130),COUNTIFS($AA$8:$AA$507,"&lt;"&amp;$AA130)+COUNTIFS($AA$8:$AA$507,$AA130,$AG$8:$AG$507,"&lt;"&amp;$AG130)+1,Constants!$B$14),$Z130))</f>
        <v/>
      </c>
      <c r="AI130" s="65" t="str">
        <f aca="false">IF(ISBLANK($C130),"",IF($Z130=Constants!$B$7,LARGE(AB130:AC130,2)*S130,""))</f>
        <v/>
      </c>
      <c r="AJ130" s="65" t="str">
        <f aca="false">IF(ISBLANK($C130),"",IF($Z130=Constants!$B$7,RANK(AI130,$AI$8:$AI$507),$Z130))</f>
        <v/>
      </c>
      <c r="AK130" s="65" t="str">
        <f aca="false">IF(ISBLANK($C130),"",IF($Z130=Constants!$B$7,IF(ISNUMBER(AG130),COUNTIFS($AA$8:$AA$507,"&lt;"&amp;$AA130)+COUNTIFS($AA$8:$AA$507,$AA130,$AG$8:$AG$507,"&lt;"&amp;$AG130)+COUNTIFS($AA$8:$AA$507,$AA130,$AG$8:$AG$507,$AG130,$AJ$8:$AJ$507,"&lt;"&amp;$AJ130)+1,Constants!$B$14),$Z130))</f>
        <v/>
      </c>
      <c r="AL130" s="65" t="str">
        <f aca="false">IF(ISBLANK($C130),"",IF($Z130=Constants!$B$7,IF(ISNUMBER(AH130),AH130-AK130,Constants!$B$14),$Z130))</f>
        <v/>
      </c>
      <c r="AM130" s="67"/>
      <c r="AN130" s="68" t="str">
        <f aca="false">IF(ISBLANK($C130),"",IF($Z130&lt;&gt;Constants!$B$7,$Z130,AD130))</f>
        <v/>
      </c>
      <c r="AO130" s="69" t="str">
        <f aca="false">IF(ISBLANK($C130),"",IF($Z130&lt;&gt;Constants!$B$7,$Z130,S130))</f>
        <v/>
      </c>
      <c r="AP130" s="70" t="str">
        <f aca="false">IF(ISBLANK($C130),"",IF($Z130&lt;&gt;Constants!$B$7,$Z130,AF130))</f>
        <v/>
      </c>
      <c r="AQ130" s="71" t="str">
        <f aca="false">IF(ISBLANK($C130),"",IF($Z130&lt;&gt;Constants!$B$7,$Z130,AA130))</f>
        <v/>
      </c>
      <c r="AR130" s="69" t="str">
        <f aca="false">IF(ISBLANK($C130),"",AL130)</f>
        <v/>
      </c>
      <c r="AS130" s="69" t="str">
        <f aca="false">IF(ISBLANK($C130),"",AK130)</f>
        <v/>
      </c>
      <c r="AT130" s="72" t="str">
        <f aca="false">IF(ISBLANK($C130),"",IF(AS130=Constants!$B$4,COUNTA($C$8:$C$507)+2,IF(AS130=Constants!$B$5,COUNTA($C$8:$C$507)+1,IF(AS130=Constants!$B$6,COUNTA($C$8:$C$507),AS130))))</f>
        <v/>
      </c>
      <c r="AU130" s="5"/>
      <c r="AV130" s="73" t="n">
        <f aca="false">IF(OR(ISNUMBER(AS130),AS130=Constants!$B$4,AS130=Constants!$B$6,AS130=Constants!$B$5),1,0)</f>
        <v>0</v>
      </c>
      <c r="AW130" s="73" t="n">
        <v>123</v>
      </c>
      <c r="AX130" s="73" t="str">
        <f aca="false">IF(ISBLANK($C130),"",IF(ISNUMBER(AT130),AT130+ROW($B130)/1000,""))</f>
        <v/>
      </c>
      <c r="AY130" s="73" t="str">
        <f aca="false">IF(ISNUMBER(AX130),RANK(AX130,$AX$8:$AX$507,1),"")</f>
        <v/>
      </c>
      <c r="AZ130" s="73" t="str">
        <f aca="false">IF(ISBLANK($C130),"",$B130)</f>
        <v/>
      </c>
      <c r="BA130" s="73" t="str">
        <f aca="false">IF(ISBLANK($C130),"",$C130)</f>
        <v/>
      </c>
      <c r="BB130" s="73" t="str">
        <f aca="false">IF(ISBLANK($C130),"",$D130)</f>
        <v/>
      </c>
      <c r="BC130" s="74" t="str">
        <f aca="false">AQ130</f>
        <v/>
      </c>
      <c r="BD130" s="75" t="str">
        <f aca="false">AP130</f>
        <v/>
      </c>
      <c r="BE130" s="73" t="str">
        <f aca="false">IF(ISBLANK($C130),"",AS130)</f>
        <v/>
      </c>
      <c r="BF130" s="76" t="str">
        <f aca="false">IF($AW130&gt;$AV$7,"",VLOOKUP($AW130,$AY$8:$BE$507,7,FALSE()))</f>
        <v/>
      </c>
      <c r="BG130" s="77" t="str">
        <f aca="false">IF($AW130&gt;$AV$7,"",VLOOKUP($AW130,$AY$8:$BE$507,2,FALSE()))</f>
        <v/>
      </c>
      <c r="BH130" s="77" t="str">
        <f aca="false">IF($AW130&gt;$AV$7,"",VLOOKUP($AW130,$AY$8:$BE$507,3,FALSE()))</f>
        <v/>
      </c>
      <c r="BI130" s="77" t="str">
        <f aca="false">IF($AW130&gt;$AV$7,"",VLOOKUP($AW130,$AY$8:$BE$507,4,FALSE()))</f>
        <v/>
      </c>
      <c r="BJ130" s="77" t="str">
        <f aca="false">IF($AW130&gt;$AV$7,"",VLOOKUP($AW130,$AY$8:$BE$507,5,FALSE()))</f>
        <v/>
      </c>
      <c r="BK130" s="78" t="str">
        <f aca="false">IF($AW130&gt;$AV$7,"",VLOOKUP($AW130,$AY$8:$BE$507,6,FALSE()))</f>
        <v/>
      </c>
      <c r="BL130" s="50"/>
    </row>
    <row r="131" customFormat="false" ht="15.75" hidden="false" customHeight="false" outlineLevel="0" collapsed="false">
      <c r="A131" s="5"/>
      <c r="B131" s="124"/>
      <c r="C131" s="125"/>
      <c r="D131" s="110"/>
      <c r="E131" s="130"/>
      <c r="F131" s="135"/>
      <c r="G131" s="88"/>
      <c r="H131" s="136"/>
      <c r="I131" s="137"/>
      <c r="J131" s="91"/>
      <c r="K131" s="92"/>
      <c r="L131" s="137"/>
      <c r="M131" s="93"/>
      <c r="N131" s="94"/>
      <c r="O131" s="130"/>
      <c r="P131" s="96"/>
      <c r="Q131" s="97" t="str">
        <f aca="false">IF(ISBLANK($C131),"",IF(E131=Constants!$B$2, TRUE(), IF(E131=Constants!$B$3, FALSE(), TRUE())))</f>
        <v/>
      </c>
      <c r="R131" s="97" t="str">
        <f aca="false">IF(ISBLANK($C131),"",IF(F131=Constants!$B$2, TRUE(), IF(F131=Constants!$B$3, FALSE(), TRUE())))</f>
        <v/>
      </c>
      <c r="S131" s="97" t="str">
        <f aca="false">IF(ISBLANK($C131),"",IF(G131=Constants!$B$15,Constants!$B$8,IF(G131=Constants!$B$16,Constants!$B$9,Constants!$B$10)))</f>
        <v/>
      </c>
      <c r="T131" s="97" t="str">
        <f aca="false">IF(ISBLANK($C131),"",IF(H131=Constants!$B$2, TRUE(), IF(H131=Constants!$B$3, FALSE(), TRUE())))</f>
        <v/>
      </c>
      <c r="U131" s="97" t="str">
        <f aca="false">IF(ISBLANK($C131),"",IF(I131=Constants!$B$19,Constants!$B$19,Constants!$B$18))</f>
        <v/>
      </c>
      <c r="V131" s="97" t="str">
        <f aca="false">IF(ISBLANK($C131),"",IF(COUNTA(J131:K131)=0,"",IF(AND(OR(ISBLANK(J131),AND(ISNUMBER(J131),J131&gt;=0)),OR(ISBLANK(K131),AND(ISNUMBER(K131),K131&gt;=0))),60*IF(ISBLANK(J131),0,J131)+IF(ISBLANK(K131),0,K131),"")))</f>
        <v/>
      </c>
      <c r="W131" s="97" t="str">
        <f aca="false">IF(ISBLANK($C131),"",IF(L131=Constants!$B$19,Constants!$B$19,Constants!$B$18))</f>
        <v/>
      </c>
      <c r="X131" s="97" t="str">
        <f aca="false">IF(ISBLANK($C131),"",IF(COUNTA(M131:N131)=0,"",IF(AND(OR(ISBLANK(M131),AND(ISNUMBER(M131),M131&gt;=0)),OR(ISBLANK(N131),AND(ISNUMBER(N131),N131&gt;=0))),60*IF(ISBLANK(M131),0,M131)+IF(ISBLANK(N131),0,N131),"")))</f>
        <v/>
      </c>
      <c r="Y131" s="97" t="str">
        <f aca="false">IF(ISBLANK($C131),"",IF(O131=Constants!$B$2, TRUE(), IF(O131=Constants!$B$3, FALSE(), FALSE())))</f>
        <v/>
      </c>
      <c r="Z131" s="97" t="str">
        <f aca="false">IF(ISBLANK($C131),"",IF(Y131,Constants!$B$4,IF(COUNTA(E131:N131)=0,Constants!$B$5,IF(COUNTA(J131:K131,M131:N131)=0,Constants!$B$6,Constants!$B$7))))</f>
        <v/>
      </c>
      <c r="AA131" s="97" t="str">
        <f aca="false">IF(ISBLANK($C131),"",IF($Z131&lt;&gt;Constants!$B$7,$Z131,IF(OR(NOT(T131),AND(NOT(Q131),COUNTIFS(U131:W131,Constants!$B$18,V131:X131,"&gt;=0")&gt;0),AND(NOT(R131),COUNTIFS(U131:W131,Constants!$B$19,V131:X131,"&gt;=0")&gt;0)),Constants!$B$12,Constants!$B$11)))</f>
        <v/>
      </c>
      <c r="AB131" s="97" t="str">
        <f aca="false">IF($Z131=Constants!$B$7,IF(V131="",Constants!$B$13,V131),"")</f>
        <v/>
      </c>
      <c r="AC131" s="97" t="str">
        <f aca="false">IF($Z131=Constants!$B$7,IF(X131="",Constants!$B$13,X131),"")</f>
        <v/>
      </c>
      <c r="AD131" s="97" t="str">
        <f aca="false">IF($Z131=Constants!$B$7,IF($AB131&gt;=$AC131,1,2),"")</f>
        <v/>
      </c>
      <c r="AE131" s="97" t="str">
        <f aca="false">IF($Z131=Constants!$B$7,LARGE(AB131:AC131,1),"")</f>
        <v/>
      </c>
      <c r="AF131" s="97" t="str">
        <f aca="false">IF(ISBLANK($C131),"",IF($Z131&lt;&gt;Constants!$B$7,$Z131,AE131*S131))</f>
        <v/>
      </c>
      <c r="AG131" s="97" t="str">
        <f aca="false">IF(ISBLANK($C131),"",IF($Z131=Constants!$B$7,IF(ISNUMBER(AF131),RANK(AF131,$AF$8:$AF$507),Constants!$B$14),$Z131))</f>
        <v/>
      </c>
      <c r="AH131" s="97" t="str">
        <f aca="false">IF(ISBLANK($C131),"",IF($Z131=Constants!$B$7,IF(ISNUMBER(AG131),COUNTIFS($AA$8:$AA$507,"&lt;"&amp;$AA131)+COUNTIFS($AA$8:$AA$507,$AA131,$AG$8:$AG$507,"&lt;"&amp;$AG131)+1,Constants!$B$14),$Z131))</f>
        <v/>
      </c>
      <c r="AI131" s="97" t="str">
        <f aca="false">IF(ISBLANK($C131),"",IF($Z131=Constants!$B$7,LARGE(AB131:AC131,2)*S131,""))</f>
        <v/>
      </c>
      <c r="AJ131" s="97" t="str">
        <f aca="false">IF(ISBLANK($C131),"",IF($Z131=Constants!$B$7,RANK(AI131,$AI$8:$AI$507),$Z131))</f>
        <v/>
      </c>
      <c r="AK131" s="97" t="str">
        <f aca="false">IF(ISBLANK($C131),"",IF($Z131=Constants!$B$7,IF(ISNUMBER(AG131),COUNTIFS($AA$8:$AA$507,"&lt;"&amp;$AA131)+COUNTIFS($AA$8:$AA$507,$AA131,$AG$8:$AG$507,"&lt;"&amp;$AG131)+COUNTIFS($AA$8:$AA$507,$AA131,$AG$8:$AG$507,$AG131,$AJ$8:$AJ$507,"&lt;"&amp;$AJ131)+1,Constants!$B$14),$Z131))</f>
        <v/>
      </c>
      <c r="AL131" s="97" t="str">
        <f aca="false">IF(ISBLANK($C131),"",IF($Z131=Constants!$B$7,IF(ISNUMBER(AH131),AH131-AK131,Constants!$B$14),$Z131))</f>
        <v/>
      </c>
      <c r="AM131" s="98"/>
      <c r="AN131" s="99" t="str">
        <f aca="false">IF(ISBLANK($C131),"",IF($Z131&lt;&gt;Constants!$B$7,$Z131,AD131))</f>
        <v/>
      </c>
      <c r="AO131" s="100" t="str">
        <f aca="false">IF(ISBLANK($C131),"",IF($Z131&lt;&gt;Constants!$B$7,$Z131,S131))</f>
        <v/>
      </c>
      <c r="AP131" s="101" t="str">
        <f aca="false">IF(ISBLANK($C131),"",IF($Z131&lt;&gt;Constants!$B$7,$Z131,AF131))</f>
        <v/>
      </c>
      <c r="AQ131" s="102" t="str">
        <f aca="false">IF(ISBLANK($C131),"",IF($Z131&lt;&gt;Constants!$B$7,$Z131,AA131))</f>
        <v/>
      </c>
      <c r="AR131" s="100" t="str">
        <f aca="false">IF(ISBLANK($C131),"",AL131)</f>
        <v/>
      </c>
      <c r="AS131" s="100" t="str">
        <f aca="false">IF(ISBLANK($C131),"",AK131)</f>
        <v/>
      </c>
      <c r="AT131" s="103" t="str">
        <f aca="false">IF(ISBLANK($C131),"",IF(AS131=Constants!$B$4,COUNTA($C$8:$C$507)+2,IF(AS131=Constants!$B$5,COUNTA($C$8:$C$507)+1,IF(AS131=Constants!$B$6,COUNTA($C$8:$C$507),AS131))))</f>
        <v/>
      </c>
      <c r="AU131" s="5"/>
      <c r="AV131" s="104" t="n">
        <f aca="false">IF(OR(ISNUMBER(AS131),AS131=Constants!$B$4,AS131=Constants!$B$6,AS131=Constants!$B$5),1,0)</f>
        <v>0</v>
      </c>
      <c r="AW131" s="104" t="n">
        <v>124</v>
      </c>
      <c r="AX131" s="104" t="str">
        <f aca="false">IF(ISBLANK($C131),"",IF(ISNUMBER(AT131),AT131+ROW($B131)/1000,""))</f>
        <v/>
      </c>
      <c r="AY131" s="104" t="str">
        <f aca="false">IF(ISNUMBER(AX131),RANK(AX131,$AX$8:$AX$507,1),"")</f>
        <v/>
      </c>
      <c r="AZ131" s="104" t="str">
        <f aca="false">IF(ISBLANK($C131),"",$B131)</f>
        <v/>
      </c>
      <c r="BA131" s="104" t="str">
        <f aca="false">IF(ISBLANK($C131),"",$C131)</f>
        <v/>
      </c>
      <c r="BB131" s="104" t="str">
        <f aca="false">IF(ISBLANK($C131),"",$D131)</f>
        <v/>
      </c>
      <c r="BC131" s="105" t="str">
        <f aca="false">AQ131</f>
        <v/>
      </c>
      <c r="BD131" s="106" t="str">
        <f aca="false">AP131</f>
        <v/>
      </c>
      <c r="BE131" s="104" t="str">
        <f aca="false">IF(ISBLANK($C131),"",AS131)</f>
        <v/>
      </c>
      <c r="BF131" s="107" t="str">
        <f aca="false">IF($AW131&gt;$AV$7,"",VLOOKUP($AW131,$AY$8:$BE$507,7,FALSE()))</f>
        <v/>
      </c>
      <c r="BG131" s="108" t="str">
        <f aca="false">IF($AW131&gt;$AV$7,"",VLOOKUP($AW131,$AY$8:$BE$507,2,FALSE()))</f>
        <v/>
      </c>
      <c r="BH131" s="108" t="str">
        <f aca="false">IF($AW131&gt;$AV$7,"",VLOOKUP($AW131,$AY$8:$BE$507,3,FALSE()))</f>
        <v/>
      </c>
      <c r="BI131" s="108" t="str">
        <f aca="false">IF($AW131&gt;$AV$7,"",VLOOKUP($AW131,$AY$8:$BE$507,4,FALSE()))</f>
        <v/>
      </c>
      <c r="BJ131" s="108" t="str">
        <f aca="false">IF($AW131&gt;$AV$7,"",VLOOKUP($AW131,$AY$8:$BE$507,5,FALSE()))</f>
        <v/>
      </c>
      <c r="BK131" s="109" t="str">
        <f aca="false">IF($AW131&gt;$AV$7,"",VLOOKUP($AW131,$AY$8:$BE$507,6,FALSE()))</f>
        <v/>
      </c>
      <c r="BL131" s="50"/>
    </row>
    <row r="132" customFormat="false" ht="15.75" hidden="false" customHeight="false" outlineLevel="0" collapsed="false">
      <c r="A132" s="5"/>
      <c r="B132" s="124"/>
      <c r="C132" s="125"/>
      <c r="D132" s="110"/>
      <c r="E132" s="130"/>
      <c r="F132" s="135"/>
      <c r="G132" s="88"/>
      <c r="H132" s="136"/>
      <c r="I132" s="137"/>
      <c r="J132" s="91"/>
      <c r="K132" s="92"/>
      <c r="L132" s="137"/>
      <c r="M132" s="93"/>
      <c r="N132" s="94"/>
      <c r="O132" s="130"/>
      <c r="P132" s="96"/>
      <c r="Q132" s="97" t="str">
        <f aca="false">IF(ISBLANK($C132),"",IF(E132=Constants!$B$2, TRUE(), IF(E132=Constants!$B$3, FALSE(), TRUE())))</f>
        <v/>
      </c>
      <c r="R132" s="97" t="str">
        <f aca="false">IF(ISBLANK($C132),"",IF(F132=Constants!$B$2, TRUE(), IF(F132=Constants!$B$3, FALSE(), TRUE())))</f>
        <v/>
      </c>
      <c r="S132" s="97" t="str">
        <f aca="false">IF(ISBLANK($C132),"",IF(G132=Constants!$B$15,Constants!$B$8,IF(G132=Constants!$B$16,Constants!$B$9,Constants!$B$10)))</f>
        <v/>
      </c>
      <c r="T132" s="97" t="str">
        <f aca="false">IF(ISBLANK($C132),"",IF(H132=Constants!$B$2, TRUE(), IF(H132=Constants!$B$3, FALSE(), TRUE())))</f>
        <v/>
      </c>
      <c r="U132" s="97" t="str">
        <f aca="false">IF(ISBLANK($C132),"",IF(I132=Constants!$B$19,Constants!$B$19,Constants!$B$18))</f>
        <v/>
      </c>
      <c r="V132" s="97" t="str">
        <f aca="false">IF(ISBLANK($C132),"",IF(COUNTA(J132:K132)=0,"",IF(AND(OR(ISBLANK(J132),AND(ISNUMBER(J132),J132&gt;=0)),OR(ISBLANK(K132),AND(ISNUMBER(K132),K132&gt;=0))),60*IF(ISBLANK(J132),0,J132)+IF(ISBLANK(K132),0,K132),"")))</f>
        <v/>
      </c>
      <c r="W132" s="97" t="str">
        <f aca="false">IF(ISBLANK($C132),"",IF(L132=Constants!$B$19,Constants!$B$19,Constants!$B$18))</f>
        <v/>
      </c>
      <c r="X132" s="97" t="str">
        <f aca="false">IF(ISBLANK($C132),"",IF(COUNTA(M132:N132)=0,"",IF(AND(OR(ISBLANK(M132),AND(ISNUMBER(M132),M132&gt;=0)),OR(ISBLANK(N132),AND(ISNUMBER(N132),N132&gt;=0))),60*IF(ISBLANK(M132),0,M132)+IF(ISBLANK(N132),0,N132),"")))</f>
        <v/>
      </c>
      <c r="Y132" s="97" t="str">
        <f aca="false">IF(ISBLANK($C132),"",IF(O132=Constants!$B$2, TRUE(), IF(O132=Constants!$B$3, FALSE(), FALSE())))</f>
        <v/>
      </c>
      <c r="Z132" s="97" t="str">
        <f aca="false">IF(ISBLANK($C132),"",IF(Y132,Constants!$B$4,IF(COUNTA(E132:N132)=0,Constants!$B$5,IF(COUNTA(J132:K132,M132:N132)=0,Constants!$B$6,Constants!$B$7))))</f>
        <v/>
      </c>
      <c r="AA132" s="97" t="str">
        <f aca="false">IF(ISBLANK($C132),"",IF($Z132&lt;&gt;Constants!$B$7,$Z132,IF(OR(NOT(T132),AND(NOT(Q132),COUNTIFS(U132:W132,Constants!$B$18,V132:X132,"&gt;=0")&gt;0),AND(NOT(R132),COUNTIFS(U132:W132,Constants!$B$19,V132:X132,"&gt;=0")&gt;0)),Constants!$B$12,Constants!$B$11)))</f>
        <v/>
      </c>
      <c r="AB132" s="97" t="str">
        <f aca="false">IF($Z132=Constants!$B$7,IF(V132="",Constants!$B$13,V132),"")</f>
        <v/>
      </c>
      <c r="AC132" s="97" t="str">
        <f aca="false">IF($Z132=Constants!$B$7,IF(X132="",Constants!$B$13,X132),"")</f>
        <v/>
      </c>
      <c r="AD132" s="97" t="str">
        <f aca="false">IF($Z132=Constants!$B$7,IF($AB132&gt;=$AC132,1,2),"")</f>
        <v/>
      </c>
      <c r="AE132" s="97" t="str">
        <f aca="false">IF($Z132=Constants!$B$7,LARGE(AB132:AC132,1),"")</f>
        <v/>
      </c>
      <c r="AF132" s="97" t="str">
        <f aca="false">IF(ISBLANK($C132),"",IF($Z132&lt;&gt;Constants!$B$7,$Z132,AE132*S132))</f>
        <v/>
      </c>
      <c r="AG132" s="97" t="str">
        <f aca="false">IF(ISBLANK($C132),"",IF($Z132=Constants!$B$7,IF(ISNUMBER(AF132),RANK(AF132,$AF$8:$AF$507),Constants!$B$14),$Z132))</f>
        <v/>
      </c>
      <c r="AH132" s="97" t="str">
        <f aca="false">IF(ISBLANK($C132),"",IF($Z132=Constants!$B$7,IF(ISNUMBER(AG132),COUNTIFS($AA$8:$AA$507,"&lt;"&amp;$AA132)+COUNTIFS($AA$8:$AA$507,$AA132,$AG$8:$AG$507,"&lt;"&amp;$AG132)+1,Constants!$B$14),$Z132))</f>
        <v/>
      </c>
      <c r="AI132" s="97" t="str">
        <f aca="false">IF(ISBLANK($C132),"",IF($Z132=Constants!$B$7,LARGE(AB132:AC132,2)*S132,""))</f>
        <v/>
      </c>
      <c r="AJ132" s="97" t="str">
        <f aca="false">IF(ISBLANK($C132),"",IF($Z132=Constants!$B$7,RANK(AI132,$AI$8:$AI$507),$Z132))</f>
        <v/>
      </c>
      <c r="AK132" s="97" t="str">
        <f aca="false">IF(ISBLANK($C132),"",IF($Z132=Constants!$B$7,IF(ISNUMBER(AG132),COUNTIFS($AA$8:$AA$507,"&lt;"&amp;$AA132)+COUNTIFS($AA$8:$AA$507,$AA132,$AG$8:$AG$507,"&lt;"&amp;$AG132)+COUNTIFS($AA$8:$AA$507,$AA132,$AG$8:$AG$507,$AG132,$AJ$8:$AJ$507,"&lt;"&amp;$AJ132)+1,Constants!$B$14),$Z132))</f>
        <v/>
      </c>
      <c r="AL132" s="97" t="str">
        <f aca="false">IF(ISBLANK($C132),"",IF($Z132=Constants!$B$7,IF(ISNUMBER(AH132),AH132-AK132,Constants!$B$14),$Z132))</f>
        <v/>
      </c>
      <c r="AM132" s="98"/>
      <c r="AN132" s="99" t="str">
        <f aca="false">IF(ISBLANK($C132),"",IF($Z132&lt;&gt;Constants!$B$7,$Z132,AD132))</f>
        <v/>
      </c>
      <c r="AO132" s="100" t="str">
        <f aca="false">IF(ISBLANK($C132),"",IF($Z132&lt;&gt;Constants!$B$7,$Z132,S132))</f>
        <v/>
      </c>
      <c r="AP132" s="101" t="str">
        <f aca="false">IF(ISBLANK($C132),"",IF($Z132&lt;&gt;Constants!$B$7,$Z132,AF132))</f>
        <v/>
      </c>
      <c r="AQ132" s="102" t="str">
        <f aca="false">IF(ISBLANK($C132),"",IF($Z132&lt;&gt;Constants!$B$7,$Z132,AA132))</f>
        <v/>
      </c>
      <c r="AR132" s="100" t="str">
        <f aca="false">IF(ISBLANK($C132),"",AL132)</f>
        <v/>
      </c>
      <c r="AS132" s="100" t="str">
        <f aca="false">IF(ISBLANK($C132),"",AK132)</f>
        <v/>
      </c>
      <c r="AT132" s="103" t="str">
        <f aca="false">IF(ISBLANK($C132),"",IF(AS132=Constants!$B$4,COUNTA($C$8:$C$507)+2,IF(AS132=Constants!$B$5,COUNTA($C$8:$C$507)+1,IF(AS132=Constants!$B$6,COUNTA($C$8:$C$507),AS132))))</f>
        <v/>
      </c>
      <c r="AU132" s="5"/>
      <c r="AV132" s="104" t="n">
        <f aca="false">IF(OR(ISNUMBER(AS132),AS132=Constants!$B$4,AS132=Constants!$B$6,AS132=Constants!$B$5),1,0)</f>
        <v>0</v>
      </c>
      <c r="AW132" s="104" t="n">
        <v>125</v>
      </c>
      <c r="AX132" s="104" t="str">
        <f aca="false">IF(ISBLANK($C132),"",IF(ISNUMBER(AT132),AT132+ROW($B132)/1000,""))</f>
        <v/>
      </c>
      <c r="AY132" s="104" t="str">
        <f aca="false">IF(ISNUMBER(AX132),RANK(AX132,$AX$8:$AX$507,1),"")</f>
        <v/>
      </c>
      <c r="AZ132" s="104" t="str">
        <f aca="false">IF(ISBLANK($C132),"",$B132)</f>
        <v/>
      </c>
      <c r="BA132" s="104" t="str">
        <f aca="false">IF(ISBLANK($C132),"",$C132)</f>
        <v/>
      </c>
      <c r="BB132" s="104" t="str">
        <f aca="false">IF(ISBLANK($C132),"",$D132)</f>
        <v/>
      </c>
      <c r="BC132" s="105" t="str">
        <f aca="false">AQ132</f>
        <v/>
      </c>
      <c r="BD132" s="106" t="str">
        <f aca="false">AP132</f>
        <v/>
      </c>
      <c r="BE132" s="104" t="str">
        <f aca="false">IF(ISBLANK($C132),"",AS132)</f>
        <v/>
      </c>
      <c r="BF132" s="107" t="str">
        <f aca="false">IF($AW132&gt;$AV$7,"",VLOOKUP($AW132,$AY$8:$BE$507,7,FALSE()))</f>
        <v/>
      </c>
      <c r="BG132" s="108" t="str">
        <f aca="false">IF($AW132&gt;$AV$7,"",VLOOKUP($AW132,$AY$8:$BE$507,2,FALSE()))</f>
        <v/>
      </c>
      <c r="BH132" s="108" t="str">
        <f aca="false">IF($AW132&gt;$AV$7,"",VLOOKUP($AW132,$AY$8:$BE$507,3,FALSE()))</f>
        <v/>
      </c>
      <c r="BI132" s="108" t="str">
        <f aca="false">IF($AW132&gt;$AV$7,"",VLOOKUP($AW132,$AY$8:$BE$507,4,FALSE()))</f>
        <v/>
      </c>
      <c r="BJ132" s="108" t="str">
        <f aca="false">IF($AW132&gt;$AV$7,"",VLOOKUP($AW132,$AY$8:$BE$507,5,FALSE()))</f>
        <v/>
      </c>
      <c r="BK132" s="109" t="str">
        <f aca="false">IF($AW132&gt;$AV$7,"",VLOOKUP($AW132,$AY$8:$BE$507,6,FALSE()))</f>
        <v/>
      </c>
      <c r="BL132" s="50"/>
    </row>
    <row r="133" customFormat="false" ht="15.75" hidden="false" customHeight="false" outlineLevel="0" collapsed="false">
      <c r="A133" s="5"/>
      <c r="B133" s="124"/>
      <c r="C133" s="125"/>
      <c r="D133" s="110"/>
      <c r="E133" s="130"/>
      <c r="F133" s="135"/>
      <c r="G133" s="88"/>
      <c r="H133" s="136"/>
      <c r="I133" s="137"/>
      <c r="J133" s="91"/>
      <c r="K133" s="92"/>
      <c r="L133" s="137"/>
      <c r="M133" s="93"/>
      <c r="N133" s="94"/>
      <c r="O133" s="130"/>
      <c r="P133" s="96"/>
      <c r="Q133" s="97" t="str">
        <f aca="false">IF(ISBLANK($C133),"",IF(E133=Constants!$B$2, TRUE(), IF(E133=Constants!$B$3, FALSE(), TRUE())))</f>
        <v/>
      </c>
      <c r="R133" s="97" t="str">
        <f aca="false">IF(ISBLANK($C133),"",IF(F133=Constants!$B$2, TRUE(), IF(F133=Constants!$B$3, FALSE(), TRUE())))</f>
        <v/>
      </c>
      <c r="S133" s="97" t="str">
        <f aca="false">IF(ISBLANK($C133),"",IF(G133=Constants!$B$15,Constants!$B$8,IF(G133=Constants!$B$16,Constants!$B$9,Constants!$B$10)))</f>
        <v/>
      </c>
      <c r="T133" s="97" t="str">
        <f aca="false">IF(ISBLANK($C133),"",IF(H133=Constants!$B$2, TRUE(), IF(H133=Constants!$B$3, FALSE(), TRUE())))</f>
        <v/>
      </c>
      <c r="U133" s="97" t="str">
        <f aca="false">IF(ISBLANK($C133),"",IF(I133=Constants!$B$19,Constants!$B$19,Constants!$B$18))</f>
        <v/>
      </c>
      <c r="V133" s="97" t="str">
        <f aca="false">IF(ISBLANK($C133),"",IF(COUNTA(J133:K133)=0,"",IF(AND(OR(ISBLANK(J133),AND(ISNUMBER(J133),J133&gt;=0)),OR(ISBLANK(K133),AND(ISNUMBER(K133),K133&gt;=0))),60*IF(ISBLANK(J133),0,J133)+IF(ISBLANK(K133),0,K133),"")))</f>
        <v/>
      </c>
      <c r="W133" s="97" t="str">
        <f aca="false">IF(ISBLANK($C133),"",IF(L133=Constants!$B$19,Constants!$B$19,Constants!$B$18))</f>
        <v/>
      </c>
      <c r="X133" s="97" t="str">
        <f aca="false">IF(ISBLANK($C133),"",IF(COUNTA(M133:N133)=0,"",IF(AND(OR(ISBLANK(M133),AND(ISNUMBER(M133),M133&gt;=0)),OR(ISBLANK(N133),AND(ISNUMBER(N133),N133&gt;=0))),60*IF(ISBLANK(M133),0,M133)+IF(ISBLANK(N133),0,N133),"")))</f>
        <v/>
      </c>
      <c r="Y133" s="97" t="str">
        <f aca="false">IF(ISBLANK($C133),"",IF(O133=Constants!$B$2, TRUE(), IF(O133=Constants!$B$3, FALSE(), FALSE())))</f>
        <v/>
      </c>
      <c r="Z133" s="97" t="str">
        <f aca="false">IF(ISBLANK($C133),"",IF(Y133,Constants!$B$4,IF(COUNTA(E133:N133)=0,Constants!$B$5,IF(COUNTA(J133:K133,M133:N133)=0,Constants!$B$6,Constants!$B$7))))</f>
        <v/>
      </c>
      <c r="AA133" s="97" t="str">
        <f aca="false">IF(ISBLANK($C133),"",IF($Z133&lt;&gt;Constants!$B$7,$Z133,IF(OR(NOT(T133),AND(NOT(Q133),COUNTIFS(U133:W133,Constants!$B$18,V133:X133,"&gt;=0")&gt;0),AND(NOT(R133),COUNTIFS(U133:W133,Constants!$B$19,V133:X133,"&gt;=0")&gt;0)),Constants!$B$12,Constants!$B$11)))</f>
        <v/>
      </c>
      <c r="AB133" s="97" t="str">
        <f aca="false">IF($Z133=Constants!$B$7,IF(V133="",Constants!$B$13,V133),"")</f>
        <v/>
      </c>
      <c r="AC133" s="97" t="str">
        <f aca="false">IF($Z133=Constants!$B$7,IF(X133="",Constants!$B$13,X133),"")</f>
        <v/>
      </c>
      <c r="AD133" s="97" t="str">
        <f aca="false">IF($Z133=Constants!$B$7,IF($AB133&gt;=$AC133,1,2),"")</f>
        <v/>
      </c>
      <c r="AE133" s="97" t="str">
        <f aca="false">IF($Z133=Constants!$B$7,LARGE(AB133:AC133,1),"")</f>
        <v/>
      </c>
      <c r="AF133" s="97" t="str">
        <f aca="false">IF(ISBLANK($C133),"",IF($Z133&lt;&gt;Constants!$B$7,$Z133,AE133*S133))</f>
        <v/>
      </c>
      <c r="AG133" s="97" t="str">
        <f aca="false">IF(ISBLANK($C133),"",IF($Z133=Constants!$B$7,IF(ISNUMBER(AF133),RANK(AF133,$AF$8:$AF$507),Constants!$B$14),$Z133))</f>
        <v/>
      </c>
      <c r="AH133" s="97" t="str">
        <f aca="false">IF(ISBLANK($C133),"",IF($Z133=Constants!$B$7,IF(ISNUMBER(AG133),COUNTIFS($AA$8:$AA$507,"&lt;"&amp;$AA133)+COUNTIFS($AA$8:$AA$507,$AA133,$AG$8:$AG$507,"&lt;"&amp;$AG133)+1,Constants!$B$14),$Z133))</f>
        <v/>
      </c>
      <c r="AI133" s="97" t="str">
        <f aca="false">IF(ISBLANK($C133),"",IF($Z133=Constants!$B$7,LARGE(AB133:AC133,2)*S133,""))</f>
        <v/>
      </c>
      <c r="AJ133" s="97" t="str">
        <f aca="false">IF(ISBLANK($C133),"",IF($Z133=Constants!$B$7,RANK(AI133,$AI$8:$AI$507),$Z133))</f>
        <v/>
      </c>
      <c r="AK133" s="97" t="str">
        <f aca="false">IF(ISBLANK($C133),"",IF($Z133=Constants!$B$7,IF(ISNUMBER(AG133),COUNTIFS($AA$8:$AA$507,"&lt;"&amp;$AA133)+COUNTIFS($AA$8:$AA$507,$AA133,$AG$8:$AG$507,"&lt;"&amp;$AG133)+COUNTIFS($AA$8:$AA$507,$AA133,$AG$8:$AG$507,$AG133,$AJ$8:$AJ$507,"&lt;"&amp;$AJ133)+1,Constants!$B$14),$Z133))</f>
        <v/>
      </c>
      <c r="AL133" s="97" t="str">
        <f aca="false">IF(ISBLANK($C133),"",IF($Z133=Constants!$B$7,IF(ISNUMBER(AH133),AH133-AK133,Constants!$B$14),$Z133))</f>
        <v/>
      </c>
      <c r="AM133" s="98"/>
      <c r="AN133" s="99" t="str">
        <f aca="false">IF(ISBLANK($C133),"",IF($Z133&lt;&gt;Constants!$B$7,$Z133,AD133))</f>
        <v/>
      </c>
      <c r="AO133" s="100" t="str">
        <f aca="false">IF(ISBLANK($C133),"",IF($Z133&lt;&gt;Constants!$B$7,$Z133,S133))</f>
        <v/>
      </c>
      <c r="AP133" s="101" t="str">
        <f aca="false">IF(ISBLANK($C133),"",IF($Z133&lt;&gt;Constants!$B$7,$Z133,AF133))</f>
        <v/>
      </c>
      <c r="AQ133" s="102" t="str">
        <f aca="false">IF(ISBLANK($C133),"",IF($Z133&lt;&gt;Constants!$B$7,$Z133,AA133))</f>
        <v/>
      </c>
      <c r="AR133" s="100" t="str">
        <f aca="false">IF(ISBLANK($C133),"",AL133)</f>
        <v/>
      </c>
      <c r="AS133" s="100" t="str">
        <f aca="false">IF(ISBLANK($C133),"",AK133)</f>
        <v/>
      </c>
      <c r="AT133" s="103" t="str">
        <f aca="false">IF(ISBLANK($C133),"",IF(AS133=Constants!$B$4,COUNTA($C$8:$C$507)+2,IF(AS133=Constants!$B$5,COUNTA($C$8:$C$507)+1,IF(AS133=Constants!$B$6,COUNTA($C$8:$C$507),AS133))))</f>
        <v/>
      </c>
      <c r="AU133" s="5"/>
      <c r="AV133" s="104" t="n">
        <f aca="false">IF(OR(ISNUMBER(AS133),AS133=Constants!$B$4,AS133=Constants!$B$6,AS133=Constants!$B$5),1,0)</f>
        <v>0</v>
      </c>
      <c r="AW133" s="104" t="n">
        <v>126</v>
      </c>
      <c r="AX133" s="104" t="str">
        <f aca="false">IF(ISBLANK($C133),"",IF(ISNUMBER(AT133),AT133+ROW($B133)/1000,""))</f>
        <v/>
      </c>
      <c r="AY133" s="104" t="str">
        <f aca="false">IF(ISNUMBER(AX133),RANK(AX133,$AX$8:$AX$507,1),"")</f>
        <v/>
      </c>
      <c r="AZ133" s="104" t="str">
        <f aca="false">IF(ISBLANK($C133),"",$B133)</f>
        <v/>
      </c>
      <c r="BA133" s="104" t="str">
        <f aca="false">IF(ISBLANK($C133),"",$C133)</f>
        <v/>
      </c>
      <c r="BB133" s="104" t="str">
        <f aca="false">IF(ISBLANK($C133),"",$D133)</f>
        <v/>
      </c>
      <c r="BC133" s="105" t="str">
        <f aca="false">AQ133</f>
        <v/>
      </c>
      <c r="BD133" s="106" t="str">
        <f aca="false">AP133</f>
        <v/>
      </c>
      <c r="BE133" s="104" t="str">
        <f aca="false">IF(ISBLANK($C133),"",AS133)</f>
        <v/>
      </c>
      <c r="BF133" s="107" t="str">
        <f aca="false">IF($AW133&gt;$AV$7,"",VLOOKUP($AW133,$AY$8:$BE$507,7,FALSE()))</f>
        <v/>
      </c>
      <c r="BG133" s="108" t="str">
        <f aca="false">IF($AW133&gt;$AV$7,"",VLOOKUP($AW133,$AY$8:$BE$507,2,FALSE()))</f>
        <v/>
      </c>
      <c r="BH133" s="108" t="str">
        <f aca="false">IF($AW133&gt;$AV$7,"",VLOOKUP($AW133,$AY$8:$BE$507,3,FALSE()))</f>
        <v/>
      </c>
      <c r="BI133" s="108" t="str">
        <f aca="false">IF($AW133&gt;$AV$7,"",VLOOKUP($AW133,$AY$8:$BE$507,4,FALSE()))</f>
        <v/>
      </c>
      <c r="BJ133" s="108" t="str">
        <f aca="false">IF($AW133&gt;$AV$7,"",VLOOKUP($AW133,$AY$8:$BE$507,5,FALSE()))</f>
        <v/>
      </c>
      <c r="BK133" s="109" t="str">
        <f aca="false">IF($AW133&gt;$AV$7,"",VLOOKUP($AW133,$AY$8:$BE$507,6,FALSE()))</f>
        <v/>
      </c>
      <c r="BL133" s="50"/>
    </row>
    <row r="134" customFormat="false" ht="15.75" hidden="false" customHeight="false" outlineLevel="0" collapsed="false">
      <c r="A134" s="5"/>
      <c r="B134" s="131"/>
      <c r="C134" s="52"/>
      <c r="D134" s="53"/>
      <c r="E134" s="80"/>
      <c r="F134" s="132"/>
      <c r="G134" s="56"/>
      <c r="H134" s="133"/>
      <c r="I134" s="134"/>
      <c r="J134" s="59"/>
      <c r="K134" s="60"/>
      <c r="L134" s="134"/>
      <c r="M134" s="61"/>
      <c r="N134" s="62"/>
      <c r="O134" s="80"/>
      <c r="P134" s="64"/>
      <c r="Q134" s="65" t="str">
        <f aca="false">IF(ISBLANK($C134),"",IF(E134=Constants!$B$2, TRUE(), IF(E134=Constants!$B$3, FALSE(), TRUE())))</f>
        <v/>
      </c>
      <c r="R134" s="65" t="str">
        <f aca="false">IF(ISBLANK($C134),"",IF(F134=Constants!$B$2, TRUE(), IF(F134=Constants!$B$3, FALSE(), TRUE())))</f>
        <v/>
      </c>
      <c r="S134" s="65" t="str">
        <f aca="false">IF(ISBLANK($C134),"",IF(G134=Constants!$B$15,Constants!$B$8,IF(G134=Constants!$B$16,Constants!$B$9,Constants!$B$10)))</f>
        <v/>
      </c>
      <c r="T134" s="65" t="str">
        <f aca="false">IF(ISBLANK($C134),"",IF(H134=Constants!$B$2, TRUE(), IF(H134=Constants!$B$3, FALSE(), TRUE())))</f>
        <v/>
      </c>
      <c r="U134" s="65" t="str">
        <f aca="false">IF(ISBLANK($C134),"",IF(I134=Constants!$B$19,Constants!$B$19,Constants!$B$18))</f>
        <v/>
      </c>
      <c r="V134" s="65" t="str">
        <f aca="false">IF(ISBLANK($C134),"",IF(COUNTA(J134:K134)=0,"",IF(AND(OR(ISBLANK(J134),AND(ISNUMBER(J134),J134&gt;=0)),OR(ISBLANK(K134),AND(ISNUMBER(K134),K134&gt;=0))),60*IF(ISBLANK(J134),0,J134)+IF(ISBLANK(K134),0,K134),"")))</f>
        <v/>
      </c>
      <c r="W134" s="65" t="str">
        <f aca="false">IF(ISBLANK($C134),"",IF(L134=Constants!$B$19,Constants!$B$19,Constants!$B$18))</f>
        <v/>
      </c>
      <c r="X134" s="65" t="str">
        <f aca="false">IF(ISBLANK($C134),"",IF(COUNTA(M134:N134)=0,"",IF(AND(OR(ISBLANK(M134),AND(ISNUMBER(M134),M134&gt;=0)),OR(ISBLANK(N134),AND(ISNUMBER(N134),N134&gt;=0))),60*IF(ISBLANK(M134),0,M134)+IF(ISBLANK(N134),0,N134),"")))</f>
        <v/>
      </c>
      <c r="Y134" s="65" t="str">
        <f aca="false">IF(ISBLANK($C134),"",IF(O134=Constants!$B$2, TRUE(), IF(O134=Constants!$B$3, FALSE(), FALSE())))</f>
        <v/>
      </c>
      <c r="Z134" s="65" t="str">
        <f aca="false">IF(ISBLANK($C134),"",IF(Y134,Constants!$B$4,IF(COUNTA(E134:N134)=0,Constants!$B$5,IF(COUNTA(J134:K134,M134:N134)=0,Constants!$B$6,Constants!$B$7))))</f>
        <v/>
      </c>
      <c r="AA134" s="65" t="str">
        <f aca="false">IF(ISBLANK($C134),"",IF($Z134&lt;&gt;Constants!$B$7,$Z134,IF(OR(NOT(T134),AND(NOT(Q134),COUNTIFS(U134:W134,Constants!$B$18,V134:X134,"&gt;=0")&gt;0),AND(NOT(R134),COUNTIFS(U134:W134,Constants!$B$19,V134:X134,"&gt;=0")&gt;0)),Constants!$B$12,Constants!$B$11)))</f>
        <v/>
      </c>
      <c r="AB134" s="65" t="str">
        <f aca="false">IF($Z134=Constants!$B$7,IF(V134="",Constants!$B$13,V134),"")</f>
        <v/>
      </c>
      <c r="AC134" s="65" t="str">
        <f aca="false">IF($Z134=Constants!$B$7,IF(X134="",Constants!$B$13,X134),"")</f>
        <v/>
      </c>
      <c r="AD134" s="65" t="str">
        <f aca="false">IF($Z134=Constants!$B$7,IF($AB134&gt;=$AC134,1,2),"")</f>
        <v/>
      </c>
      <c r="AE134" s="65" t="str">
        <f aca="false">IF($Z134=Constants!$B$7,LARGE(AB134:AC134,1),"")</f>
        <v/>
      </c>
      <c r="AF134" s="65" t="str">
        <f aca="false">IF(ISBLANK($C134),"",IF($Z134&lt;&gt;Constants!$B$7,$Z134,AE134*S134))</f>
        <v/>
      </c>
      <c r="AG134" s="65" t="str">
        <f aca="false">IF(ISBLANK($C134),"",IF($Z134=Constants!$B$7,IF(ISNUMBER(AF134),RANK(AF134,$AF$8:$AF$507),Constants!$B$14),$Z134))</f>
        <v/>
      </c>
      <c r="AH134" s="65" t="str">
        <f aca="false">IF(ISBLANK($C134),"",IF($Z134=Constants!$B$7,IF(ISNUMBER(AG134),COUNTIFS($AA$8:$AA$507,"&lt;"&amp;$AA134)+COUNTIFS($AA$8:$AA$507,$AA134,$AG$8:$AG$507,"&lt;"&amp;$AG134)+1,Constants!$B$14),$Z134))</f>
        <v/>
      </c>
      <c r="AI134" s="65" t="str">
        <f aca="false">IF(ISBLANK($C134),"",IF($Z134=Constants!$B$7,LARGE(AB134:AC134,2)*S134,""))</f>
        <v/>
      </c>
      <c r="AJ134" s="65" t="str">
        <f aca="false">IF(ISBLANK($C134),"",IF($Z134=Constants!$B$7,RANK(AI134,$AI$8:$AI$507),$Z134))</f>
        <v/>
      </c>
      <c r="AK134" s="65" t="str">
        <f aca="false">IF(ISBLANK($C134),"",IF($Z134=Constants!$B$7,IF(ISNUMBER(AG134),COUNTIFS($AA$8:$AA$507,"&lt;"&amp;$AA134)+COUNTIFS($AA$8:$AA$507,$AA134,$AG$8:$AG$507,"&lt;"&amp;$AG134)+COUNTIFS($AA$8:$AA$507,$AA134,$AG$8:$AG$507,$AG134,$AJ$8:$AJ$507,"&lt;"&amp;$AJ134)+1,Constants!$B$14),$Z134))</f>
        <v/>
      </c>
      <c r="AL134" s="65" t="str">
        <f aca="false">IF(ISBLANK($C134),"",IF($Z134=Constants!$B$7,IF(ISNUMBER(AH134),AH134-AK134,Constants!$B$14),$Z134))</f>
        <v/>
      </c>
      <c r="AM134" s="67"/>
      <c r="AN134" s="68" t="str">
        <f aca="false">IF(ISBLANK($C134),"",IF($Z134&lt;&gt;Constants!$B$7,$Z134,AD134))</f>
        <v/>
      </c>
      <c r="AO134" s="69" t="str">
        <f aca="false">IF(ISBLANK($C134),"",IF($Z134&lt;&gt;Constants!$B$7,$Z134,S134))</f>
        <v/>
      </c>
      <c r="AP134" s="70" t="str">
        <f aca="false">IF(ISBLANK($C134),"",IF($Z134&lt;&gt;Constants!$B$7,$Z134,AF134))</f>
        <v/>
      </c>
      <c r="AQ134" s="71" t="str">
        <f aca="false">IF(ISBLANK($C134),"",IF($Z134&lt;&gt;Constants!$B$7,$Z134,AA134))</f>
        <v/>
      </c>
      <c r="AR134" s="69" t="str">
        <f aca="false">IF(ISBLANK($C134),"",AL134)</f>
        <v/>
      </c>
      <c r="AS134" s="69" t="str">
        <f aca="false">IF(ISBLANK($C134),"",AK134)</f>
        <v/>
      </c>
      <c r="AT134" s="72" t="str">
        <f aca="false">IF(ISBLANK($C134),"",IF(AS134=Constants!$B$4,COUNTA($C$8:$C$507)+2,IF(AS134=Constants!$B$5,COUNTA($C$8:$C$507)+1,IF(AS134=Constants!$B$6,COUNTA($C$8:$C$507),AS134))))</f>
        <v/>
      </c>
      <c r="AU134" s="5"/>
      <c r="AV134" s="73" t="n">
        <f aca="false">IF(OR(ISNUMBER(AS134),AS134=Constants!$B$4,AS134=Constants!$B$6,AS134=Constants!$B$5),1,0)</f>
        <v>0</v>
      </c>
      <c r="AW134" s="73" t="n">
        <v>127</v>
      </c>
      <c r="AX134" s="73" t="str">
        <f aca="false">IF(ISBLANK($C134),"",IF(ISNUMBER(AT134),AT134+ROW($B134)/1000,""))</f>
        <v/>
      </c>
      <c r="AY134" s="73" t="str">
        <f aca="false">IF(ISNUMBER(AX134),RANK(AX134,$AX$8:$AX$507,1),"")</f>
        <v/>
      </c>
      <c r="AZ134" s="73" t="str">
        <f aca="false">IF(ISBLANK($C134),"",$B134)</f>
        <v/>
      </c>
      <c r="BA134" s="73" t="str">
        <f aca="false">IF(ISBLANK($C134),"",$C134)</f>
        <v/>
      </c>
      <c r="BB134" s="73" t="str">
        <f aca="false">IF(ISBLANK($C134),"",$D134)</f>
        <v/>
      </c>
      <c r="BC134" s="74" t="str">
        <f aca="false">AQ134</f>
        <v/>
      </c>
      <c r="BD134" s="75" t="str">
        <f aca="false">AP134</f>
        <v/>
      </c>
      <c r="BE134" s="73" t="str">
        <f aca="false">IF(ISBLANK($C134),"",AS134)</f>
        <v/>
      </c>
      <c r="BF134" s="76" t="str">
        <f aca="false">IF($AW134&gt;$AV$7,"",VLOOKUP($AW134,$AY$8:$BE$507,7,FALSE()))</f>
        <v/>
      </c>
      <c r="BG134" s="77" t="str">
        <f aca="false">IF($AW134&gt;$AV$7,"",VLOOKUP($AW134,$AY$8:$BE$507,2,FALSE()))</f>
        <v/>
      </c>
      <c r="BH134" s="77" t="str">
        <f aca="false">IF($AW134&gt;$AV$7,"",VLOOKUP($AW134,$AY$8:$BE$507,3,FALSE()))</f>
        <v/>
      </c>
      <c r="BI134" s="77" t="str">
        <f aca="false">IF($AW134&gt;$AV$7,"",VLOOKUP($AW134,$AY$8:$BE$507,4,FALSE()))</f>
        <v/>
      </c>
      <c r="BJ134" s="77" t="str">
        <f aca="false">IF($AW134&gt;$AV$7,"",VLOOKUP($AW134,$AY$8:$BE$507,5,FALSE()))</f>
        <v/>
      </c>
      <c r="BK134" s="78" t="str">
        <f aca="false">IF($AW134&gt;$AV$7,"",VLOOKUP($AW134,$AY$8:$BE$507,6,FALSE()))</f>
        <v/>
      </c>
      <c r="BL134" s="50"/>
    </row>
    <row r="135" customFormat="false" ht="15.75" hidden="false" customHeight="false" outlineLevel="0" collapsed="false">
      <c r="A135" s="5"/>
      <c r="B135" s="131"/>
      <c r="C135" s="52"/>
      <c r="D135" s="53"/>
      <c r="E135" s="80"/>
      <c r="F135" s="132"/>
      <c r="G135" s="56"/>
      <c r="H135" s="133"/>
      <c r="I135" s="134"/>
      <c r="J135" s="59"/>
      <c r="K135" s="60"/>
      <c r="L135" s="134"/>
      <c r="M135" s="61"/>
      <c r="N135" s="62"/>
      <c r="O135" s="80"/>
      <c r="P135" s="64"/>
      <c r="Q135" s="65" t="str">
        <f aca="false">IF(ISBLANK($C135),"",IF(E135=Constants!$B$2, TRUE(), IF(E135=Constants!$B$3, FALSE(), TRUE())))</f>
        <v/>
      </c>
      <c r="R135" s="65" t="str">
        <f aca="false">IF(ISBLANK($C135),"",IF(F135=Constants!$B$2, TRUE(), IF(F135=Constants!$B$3, FALSE(), TRUE())))</f>
        <v/>
      </c>
      <c r="S135" s="65" t="str">
        <f aca="false">IF(ISBLANK($C135),"",IF(G135=Constants!$B$15,Constants!$B$8,IF(G135=Constants!$B$16,Constants!$B$9,Constants!$B$10)))</f>
        <v/>
      </c>
      <c r="T135" s="65" t="str">
        <f aca="false">IF(ISBLANK($C135),"",IF(H135=Constants!$B$2, TRUE(), IF(H135=Constants!$B$3, FALSE(), TRUE())))</f>
        <v/>
      </c>
      <c r="U135" s="65" t="str">
        <f aca="false">IF(ISBLANK($C135),"",IF(I135=Constants!$B$19,Constants!$B$19,Constants!$B$18))</f>
        <v/>
      </c>
      <c r="V135" s="65" t="str">
        <f aca="false">IF(ISBLANK($C135),"",IF(COUNTA(J135:K135)=0,"",IF(AND(OR(ISBLANK(J135),AND(ISNUMBER(J135),J135&gt;=0)),OR(ISBLANK(K135),AND(ISNUMBER(K135),K135&gt;=0))),60*IF(ISBLANK(J135),0,J135)+IF(ISBLANK(K135),0,K135),"")))</f>
        <v/>
      </c>
      <c r="W135" s="65" t="str">
        <f aca="false">IF(ISBLANK($C135),"",IF(L135=Constants!$B$19,Constants!$B$19,Constants!$B$18))</f>
        <v/>
      </c>
      <c r="X135" s="65" t="str">
        <f aca="false">IF(ISBLANK($C135),"",IF(COUNTA(M135:N135)=0,"",IF(AND(OR(ISBLANK(M135),AND(ISNUMBER(M135),M135&gt;=0)),OR(ISBLANK(N135),AND(ISNUMBER(N135),N135&gt;=0))),60*IF(ISBLANK(M135),0,M135)+IF(ISBLANK(N135),0,N135),"")))</f>
        <v/>
      </c>
      <c r="Y135" s="65" t="str">
        <f aca="false">IF(ISBLANK($C135),"",IF(O135=Constants!$B$2, TRUE(), IF(O135=Constants!$B$3, FALSE(), FALSE())))</f>
        <v/>
      </c>
      <c r="Z135" s="65" t="str">
        <f aca="false">IF(ISBLANK($C135),"",IF(Y135,Constants!$B$4,IF(COUNTA(E135:N135)=0,Constants!$B$5,IF(COUNTA(J135:K135,M135:N135)=0,Constants!$B$6,Constants!$B$7))))</f>
        <v/>
      </c>
      <c r="AA135" s="65" t="str">
        <f aca="false">IF(ISBLANK($C135),"",IF($Z135&lt;&gt;Constants!$B$7,$Z135,IF(OR(NOT(T135),AND(NOT(Q135),COUNTIFS(U135:W135,Constants!$B$18,V135:X135,"&gt;=0")&gt;0),AND(NOT(R135),COUNTIFS(U135:W135,Constants!$B$19,V135:X135,"&gt;=0")&gt;0)),Constants!$B$12,Constants!$B$11)))</f>
        <v/>
      </c>
      <c r="AB135" s="65" t="str">
        <f aca="false">IF($Z135=Constants!$B$7,IF(V135="",Constants!$B$13,V135),"")</f>
        <v/>
      </c>
      <c r="AC135" s="65" t="str">
        <f aca="false">IF($Z135=Constants!$B$7,IF(X135="",Constants!$B$13,X135),"")</f>
        <v/>
      </c>
      <c r="AD135" s="65" t="str">
        <f aca="false">IF($Z135=Constants!$B$7,IF($AB135&gt;=$AC135,1,2),"")</f>
        <v/>
      </c>
      <c r="AE135" s="65" t="str">
        <f aca="false">IF($Z135=Constants!$B$7,LARGE(AB135:AC135,1),"")</f>
        <v/>
      </c>
      <c r="AF135" s="65" t="str">
        <f aca="false">IF(ISBLANK($C135),"",IF($Z135&lt;&gt;Constants!$B$7,$Z135,AE135*S135))</f>
        <v/>
      </c>
      <c r="AG135" s="65" t="str">
        <f aca="false">IF(ISBLANK($C135),"",IF($Z135=Constants!$B$7,IF(ISNUMBER(AF135),RANK(AF135,$AF$8:$AF$507),Constants!$B$14),$Z135))</f>
        <v/>
      </c>
      <c r="AH135" s="65" t="str">
        <f aca="false">IF(ISBLANK($C135),"",IF($Z135=Constants!$B$7,IF(ISNUMBER(AG135),COUNTIFS($AA$8:$AA$507,"&lt;"&amp;$AA135)+COUNTIFS($AA$8:$AA$507,$AA135,$AG$8:$AG$507,"&lt;"&amp;$AG135)+1,Constants!$B$14),$Z135))</f>
        <v/>
      </c>
      <c r="AI135" s="65" t="str">
        <f aca="false">IF(ISBLANK($C135),"",IF($Z135=Constants!$B$7,LARGE(AB135:AC135,2)*S135,""))</f>
        <v/>
      </c>
      <c r="AJ135" s="65" t="str">
        <f aca="false">IF(ISBLANK($C135),"",IF($Z135=Constants!$B$7,RANK(AI135,$AI$8:$AI$507),$Z135))</f>
        <v/>
      </c>
      <c r="AK135" s="65" t="str">
        <f aca="false">IF(ISBLANK($C135),"",IF($Z135=Constants!$B$7,IF(ISNUMBER(AG135),COUNTIFS($AA$8:$AA$507,"&lt;"&amp;$AA135)+COUNTIFS($AA$8:$AA$507,$AA135,$AG$8:$AG$507,"&lt;"&amp;$AG135)+COUNTIFS($AA$8:$AA$507,$AA135,$AG$8:$AG$507,$AG135,$AJ$8:$AJ$507,"&lt;"&amp;$AJ135)+1,Constants!$B$14),$Z135))</f>
        <v/>
      </c>
      <c r="AL135" s="65" t="str">
        <f aca="false">IF(ISBLANK($C135),"",IF($Z135=Constants!$B$7,IF(ISNUMBER(AH135),AH135-AK135,Constants!$B$14),$Z135))</f>
        <v/>
      </c>
      <c r="AM135" s="67"/>
      <c r="AN135" s="68" t="str">
        <f aca="false">IF(ISBLANK($C135),"",IF($Z135&lt;&gt;Constants!$B$7,$Z135,AD135))</f>
        <v/>
      </c>
      <c r="AO135" s="69" t="str">
        <f aca="false">IF(ISBLANK($C135),"",IF($Z135&lt;&gt;Constants!$B$7,$Z135,S135))</f>
        <v/>
      </c>
      <c r="AP135" s="70" t="str">
        <f aca="false">IF(ISBLANK($C135),"",IF($Z135&lt;&gt;Constants!$B$7,$Z135,AF135))</f>
        <v/>
      </c>
      <c r="AQ135" s="71" t="str">
        <f aca="false">IF(ISBLANK($C135),"",IF($Z135&lt;&gt;Constants!$B$7,$Z135,AA135))</f>
        <v/>
      </c>
      <c r="AR135" s="69" t="str">
        <f aca="false">IF(ISBLANK($C135),"",AL135)</f>
        <v/>
      </c>
      <c r="AS135" s="69" t="str">
        <f aca="false">IF(ISBLANK($C135),"",AK135)</f>
        <v/>
      </c>
      <c r="AT135" s="72" t="str">
        <f aca="false">IF(ISBLANK($C135),"",IF(AS135=Constants!$B$4,COUNTA($C$8:$C$507)+2,IF(AS135=Constants!$B$5,COUNTA($C$8:$C$507)+1,IF(AS135=Constants!$B$6,COUNTA($C$8:$C$507),AS135))))</f>
        <v/>
      </c>
      <c r="AU135" s="5"/>
      <c r="AV135" s="73" t="n">
        <f aca="false">IF(OR(ISNUMBER(AS135),AS135=Constants!$B$4,AS135=Constants!$B$6,AS135=Constants!$B$5),1,0)</f>
        <v>0</v>
      </c>
      <c r="AW135" s="73" t="n">
        <v>128</v>
      </c>
      <c r="AX135" s="73" t="str">
        <f aca="false">IF(ISBLANK($C135),"",IF(ISNUMBER(AT135),AT135+ROW($B135)/1000,""))</f>
        <v/>
      </c>
      <c r="AY135" s="73" t="str">
        <f aca="false">IF(ISNUMBER(AX135),RANK(AX135,$AX$8:$AX$507,1),"")</f>
        <v/>
      </c>
      <c r="AZ135" s="73" t="str">
        <f aca="false">IF(ISBLANK($C135),"",$B135)</f>
        <v/>
      </c>
      <c r="BA135" s="73" t="str">
        <f aca="false">IF(ISBLANK($C135),"",$C135)</f>
        <v/>
      </c>
      <c r="BB135" s="73" t="str">
        <f aca="false">IF(ISBLANK($C135),"",$D135)</f>
        <v/>
      </c>
      <c r="BC135" s="74" t="str">
        <f aca="false">AQ135</f>
        <v/>
      </c>
      <c r="BD135" s="75" t="str">
        <f aca="false">AP135</f>
        <v/>
      </c>
      <c r="BE135" s="73" t="str">
        <f aca="false">IF(ISBLANK($C135),"",AS135)</f>
        <v/>
      </c>
      <c r="BF135" s="76" t="str">
        <f aca="false">IF($AW135&gt;$AV$7,"",VLOOKUP($AW135,$AY$8:$BE$507,7,FALSE()))</f>
        <v/>
      </c>
      <c r="BG135" s="77" t="str">
        <f aca="false">IF($AW135&gt;$AV$7,"",VLOOKUP($AW135,$AY$8:$BE$507,2,FALSE()))</f>
        <v/>
      </c>
      <c r="BH135" s="77" t="str">
        <f aca="false">IF($AW135&gt;$AV$7,"",VLOOKUP($AW135,$AY$8:$BE$507,3,FALSE()))</f>
        <v/>
      </c>
      <c r="BI135" s="77" t="str">
        <f aca="false">IF($AW135&gt;$AV$7,"",VLOOKUP($AW135,$AY$8:$BE$507,4,FALSE()))</f>
        <v/>
      </c>
      <c r="BJ135" s="77" t="str">
        <f aca="false">IF($AW135&gt;$AV$7,"",VLOOKUP($AW135,$AY$8:$BE$507,5,FALSE()))</f>
        <v/>
      </c>
      <c r="BK135" s="78" t="str">
        <f aca="false">IF($AW135&gt;$AV$7,"",VLOOKUP($AW135,$AY$8:$BE$507,6,FALSE()))</f>
        <v/>
      </c>
      <c r="BL135" s="50"/>
    </row>
    <row r="136" customFormat="false" ht="15.75" hidden="false" customHeight="false" outlineLevel="0" collapsed="false">
      <c r="A136" s="5"/>
      <c r="B136" s="131"/>
      <c r="C136" s="52"/>
      <c r="D136" s="53"/>
      <c r="E136" s="80"/>
      <c r="F136" s="132"/>
      <c r="G136" s="56"/>
      <c r="H136" s="133"/>
      <c r="I136" s="134"/>
      <c r="J136" s="59"/>
      <c r="K136" s="60"/>
      <c r="L136" s="134"/>
      <c r="M136" s="61"/>
      <c r="N136" s="62"/>
      <c r="O136" s="80"/>
      <c r="P136" s="64"/>
      <c r="Q136" s="65" t="str">
        <f aca="false">IF(ISBLANK($C136),"",IF(E136=Constants!$B$2, TRUE(), IF(E136=Constants!$B$3, FALSE(), TRUE())))</f>
        <v/>
      </c>
      <c r="R136" s="65" t="str">
        <f aca="false">IF(ISBLANK($C136),"",IF(F136=Constants!$B$2, TRUE(), IF(F136=Constants!$B$3, FALSE(), TRUE())))</f>
        <v/>
      </c>
      <c r="S136" s="65" t="str">
        <f aca="false">IF(ISBLANK($C136),"",IF(G136=Constants!$B$15,Constants!$B$8,IF(G136=Constants!$B$16,Constants!$B$9,Constants!$B$10)))</f>
        <v/>
      </c>
      <c r="T136" s="65" t="str">
        <f aca="false">IF(ISBLANK($C136),"",IF(H136=Constants!$B$2, TRUE(), IF(H136=Constants!$B$3, FALSE(), TRUE())))</f>
        <v/>
      </c>
      <c r="U136" s="65" t="str">
        <f aca="false">IF(ISBLANK($C136),"",IF(I136=Constants!$B$19,Constants!$B$19,Constants!$B$18))</f>
        <v/>
      </c>
      <c r="V136" s="65" t="str">
        <f aca="false">IF(ISBLANK($C136),"",IF(COUNTA(J136:K136)=0,"",IF(AND(OR(ISBLANK(J136),AND(ISNUMBER(J136),J136&gt;=0)),OR(ISBLANK(K136),AND(ISNUMBER(K136),K136&gt;=0))),60*IF(ISBLANK(J136),0,J136)+IF(ISBLANK(K136),0,K136),"")))</f>
        <v/>
      </c>
      <c r="W136" s="65" t="str">
        <f aca="false">IF(ISBLANK($C136),"",IF(L136=Constants!$B$19,Constants!$B$19,Constants!$B$18))</f>
        <v/>
      </c>
      <c r="X136" s="65" t="str">
        <f aca="false">IF(ISBLANK($C136),"",IF(COUNTA(M136:N136)=0,"",IF(AND(OR(ISBLANK(M136),AND(ISNUMBER(M136),M136&gt;=0)),OR(ISBLANK(N136),AND(ISNUMBER(N136),N136&gt;=0))),60*IF(ISBLANK(M136),0,M136)+IF(ISBLANK(N136),0,N136),"")))</f>
        <v/>
      </c>
      <c r="Y136" s="65" t="str">
        <f aca="false">IF(ISBLANK($C136),"",IF(O136=Constants!$B$2, TRUE(), IF(O136=Constants!$B$3, FALSE(), FALSE())))</f>
        <v/>
      </c>
      <c r="Z136" s="65" t="str">
        <f aca="false">IF(ISBLANK($C136),"",IF(Y136,Constants!$B$4,IF(COUNTA(E136:N136)=0,Constants!$B$5,IF(COUNTA(J136:K136,M136:N136)=0,Constants!$B$6,Constants!$B$7))))</f>
        <v/>
      </c>
      <c r="AA136" s="65" t="str">
        <f aca="false">IF(ISBLANK($C136),"",IF($Z136&lt;&gt;Constants!$B$7,$Z136,IF(OR(NOT(T136),AND(NOT(Q136),COUNTIFS(U136:W136,Constants!$B$18,V136:X136,"&gt;=0")&gt;0),AND(NOT(R136),COUNTIFS(U136:W136,Constants!$B$19,V136:X136,"&gt;=0")&gt;0)),Constants!$B$12,Constants!$B$11)))</f>
        <v/>
      </c>
      <c r="AB136" s="65" t="str">
        <f aca="false">IF($Z136=Constants!$B$7,IF(V136="",Constants!$B$13,V136),"")</f>
        <v/>
      </c>
      <c r="AC136" s="65" t="str">
        <f aca="false">IF($Z136=Constants!$B$7,IF(X136="",Constants!$B$13,X136),"")</f>
        <v/>
      </c>
      <c r="AD136" s="65" t="str">
        <f aca="false">IF($Z136=Constants!$B$7,IF($AB136&gt;=$AC136,1,2),"")</f>
        <v/>
      </c>
      <c r="AE136" s="65" t="str">
        <f aca="false">IF($Z136=Constants!$B$7,LARGE(AB136:AC136,1),"")</f>
        <v/>
      </c>
      <c r="AF136" s="65" t="str">
        <f aca="false">IF(ISBLANK($C136),"",IF($Z136&lt;&gt;Constants!$B$7,$Z136,AE136*S136))</f>
        <v/>
      </c>
      <c r="AG136" s="65" t="str">
        <f aca="false">IF(ISBLANK($C136),"",IF($Z136=Constants!$B$7,IF(ISNUMBER(AF136),RANK(AF136,$AF$8:$AF$507),Constants!$B$14),$Z136))</f>
        <v/>
      </c>
      <c r="AH136" s="65" t="str">
        <f aca="false">IF(ISBLANK($C136),"",IF($Z136=Constants!$B$7,IF(ISNUMBER(AG136),COUNTIFS($AA$8:$AA$507,"&lt;"&amp;$AA136)+COUNTIFS($AA$8:$AA$507,$AA136,$AG$8:$AG$507,"&lt;"&amp;$AG136)+1,Constants!$B$14),$Z136))</f>
        <v/>
      </c>
      <c r="AI136" s="65" t="str">
        <f aca="false">IF(ISBLANK($C136),"",IF($Z136=Constants!$B$7,LARGE(AB136:AC136,2)*S136,""))</f>
        <v/>
      </c>
      <c r="AJ136" s="65" t="str">
        <f aca="false">IF(ISBLANK($C136),"",IF($Z136=Constants!$B$7,RANK(AI136,$AI$8:$AI$507),$Z136))</f>
        <v/>
      </c>
      <c r="AK136" s="65" t="str">
        <f aca="false">IF(ISBLANK($C136),"",IF($Z136=Constants!$B$7,IF(ISNUMBER(AG136),COUNTIFS($AA$8:$AA$507,"&lt;"&amp;$AA136)+COUNTIFS($AA$8:$AA$507,$AA136,$AG$8:$AG$507,"&lt;"&amp;$AG136)+COUNTIFS($AA$8:$AA$507,$AA136,$AG$8:$AG$507,$AG136,$AJ$8:$AJ$507,"&lt;"&amp;$AJ136)+1,Constants!$B$14),$Z136))</f>
        <v/>
      </c>
      <c r="AL136" s="65" t="str">
        <f aca="false">IF(ISBLANK($C136),"",IF($Z136=Constants!$B$7,IF(ISNUMBER(AH136),AH136-AK136,Constants!$B$14),$Z136))</f>
        <v/>
      </c>
      <c r="AM136" s="67"/>
      <c r="AN136" s="68" t="str">
        <f aca="false">IF(ISBLANK($C136),"",IF($Z136&lt;&gt;Constants!$B$7,$Z136,AD136))</f>
        <v/>
      </c>
      <c r="AO136" s="69" t="str">
        <f aca="false">IF(ISBLANK($C136),"",IF($Z136&lt;&gt;Constants!$B$7,$Z136,S136))</f>
        <v/>
      </c>
      <c r="AP136" s="70" t="str">
        <f aca="false">IF(ISBLANK($C136),"",IF($Z136&lt;&gt;Constants!$B$7,$Z136,AF136))</f>
        <v/>
      </c>
      <c r="AQ136" s="71" t="str">
        <f aca="false">IF(ISBLANK($C136),"",IF($Z136&lt;&gt;Constants!$B$7,$Z136,AA136))</f>
        <v/>
      </c>
      <c r="AR136" s="69" t="str">
        <f aca="false">IF(ISBLANK($C136),"",AL136)</f>
        <v/>
      </c>
      <c r="AS136" s="69" t="str">
        <f aca="false">IF(ISBLANK($C136),"",AK136)</f>
        <v/>
      </c>
      <c r="AT136" s="72" t="str">
        <f aca="false">IF(ISBLANK($C136),"",IF(AS136=Constants!$B$4,COUNTA($C$8:$C$507)+2,IF(AS136=Constants!$B$5,COUNTA($C$8:$C$507)+1,IF(AS136=Constants!$B$6,COUNTA($C$8:$C$507),AS136))))</f>
        <v/>
      </c>
      <c r="AU136" s="5"/>
      <c r="AV136" s="73" t="n">
        <f aca="false">IF(OR(ISNUMBER(AS136),AS136=Constants!$B$4,AS136=Constants!$B$6,AS136=Constants!$B$5),1,0)</f>
        <v>0</v>
      </c>
      <c r="AW136" s="73" t="n">
        <v>129</v>
      </c>
      <c r="AX136" s="73" t="str">
        <f aca="false">IF(ISBLANK($C136),"",IF(ISNUMBER(AT136),AT136+ROW($B136)/1000,""))</f>
        <v/>
      </c>
      <c r="AY136" s="73" t="str">
        <f aca="false">IF(ISNUMBER(AX136),RANK(AX136,$AX$8:$AX$507,1),"")</f>
        <v/>
      </c>
      <c r="AZ136" s="73" t="str">
        <f aca="false">IF(ISBLANK($C136),"",$B136)</f>
        <v/>
      </c>
      <c r="BA136" s="73" t="str">
        <f aca="false">IF(ISBLANK($C136),"",$C136)</f>
        <v/>
      </c>
      <c r="BB136" s="73" t="str">
        <f aca="false">IF(ISBLANK($C136),"",$D136)</f>
        <v/>
      </c>
      <c r="BC136" s="74" t="str">
        <f aca="false">AQ136</f>
        <v/>
      </c>
      <c r="BD136" s="75" t="str">
        <f aca="false">AP136</f>
        <v/>
      </c>
      <c r="BE136" s="73" t="str">
        <f aca="false">IF(ISBLANK($C136),"",AS136)</f>
        <v/>
      </c>
      <c r="BF136" s="76" t="str">
        <f aca="false">IF($AW136&gt;$AV$7,"",VLOOKUP($AW136,$AY$8:$BE$507,7,FALSE()))</f>
        <v/>
      </c>
      <c r="BG136" s="77" t="str">
        <f aca="false">IF($AW136&gt;$AV$7,"",VLOOKUP($AW136,$AY$8:$BE$507,2,FALSE()))</f>
        <v/>
      </c>
      <c r="BH136" s="77" t="str">
        <f aca="false">IF($AW136&gt;$AV$7,"",VLOOKUP($AW136,$AY$8:$BE$507,3,FALSE()))</f>
        <v/>
      </c>
      <c r="BI136" s="77" t="str">
        <f aca="false">IF($AW136&gt;$AV$7,"",VLOOKUP($AW136,$AY$8:$BE$507,4,FALSE()))</f>
        <v/>
      </c>
      <c r="BJ136" s="77" t="str">
        <f aca="false">IF($AW136&gt;$AV$7,"",VLOOKUP($AW136,$AY$8:$BE$507,5,FALSE()))</f>
        <v/>
      </c>
      <c r="BK136" s="78" t="str">
        <f aca="false">IF($AW136&gt;$AV$7,"",VLOOKUP($AW136,$AY$8:$BE$507,6,FALSE()))</f>
        <v/>
      </c>
      <c r="BL136" s="50"/>
    </row>
    <row r="137" customFormat="false" ht="15.75" hidden="false" customHeight="false" outlineLevel="0" collapsed="false">
      <c r="A137" s="5"/>
      <c r="B137" s="124"/>
      <c r="C137" s="125"/>
      <c r="D137" s="110"/>
      <c r="E137" s="130"/>
      <c r="F137" s="135"/>
      <c r="G137" s="88"/>
      <c r="H137" s="136"/>
      <c r="I137" s="137"/>
      <c r="J137" s="91"/>
      <c r="K137" s="92"/>
      <c r="L137" s="137"/>
      <c r="M137" s="93"/>
      <c r="N137" s="94"/>
      <c r="O137" s="130"/>
      <c r="P137" s="96"/>
      <c r="Q137" s="97" t="str">
        <f aca="false">IF(ISBLANK($C137),"",IF(E137=Constants!$B$2, TRUE(), IF(E137=Constants!$B$3, FALSE(), TRUE())))</f>
        <v/>
      </c>
      <c r="R137" s="97" t="str">
        <f aca="false">IF(ISBLANK($C137),"",IF(F137=Constants!$B$2, TRUE(), IF(F137=Constants!$B$3, FALSE(), TRUE())))</f>
        <v/>
      </c>
      <c r="S137" s="97" t="str">
        <f aca="false">IF(ISBLANK($C137),"",IF(G137=Constants!$B$15,Constants!$B$8,IF(G137=Constants!$B$16,Constants!$B$9,Constants!$B$10)))</f>
        <v/>
      </c>
      <c r="T137" s="97" t="str">
        <f aca="false">IF(ISBLANK($C137),"",IF(H137=Constants!$B$2, TRUE(), IF(H137=Constants!$B$3, FALSE(), TRUE())))</f>
        <v/>
      </c>
      <c r="U137" s="97" t="str">
        <f aca="false">IF(ISBLANK($C137),"",IF(I137=Constants!$B$19,Constants!$B$19,Constants!$B$18))</f>
        <v/>
      </c>
      <c r="V137" s="97" t="str">
        <f aca="false">IF(ISBLANK($C137),"",IF(COUNTA(J137:K137)=0,"",IF(AND(OR(ISBLANK(J137),AND(ISNUMBER(J137),J137&gt;=0)),OR(ISBLANK(K137),AND(ISNUMBER(K137),K137&gt;=0))),60*IF(ISBLANK(J137),0,J137)+IF(ISBLANK(K137),0,K137),"")))</f>
        <v/>
      </c>
      <c r="W137" s="97" t="str">
        <f aca="false">IF(ISBLANK($C137),"",IF(L137=Constants!$B$19,Constants!$B$19,Constants!$B$18))</f>
        <v/>
      </c>
      <c r="X137" s="97" t="str">
        <f aca="false">IF(ISBLANK($C137),"",IF(COUNTA(M137:N137)=0,"",IF(AND(OR(ISBLANK(M137),AND(ISNUMBER(M137),M137&gt;=0)),OR(ISBLANK(N137),AND(ISNUMBER(N137),N137&gt;=0))),60*IF(ISBLANK(M137),0,M137)+IF(ISBLANK(N137),0,N137),"")))</f>
        <v/>
      </c>
      <c r="Y137" s="97" t="str">
        <f aca="false">IF(ISBLANK($C137),"",IF(O137=Constants!$B$2, TRUE(), IF(O137=Constants!$B$3, FALSE(), FALSE())))</f>
        <v/>
      </c>
      <c r="Z137" s="97" t="str">
        <f aca="false">IF(ISBLANK($C137),"",IF(Y137,Constants!$B$4,IF(COUNTA(E137:N137)=0,Constants!$B$5,IF(COUNTA(J137:K137,M137:N137)=0,Constants!$B$6,Constants!$B$7))))</f>
        <v/>
      </c>
      <c r="AA137" s="97" t="str">
        <f aca="false">IF(ISBLANK($C137),"",IF($Z137&lt;&gt;Constants!$B$7,$Z137,IF(OR(NOT(T137),AND(NOT(Q137),COUNTIFS(U137:W137,Constants!$B$18,V137:X137,"&gt;=0")&gt;0),AND(NOT(R137),COUNTIFS(U137:W137,Constants!$B$19,V137:X137,"&gt;=0")&gt;0)),Constants!$B$12,Constants!$B$11)))</f>
        <v/>
      </c>
      <c r="AB137" s="97" t="str">
        <f aca="false">IF($Z137=Constants!$B$7,IF(V137="",Constants!$B$13,V137),"")</f>
        <v/>
      </c>
      <c r="AC137" s="97" t="str">
        <f aca="false">IF($Z137=Constants!$B$7,IF(X137="",Constants!$B$13,X137),"")</f>
        <v/>
      </c>
      <c r="AD137" s="97" t="str">
        <f aca="false">IF($Z137=Constants!$B$7,IF($AB137&gt;=$AC137,1,2),"")</f>
        <v/>
      </c>
      <c r="AE137" s="97" t="str">
        <f aca="false">IF($Z137=Constants!$B$7,LARGE(AB137:AC137,1),"")</f>
        <v/>
      </c>
      <c r="AF137" s="97" t="str">
        <f aca="false">IF(ISBLANK($C137),"",IF($Z137&lt;&gt;Constants!$B$7,$Z137,AE137*S137))</f>
        <v/>
      </c>
      <c r="AG137" s="97" t="str">
        <f aca="false">IF(ISBLANK($C137),"",IF($Z137=Constants!$B$7,IF(ISNUMBER(AF137),RANK(AF137,$AF$8:$AF$507),Constants!$B$14),$Z137))</f>
        <v/>
      </c>
      <c r="AH137" s="97" t="str">
        <f aca="false">IF(ISBLANK($C137),"",IF($Z137=Constants!$B$7,IF(ISNUMBER(AG137),COUNTIFS($AA$8:$AA$507,"&lt;"&amp;$AA137)+COUNTIFS($AA$8:$AA$507,$AA137,$AG$8:$AG$507,"&lt;"&amp;$AG137)+1,Constants!$B$14),$Z137))</f>
        <v/>
      </c>
      <c r="AI137" s="97" t="str">
        <f aca="false">IF(ISBLANK($C137),"",IF($Z137=Constants!$B$7,LARGE(AB137:AC137,2)*S137,""))</f>
        <v/>
      </c>
      <c r="AJ137" s="97" t="str">
        <f aca="false">IF(ISBLANK($C137),"",IF($Z137=Constants!$B$7,RANK(AI137,$AI$8:$AI$507),$Z137))</f>
        <v/>
      </c>
      <c r="AK137" s="97" t="str">
        <f aca="false">IF(ISBLANK($C137),"",IF($Z137=Constants!$B$7,IF(ISNUMBER(AG137),COUNTIFS($AA$8:$AA$507,"&lt;"&amp;$AA137)+COUNTIFS($AA$8:$AA$507,$AA137,$AG$8:$AG$507,"&lt;"&amp;$AG137)+COUNTIFS($AA$8:$AA$507,$AA137,$AG$8:$AG$507,$AG137,$AJ$8:$AJ$507,"&lt;"&amp;$AJ137)+1,Constants!$B$14),$Z137))</f>
        <v/>
      </c>
      <c r="AL137" s="97" t="str">
        <f aca="false">IF(ISBLANK($C137),"",IF($Z137=Constants!$B$7,IF(ISNUMBER(AH137),AH137-AK137,Constants!$B$14),$Z137))</f>
        <v/>
      </c>
      <c r="AM137" s="98"/>
      <c r="AN137" s="99" t="str">
        <f aca="false">IF(ISBLANK($C137),"",IF($Z137&lt;&gt;Constants!$B$7,$Z137,AD137))</f>
        <v/>
      </c>
      <c r="AO137" s="100" t="str">
        <f aca="false">IF(ISBLANK($C137),"",IF($Z137&lt;&gt;Constants!$B$7,$Z137,S137))</f>
        <v/>
      </c>
      <c r="AP137" s="101" t="str">
        <f aca="false">IF(ISBLANK($C137),"",IF($Z137&lt;&gt;Constants!$B$7,$Z137,AF137))</f>
        <v/>
      </c>
      <c r="AQ137" s="102" t="str">
        <f aca="false">IF(ISBLANK($C137),"",IF($Z137&lt;&gt;Constants!$B$7,$Z137,AA137))</f>
        <v/>
      </c>
      <c r="AR137" s="100" t="str">
        <f aca="false">IF(ISBLANK($C137),"",AL137)</f>
        <v/>
      </c>
      <c r="AS137" s="100" t="str">
        <f aca="false">IF(ISBLANK($C137),"",AK137)</f>
        <v/>
      </c>
      <c r="AT137" s="103" t="str">
        <f aca="false">IF(ISBLANK($C137),"",IF(AS137=Constants!$B$4,COUNTA($C$8:$C$507)+2,IF(AS137=Constants!$B$5,COUNTA($C$8:$C$507)+1,IF(AS137=Constants!$B$6,COUNTA($C$8:$C$507),AS137))))</f>
        <v/>
      </c>
      <c r="AU137" s="5"/>
      <c r="AV137" s="104" t="n">
        <f aca="false">IF(OR(ISNUMBER(AS137),AS137=Constants!$B$4,AS137=Constants!$B$6,AS137=Constants!$B$5),1,0)</f>
        <v>0</v>
      </c>
      <c r="AW137" s="104" t="n">
        <v>130</v>
      </c>
      <c r="AX137" s="104" t="str">
        <f aca="false">IF(ISBLANK($C137),"",IF(ISNUMBER(AT137),AT137+ROW($B137)/1000,""))</f>
        <v/>
      </c>
      <c r="AY137" s="104" t="str">
        <f aca="false">IF(ISNUMBER(AX137),RANK(AX137,$AX$8:$AX$507,1),"")</f>
        <v/>
      </c>
      <c r="AZ137" s="104" t="str">
        <f aca="false">IF(ISBLANK($C137),"",$B137)</f>
        <v/>
      </c>
      <c r="BA137" s="104" t="str">
        <f aca="false">IF(ISBLANK($C137),"",$C137)</f>
        <v/>
      </c>
      <c r="BB137" s="104" t="str">
        <f aca="false">IF(ISBLANK($C137),"",$D137)</f>
        <v/>
      </c>
      <c r="BC137" s="105" t="str">
        <f aca="false">AQ137</f>
        <v/>
      </c>
      <c r="BD137" s="106" t="str">
        <f aca="false">AP137</f>
        <v/>
      </c>
      <c r="BE137" s="104" t="str">
        <f aca="false">IF(ISBLANK($C137),"",AS137)</f>
        <v/>
      </c>
      <c r="BF137" s="107" t="str">
        <f aca="false">IF($AW137&gt;$AV$7,"",VLOOKUP($AW137,$AY$8:$BE$507,7,FALSE()))</f>
        <v/>
      </c>
      <c r="BG137" s="108" t="str">
        <f aca="false">IF($AW137&gt;$AV$7,"",VLOOKUP($AW137,$AY$8:$BE$507,2,FALSE()))</f>
        <v/>
      </c>
      <c r="BH137" s="108" t="str">
        <f aca="false">IF($AW137&gt;$AV$7,"",VLOOKUP($AW137,$AY$8:$BE$507,3,FALSE()))</f>
        <v/>
      </c>
      <c r="BI137" s="108" t="str">
        <f aca="false">IF($AW137&gt;$AV$7,"",VLOOKUP($AW137,$AY$8:$BE$507,4,FALSE()))</f>
        <v/>
      </c>
      <c r="BJ137" s="108" t="str">
        <f aca="false">IF($AW137&gt;$AV$7,"",VLOOKUP($AW137,$AY$8:$BE$507,5,FALSE()))</f>
        <v/>
      </c>
      <c r="BK137" s="109" t="str">
        <f aca="false">IF($AW137&gt;$AV$7,"",VLOOKUP($AW137,$AY$8:$BE$507,6,FALSE()))</f>
        <v/>
      </c>
      <c r="BL137" s="50"/>
    </row>
    <row r="138" customFormat="false" ht="15.75" hidden="false" customHeight="false" outlineLevel="0" collapsed="false">
      <c r="A138" s="5"/>
      <c r="B138" s="124"/>
      <c r="C138" s="125"/>
      <c r="D138" s="110"/>
      <c r="E138" s="130"/>
      <c r="F138" s="135"/>
      <c r="G138" s="88"/>
      <c r="H138" s="136"/>
      <c r="I138" s="137"/>
      <c r="J138" s="91"/>
      <c r="K138" s="92"/>
      <c r="L138" s="137"/>
      <c r="M138" s="93"/>
      <c r="N138" s="94"/>
      <c r="O138" s="130"/>
      <c r="P138" s="96"/>
      <c r="Q138" s="97" t="str">
        <f aca="false">IF(ISBLANK($C138),"",IF(E138=Constants!$B$2, TRUE(), IF(E138=Constants!$B$3, FALSE(), TRUE())))</f>
        <v/>
      </c>
      <c r="R138" s="97" t="str">
        <f aca="false">IF(ISBLANK($C138),"",IF(F138=Constants!$B$2, TRUE(), IF(F138=Constants!$B$3, FALSE(), TRUE())))</f>
        <v/>
      </c>
      <c r="S138" s="97" t="str">
        <f aca="false">IF(ISBLANK($C138),"",IF(G138=Constants!$B$15,Constants!$B$8,IF(G138=Constants!$B$16,Constants!$B$9,Constants!$B$10)))</f>
        <v/>
      </c>
      <c r="T138" s="97" t="str">
        <f aca="false">IF(ISBLANK($C138),"",IF(H138=Constants!$B$2, TRUE(), IF(H138=Constants!$B$3, FALSE(), TRUE())))</f>
        <v/>
      </c>
      <c r="U138" s="97" t="str">
        <f aca="false">IF(ISBLANK($C138),"",IF(I138=Constants!$B$19,Constants!$B$19,Constants!$B$18))</f>
        <v/>
      </c>
      <c r="V138" s="97" t="str">
        <f aca="false">IF(ISBLANK($C138),"",IF(COUNTA(J138:K138)=0,"",IF(AND(OR(ISBLANK(J138),AND(ISNUMBER(J138),J138&gt;=0)),OR(ISBLANK(K138),AND(ISNUMBER(K138),K138&gt;=0))),60*IF(ISBLANK(J138),0,J138)+IF(ISBLANK(K138),0,K138),"")))</f>
        <v/>
      </c>
      <c r="W138" s="97" t="str">
        <f aca="false">IF(ISBLANK($C138),"",IF(L138=Constants!$B$19,Constants!$B$19,Constants!$B$18))</f>
        <v/>
      </c>
      <c r="X138" s="97" t="str">
        <f aca="false">IF(ISBLANK($C138),"",IF(COUNTA(M138:N138)=0,"",IF(AND(OR(ISBLANK(M138),AND(ISNUMBER(M138),M138&gt;=0)),OR(ISBLANK(N138),AND(ISNUMBER(N138),N138&gt;=0))),60*IF(ISBLANK(M138),0,M138)+IF(ISBLANK(N138),0,N138),"")))</f>
        <v/>
      </c>
      <c r="Y138" s="97" t="str">
        <f aca="false">IF(ISBLANK($C138),"",IF(O138=Constants!$B$2, TRUE(), IF(O138=Constants!$B$3, FALSE(), FALSE())))</f>
        <v/>
      </c>
      <c r="Z138" s="97" t="str">
        <f aca="false">IF(ISBLANK($C138),"",IF(Y138,Constants!$B$4,IF(COUNTA(E138:N138)=0,Constants!$B$5,IF(COUNTA(J138:K138,M138:N138)=0,Constants!$B$6,Constants!$B$7))))</f>
        <v/>
      </c>
      <c r="AA138" s="97" t="str">
        <f aca="false">IF(ISBLANK($C138),"",IF($Z138&lt;&gt;Constants!$B$7,$Z138,IF(OR(NOT(T138),AND(NOT(Q138),COUNTIFS(U138:W138,Constants!$B$18,V138:X138,"&gt;=0")&gt;0),AND(NOT(R138),COUNTIFS(U138:W138,Constants!$B$19,V138:X138,"&gt;=0")&gt;0)),Constants!$B$12,Constants!$B$11)))</f>
        <v/>
      </c>
      <c r="AB138" s="97" t="str">
        <f aca="false">IF($Z138=Constants!$B$7,IF(V138="",Constants!$B$13,V138),"")</f>
        <v/>
      </c>
      <c r="AC138" s="97" t="str">
        <f aca="false">IF($Z138=Constants!$B$7,IF(X138="",Constants!$B$13,X138),"")</f>
        <v/>
      </c>
      <c r="AD138" s="97" t="str">
        <f aca="false">IF($Z138=Constants!$B$7,IF($AB138&gt;=$AC138,1,2),"")</f>
        <v/>
      </c>
      <c r="AE138" s="97" t="str">
        <f aca="false">IF($Z138=Constants!$B$7,LARGE(AB138:AC138,1),"")</f>
        <v/>
      </c>
      <c r="AF138" s="97" t="str">
        <f aca="false">IF(ISBLANK($C138),"",IF($Z138&lt;&gt;Constants!$B$7,$Z138,AE138*S138))</f>
        <v/>
      </c>
      <c r="AG138" s="97" t="str">
        <f aca="false">IF(ISBLANK($C138),"",IF($Z138=Constants!$B$7,IF(ISNUMBER(AF138),RANK(AF138,$AF$8:$AF$507),Constants!$B$14),$Z138))</f>
        <v/>
      </c>
      <c r="AH138" s="97" t="str">
        <f aca="false">IF(ISBLANK($C138),"",IF($Z138=Constants!$B$7,IF(ISNUMBER(AG138),COUNTIFS($AA$8:$AA$507,"&lt;"&amp;$AA138)+COUNTIFS($AA$8:$AA$507,$AA138,$AG$8:$AG$507,"&lt;"&amp;$AG138)+1,Constants!$B$14),$Z138))</f>
        <v/>
      </c>
      <c r="AI138" s="97" t="str">
        <f aca="false">IF(ISBLANK($C138),"",IF($Z138=Constants!$B$7,LARGE(AB138:AC138,2)*S138,""))</f>
        <v/>
      </c>
      <c r="AJ138" s="97" t="str">
        <f aca="false">IF(ISBLANK($C138),"",IF($Z138=Constants!$B$7,RANK(AI138,$AI$8:$AI$507),$Z138))</f>
        <v/>
      </c>
      <c r="AK138" s="97" t="str">
        <f aca="false">IF(ISBLANK($C138),"",IF($Z138=Constants!$B$7,IF(ISNUMBER(AG138),COUNTIFS($AA$8:$AA$507,"&lt;"&amp;$AA138)+COUNTIFS($AA$8:$AA$507,$AA138,$AG$8:$AG$507,"&lt;"&amp;$AG138)+COUNTIFS($AA$8:$AA$507,$AA138,$AG$8:$AG$507,$AG138,$AJ$8:$AJ$507,"&lt;"&amp;$AJ138)+1,Constants!$B$14),$Z138))</f>
        <v/>
      </c>
      <c r="AL138" s="97" t="str">
        <f aca="false">IF(ISBLANK($C138),"",IF($Z138=Constants!$B$7,IF(ISNUMBER(AH138),AH138-AK138,Constants!$B$14),$Z138))</f>
        <v/>
      </c>
      <c r="AM138" s="98"/>
      <c r="AN138" s="99" t="str">
        <f aca="false">IF(ISBLANK($C138),"",IF($Z138&lt;&gt;Constants!$B$7,$Z138,AD138))</f>
        <v/>
      </c>
      <c r="AO138" s="100" t="str">
        <f aca="false">IF(ISBLANK($C138),"",IF($Z138&lt;&gt;Constants!$B$7,$Z138,S138))</f>
        <v/>
      </c>
      <c r="AP138" s="101" t="str">
        <f aca="false">IF(ISBLANK($C138),"",IF($Z138&lt;&gt;Constants!$B$7,$Z138,AF138))</f>
        <v/>
      </c>
      <c r="AQ138" s="102" t="str">
        <f aca="false">IF(ISBLANK($C138),"",IF($Z138&lt;&gt;Constants!$B$7,$Z138,AA138))</f>
        <v/>
      </c>
      <c r="AR138" s="100" t="str">
        <f aca="false">IF(ISBLANK($C138),"",AL138)</f>
        <v/>
      </c>
      <c r="AS138" s="100" t="str">
        <f aca="false">IF(ISBLANK($C138),"",AK138)</f>
        <v/>
      </c>
      <c r="AT138" s="103" t="str">
        <f aca="false">IF(ISBLANK($C138),"",IF(AS138=Constants!$B$4,COUNTA($C$8:$C$507)+2,IF(AS138=Constants!$B$5,COUNTA($C$8:$C$507)+1,IF(AS138=Constants!$B$6,COUNTA($C$8:$C$507),AS138))))</f>
        <v/>
      </c>
      <c r="AU138" s="5"/>
      <c r="AV138" s="104" t="n">
        <f aca="false">IF(OR(ISNUMBER(AS138),AS138=Constants!$B$4,AS138=Constants!$B$6,AS138=Constants!$B$5),1,0)</f>
        <v>0</v>
      </c>
      <c r="AW138" s="104" t="n">
        <v>131</v>
      </c>
      <c r="AX138" s="104" t="str">
        <f aca="false">IF(ISBLANK($C138),"",IF(ISNUMBER(AT138),AT138+ROW($B138)/1000,""))</f>
        <v/>
      </c>
      <c r="AY138" s="104" t="str">
        <f aca="false">IF(ISNUMBER(AX138),RANK(AX138,$AX$8:$AX$507,1),"")</f>
        <v/>
      </c>
      <c r="AZ138" s="104" t="str">
        <f aca="false">IF(ISBLANK($C138),"",$B138)</f>
        <v/>
      </c>
      <c r="BA138" s="104" t="str">
        <f aca="false">IF(ISBLANK($C138),"",$C138)</f>
        <v/>
      </c>
      <c r="BB138" s="104" t="str">
        <f aca="false">IF(ISBLANK($C138),"",$D138)</f>
        <v/>
      </c>
      <c r="BC138" s="105" t="str">
        <f aca="false">AQ138</f>
        <v/>
      </c>
      <c r="BD138" s="106" t="str">
        <f aca="false">AP138</f>
        <v/>
      </c>
      <c r="BE138" s="104" t="str">
        <f aca="false">IF(ISBLANK($C138),"",AS138)</f>
        <v/>
      </c>
      <c r="BF138" s="107" t="str">
        <f aca="false">IF($AW138&gt;$AV$7,"",VLOOKUP($AW138,$AY$8:$BE$507,7,FALSE()))</f>
        <v/>
      </c>
      <c r="BG138" s="108" t="str">
        <f aca="false">IF($AW138&gt;$AV$7,"",VLOOKUP($AW138,$AY$8:$BE$507,2,FALSE()))</f>
        <v/>
      </c>
      <c r="BH138" s="108" t="str">
        <f aca="false">IF($AW138&gt;$AV$7,"",VLOOKUP($AW138,$AY$8:$BE$507,3,FALSE()))</f>
        <v/>
      </c>
      <c r="BI138" s="108" t="str">
        <f aca="false">IF($AW138&gt;$AV$7,"",VLOOKUP($AW138,$AY$8:$BE$507,4,FALSE()))</f>
        <v/>
      </c>
      <c r="BJ138" s="108" t="str">
        <f aca="false">IF($AW138&gt;$AV$7,"",VLOOKUP($AW138,$AY$8:$BE$507,5,FALSE()))</f>
        <v/>
      </c>
      <c r="BK138" s="109" t="str">
        <f aca="false">IF($AW138&gt;$AV$7,"",VLOOKUP($AW138,$AY$8:$BE$507,6,FALSE()))</f>
        <v/>
      </c>
      <c r="BL138" s="50"/>
    </row>
    <row r="139" customFormat="false" ht="15.75" hidden="false" customHeight="false" outlineLevel="0" collapsed="false">
      <c r="A139" s="5"/>
      <c r="B139" s="124"/>
      <c r="C139" s="125"/>
      <c r="D139" s="110"/>
      <c r="E139" s="130"/>
      <c r="F139" s="135"/>
      <c r="G139" s="88"/>
      <c r="H139" s="136"/>
      <c r="I139" s="137"/>
      <c r="J139" s="91"/>
      <c r="K139" s="92"/>
      <c r="L139" s="137"/>
      <c r="M139" s="93"/>
      <c r="N139" s="94"/>
      <c r="O139" s="130"/>
      <c r="P139" s="96"/>
      <c r="Q139" s="97" t="str">
        <f aca="false">IF(ISBLANK($C139),"",IF(E139=Constants!$B$2, TRUE(), IF(E139=Constants!$B$3, FALSE(), TRUE())))</f>
        <v/>
      </c>
      <c r="R139" s="97" t="str">
        <f aca="false">IF(ISBLANK($C139),"",IF(F139=Constants!$B$2, TRUE(), IF(F139=Constants!$B$3, FALSE(), TRUE())))</f>
        <v/>
      </c>
      <c r="S139" s="97" t="str">
        <f aca="false">IF(ISBLANK($C139),"",IF(G139=Constants!$B$15,Constants!$B$8,IF(G139=Constants!$B$16,Constants!$B$9,Constants!$B$10)))</f>
        <v/>
      </c>
      <c r="T139" s="97" t="str">
        <f aca="false">IF(ISBLANK($C139),"",IF(H139=Constants!$B$2, TRUE(), IF(H139=Constants!$B$3, FALSE(), TRUE())))</f>
        <v/>
      </c>
      <c r="U139" s="97" t="str">
        <f aca="false">IF(ISBLANK($C139),"",IF(I139=Constants!$B$19,Constants!$B$19,Constants!$B$18))</f>
        <v/>
      </c>
      <c r="V139" s="97" t="str">
        <f aca="false">IF(ISBLANK($C139),"",IF(COUNTA(J139:K139)=0,"",IF(AND(OR(ISBLANK(J139),AND(ISNUMBER(J139),J139&gt;=0)),OR(ISBLANK(K139),AND(ISNUMBER(K139),K139&gt;=0))),60*IF(ISBLANK(J139),0,J139)+IF(ISBLANK(K139),0,K139),"")))</f>
        <v/>
      </c>
      <c r="W139" s="97" t="str">
        <f aca="false">IF(ISBLANK($C139),"",IF(L139=Constants!$B$19,Constants!$B$19,Constants!$B$18))</f>
        <v/>
      </c>
      <c r="X139" s="97" t="str">
        <f aca="false">IF(ISBLANK($C139),"",IF(COUNTA(M139:N139)=0,"",IF(AND(OR(ISBLANK(M139),AND(ISNUMBER(M139),M139&gt;=0)),OR(ISBLANK(N139),AND(ISNUMBER(N139),N139&gt;=0))),60*IF(ISBLANK(M139),0,M139)+IF(ISBLANK(N139),0,N139),"")))</f>
        <v/>
      </c>
      <c r="Y139" s="97" t="str">
        <f aca="false">IF(ISBLANK($C139),"",IF(O139=Constants!$B$2, TRUE(), IF(O139=Constants!$B$3, FALSE(), FALSE())))</f>
        <v/>
      </c>
      <c r="Z139" s="97" t="str">
        <f aca="false">IF(ISBLANK($C139),"",IF(Y139,Constants!$B$4,IF(COUNTA(E139:N139)=0,Constants!$B$5,IF(COUNTA(J139:K139,M139:N139)=0,Constants!$B$6,Constants!$B$7))))</f>
        <v/>
      </c>
      <c r="AA139" s="97" t="str">
        <f aca="false">IF(ISBLANK($C139),"",IF($Z139&lt;&gt;Constants!$B$7,$Z139,IF(OR(NOT(T139),AND(NOT(Q139),COUNTIFS(U139:W139,Constants!$B$18,V139:X139,"&gt;=0")&gt;0),AND(NOT(R139),COUNTIFS(U139:W139,Constants!$B$19,V139:X139,"&gt;=0")&gt;0)),Constants!$B$12,Constants!$B$11)))</f>
        <v/>
      </c>
      <c r="AB139" s="97" t="str">
        <f aca="false">IF($Z139=Constants!$B$7,IF(V139="",Constants!$B$13,V139),"")</f>
        <v/>
      </c>
      <c r="AC139" s="97" t="str">
        <f aca="false">IF($Z139=Constants!$B$7,IF(X139="",Constants!$B$13,X139),"")</f>
        <v/>
      </c>
      <c r="AD139" s="97" t="str">
        <f aca="false">IF($Z139=Constants!$B$7,IF($AB139&gt;=$AC139,1,2),"")</f>
        <v/>
      </c>
      <c r="AE139" s="97" t="str">
        <f aca="false">IF($Z139=Constants!$B$7,LARGE(AB139:AC139,1),"")</f>
        <v/>
      </c>
      <c r="AF139" s="97" t="str">
        <f aca="false">IF(ISBLANK($C139),"",IF($Z139&lt;&gt;Constants!$B$7,$Z139,AE139*S139))</f>
        <v/>
      </c>
      <c r="AG139" s="97" t="str">
        <f aca="false">IF(ISBLANK($C139),"",IF($Z139=Constants!$B$7,IF(ISNUMBER(AF139),RANK(AF139,$AF$8:$AF$507),Constants!$B$14),$Z139))</f>
        <v/>
      </c>
      <c r="AH139" s="97" t="str">
        <f aca="false">IF(ISBLANK($C139),"",IF($Z139=Constants!$B$7,IF(ISNUMBER(AG139),COUNTIFS($AA$8:$AA$507,"&lt;"&amp;$AA139)+COUNTIFS($AA$8:$AA$507,$AA139,$AG$8:$AG$507,"&lt;"&amp;$AG139)+1,Constants!$B$14),$Z139))</f>
        <v/>
      </c>
      <c r="AI139" s="97" t="str">
        <f aca="false">IF(ISBLANK($C139),"",IF($Z139=Constants!$B$7,LARGE(AB139:AC139,2)*S139,""))</f>
        <v/>
      </c>
      <c r="AJ139" s="97" t="str">
        <f aca="false">IF(ISBLANK($C139),"",IF($Z139=Constants!$B$7,RANK(AI139,$AI$8:$AI$507),$Z139))</f>
        <v/>
      </c>
      <c r="AK139" s="97" t="str">
        <f aca="false">IF(ISBLANK($C139),"",IF($Z139=Constants!$B$7,IF(ISNUMBER(AG139),COUNTIFS($AA$8:$AA$507,"&lt;"&amp;$AA139)+COUNTIFS($AA$8:$AA$507,$AA139,$AG$8:$AG$507,"&lt;"&amp;$AG139)+COUNTIFS($AA$8:$AA$507,$AA139,$AG$8:$AG$507,$AG139,$AJ$8:$AJ$507,"&lt;"&amp;$AJ139)+1,Constants!$B$14),$Z139))</f>
        <v/>
      </c>
      <c r="AL139" s="97" t="str">
        <f aca="false">IF(ISBLANK($C139),"",IF($Z139=Constants!$B$7,IF(ISNUMBER(AH139),AH139-AK139,Constants!$B$14),$Z139))</f>
        <v/>
      </c>
      <c r="AM139" s="98"/>
      <c r="AN139" s="99" t="str">
        <f aca="false">IF(ISBLANK($C139),"",IF($Z139&lt;&gt;Constants!$B$7,$Z139,AD139))</f>
        <v/>
      </c>
      <c r="AO139" s="100" t="str">
        <f aca="false">IF(ISBLANK($C139),"",IF($Z139&lt;&gt;Constants!$B$7,$Z139,S139))</f>
        <v/>
      </c>
      <c r="AP139" s="101" t="str">
        <f aca="false">IF(ISBLANK($C139),"",IF($Z139&lt;&gt;Constants!$B$7,$Z139,AF139))</f>
        <v/>
      </c>
      <c r="AQ139" s="102" t="str">
        <f aca="false">IF(ISBLANK($C139),"",IF($Z139&lt;&gt;Constants!$B$7,$Z139,AA139))</f>
        <v/>
      </c>
      <c r="AR139" s="100" t="str">
        <f aca="false">IF(ISBLANK($C139),"",AL139)</f>
        <v/>
      </c>
      <c r="AS139" s="100" t="str">
        <f aca="false">IF(ISBLANK($C139),"",AK139)</f>
        <v/>
      </c>
      <c r="AT139" s="103" t="str">
        <f aca="false">IF(ISBLANK($C139),"",IF(AS139=Constants!$B$4,COUNTA($C$8:$C$507)+2,IF(AS139=Constants!$B$5,COUNTA($C$8:$C$507)+1,IF(AS139=Constants!$B$6,COUNTA($C$8:$C$507),AS139))))</f>
        <v/>
      </c>
      <c r="AU139" s="5"/>
      <c r="AV139" s="104" t="n">
        <f aca="false">IF(OR(ISNUMBER(AS139),AS139=Constants!$B$4,AS139=Constants!$B$6,AS139=Constants!$B$5),1,0)</f>
        <v>0</v>
      </c>
      <c r="AW139" s="104" t="n">
        <v>132</v>
      </c>
      <c r="AX139" s="104" t="str">
        <f aca="false">IF(ISBLANK($C139),"",IF(ISNUMBER(AT139),AT139+ROW($B139)/1000,""))</f>
        <v/>
      </c>
      <c r="AY139" s="104" t="str">
        <f aca="false">IF(ISNUMBER(AX139),RANK(AX139,$AX$8:$AX$507,1),"")</f>
        <v/>
      </c>
      <c r="AZ139" s="104" t="str">
        <f aca="false">IF(ISBLANK($C139),"",$B139)</f>
        <v/>
      </c>
      <c r="BA139" s="104" t="str">
        <f aca="false">IF(ISBLANK($C139),"",$C139)</f>
        <v/>
      </c>
      <c r="BB139" s="104" t="str">
        <f aca="false">IF(ISBLANK($C139),"",$D139)</f>
        <v/>
      </c>
      <c r="BC139" s="105" t="str">
        <f aca="false">AQ139</f>
        <v/>
      </c>
      <c r="BD139" s="106" t="str">
        <f aca="false">AP139</f>
        <v/>
      </c>
      <c r="BE139" s="104" t="str">
        <f aca="false">IF(ISBLANK($C139),"",AS139)</f>
        <v/>
      </c>
      <c r="BF139" s="107" t="str">
        <f aca="false">IF($AW139&gt;$AV$7,"",VLOOKUP($AW139,$AY$8:$BE$507,7,FALSE()))</f>
        <v/>
      </c>
      <c r="BG139" s="108" t="str">
        <f aca="false">IF($AW139&gt;$AV$7,"",VLOOKUP($AW139,$AY$8:$BE$507,2,FALSE()))</f>
        <v/>
      </c>
      <c r="BH139" s="108" t="str">
        <f aca="false">IF($AW139&gt;$AV$7,"",VLOOKUP($AW139,$AY$8:$BE$507,3,FALSE()))</f>
        <v/>
      </c>
      <c r="BI139" s="108" t="str">
        <f aca="false">IF($AW139&gt;$AV$7,"",VLOOKUP($AW139,$AY$8:$BE$507,4,FALSE()))</f>
        <v/>
      </c>
      <c r="BJ139" s="108" t="str">
        <f aca="false">IF($AW139&gt;$AV$7,"",VLOOKUP($AW139,$AY$8:$BE$507,5,FALSE()))</f>
        <v/>
      </c>
      <c r="BK139" s="109" t="str">
        <f aca="false">IF($AW139&gt;$AV$7,"",VLOOKUP($AW139,$AY$8:$BE$507,6,FALSE()))</f>
        <v/>
      </c>
      <c r="BL139" s="50"/>
    </row>
    <row r="140" customFormat="false" ht="15.75" hidden="false" customHeight="false" outlineLevel="0" collapsed="false">
      <c r="A140" s="5"/>
      <c r="B140" s="131"/>
      <c r="C140" s="52"/>
      <c r="D140" s="53"/>
      <c r="E140" s="80"/>
      <c r="F140" s="132"/>
      <c r="G140" s="56"/>
      <c r="H140" s="133"/>
      <c r="I140" s="134"/>
      <c r="J140" s="59"/>
      <c r="K140" s="60"/>
      <c r="L140" s="134"/>
      <c r="M140" s="61"/>
      <c r="N140" s="62"/>
      <c r="O140" s="80"/>
      <c r="P140" s="64"/>
      <c r="Q140" s="65" t="str">
        <f aca="false">IF(ISBLANK($C140),"",IF(E140=Constants!$B$2, TRUE(), IF(E140=Constants!$B$3, FALSE(), TRUE())))</f>
        <v/>
      </c>
      <c r="R140" s="65" t="str">
        <f aca="false">IF(ISBLANK($C140),"",IF(F140=Constants!$B$2, TRUE(), IF(F140=Constants!$B$3, FALSE(), TRUE())))</f>
        <v/>
      </c>
      <c r="S140" s="65" t="str">
        <f aca="false">IF(ISBLANK($C140),"",IF(G140=Constants!$B$15,Constants!$B$8,IF(G140=Constants!$B$16,Constants!$B$9,Constants!$B$10)))</f>
        <v/>
      </c>
      <c r="T140" s="65" t="str">
        <f aca="false">IF(ISBLANK($C140),"",IF(H140=Constants!$B$2, TRUE(), IF(H140=Constants!$B$3, FALSE(), TRUE())))</f>
        <v/>
      </c>
      <c r="U140" s="65" t="str">
        <f aca="false">IF(ISBLANK($C140),"",IF(I140=Constants!$B$19,Constants!$B$19,Constants!$B$18))</f>
        <v/>
      </c>
      <c r="V140" s="65" t="str">
        <f aca="false">IF(ISBLANK($C140),"",IF(COUNTA(J140:K140)=0,"",IF(AND(OR(ISBLANK(J140),AND(ISNUMBER(J140),J140&gt;=0)),OR(ISBLANK(K140),AND(ISNUMBER(K140),K140&gt;=0))),60*IF(ISBLANK(J140),0,J140)+IF(ISBLANK(K140),0,K140),"")))</f>
        <v/>
      </c>
      <c r="W140" s="65" t="str">
        <f aca="false">IF(ISBLANK($C140),"",IF(L140=Constants!$B$19,Constants!$B$19,Constants!$B$18))</f>
        <v/>
      </c>
      <c r="X140" s="65" t="str">
        <f aca="false">IF(ISBLANK($C140),"",IF(COUNTA(M140:N140)=0,"",IF(AND(OR(ISBLANK(M140),AND(ISNUMBER(M140),M140&gt;=0)),OR(ISBLANK(N140),AND(ISNUMBER(N140),N140&gt;=0))),60*IF(ISBLANK(M140),0,M140)+IF(ISBLANK(N140),0,N140),"")))</f>
        <v/>
      </c>
      <c r="Y140" s="65" t="str">
        <f aca="false">IF(ISBLANK($C140),"",IF(O140=Constants!$B$2, TRUE(), IF(O140=Constants!$B$3, FALSE(), FALSE())))</f>
        <v/>
      </c>
      <c r="Z140" s="65" t="str">
        <f aca="false">IF(ISBLANK($C140),"",IF(Y140,Constants!$B$4,IF(COUNTA(E140:N140)=0,Constants!$B$5,IF(COUNTA(J140:K140,M140:N140)=0,Constants!$B$6,Constants!$B$7))))</f>
        <v/>
      </c>
      <c r="AA140" s="65" t="str">
        <f aca="false">IF(ISBLANK($C140),"",IF($Z140&lt;&gt;Constants!$B$7,$Z140,IF(OR(NOT(T140),AND(NOT(Q140),COUNTIFS(U140:W140,Constants!$B$18,V140:X140,"&gt;=0")&gt;0),AND(NOT(R140),COUNTIFS(U140:W140,Constants!$B$19,V140:X140,"&gt;=0")&gt;0)),Constants!$B$12,Constants!$B$11)))</f>
        <v/>
      </c>
      <c r="AB140" s="65" t="str">
        <f aca="false">IF($Z140=Constants!$B$7,IF(V140="",Constants!$B$13,V140),"")</f>
        <v/>
      </c>
      <c r="AC140" s="65" t="str">
        <f aca="false">IF($Z140=Constants!$B$7,IF(X140="",Constants!$B$13,X140),"")</f>
        <v/>
      </c>
      <c r="AD140" s="65" t="str">
        <f aca="false">IF($Z140=Constants!$B$7,IF($AB140&gt;=$AC140,1,2),"")</f>
        <v/>
      </c>
      <c r="AE140" s="65" t="str">
        <f aca="false">IF($Z140=Constants!$B$7,LARGE(AB140:AC140,1),"")</f>
        <v/>
      </c>
      <c r="AF140" s="65" t="str">
        <f aca="false">IF(ISBLANK($C140),"",IF($Z140&lt;&gt;Constants!$B$7,$Z140,AE140*S140))</f>
        <v/>
      </c>
      <c r="AG140" s="65" t="str">
        <f aca="false">IF(ISBLANK($C140),"",IF($Z140=Constants!$B$7,IF(ISNUMBER(AF140),RANK(AF140,$AF$8:$AF$507),Constants!$B$14),$Z140))</f>
        <v/>
      </c>
      <c r="AH140" s="65" t="str">
        <f aca="false">IF(ISBLANK($C140),"",IF($Z140=Constants!$B$7,IF(ISNUMBER(AG140),COUNTIFS($AA$8:$AA$507,"&lt;"&amp;$AA140)+COUNTIFS($AA$8:$AA$507,$AA140,$AG$8:$AG$507,"&lt;"&amp;$AG140)+1,Constants!$B$14),$Z140))</f>
        <v/>
      </c>
      <c r="AI140" s="65" t="str">
        <f aca="false">IF(ISBLANK($C140),"",IF($Z140=Constants!$B$7,LARGE(AB140:AC140,2)*S140,""))</f>
        <v/>
      </c>
      <c r="AJ140" s="65" t="str">
        <f aca="false">IF(ISBLANK($C140),"",IF($Z140=Constants!$B$7,RANK(AI140,$AI$8:$AI$507),$Z140))</f>
        <v/>
      </c>
      <c r="AK140" s="65" t="str">
        <f aca="false">IF(ISBLANK($C140),"",IF($Z140=Constants!$B$7,IF(ISNUMBER(AG140),COUNTIFS($AA$8:$AA$507,"&lt;"&amp;$AA140)+COUNTIFS($AA$8:$AA$507,$AA140,$AG$8:$AG$507,"&lt;"&amp;$AG140)+COUNTIFS($AA$8:$AA$507,$AA140,$AG$8:$AG$507,$AG140,$AJ$8:$AJ$507,"&lt;"&amp;$AJ140)+1,Constants!$B$14),$Z140))</f>
        <v/>
      </c>
      <c r="AL140" s="65" t="str">
        <f aca="false">IF(ISBLANK($C140),"",IF($Z140=Constants!$B$7,IF(ISNUMBER(AH140),AH140-AK140,Constants!$B$14),$Z140))</f>
        <v/>
      </c>
      <c r="AM140" s="67"/>
      <c r="AN140" s="68" t="str">
        <f aca="false">IF(ISBLANK($C140),"",IF($Z140&lt;&gt;Constants!$B$7,$Z140,AD140))</f>
        <v/>
      </c>
      <c r="AO140" s="69" t="str">
        <f aca="false">IF(ISBLANK($C140),"",IF($Z140&lt;&gt;Constants!$B$7,$Z140,S140))</f>
        <v/>
      </c>
      <c r="AP140" s="70" t="str">
        <f aca="false">IF(ISBLANK($C140),"",IF($Z140&lt;&gt;Constants!$B$7,$Z140,AF140))</f>
        <v/>
      </c>
      <c r="AQ140" s="71" t="str">
        <f aca="false">IF(ISBLANK($C140),"",IF($Z140&lt;&gt;Constants!$B$7,$Z140,AA140))</f>
        <v/>
      </c>
      <c r="AR140" s="69" t="str">
        <f aca="false">IF(ISBLANK($C140),"",AL140)</f>
        <v/>
      </c>
      <c r="AS140" s="69" t="str">
        <f aca="false">IF(ISBLANK($C140),"",AK140)</f>
        <v/>
      </c>
      <c r="AT140" s="72" t="str">
        <f aca="false">IF(ISBLANK($C140),"",IF(AS140=Constants!$B$4,COUNTA($C$8:$C$507)+2,IF(AS140=Constants!$B$5,COUNTA($C$8:$C$507)+1,IF(AS140=Constants!$B$6,COUNTA($C$8:$C$507),AS140))))</f>
        <v/>
      </c>
      <c r="AU140" s="5"/>
      <c r="AV140" s="73" t="n">
        <f aca="false">IF(OR(ISNUMBER(AS140),AS140=Constants!$B$4,AS140=Constants!$B$6,AS140=Constants!$B$5),1,0)</f>
        <v>0</v>
      </c>
      <c r="AW140" s="73" t="n">
        <v>133</v>
      </c>
      <c r="AX140" s="73" t="str">
        <f aca="false">IF(ISBLANK($C140),"",IF(ISNUMBER(AT140),AT140+ROW($B140)/1000,""))</f>
        <v/>
      </c>
      <c r="AY140" s="73" t="str">
        <f aca="false">IF(ISNUMBER(AX140),RANK(AX140,$AX$8:$AX$507,1),"")</f>
        <v/>
      </c>
      <c r="AZ140" s="73" t="str">
        <f aca="false">IF(ISBLANK($C140),"",$B140)</f>
        <v/>
      </c>
      <c r="BA140" s="73" t="str">
        <f aca="false">IF(ISBLANK($C140),"",$C140)</f>
        <v/>
      </c>
      <c r="BB140" s="73" t="str">
        <f aca="false">IF(ISBLANK($C140),"",$D140)</f>
        <v/>
      </c>
      <c r="BC140" s="74" t="str">
        <f aca="false">AQ140</f>
        <v/>
      </c>
      <c r="BD140" s="75" t="str">
        <f aca="false">AP140</f>
        <v/>
      </c>
      <c r="BE140" s="73" t="str">
        <f aca="false">IF(ISBLANK($C140),"",AS140)</f>
        <v/>
      </c>
      <c r="BF140" s="76" t="str">
        <f aca="false">IF($AW140&gt;$AV$7,"",VLOOKUP($AW140,$AY$8:$BE$507,7,FALSE()))</f>
        <v/>
      </c>
      <c r="BG140" s="77" t="str">
        <f aca="false">IF($AW140&gt;$AV$7,"",VLOOKUP($AW140,$AY$8:$BE$507,2,FALSE()))</f>
        <v/>
      </c>
      <c r="BH140" s="77" t="str">
        <f aca="false">IF($AW140&gt;$AV$7,"",VLOOKUP($AW140,$AY$8:$BE$507,3,FALSE()))</f>
        <v/>
      </c>
      <c r="BI140" s="77" t="str">
        <f aca="false">IF($AW140&gt;$AV$7,"",VLOOKUP($AW140,$AY$8:$BE$507,4,FALSE()))</f>
        <v/>
      </c>
      <c r="BJ140" s="77" t="str">
        <f aca="false">IF($AW140&gt;$AV$7,"",VLOOKUP($AW140,$AY$8:$BE$507,5,FALSE()))</f>
        <v/>
      </c>
      <c r="BK140" s="78" t="str">
        <f aca="false">IF($AW140&gt;$AV$7,"",VLOOKUP($AW140,$AY$8:$BE$507,6,FALSE()))</f>
        <v/>
      </c>
      <c r="BL140" s="50"/>
    </row>
    <row r="141" customFormat="false" ht="15.75" hidden="false" customHeight="false" outlineLevel="0" collapsed="false">
      <c r="A141" s="5"/>
      <c r="B141" s="131"/>
      <c r="C141" s="52"/>
      <c r="D141" s="53"/>
      <c r="E141" s="80"/>
      <c r="F141" s="132"/>
      <c r="G141" s="56"/>
      <c r="H141" s="133"/>
      <c r="I141" s="134"/>
      <c r="J141" s="59"/>
      <c r="K141" s="60"/>
      <c r="L141" s="134"/>
      <c r="M141" s="61"/>
      <c r="N141" s="62"/>
      <c r="O141" s="80"/>
      <c r="P141" s="64"/>
      <c r="Q141" s="65" t="str">
        <f aca="false">IF(ISBLANK($C141),"",IF(E141=Constants!$B$2, TRUE(), IF(E141=Constants!$B$3, FALSE(), TRUE())))</f>
        <v/>
      </c>
      <c r="R141" s="65" t="str">
        <f aca="false">IF(ISBLANK($C141),"",IF(F141=Constants!$B$2, TRUE(), IF(F141=Constants!$B$3, FALSE(), TRUE())))</f>
        <v/>
      </c>
      <c r="S141" s="65" t="str">
        <f aca="false">IF(ISBLANK($C141),"",IF(G141=Constants!$B$15,Constants!$B$8,IF(G141=Constants!$B$16,Constants!$B$9,Constants!$B$10)))</f>
        <v/>
      </c>
      <c r="T141" s="65" t="str">
        <f aca="false">IF(ISBLANK($C141),"",IF(H141=Constants!$B$2, TRUE(), IF(H141=Constants!$B$3, FALSE(), TRUE())))</f>
        <v/>
      </c>
      <c r="U141" s="65" t="str">
        <f aca="false">IF(ISBLANK($C141),"",IF(I141=Constants!$B$19,Constants!$B$19,Constants!$B$18))</f>
        <v/>
      </c>
      <c r="V141" s="65" t="str">
        <f aca="false">IF(ISBLANK($C141),"",IF(COUNTA(J141:K141)=0,"",IF(AND(OR(ISBLANK(J141),AND(ISNUMBER(J141),J141&gt;=0)),OR(ISBLANK(K141),AND(ISNUMBER(K141),K141&gt;=0))),60*IF(ISBLANK(J141),0,J141)+IF(ISBLANK(K141),0,K141),"")))</f>
        <v/>
      </c>
      <c r="W141" s="65" t="str">
        <f aca="false">IF(ISBLANK($C141),"",IF(L141=Constants!$B$19,Constants!$B$19,Constants!$B$18))</f>
        <v/>
      </c>
      <c r="X141" s="65" t="str">
        <f aca="false">IF(ISBLANK($C141),"",IF(COUNTA(M141:N141)=0,"",IF(AND(OR(ISBLANK(M141),AND(ISNUMBER(M141),M141&gt;=0)),OR(ISBLANK(N141),AND(ISNUMBER(N141),N141&gt;=0))),60*IF(ISBLANK(M141),0,M141)+IF(ISBLANK(N141),0,N141),"")))</f>
        <v/>
      </c>
      <c r="Y141" s="65" t="str">
        <f aca="false">IF(ISBLANK($C141),"",IF(O141=Constants!$B$2, TRUE(), IF(O141=Constants!$B$3, FALSE(), FALSE())))</f>
        <v/>
      </c>
      <c r="Z141" s="65" t="str">
        <f aca="false">IF(ISBLANK($C141),"",IF(Y141,Constants!$B$4,IF(COUNTA(E141:N141)=0,Constants!$B$5,IF(COUNTA(J141:K141,M141:N141)=0,Constants!$B$6,Constants!$B$7))))</f>
        <v/>
      </c>
      <c r="AA141" s="65" t="str">
        <f aca="false">IF(ISBLANK($C141),"",IF($Z141&lt;&gt;Constants!$B$7,$Z141,IF(OR(NOT(T141),AND(NOT(Q141),COUNTIFS(U141:W141,Constants!$B$18,V141:X141,"&gt;=0")&gt;0),AND(NOT(R141),COUNTIFS(U141:W141,Constants!$B$19,V141:X141,"&gt;=0")&gt;0)),Constants!$B$12,Constants!$B$11)))</f>
        <v/>
      </c>
      <c r="AB141" s="65" t="str">
        <f aca="false">IF($Z141=Constants!$B$7,IF(V141="",Constants!$B$13,V141),"")</f>
        <v/>
      </c>
      <c r="AC141" s="65" t="str">
        <f aca="false">IF($Z141=Constants!$B$7,IF(X141="",Constants!$B$13,X141),"")</f>
        <v/>
      </c>
      <c r="AD141" s="65" t="str">
        <f aca="false">IF($Z141=Constants!$B$7,IF($AB141&gt;=$AC141,1,2),"")</f>
        <v/>
      </c>
      <c r="AE141" s="65" t="str">
        <f aca="false">IF($Z141=Constants!$B$7,LARGE(AB141:AC141,1),"")</f>
        <v/>
      </c>
      <c r="AF141" s="65" t="str">
        <f aca="false">IF(ISBLANK($C141),"",IF($Z141&lt;&gt;Constants!$B$7,$Z141,AE141*S141))</f>
        <v/>
      </c>
      <c r="AG141" s="65" t="str">
        <f aca="false">IF(ISBLANK($C141),"",IF($Z141=Constants!$B$7,IF(ISNUMBER(AF141),RANK(AF141,$AF$8:$AF$507),Constants!$B$14),$Z141))</f>
        <v/>
      </c>
      <c r="AH141" s="65" t="str">
        <f aca="false">IF(ISBLANK($C141),"",IF($Z141=Constants!$B$7,IF(ISNUMBER(AG141),COUNTIFS($AA$8:$AA$507,"&lt;"&amp;$AA141)+COUNTIFS($AA$8:$AA$507,$AA141,$AG$8:$AG$507,"&lt;"&amp;$AG141)+1,Constants!$B$14),$Z141))</f>
        <v/>
      </c>
      <c r="AI141" s="65" t="str">
        <f aca="false">IF(ISBLANK($C141),"",IF($Z141=Constants!$B$7,LARGE(AB141:AC141,2)*S141,""))</f>
        <v/>
      </c>
      <c r="AJ141" s="65" t="str">
        <f aca="false">IF(ISBLANK($C141),"",IF($Z141=Constants!$B$7,RANK(AI141,$AI$8:$AI$507),$Z141))</f>
        <v/>
      </c>
      <c r="AK141" s="65" t="str">
        <f aca="false">IF(ISBLANK($C141),"",IF($Z141=Constants!$B$7,IF(ISNUMBER(AG141),COUNTIFS($AA$8:$AA$507,"&lt;"&amp;$AA141)+COUNTIFS($AA$8:$AA$507,$AA141,$AG$8:$AG$507,"&lt;"&amp;$AG141)+COUNTIFS($AA$8:$AA$507,$AA141,$AG$8:$AG$507,$AG141,$AJ$8:$AJ$507,"&lt;"&amp;$AJ141)+1,Constants!$B$14),$Z141))</f>
        <v/>
      </c>
      <c r="AL141" s="65" t="str">
        <f aca="false">IF(ISBLANK($C141),"",IF($Z141=Constants!$B$7,IF(ISNUMBER(AH141),AH141-AK141,Constants!$B$14),$Z141))</f>
        <v/>
      </c>
      <c r="AM141" s="67"/>
      <c r="AN141" s="68" t="str">
        <f aca="false">IF(ISBLANK($C141),"",IF($Z141&lt;&gt;Constants!$B$7,$Z141,AD141))</f>
        <v/>
      </c>
      <c r="AO141" s="69" t="str">
        <f aca="false">IF(ISBLANK($C141),"",IF($Z141&lt;&gt;Constants!$B$7,$Z141,S141))</f>
        <v/>
      </c>
      <c r="AP141" s="70" t="str">
        <f aca="false">IF(ISBLANK($C141),"",IF($Z141&lt;&gt;Constants!$B$7,$Z141,AF141))</f>
        <v/>
      </c>
      <c r="AQ141" s="71" t="str">
        <f aca="false">IF(ISBLANK($C141),"",IF($Z141&lt;&gt;Constants!$B$7,$Z141,AA141))</f>
        <v/>
      </c>
      <c r="AR141" s="69" t="str">
        <f aca="false">IF(ISBLANK($C141),"",AL141)</f>
        <v/>
      </c>
      <c r="AS141" s="69" t="str">
        <f aca="false">IF(ISBLANK($C141),"",AK141)</f>
        <v/>
      </c>
      <c r="AT141" s="72" t="str">
        <f aca="false">IF(ISBLANK($C141),"",IF(AS141=Constants!$B$4,COUNTA($C$8:$C$507)+2,IF(AS141=Constants!$B$5,COUNTA($C$8:$C$507)+1,IF(AS141=Constants!$B$6,COUNTA($C$8:$C$507),AS141))))</f>
        <v/>
      </c>
      <c r="AU141" s="5"/>
      <c r="AV141" s="73" t="n">
        <f aca="false">IF(OR(ISNUMBER(AS141),AS141=Constants!$B$4,AS141=Constants!$B$6,AS141=Constants!$B$5),1,0)</f>
        <v>0</v>
      </c>
      <c r="AW141" s="73" t="n">
        <v>134</v>
      </c>
      <c r="AX141" s="73" t="str">
        <f aca="false">IF(ISBLANK($C141),"",IF(ISNUMBER(AT141),AT141+ROW($B141)/1000,""))</f>
        <v/>
      </c>
      <c r="AY141" s="73" t="str">
        <f aca="false">IF(ISNUMBER(AX141),RANK(AX141,$AX$8:$AX$507,1),"")</f>
        <v/>
      </c>
      <c r="AZ141" s="73" t="str">
        <f aca="false">IF(ISBLANK($C141),"",$B141)</f>
        <v/>
      </c>
      <c r="BA141" s="73" t="str">
        <f aca="false">IF(ISBLANK($C141),"",$C141)</f>
        <v/>
      </c>
      <c r="BB141" s="73" t="str">
        <f aca="false">IF(ISBLANK($C141),"",$D141)</f>
        <v/>
      </c>
      <c r="BC141" s="74" t="str">
        <f aca="false">AQ141</f>
        <v/>
      </c>
      <c r="BD141" s="75" t="str">
        <f aca="false">AP141</f>
        <v/>
      </c>
      <c r="BE141" s="73" t="str">
        <f aca="false">IF(ISBLANK($C141),"",AS141)</f>
        <v/>
      </c>
      <c r="BF141" s="76" t="str">
        <f aca="false">IF($AW141&gt;$AV$7,"",VLOOKUP($AW141,$AY$8:$BE$507,7,FALSE()))</f>
        <v/>
      </c>
      <c r="BG141" s="77" t="str">
        <f aca="false">IF($AW141&gt;$AV$7,"",VLOOKUP($AW141,$AY$8:$BE$507,2,FALSE()))</f>
        <v/>
      </c>
      <c r="BH141" s="77" t="str">
        <f aca="false">IF($AW141&gt;$AV$7,"",VLOOKUP($AW141,$AY$8:$BE$507,3,FALSE()))</f>
        <v/>
      </c>
      <c r="BI141" s="77" t="str">
        <f aca="false">IF($AW141&gt;$AV$7,"",VLOOKUP($AW141,$AY$8:$BE$507,4,FALSE()))</f>
        <v/>
      </c>
      <c r="BJ141" s="77" t="str">
        <f aca="false">IF($AW141&gt;$AV$7,"",VLOOKUP($AW141,$AY$8:$BE$507,5,FALSE()))</f>
        <v/>
      </c>
      <c r="BK141" s="78" t="str">
        <f aca="false">IF($AW141&gt;$AV$7,"",VLOOKUP($AW141,$AY$8:$BE$507,6,FALSE()))</f>
        <v/>
      </c>
      <c r="BL141" s="50"/>
    </row>
    <row r="142" customFormat="false" ht="15.75" hidden="false" customHeight="false" outlineLevel="0" collapsed="false">
      <c r="A142" s="5"/>
      <c r="B142" s="131"/>
      <c r="C142" s="52"/>
      <c r="D142" s="53"/>
      <c r="E142" s="80"/>
      <c r="F142" s="132"/>
      <c r="G142" s="56"/>
      <c r="H142" s="133"/>
      <c r="I142" s="134"/>
      <c r="J142" s="59"/>
      <c r="K142" s="60"/>
      <c r="L142" s="134"/>
      <c r="M142" s="61"/>
      <c r="N142" s="62"/>
      <c r="O142" s="80"/>
      <c r="P142" s="64"/>
      <c r="Q142" s="65" t="str">
        <f aca="false">IF(ISBLANK($C142),"",IF(E142=Constants!$B$2, TRUE(), IF(E142=Constants!$B$3, FALSE(), TRUE())))</f>
        <v/>
      </c>
      <c r="R142" s="65" t="str">
        <f aca="false">IF(ISBLANK($C142),"",IF(F142=Constants!$B$2, TRUE(), IF(F142=Constants!$B$3, FALSE(), TRUE())))</f>
        <v/>
      </c>
      <c r="S142" s="65" t="str">
        <f aca="false">IF(ISBLANK($C142),"",IF(G142=Constants!$B$15,Constants!$B$8,IF(G142=Constants!$B$16,Constants!$B$9,Constants!$B$10)))</f>
        <v/>
      </c>
      <c r="T142" s="65" t="str">
        <f aca="false">IF(ISBLANK($C142),"",IF(H142=Constants!$B$2, TRUE(), IF(H142=Constants!$B$3, FALSE(), TRUE())))</f>
        <v/>
      </c>
      <c r="U142" s="65" t="str">
        <f aca="false">IF(ISBLANK($C142),"",IF(I142=Constants!$B$19,Constants!$B$19,Constants!$B$18))</f>
        <v/>
      </c>
      <c r="V142" s="65" t="str">
        <f aca="false">IF(ISBLANK($C142),"",IF(COUNTA(J142:K142)=0,"",IF(AND(OR(ISBLANK(J142),AND(ISNUMBER(J142),J142&gt;=0)),OR(ISBLANK(K142),AND(ISNUMBER(K142),K142&gt;=0))),60*IF(ISBLANK(J142),0,J142)+IF(ISBLANK(K142),0,K142),"")))</f>
        <v/>
      </c>
      <c r="W142" s="65" t="str">
        <f aca="false">IF(ISBLANK($C142),"",IF(L142=Constants!$B$19,Constants!$B$19,Constants!$B$18))</f>
        <v/>
      </c>
      <c r="X142" s="65" t="str">
        <f aca="false">IF(ISBLANK($C142),"",IF(COUNTA(M142:N142)=0,"",IF(AND(OR(ISBLANK(M142),AND(ISNUMBER(M142),M142&gt;=0)),OR(ISBLANK(N142),AND(ISNUMBER(N142),N142&gt;=0))),60*IF(ISBLANK(M142),0,M142)+IF(ISBLANK(N142),0,N142),"")))</f>
        <v/>
      </c>
      <c r="Y142" s="65" t="str">
        <f aca="false">IF(ISBLANK($C142),"",IF(O142=Constants!$B$2, TRUE(), IF(O142=Constants!$B$3, FALSE(), FALSE())))</f>
        <v/>
      </c>
      <c r="Z142" s="65" t="str">
        <f aca="false">IF(ISBLANK($C142),"",IF(Y142,Constants!$B$4,IF(COUNTA(E142:N142)=0,Constants!$B$5,IF(COUNTA(J142:K142,M142:N142)=0,Constants!$B$6,Constants!$B$7))))</f>
        <v/>
      </c>
      <c r="AA142" s="65" t="str">
        <f aca="false">IF(ISBLANK($C142),"",IF($Z142&lt;&gt;Constants!$B$7,$Z142,IF(OR(NOT(T142),AND(NOT(Q142),COUNTIFS(U142:W142,Constants!$B$18,V142:X142,"&gt;=0")&gt;0),AND(NOT(R142),COUNTIFS(U142:W142,Constants!$B$19,V142:X142,"&gt;=0")&gt;0)),Constants!$B$12,Constants!$B$11)))</f>
        <v/>
      </c>
      <c r="AB142" s="65" t="str">
        <f aca="false">IF($Z142=Constants!$B$7,IF(V142="",Constants!$B$13,V142),"")</f>
        <v/>
      </c>
      <c r="AC142" s="65" t="str">
        <f aca="false">IF($Z142=Constants!$B$7,IF(X142="",Constants!$B$13,X142),"")</f>
        <v/>
      </c>
      <c r="AD142" s="65" t="str">
        <f aca="false">IF($Z142=Constants!$B$7,IF($AB142&gt;=$AC142,1,2),"")</f>
        <v/>
      </c>
      <c r="AE142" s="65" t="str">
        <f aca="false">IF($Z142=Constants!$B$7,LARGE(AB142:AC142,1),"")</f>
        <v/>
      </c>
      <c r="AF142" s="65" t="str">
        <f aca="false">IF(ISBLANK($C142),"",IF($Z142&lt;&gt;Constants!$B$7,$Z142,AE142*S142))</f>
        <v/>
      </c>
      <c r="AG142" s="65" t="str">
        <f aca="false">IF(ISBLANK($C142),"",IF($Z142=Constants!$B$7,IF(ISNUMBER(AF142),RANK(AF142,$AF$8:$AF$507),Constants!$B$14),$Z142))</f>
        <v/>
      </c>
      <c r="AH142" s="65" t="str">
        <f aca="false">IF(ISBLANK($C142),"",IF($Z142=Constants!$B$7,IF(ISNUMBER(AG142),COUNTIFS($AA$8:$AA$507,"&lt;"&amp;$AA142)+COUNTIFS($AA$8:$AA$507,$AA142,$AG$8:$AG$507,"&lt;"&amp;$AG142)+1,Constants!$B$14),$Z142))</f>
        <v/>
      </c>
      <c r="AI142" s="65" t="str">
        <f aca="false">IF(ISBLANK($C142),"",IF($Z142=Constants!$B$7,LARGE(AB142:AC142,2)*S142,""))</f>
        <v/>
      </c>
      <c r="AJ142" s="65" t="str">
        <f aca="false">IF(ISBLANK($C142),"",IF($Z142=Constants!$B$7,RANK(AI142,$AI$8:$AI$507),$Z142))</f>
        <v/>
      </c>
      <c r="AK142" s="65" t="str">
        <f aca="false">IF(ISBLANK($C142),"",IF($Z142=Constants!$B$7,IF(ISNUMBER(AG142),COUNTIFS($AA$8:$AA$507,"&lt;"&amp;$AA142)+COUNTIFS($AA$8:$AA$507,$AA142,$AG$8:$AG$507,"&lt;"&amp;$AG142)+COUNTIFS($AA$8:$AA$507,$AA142,$AG$8:$AG$507,$AG142,$AJ$8:$AJ$507,"&lt;"&amp;$AJ142)+1,Constants!$B$14),$Z142))</f>
        <v/>
      </c>
      <c r="AL142" s="65" t="str">
        <f aca="false">IF(ISBLANK($C142),"",IF($Z142=Constants!$B$7,IF(ISNUMBER(AH142),AH142-AK142,Constants!$B$14),$Z142))</f>
        <v/>
      </c>
      <c r="AM142" s="67"/>
      <c r="AN142" s="68" t="str">
        <f aca="false">IF(ISBLANK($C142),"",IF($Z142&lt;&gt;Constants!$B$7,$Z142,AD142))</f>
        <v/>
      </c>
      <c r="AO142" s="69" t="str">
        <f aca="false">IF(ISBLANK($C142),"",IF($Z142&lt;&gt;Constants!$B$7,$Z142,S142))</f>
        <v/>
      </c>
      <c r="AP142" s="70" t="str">
        <f aca="false">IF(ISBLANK($C142),"",IF($Z142&lt;&gt;Constants!$B$7,$Z142,AF142))</f>
        <v/>
      </c>
      <c r="AQ142" s="71" t="str">
        <f aca="false">IF(ISBLANK($C142),"",IF($Z142&lt;&gt;Constants!$B$7,$Z142,AA142))</f>
        <v/>
      </c>
      <c r="AR142" s="69" t="str">
        <f aca="false">IF(ISBLANK($C142),"",AL142)</f>
        <v/>
      </c>
      <c r="AS142" s="69" t="str">
        <f aca="false">IF(ISBLANK($C142),"",AK142)</f>
        <v/>
      </c>
      <c r="AT142" s="72" t="str">
        <f aca="false">IF(ISBLANK($C142),"",IF(AS142=Constants!$B$4,COUNTA($C$8:$C$507)+2,IF(AS142=Constants!$B$5,COUNTA($C$8:$C$507)+1,IF(AS142=Constants!$B$6,COUNTA($C$8:$C$507),AS142))))</f>
        <v/>
      </c>
      <c r="AU142" s="5"/>
      <c r="AV142" s="73" t="n">
        <f aca="false">IF(OR(ISNUMBER(AS142),AS142=Constants!$B$4,AS142=Constants!$B$6,AS142=Constants!$B$5),1,0)</f>
        <v>0</v>
      </c>
      <c r="AW142" s="73" t="n">
        <v>135</v>
      </c>
      <c r="AX142" s="73" t="str">
        <f aca="false">IF(ISBLANK($C142),"",IF(ISNUMBER(AT142),AT142+ROW($B142)/1000,""))</f>
        <v/>
      </c>
      <c r="AY142" s="73" t="str">
        <f aca="false">IF(ISNUMBER(AX142),RANK(AX142,$AX$8:$AX$507,1),"")</f>
        <v/>
      </c>
      <c r="AZ142" s="73" t="str">
        <f aca="false">IF(ISBLANK($C142),"",$B142)</f>
        <v/>
      </c>
      <c r="BA142" s="73" t="str">
        <f aca="false">IF(ISBLANK($C142),"",$C142)</f>
        <v/>
      </c>
      <c r="BB142" s="73" t="str">
        <f aca="false">IF(ISBLANK($C142),"",$D142)</f>
        <v/>
      </c>
      <c r="BC142" s="74" t="str">
        <f aca="false">AQ142</f>
        <v/>
      </c>
      <c r="BD142" s="75" t="str">
        <f aca="false">AP142</f>
        <v/>
      </c>
      <c r="BE142" s="73" t="str">
        <f aca="false">IF(ISBLANK($C142),"",AS142)</f>
        <v/>
      </c>
      <c r="BF142" s="76" t="str">
        <f aca="false">IF($AW142&gt;$AV$7,"",VLOOKUP($AW142,$AY$8:$BE$507,7,FALSE()))</f>
        <v/>
      </c>
      <c r="BG142" s="77" t="str">
        <f aca="false">IF($AW142&gt;$AV$7,"",VLOOKUP($AW142,$AY$8:$BE$507,2,FALSE()))</f>
        <v/>
      </c>
      <c r="BH142" s="77" t="str">
        <f aca="false">IF($AW142&gt;$AV$7,"",VLOOKUP($AW142,$AY$8:$BE$507,3,FALSE()))</f>
        <v/>
      </c>
      <c r="BI142" s="77" t="str">
        <f aca="false">IF($AW142&gt;$AV$7,"",VLOOKUP($AW142,$AY$8:$BE$507,4,FALSE()))</f>
        <v/>
      </c>
      <c r="BJ142" s="77" t="str">
        <f aca="false">IF($AW142&gt;$AV$7,"",VLOOKUP($AW142,$AY$8:$BE$507,5,FALSE()))</f>
        <v/>
      </c>
      <c r="BK142" s="78" t="str">
        <f aca="false">IF($AW142&gt;$AV$7,"",VLOOKUP($AW142,$AY$8:$BE$507,6,FALSE()))</f>
        <v/>
      </c>
      <c r="BL142" s="50"/>
    </row>
    <row r="143" customFormat="false" ht="15.75" hidden="false" customHeight="false" outlineLevel="0" collapsed="false">
      <c r="A143" s="5"/>
      <c r="B143" s="124"/>
      <c r="C143" s="125"/>
      <c r="D143" s="110"/>
      <c r="E143" s="130"/>
      <c r="F143" s="135"/>
      <c r="G143" s="88"/>
      <c r="H143" s="136"/>
      <c r="I143" s="137"/>
      <c r="J143" s="91"/>
      <c r="K143" s="92"/>
      <c r="L143" s="137"/>
      <c r="M143" s="93"/>
      <c r="N143" s="94"/>
      <c r="O143" s="130"/>
      <c r="P143" s="96"/>
      <c r="Q143" s="97" t="str">
        <f aca="false">IF(ISBLANK($C143),"",IF(E143=Constants!$B$2, TRUE(), IF(E143=Constants!$B$3, FALSE(), TRUE())))</f>
        <v/>
      </c>
      <c r="R143" s="97" t="str">
        <f aca="false">IF(ISBLANK($C143),"",IF(F143=Constants!$B$2, TRUE(), IF(F143=Constants!$B$3, FALSE(), TRUE())))</f>
        <v/>
      </c>
      <c r="S143" s="97" t="str">
        <f aca="false">IF(ISBLANK($C143),"",IF(G143=Constants!$B$15,Constants!$B$8,IF(G143=Constants!$B$16,Constants!$B$9,Constants!$B$10)))</f>
        <v/>
      </c>
      <c r="T143" s="97" t="str">
        <f aca="false">IF(ISBLANK($C143),"",IF(H143=Constants!$B$2, TRUE(), IF(H143=Constants!$B$3, FALSE(), TRUE())))</f>
        <v/>
      </c>
      <c r="U143" s="97" t="str">
        <f aca="false">IF(ISBLANK($C143),"",IF(I143=Constants!$B$19,Constants!$B$19,Constants!$B$18))</f>
        <v/>
      </c>
      <c r="V143" s="97" t="str">
        <f aca="false">IF(ISBLANK($C143),"",IF(COUNTA(J143:K143)=0,"",IF(AND(OR(ISBLANK(J143),AND(ISNUMBER(J143),J143&gt;=0)),OR(ISBLANK(K143),AND(ISNUMBER(K143),K143&gt;=0))),60*IF(ISBLANK(J143),0,J143)+IF(ISBLANK(K143),0,K143),"")))</f>
        <v/>
      </c>
      <c r="W143" s="97" t="str">
        <f aca="false">IF(ISBLANK($C143),"",IF(L143=Constants!$B$19,Constants!$B$19,Constants!$B$18))</f>
        <v/>
      </c>
      <c r="X143" s="97" t="str">
        <f aca="false">IF(ISBLANK($C143),"",IF(COUNTA(M143:N143)=0,"",IF(AND(OR(ISBLANK(M143),AND(ISNUMBER(M143),M143&gt;=0)),OR(ISBLANK(N143),AND(ISNUMBER(N143),N143&gt;=0))),60*IF(ISBLANK(M143),0,M143)+IF(ISBLANK(N143),0,N143),"")))</f>
        <v/>
      </c>
      <c r="Y143" s="97" t="str">
        <f aca="false">IF(ISBLANK($C143),"",IF(O143=Constants!$B$2, TRUE(), IF(O143=Constants!$B$3, FALSE(), FALSE())))</f>
        <v/>
      </c>
      <c r="Z143" s="97" t="str">
        <f aca="false">IF(ISBLANK($C143),"",IF(Y143,Constants!$B$4,IF(COUNTA(E143:N143)=0,Constants!$B$5,IF(COUNTA(J143:K143,M143:N143)=0,Constants!$B$6,Constants!$B$7))))</f>
        <v/>
      </c>
      <c r="AA143" s="97" t="str">
        <f aca="false">IF(ISBLANK($C143),"",IF($Z143&lt;&gt;Constants!$B$7,$Z143,IF(OR(NOT(T143),AND(NOT(Q143),COUNTIFS(U143:W143,Constants!$B$18,V143:X143,"&gt;=0")&gt;0),AND(NOT(R143),COUNTIFS(U143:W143,Constants!$B$19,V143:X143,"&gt;=0")&gt;0)),Constants!$B$12,Constants!$B$11)))</f>
        <v/>
      </c>
      <c r="AB143" s="97" t="str">
        <f aca="false">IF($Z143=Constants!$B$7,IF(V143="",Constants!$B$13,V143),"")</f>
        <v/>
      </c>
      <c r="AC143" s="97" t="str">
        <f aca="false">IF($Z143=Constants!$B$7,IF(X143="",Constants!$B$13,X143),"")</f>
        <v/>
      </c>
      <c r="AD143" s="97" t="str">
        <f aca="false">IF($Z143=Constants!$B$7,IF($AB143&gt;=$AC143,1,2),"")</f>
        <v/>
      </c>
      <c r="AE143" s="97" t="str">
        <f aca="false">IF($Z143=Constants!$B$7,LARGE(AB143:AC143,1),"")</f>
        <v/>
      </c>
      <c r="AF143" s="97" t="str">
        <f aca="false">IF(ISBLANK($C143),"",IF($Z143&lt;&gt;Constants!$B$7,$Z143,AE143*S143))</f>
        <v/>
      </c>
      <c r="AG143" s="97" t="str">
        <f aca="false">IF(ISBLANK($C143),"",IF($Z143=Constants!$B$7,IF(ISNUMBER(AF143),RANK(AF143,$AF$8:$AF$507),Constants!$B$14),$Z143))</f>
        <v/>
      </c>
      <c r="AH143" s="97" t="str">
        <f aca="false">IF(ISBLANK($C143),"",IF($Z143=Constants!$B$7,IF(ISNUMBER(AG143),COUNTIFS($AA$8:$AA$507,"&lt;"&amp;$AA143)+COUNTIFS($AA$8:$AA$507,$AA143,$AG$8:$AG$507,"&lt;"&amp;$AG143)+1,Constants!$B$14),$Z143))</f>
        <v/>
      </c>
      <c r="AI143" s="97" t="str">
        <f aca="false">IF(ISBLANK($C143),"",IF($Z143=Constants!$B$7,LARGE(AB143:AC143,2)*S143,""))</f>
        <v/>
      </c>
      <c r="AJ143" s="97" t="str">
        <f aca="false">IF(ISBLANK($C143),"",IF($Z143=Constants!$B$7,RANK(AI143,$AI$8:$AI$507),$Z143))</f>
        <v/>
      </c>
      <c r="AK143" s="97" t="str">
        <f aca="false">IF(ISBLANK($C143),"",IF($Z143=Constants!$B$7,IF(ISNUMBER(AG143),COUNTIFS($AA$8:$AA$507,"&lt;"&amp;$AA143)+COUNTIFS($AA$8:$AA$507,$AA143,$AG$8:$AG$507,"&lt;"&amp;$AG143)+COUNTIFS($AA$8:$AA$507,$AA143,$AG$8:$AG$507,$AG143,$AJ$8:$AJ$507,"&lt;"&amp;$AJ143)+1,Constants!$B$14),$Z143))</f>
        <v/>
      </c>
      <c r="AL143" s="97" t="str">
        <f aca="false">IF(ISBLANK($C143),"",IF($Z143=Constants!$B$7,IF(ISNUMBER(AH143),AH143-AK143,Constants!$B$14),$Z143))</f>
        <v/>
      </c>
      <c r="AM143" s="98"/>
      <c r="AN143" s="99" t="str">
        <f aca="false">IF(ISBLANK($C143),"",IF($Z143&lt;&gt;Constants!$B$7,$Z143,AD143))</f>
        <v/>
      </c>
      <c r="AO143" s="100" t="str">
        <f aca="false">IF(ISBLANK($C143),"",IF($Z143&lt;&gt;Constants!$B$7,$Z143,S143))</f>
        <v/>
      </c>
      <c r="AP143" s="101" t="str">
        <f aca="false">IF(ISBLANK($C143),"",IF($Z143&lt;&gt;Constants!$B$7,$Z143,AF143))</f>
        <v/>
      </c>
      <c r="AQ143" s="102" t="str">
        <f aca="false">IF(ISBLANK($C143),"",IF($Z143&lt;&gt;Constants!$B$7,$Z143,AA143))</f>
        <v/>
      </c>
      <c r="AR143" s="100" t="str">
        <f aca="false">IF(ISBLANK($C143),"",AL143)</f>
        <v/>
      </c>
      <c r="AS143" s="100" t="str">
        <f aca="false">IF(ISBLANK($C143),"",AK143)</f>
        <v/>
      </c>
      <c r="AT143" s="103" t="str">
        <f aca="false">IF(ISBLANK($C143),"",IF(AS143=Constants!$B$4,COUNTA($C$8:$C$507)+2,IF(AS143=Constants!$B$5,COUNTA($C$8:$C$507)+1,IF(AS143=Constants!$B$6,COUNTA($C$8:$C$507),AS143))))</f>
        <v/>
      </c>
      <c r="AU143" s="5"/>
      <c r="AV143" s="104" t="n">
        <f aca="false">IF(OR(ISNUMBER(AS143),AS143=Constants!$B$4,AS143=Constants!$B$6,AS143=Constants!$B$5),1,0)</f>
        <v>0</v>
      </c>
      <c r="AW143" s="104" t="n">
        <v>136</v>
      </c>
      <c r="AX143" s="104" t="str">
        <f aca="false">IF(ISBLANK($C143),"",IF(ISNUMBER(AT143),AT143+ROW($B143)/1000,""))</f>
        <v/>
      </c>
      <c r="AY143" s="104" t="str">
        <f aca="false">IF(ISNUMBER(AX143),RANK(AX143,$AX$8:$AX$507,1),"")</f>
        <v/>
      </c>
      <c r="AZ143" s="104" t="str">
        <f aca="false">IF(ISBLANK($C143),"",$B143)</f>
        <v/>
      </c>
      <c r="BA143" s="104" t="str">
        <f aca="false">IF(ISBLANK($C143),"",$C143)</f>
        <v/>
      </c>
      <c r="BB143" s="104" t="str">
        <f aca="false">IF(ISBLANK($C143),"",$D143)</f>
        <v/>
      </c>
      <c r="BC143" s="105" t="str">
        <f aca="false">AQ143</f>
        <v/>
      </c>
      <c r="BD143" s="106" t="str">
        <f aca="false">AP143</f>
        <v/>
      </c>
      <c r="BE143" s="104" t="str">
        <f aca="false">IF(ISBLANK($C143),"",AS143)</f>
        <v/>
      </c>
      <c r="BF143" s="107" t="str">
        <f aca="false">IF($AW143&gt;$AV$7,"",VLOOKUP($AW143,$AY$8:$BE$507,7,FALSE()))</f>
        <v/>
      </c>
      <c r="BG143" s="108" t="str">
        <f aca="false">IF($AW143&gt;$AV$7,"",VLOOKUP($AW143,$AY$8:$BE$507,2,FALSE()))</f>
        <v/>
      </c>
      <c r="BH143" s="108" t="str">
        <f aca="false">IF($AW143&gt;$AV$7,"",VLOOKUP($AW143,$AY$8:$BE$507,3,FALSE()))</f>
        <v/>
      </c>
      <c r="BI143" s="108" t="str">
        <f aca="false">IF($AW143&gt;$AV$7,"",VLOOKUP($AW143,$AY$8:$BE$507,4,FALSE()))</f>
        <v/>
      </c>
      <c r="BJ143" s="108" t="str">
        <f aca="false">IF($AW143&gt;$AV$7,"",VLOOKUP($AW143,$AY$8:$BE$507,5,FALSE()))</f>
        <v/>
      </c>
      <c r="BK143" s="109" t="str">
        <f aca="false">IF($AW143&gt;$AV$7,"",VLOOKUP($AW143,$AY$8:$BE$507,6,FALSE()))</f>
        <v/>
      </c>
      <c r="BL143" s="50"/>
    </row>
    <row r="144" customFormat="false" ht="15.75" hidden="false" customHeight="false" outlineLevel="0" collapsed="false">
      <c r="A144" s="5"/>
      <c r="B144" s="124"/>
      <c r="C144" s="125"/>
      <c r="D144" s="110"/>
      <c r="E144" s="130"/>
      <c r="F144" s="135"/>
      <c r="G144" s="88"/>
      <c r="H144" s="136"/>
      <c r="I144" s="137"/>
      <c r="J144" s="91"/>
      <c r="K144" s="92"/>
      <c r="L144" s="137"/>
      <c r="M144" s="93"/>
      <c r="N144" s="94"/>
      <c r="O144" s="130"/>
      <c r="P144" s="96"/>
      <c r="Q144" s="97" t="str">
        <f aca="false">IF(ISBLANK($C144),"",IF(E144=Constants!$B$2, TRUE(), IF(E144=Constants!$B$3, FALSE(), TRUE())))</f>
        <v/>
      </c>
      <c r="R144" s="97" t="str">
        <f aca="false">IF(ISBLANK($C144),"",IF(F144=Constants!$B$2, TRUE(), IF(F144=Constants!$B$3, FALSE(), TRUE())))</f>
        <v/>
      </c>
      <c r="S144" s="97" t="str">
        <f aca="false">IF(ISBLANK($C144),"",IF(G144=Constants!$B$15,Constants!$B$8,IF(G144=Constants!$B$16,Constants!$B$9,Constants!$B$10)))</f>
        <v/>
      </c>
      <c r="T144" s="97" t="str">
        <f aca="false">IF(ISBLANK($C144),"",IF(H144=Constants!$B$2, TRUE(), IF(H144=Constants!$B$3, FALSE(), TRUE())))</f>
        <v/>
      </c>
      <c r="U144" s="97" t="str">
        <f aca="false">IF(ISBLANK($C144),"",IF(I144=Constants!$B$19,Constants!$B$19,Constants!$B$18))</f>
        <v/>
      </c>
      <c r="V144" s="97" t="str">
        <f aca="false">IF(ISBLANK($C144),"",IF(COUNTA(J144:K144)=0,"",IF(AND(OR(ISBLANK(J144),AND(ISNUMBER(J144),J144&gt;=0)),OR(ISBLANK(K144),AND(ISNUMBER(K144),K144&gt;=0))),60*IF(ISBLANK(J144),0,J144)+IF(ISBLANK(K144),0,K144),"")))</f>
        <v/>
      </c>
      <c r="W144" s="97" t="str">
        <f aca="false">IF(ISBLANK($C144),"",IF(L144=Constants!$B$19,Constants!$B$19,Constants!$B$18))</f>
        <v/>
      </c>
      <c r="X144" s="97" t="str">
        <f aca="false">IF(ISBLANK($C144),"",IF(COUNTA(M144:N144)=0,"",IF(AND(OR(ISBLANK(M144),AND(ISNUMBER(M144),M144&gt;=0)),OR(ISBLANK(N144),AND(ISNUMBER(N144),N144&gt;=0))),60*IF(ISBLANK(M144),0,M144)+IF(ISBLANK(N144),0,N144),"")))</f>
        <v/>
      </c>
      <c r="Y144" s="97" t="str">
        <f aca="false">IF(ISBLANK($C144),"",IF(O144=Constants!$B$2, TRUE(), IF(O144=Constants!$B$3, FALSE(), FALSE())))</f>
        <v/>
      </c>
      <c r="Z144" s="97" t="str">
        <f aca="false">IF(ISBLANK($C144),"",IF(Y144,Constants!$B$4,IF(COUNTA(E144:N144)=0,Constants!$B$5,IF(COUNTA(J144:K144,M144:N144)=0,Constants!$B$6,Constants!$B$7))))</f>
        <v/>
      </c>
      <c r="AA144" s="97" t="str">
        <f aca="false">IF(ISBLANK($C144),"",IF($Z144&lt;&gt;Constants!$B$7,$Z144,IF(OR(NOT(T144),AND(NOT(Q144),COUNTIFS(U144:W144,Constants!$B$18,V144:X144,"&gt;=0")&gt;0),AND(NOT(R144),COUNTIFS(U144:W144,Constants!$B$19,V144:X144,"&gt;=0")&gt;0)),Constants!$B$12,Constants!$B$11)))</f>
        <v/>
      </c>
      <c r="AB144" s="97" t="str">
        <f aca="false">IF($Z144=Constants!$B$7,IF(V144="",Constants!$B$13,V144),"")</f>
        <v/>
      </c>
      <c r="AC144" s="97" t="str">
        <f aca="false">IF($Z144=Constants!$B$7,IF(X144="",Constants!$B$13,X144),"")</f>
        <v/>
      </c>
      <c r="AD144" s="97" t="str">
        <f aca="false">IF($Z144=Constants!$B$7,IF($AB144&gt;=$AC144,1,2),"")</f>
        <v/>
      </c>
      <c r="AE144" s="97" t="str">
        <f aca="false">IF($Z144=Constants!$B$7,LARGE(AB144:AC144,1),"")</f>
        <v/>
      </c>
      <c r="AF144" s="97" t="str">
        <f aca="false">IF(ISBLANK($C144),"",IF($Z144&lt;&gt;Constants!$B$7,$Z144,AE144*S144))</f>
        <v/>
      </c>
      <c r="AG144" s="97" t="str">
        <f aca="false">IF(ISBLANK($C144),"",IF($Z144=Constants!$B$7,IF(ISNUMBER(AF144),RANK(AF144,$AF$8:$AF$507),Constants!$B$14),$Z144))</f>
        <v/>
      </c>
      <c r="AH144" s="97" t="str">
        <f aca="false">IF(ISBLANK($C144),"",IF($Z144=Constants!$B$7,IF(ISNUMBER(AG144),COUNTIFS($AA$8:$AA$507,"&lt;"&amp;$AA144)+COUNTIFS($AA$8:$AA$507,$AA144,$AG$8:$AG$507,"&lt;"&amp;$AG144)+1,Constants!$B$14),$Z144))</f>
        <v/>
      </c>
      <c r="AI144" s="97" t="str">
        <f aca="false">IF(ISBLANK($C144),"",IF($Z144=Constants!$B$7,LARGE(AB144:AC144,2)*S144,""))</f>
        <v/>
      </c>
      <c r="AJ144" s="97" t="str">
        <f aca="false">IF(ISBLANK($C144),"",IF($Z144=Constants!$B$7,RANK(AI144,$AI$8:$AI$507),$Z144))</f>
        <v/>
      </c>
      <c r="AK144" s="97" t="str">
        <f aca="false">IF(ISBLANK($C144),"",IF($Z144=Constants!$B$7,IF(ISNUMBER(AG144),COUNTIFS($AA$8:$AA$507,"&lt;"&amp;$AA144)+COUNTIFS($AA$8:$AA$507,$AA144,$AG$8:$AG$507,"&lt;"&amp;$AG144)+COUNTIFS($AA$8:$AA$507,$AA144,$AG$8:$AG$507,$AG144,$AJ$8:$AJ$507,"&lt;"&amp;$AJ144)+1,Constants!$B$14),$Z144))</f>
        <v/>
      </c>
      <c r="AL144" s="97" t="str">
        <f aca="false">IF(ISBLANK($C144),"",IF($Z144=Constants!$B$7,IF(ISNUMBER(AH144),AH144-AK144,Constants!$B$14),$Z144))</f>
        <v/>
      </c>
      <c r="AM144" s="98"/>
      <c r="AN144" s="99" t="str">
        <f aca="false">IF(ISBLANK($C144),"",IF($Z144&lt;&gt;Constants!$B$7,$Z144,AD144))</f>
        <v/>
      </c>
      <c r="AO144" s="100" t="str">
        <f aca="false">IF(ISBLANK($C144),"",IF($Z144&lt;&gt;Constants!$B$7,$Z144,S144))</f>
        <v/>
      </c>
      <c r="AP144" s="101" t="str">
        <f aca="false">IF(ISBLANK($C144),"",IF($Z144&lt;&gt;Constants!$B$7,$Z144,AF144))</f>
        <v/>
      </c>
      <c r="AQ144" s="102" t="str">
        <f aca="false">IF(ISBLANK($C144),"",IF($Z144&lt;&gt;Constants!$B$7,$Z144,AA144))</f>
        <v/>
      </c>
      <c r="AR144" s="100" t="str">
        <f aca="false">IF(ISBLANK($C144),"",AL144)</f>
        <v/>
      </c>
      <c r="AS144" s="100" t="str">
        <f aca="false">IF(ISBLANK($C144),"",AK144)</f>
        <v/>
      </c>
      <c r="AT144" s="103" t="str">
        <f aca="false">IF(ISBLANK($C144),"",IF(AS144=Constants!$B$4,COUNTA($C$8:$C$507)+2,IF(AS144=Constants!$B$5,COUNTA($C$8:$C$507)+1,IF(AS144=Constants!$B$6,COUNTA($C$8:$C$507),AS144))))</f>
        <v/>
      </c>
      <c r="AU144" s="5"/>
      <c r="AV144" s="104" t="n">
        <f aca="false">IF(OR(ISNUMBER(AS144),AS144=Constants!$B$4,AS144=Constants!$B$6,AS144=Constants!$B$5),1,0)</f>
        <v>0</v>
      </c>
      <c r="AW144" s="104" t="n">
        <v>137</v>
      </c>
      <c r="AX144" s="104" t="str">
        <f aca="false">IF(ISBLANK($C144),"",IF(ISNUMBER(AT144),AT144+ROW($B144)/1000,""))</f>
        <v/>
      </c>
      <c r="AY144" s="104" t="str">
        <f aca="false">IF(ISNUMBER(AX144),RANK(AX144,$AX$8:$AX$507,1),"")</f>
        <v/>
      </c>
      <c r="AZ144" s="104" t="str">
        <f aca="false">IF(ISBLANK($C144),"",$B144)</f>
        <v/>
      </c>
      <c r="BA144" s="104" t="str">
        <f aca="false">IF(ISBLANK($C144),"",$C144)</f>
        <v/>
      </c>
      <c r="BB144" s="104" t="str">
        <f aca="false">IF(ISBLANK($C144),"",$D144)</f>
        <v/>
      </c>
      <c r="BC144" s="105" t="str">
        <f aca="false">AQ144</f>
        <v/>
      </c>
      <c r="BD144" s="106" t="str">
        <f aca="false">AP144</f>
        <v/>
      </c>
      <c r="BE144" s="104" t="str">
        <f aca="false">IF(ISBLANK($C144),"",AS144)</f>
        <v/>
      </c>
      <c r="BF144" s="107" t="str">
        <f aca="false">IF($AW144&gt;$AV$7,"",VLOOKUP($AW144,$AY$8:$BE$507,7,FALSE()))</f>
        <v/>
      </c>
      <c r="BG144" s="108" t="str">
        <f aca="false">IF($AW144&gt;$AV$7,"",VLOOKUP($AW144,$AY$8:$BE$507,2,FALSE()))</f>
        <v/>
      </c>
      <c r="BH144" s="108" t="str">
        <f aca="false">IF($AW144&gt;$AV$7,"",VLOOKUP($AW144,$AY$8:$BE$507,3,FALSE()))</f>
        <v/>
      </c>
      <c r="BI144" s="108" t="str">
        <f aca="false">IF($AW144&gt;$AV$7,"",VLOOKUP($AW144,$AY$8:$BE$507,4,FALSE()))</f>
        <v/>
      </c>
      <c r="BJ144" s="108" t="str">
        <f aca="false">IF($AW144&gt;$AV$7,"",VLOOKUP($AW144,$AY$8:$BE$507,5,FALSE()))</f>
        <v/>
      </c>
      <c r="BK144" s="109" t="str">
        <f aca="false">IF($AW144&gt;$AV$7,"",VLOOKUP($AW144,$AY$8:$BE$507,6,FALSE()))</f>
        <v/>
      </c>
      <c r="BL144" s="50"/>
    </row>
    <row r="145" customFormat="false" ht="15.75" hidden="false" customHeight="false" outlineLevel="0" collapsed="false">
      <c r="A145" s="5"/>
      <c r="B145" s="124"/>
      <c r="C145" s="125"/>
      <c r="D145" s="110"/>
      <c r="E145" s="130"/>
      <c r="F145" s="135"/>
      <c r="G145" s="88"/>
      <c r="H145" s="136"/>
      <c r="I145" s="137"/>
      <c r="J145" s="91"/>
      <c r="K145" s="92"/>
      <c r="L145" s="137"/>
      <c r="M145" s="93"/>
      <c r="N145" s="94"/>
      <c r="O145" s="130"/>
      <c r="P145" s="96"/>
      <c r="Q145" s="97" t="str">
        <f aca="false">IF(ISBLANK($C145),"",IF(E145=Constants!$B$2, TRUE(), IF(E145=Constants!$B$3, FALSE(), TRUE())))</f>
        <v/>
      </c>
      <c r="R145" s="97" t="str">
        <f aca="false">IF(ISBLANK($C145),"",IF(F145=Constants!$B$2, TRUE(), IF(F145=Constants!$B$3, FALSE(), TRUE())))</f>
        <v/>
      </c>
      <c r="S145" s="97" t="str">
        <f aca="false">IF(ISBLANK($C145),"",IF(G145=Constants!$B$15,Constants!$B$8,IF(G145=Constants!$B$16,Constants!$B$9,Constants!$B$10)))</f>
        <v/>
      </c>
      <c r="T145" s="97" t="str">
        <f aca="false">IF(ISBLANK($C145),"",IF(H145=Constants!$B$2, TRUE(), IF(H145=Constants!$B$3, FALSE(), TRUE())))</f>
        <v/>
      </c>
      <c r="U145" s="97" t="str">
        <f aca="false">IF(ISBLANK($C145),"",IF(I145=Constants!$B$19,Constants!$B$19,Constants!$B$18))</f>
        <v/>
      </c>
      <c r="V145" s="97" t="str">
        <f aca="false">IF(ISBLANK($C145),"",IF(COUNTA(J145:K145)=0,"",IF(AND(OR(ISBLANK(J145),AND(ISNUMBER(J145),J145&gt;=0)),OR(ISBLANK(K145),AND(ISNUMBER(K145),K145&gt;=0))),60*IF(ISBLANK(J145),0,J145)+IF(ISBLANK(K145),0,K145),"")))</f>
        <v/>
      </c>
      <c r="W145" s="97" t="str">
        <f aca="false">IF(ISBLANK($C145),"",IF(L145=Constants!$B$19,Constants!$B$19,Constants!$B$18))</f>
        <v/>
      </c>
      <c r="X145" s="97" t="str">
        <f aca="false">IF(ISBLANK($C145),"",IF(COUNTA(M145:N145)=0,"",IF(AND(OR(ISBLANK(M145),AND(ISNUMBER(M145),M145&gt;=0)),OR(ISBLANK(N145),AND(ISNUMBER(N145),N145&gt;=0))),60*IF(ISBLANK(M145),0,M145)+IF(ISBLANK(N145),0,N145),"")))</f>
        <v/>
      </c>
      <c r="Y145" s="97" t="str">
        <f aca="false">IF(ISBLANK($C145),"",IF(O145=Constants!$B$2, TRUE(), IF(O145=Constants!$B$3, FALSE(), FALSE())))</f>
        <v/>
      </c>
      <c r="Z145" s="97" t="str">
        <f aca="false">IF(ISBLANK($C145),"",IF(Y145,Constants!$B$4,IF(COUNTA(E145:N145)=0,Constants!$B$5,IF(COUNTA(J145:K145,M145:N145)=0,Constants!$B$6,Constants!$B$7))))</f>
        <v/>
      </c>
      <c r="AA145" s="97" t="str">
        <f aca="false">IF(ISBLANK($C145),"",IF($Z145&lt;&gt;Constants!$B$7,$Z145,IF(OR(NOT(T145),AND(NOT(Q145),COUNTIFS(U145:W145,Constants!$B$18,V145:X145,"&gt;=0")&gt;0),AND(NOT(R145),COUNTIFS(U145:W145,Constants!$B$19,V145:X145,"&gt;=0")&gt;0)),Constants!$B$12,Constants!$B$11)))</f>
        <v/>
      </c>
      <c r="AB145" s="97" t="str">
        <f aca="false">IF($Z145=Constants!$B$7,IF(V145="",Constants!$B$13,V145),"")</f>
        <v/>
      </c>
      <c r="AC145" s="97" t="str">
        <f aca="false">IF($Z145=Constants!$B$7,IF(X145="",Constants!$B$13,X145),"")</f>
        <v/>
      </c>
      <c r="AD145" s="97" t="str">
        <f aca="false">IF($Z145=Constants!$B$7,IF($AB145&gt;=$AC145,1,2),"")</f>
        <v/>
      </c>
      <c r="AE145" s="97" t="str">
        <f aca="false">IF($Z145=Constants!$B$7,LARGE(AB145:AC145,1),"")</f>
        <v/>
      </c>
      <c r="AF145" s="97" t="str">
        <f aca="false">IF(ISBLANK($C145),"",IF($Z145&lt;&gt;Constants!$B$7,$Z145,AE145*S145))</f>
        <v/>
      </c>
      <c r="AG145" s="97" t="str">
        <f aca="false">IF(ISBLANK($C145),"",IF($Z145=Constants!$B$7,IF(ISNUMBER(AF145),RANK(AF145,$AF$8:$AF$507),Constants!$B$14),$Z145))</f>
        <v/>
      </c>
      <c r="AH145" s="97" t="str">
        <f aca="false">IF(ISBLANK($C145),"",IF($Z145=Constants!$B$7,IF(ISNUMBER(AG145),COUNTIFS($AA$8:$AA$507,"&lt;"&amp;$AA145)+COUNTIFS($AA$8:$AA$507,$AA145,$AG$8:$AG$507,"&lt;"&amp;$AG145)+1,Constants!$B$14),$Z145))</f>
        <v/>
      </c>
      <c r="AI145" s="97" t="str">
        <f aca="false">IF(ISBLANK($C145),"",IF($Z145=Constants!$B$7,LARGE(AB145:AC145,2)*S145,""))</f>
        <v/>
      </c>
      <c r="AJ145" s="97" t="str">
        <f aca="false">IF(ISBLANK($C145),"",IF($Z145=Constants!$B$7,RANK(AI145,$AI$8:$AI$507),$Z145))</f>
        <v/>
      </c>
      <c r="AK145" s="97" t="str">
        <f aca="false">IF(ISBLANK($C145),"",IF($Z145=Constants!$B$7,IF(ISNUMBER(AG145),COUNTIFS($AA$8:$AA$507,"&lt;"&amp;$AA145)+COUNTIFS($AA$8:$AA$507,$AA145,$AG$8:$AG$507,"&lt;"&amp;$AG145)+COUNTIFS($AA$8:$AA$507,$AA145,$AG$8:$AG$507,$AG145,$AJ$8:$AJ$507,"&lt;"&amp;$AJ145)+1,Constants!$B$14),$Z145))</f>
        <v/>
      </c>
      <c r="AL145" s="97" t="str">
        <f aca="false">IF(ISBLANK($C145),"",IF($Z145=Constants!$B$7,IF(ISNUMBER(AH145),AH145-AK145,Constants!$B$14),$Z145))</f>
        <v/>
      </c>
      <c r="AM145" s="98"/>
      <c r="AN145" s="99" t="str">
        <f aca="false">IF(ISBLANK($C145),"",IF($Z145&lt;&gt;Constants!$B$7,$Z145,AD145))</f>
        <v/>
      </c>
      <c r="AO145" s="100" t="str">
        <f aca="false">IF(ISBLANK($C145),"",IF($Z145&lt;&gt;Constants!$B$7,$Z145,S145))</f>
        <v/>
      </c>
      <c r="AP145" s="101" t="str">
        <f aca="false">IF(ISBLANK($C145),"",IF($Z145&lt;&gt;Constants!$B$7,$Z145,AF145))</f>
        <v/>
      </c>
      <c r="AQ145" s="102" t="str">
        <f aca="false">IF(ISBLANK($C145),"",IF($Z145&lt;&gt;Constants!$B$7,$Z145,AA145))</f>
        <v/>
      </c>
      <c r="AR145" s="100" t="str">
        <f aca="false">IF(ISBLANK($C145),"",AL145)</f>
        <v/>
      </c>
      <c r="AS145" s="100" t="str">
        <f aca="false">IF(ISBLANK($C145),"",AK145)</f>
        <v/>
      </c>
      <c r="AT145" s="103" t="str">
        <f aca="false">IF(ISBLANK($C145),"",IF(AS145=Constants!$B$4,COUNTA($C$8:$C$507)+2,IF(AS145=Constants!$B$5,COUNTA($C$8:$C$507)+1,IF(AS145=Constants!$B$6,COUNTA($C$8:$C$507),AS145))))</f>
        <v/>
      </c>
      <c r="AU145" s="5"/>
      <c r="AV145" s="104" t="n">
        <f aca="false">IF(OR(ISNUMBER(AS145),AS145=Constants!$B$4,AS145=Constants!$B$6,AS145=Constants!$B$5),1,0)</f>
        <v>0</v>
      </c>
      <c r="AW145" s="104" t="n">
        <v>138</v>
      </c>
      <c r="AX145" s="104" t="str">
        <f aca="false">IF(ISBLANK($C145),"",IF(ISNUMBER(AT145),AT145+ROW($B145)/1000,""))</f>
        <v/>
      </c>
      <c r="AY145" s="104" t="str">
        <f aca="false">IF(ISNUMBER(AX145),RANK(AX145,$AX$8:$AX$507,1),"")</f>
        <v/>
      </c>
      <c r="AZ145" s="104" t="str">
        <f aca="false">IF(ISBLANK($C145),"",$B145)</f>
        <v/>
      </c>
      <c r="BA145" s="104" t="str">
        <f aca="false">IF(ISBLANK($C145),"",$C145)</f>
        <v/>
      </c>
      <c r="BB145" s="104" t="str">
        <f aca="false">IF(ISBLANK($C145),"",$D145)</f>
        <v/>
      </c>
      <c r="BC145" s="105" t="str">
        <f aca="false">AQ145</f>
        <v/>
      </c>
      <c r="BD145" s="106" t="str">
        <f aca="false">AP145</f>
        <v/>
      </c>
      <c r="BE145" s="104" t="str">
        <f aca="false">IF(ISBLANK($C145),"",AS145)</f>
        <v/>
      </c>
      <c r="BF145" s="107" t="str">
        <f aca="false">IF($AW145&gt;$AV$7,"",VLOOKUP($AW145,$AY$8:$BE$507,7,FALSE()))</f>
        <v/>
      </c>
      <c r="BG145" s="108" t="str">
        <f aca="false">IF($AW145&gt;$AV$7,"",VLOOKUP($AW145,$AY$8:$BE$507,2,FALSE()))</f>
        <v/>
      </c>
      <c r="BH145" s="108" t="str">
        <f aca="false">IF($AW145&gt;$AV$7,"",VLOOKUP($AW145,$AY$8:$BE$507,3,FALSE()))</f>
        <v/>
      </c>
      <c r="BI145" s="108" t="str">
        <f aca="false">IF($AW145&gt;$AV$7,"",VLOOKUP($AW145,$AY$8:$BE$507,4,FALSE()))</f>
        <v/>
      </c>
      <c r="BJ145" s="108" t="str">
        <f aca="false">IF($AW145&gt;$AV$7,"",VLOOKUP($AW145,$AY$8:$BE$507,5,FALSE()))</f>
        <v/>
      </c>
      <c r="BK145" s="109" t="str">
        <f aca="false">IF($AW145&gt;$AV$7,"",VLOOKUP($AW145,$AY$8:$BE$507,6,FALSE()))</f>
        <v/>
      </c>
      <c r="BL145" s="50"/>
    </row>
    <row r="146" customFormat="false" ht="15.75" hidden="false" customHeight="false" outlineLevel="0" collapsed="false">
      <c r="A146" s="5"/>
      <c r="B146" s="131"/>
      <c r="C146" s="52"/>
      <c r="D146" s="53"/>
      <c r="E146" s="80"/>
      <c r="F146" s="132"/>
      <c r="G146" s="56"/>
      <c r="H146" s="133"/>
      <c r="I146" s="134"/>
      <c r="J146" s="59"/>
      <c r="K146" s="60"/>
      <c r="L146" s="134"/>
      <c r="M146" s="61"/>
      <c r="N146" s="62"/>
      <c r="O146" s="80"/>
      <c r="P146" s="64"/>
      <c r="Q146" s="65" t="str">
        <f aca="false">IF(ISBLANK($C146),"",IF(E146=Constants!$B$2, TRUE(), IF(E146=Constants!$B$3, FALSE(), TRUE())))</f>
        <v/>
      </c>
      <c r="R146" s="65" t="str">
        <f aca="false">IF(ISBLANK($C146),"",IF(F146=Constants!$B$2, TRUE(), IF(F146=Constants!$B$3, FALSE(), TRUE())))</f>
        <v/>
      </c>
      <c r="S146" s="65" t="str">
        <f aca="false">IF(ISBLANK($C146),"",IF(G146=Constants!$B$15,Constants!$B$8,IF(G146=Constants!$B$16,Constants!$B$9,Constants!$B$10)))</f>
        <v/>
      </c>
      <c r="T146" s="65" t="str">
        <f aca="false">IF(ISBLANK($C146),"",IF(H146=Constants!$B$2, TRUE(), IF(H146=Constants!$B$3, FALSE(), TRUE())))</f>
        <v/>
      </c>
      <c r="U146" s="65" t="str">
        <f aca="false">IF(ISBLANK($C146),"",IF(I146=Constants!$B$19,Constants!$B$19,Constants!$B$18))</f>
        <v/>
      </c>
      <c r="V146" s="65" t="str">
        <f aca="false">IF(ISBLANK($C146),"",IF(COUNTA(J146:K146)=0,"",IF(AND(OR(ISBLANK(J146),AND(ISNUMBER(J146),J146&gt;=0)),OR(ISBLANK(K146),AND(ISNUMBER(K146),K146&gt;=0))),60*IF(ISBLANK(J146),0,J146)+IF(ISBLANK(K146),0,K146),"")))</f>
        <v/>
      </c>
      <c r="W146" s="65" t="str">
        <f aca="false">IF(ISBLANK($C146),"",IF(L146=Constants!$B$19,Constants!$B$19,Constants!$B$18))</f>
        <v/>
      </c>
      <c r="X146" s="65" t="str">
        <f aca="false">IF(ISBLANK($C146),"",IF(COUNTA(M146:N146)=0,"",IF(AND(OR(ISBLANK(M146),AND(ISNUMBER(M146),M146&gt;=0)),OR(ISBLANK(N146),AND(ISNUMBER(N146),N146&gt;=0))),60*IF(ISBLANK(M146),0,M146)+IF(ISBLANK(N146),0,N146),"")))</f>
        <v/>
      </c>
      <c r="Y146" s="65" t="str">
        <f aca="false">IF(ISBLANK($C146),"",IF(O146=Constants!$B$2, TRUE(), IF(O146=Constants!$B$3, FALSE(), FALSE())))</f>
        <v/>
      </c>
      <c r="Z146" s="65" t="str">
        <f aca="false">IF(ISBLANK($C146),"",IF(Y146,Constants!$B$4,IF(COUNTA(E146:N146)=0,Constants!$B$5,IF(COUNTA(J146:K146,M146:N146)=0,Constants!$B$6,Constants!$B$7))))</f>
        <v/>
      </c>
      <c r="AA146" s="65" t="str">
        <f aca="false">IF(ISBLANK($C146),"",IF($Z146&lt;&gt;Constants!$B$7,$Z146,IF(OR(NOT(T146),AND(NOT(Q146),COUNTIFS(U146:W146,Constants!$B$18,V146:X146,"&gt;=0")&gt;0),AND(NOT(R146),COUNTIFS(U146:W146,Constants!$B$19,V146:X146,"&gt;=0")&gt;0)),Constants!$B$12,Constants!$B$11)))</f>
        <v/>
      </c>
      <c r="AB146" s="65" t="str">
        <f aca="false">IF($Z146=Constants!$B$7,IF(V146="",Constants!$B$13,V146),"")</f>
        <v/>
      </c>
      <c r="AC146" s="65" t="str">
        <f aca="false">IF($Z146=Constants!$B$7,IF(X146="",Constants!$B$13,X146),"")</f>
        <v/>
      </c>
      <c r="AD146" s="65" t="str">
        <f aca="false">IF($Z146=Constants!$B$7,IF($AB146&gt;=$AC146,1,2),"")</f>
        <v/>
      </c>
      <c r="AE146" s="65" t="str">
        <f aca="false">IF($Z146=Constants!$B$7,LARGE(AB146:AC146,1),"")</f>
        <v/>
      </c>
      <c r="AF146" s="65" t="str">
        <f aca="false">IF(ISBLANK($C146),"",IF($Z146&lt;&gt;Constants!$B$7,$Z146,AE146*S146))</f>
        <v/>
      </c>
      <c r="AG146" s="65" t="str">
        <f aca="false">IF(ISBLANK($C146),"",IF($Z146=Constants!$B$7,IF(ISNUMBER(AF146),RANK(AF146,$AF$8:$AF$507),Constants!$B$14),$Z146))</f>
        <v/>
      </c>
      <c r="AH146" s="65" t="str">
        <f aca="false">IF(ISBLANK($C146),"",IF($Z146=Constants!$B$7,IF(ISNUMBER(AG146),COUNTIFS($AA$8:$AA$507,"&lt;"&amp;$AA146)+COUNTIFS($AA$8:$AA$507,$AA146,$AG$8:$AG$507,"&lt;"&amp;$AG146)+1,Constants!$B$14),$Z146))</f>
        <v/>
      </c>
      <c r="AI146" s="65" t="str">
        <f aca="false">IF(ISBLANK($C146),"",IF($Z146=Constants!$B$7,LARGE(AB146:AC146,2)*S146,""))</f>
        <v/>
      </c>
      <c r="AJ146" s="65" t="str">
        <f aca="false">IF(ISBLANK($C146),"",IF($Z146=Constants!$B$7,RANK(AI146,$AI$8:$AI$507),$Z146))</f>
        <v/>
      </c>
      <c r="AK146" s="65" t="str">
        <f aca="false">IF(ISBLANK($C146),"",IF($Z146=Constants!$B$7,IF(ISNUMBER(AG146),COUNTIFS($AA$8:$AA$507,"&lt;"&amp;$AA146)+COUNTIFS($AA$8:$AA$507,$AA146,$AG$8:$AG$507,"&lt;"&amp;$AG146)+COUNTIFS($AA$8:$AA$507,$AA146,$AG$8:$AG$507,$AG146,$AJ$8:$AJ$507,"&lt;"&amp;$AJ146)+1,Constants!$B$14),$Z146))</f>
        <v/>
      </c>
      <c r="AL146" s="65" t="str">
        <f aca="false">IF(ISBLANK($C146),"",IF($Z146=Constants!$B$7,IF(ISNUMBER(AH146),AH146-AK146,Constants!$B$14),$Z146))</f>
        <v/>
      </c>
      <c r="AM146" s="67"/>
      <c r="AN146" s="68" t="str">
        <f aca="false">IF(ISBLANK($C146),"",IF($Z146&lt;&gt;Constants!$B$7,$Z146,AD146))</f>
        <v/>
      </c>
      <c r="AO146" s="69" t="str">
        <f aca="false">IF(ISBLANK($C146),"",IF($Z146&lt;&gt;Constants!$B$7,$Z146,S146))</f>
        <v/>
      </c>
      <c r="AP146" s="70" t="str">
        <f aca="false">IF(ISBLANK($C146),"",IF($Z146&lt;&gt;Constants!$B$7,$Z146,AF146))</f>
        <v/>
      </c>
      <c r="AQ146" s="71" t="str">
        <f aca="false">IF(ISBLANK($C146),"",IF($Z146&lt;&gt;Constants!$B$7,$Z146,AA146))</f>
        <v/>
      </c>
      <c r="AR146" s="69" t="str">
        <f aca="false">IF(ISBLANK($C146),"",AL146)</f>
        <v/>
      </c>
      <c r="AS146" s="69" t="str">
        <f aca="false">IF(ISBLANK($C146),"",AK146)</f>
        <v/>
      </c>
      <c r="AT146" s="72" t="str">
        <f aca="false">IF(ISBLANK($C146),"",IF(AS146=Constants!$B$4,COUNTA($C$8:$C$507)+2,IF(AS146=Constants!$B$5,COUNTA($C$8:$C$507)+1,IF(AS146=Constants!$B$6,COUNTA($C$8:$C$507),AS146))))</f>
        <v/>
      </c>
      <c r="AU146" s="5"/>
      <c r="AV146" s="73" t="n">
        <f aca="false">IF(OR(ISNUMBER(AS146),AS146=Constants!$B$4,AS146=Constants!$B$6,AS146=Constants!$B$5),1,0)</f>
        <v>0</v>
      </c>
      <c r="AW146" s="73" t="n">
        <v>139</v>
      </c>
      <c r="AX146" s="73" t="str">
        <f aca="false">IF(ISBLANK($C146),"",IF(ISNUMBER(AT146),AT146+ROW($B146)/1000,""))</f>
        <v/>
      </c>
      <c r="AY146" s="73" t="str">
        <f aca="false">IF(ISNUMBER(AX146),RANK(AX146,$AX$8:$AX$507,1),"")</f>
        <v/>
      </c>
      <c r="AZ146" s="73" t="str">
        <f aca="false">IF(ISBLANK($C146),"",$B146)</f>
        <v/>
      </c>
      <c r="BA146" s="73" t="str">
        <f aca="false">IF(ISBLANK($C146),"",$C146)</f>
        <v/>
      </c>
      <c r="BB146" s="73" t="str">
        <f aca="false">IF(ISBLANK($C146),"",$D146)</f>
        <v/>
      </c>
      <c r="BC146" s="74" t="str">
        <f aca="false">AQ146</f>
        <v/>
      </c>
      <c r="BD146" s="75" t="str">
        <f aca="false">AP146</f>
        <v/>
      </c>
      <c r="BE146" s="73" t="str">
        <f aca="false">IF(ISBLANK($C146),"",AS146)</f>
        <v/>
      </c>
      <c r="BF146" s="76" t="str">
        <f aca="false">IF($AW146&gt;$AV$7,"",VLOOKUP($AW146,$AY$8:$BE$507,7,FALSE()))</f>
        <v/>
      </c>
      <c r="BG146" s="77" t="str">
        <f aca="false">IF($AW146&gt;$AV$7,"",VLOOKUP($AW146,$AY$8:$BE$507,2,FALSE()))</f>
        <v/>
      </c>
      <c r="BH146" s="77" t="str">
        <f aca="false">IF($AW146&gt;$AV$7,"",VLOOKUP($AW146,$AY$8:$BE$507,3,FALSE()))</f>
        <v/>
      </c>
      <c r="BI146" s="77" t="str">
        <f aca="false">IF($AW146&gt;$AV$7,"",VLOOKUP($AW146,$AY$8:$BE$507,4,FALSE()))</f>
        <v/>
      </c>
      <c r="BJ146" s="77" t="str">
        <f aca="false">IF($AW146&gt;$AV$7,"",VLOOKUP($AW146,$AY$8:$BE$507,5,FALSE()))</f>
        <v/>
      </c>
      <c r="BK146" s="78" t="str">
        <f aca="false">IF($AW146&gt;$AV$7,"",VLOOKUP($AW146,$AY$8:$BE$507,6,FALSE()))</f>
        <v/>
      </c>
      <c r="BL146" s="50"/>
    </row>
    <row r="147" customFormat="false" ht="15.75" hidden="false" customHeight="false" outlineLevel="0" collapsed="false">
      <c r="A147" s="5"/>
      <c r="B147" s="131"/>
      <c r="C147" s="52"/>
      <c r="D147" s="53"/>
      <c r="E147" s="80"/>
      <c r="F147" s="132"/>
      <c r="G147" s="56"/>
      <c r="H147" s="133"/>
      <c r="I147" s="134"/>
      <c r="J147" s="59"/>
      <c r="K147" s="60"/>
      <c r="L147" s="134"/>
      <c r="M147" s="61"/>
      <c r="N147" s="62"/>
      <c r="O147" s="80"/>
      <c r="P147" s="64"/>
      <c r="Q147" s="65" t="str">
        <f aca="false">IF(ISBLANK($C147),"",IF(E147=Constants!$B$2, TRUE(), IF(E147=Constants!$B$3, FALSE(), TRUE())))</f>
        <v/>
      </c>
      <c r="R147" s="65" t="str">
        <f aca="false">IF(ISBLANK($C147),"",IF(F147=Constants!$B$2, TRUE(), IF(F147=Constants!$B$3, FALSE(), TRUE())))</f>
        <v/>
      </c>
      <c r="S147" s="65" t="str">
        <f aca="false">IF(ISBLANK($C147),"",IF(G147=Constants!$B$15,Constants!$B$8,IF(G147=Constants!$B$16,Constants!$B$9,Constants!$B$10)))</f>
        <v/>
      </c>
      <c r="T147" s="65" t="str">
        <f aca="false">IF(ISBLANK($C147),"",IF(H147=Constants!$B$2, TRUE(), IF(H147=Constants!$B$3, FALSE(), TRUE())))</f>
        <v/>
      </c>
      <c r="U147" s="65" t="str">
        <f aca="false">IF(ISBLANK($C147),"",IF(I147=Constants!$B$19,Constants!$B$19,Constants!$B$18))</f>
        <v/>
      </c>
      <c r="V147" s="65" t="str">
        <f aca="false">IF(ISBLANK($C147),"",IF(COUNTA(J147:K147)=0,"",IF(AND(OR(ISBLANK(J147),AND(ISNUMBER(J147),J147&gt;=0)),OR(ISBLANK(K147),AND(ISNUMBER(K147),K147&gt;=0))),60*IF(ISBLANK(J147),0,J147)+IF(ISBLANK(K147),0,K147),"")))</f>
        <v/>
      </c>
      <c r="W147" s="65" t="str">
        <f aca="false">IF(ISBLANK($C147),"",IF(L147=Constants!$B$19,Constants!$B$19,Constants!$B$18))</f>
        <v/>
      </c>
      <c r="X147" s="65" t="str">
        <f aca="false">IF(ISBLANK($C147),"",IF(COUNTA(M147:N147)=0,"",IF(AND(OR(ISBLANK(M147),AND(ISNUMBER(M147),M147&gt;=0)),OR(ISBLANK(N147),AND(ISNUMBER(N147),N147&gt;=0))),60*IF(ISBLANK(M147),0,M147)+IF(ISBLANK(N147),0,N147),"")))</f>
        <v/>
      </c>
      <c r="Y147" s="65" t="str">
        <f aca="false">IF(ISBLANK($C147),"",IF(O147=Constants!$B$2, TRUE(), IF(O147=Constants!$B$3, FALSE(), FALSE())))</f>
        <v/>
      </c>
      <c r="Z147" s="65" t="str">
        <f aca="false">IF(ISBLANK($C147),"",IF(Y147,Constants!$B$4,IF(COUNTA(E147:N147)=0,Constants!$B$5,IF(COUNTA(J147:K147,M147:N147)=0,Constants!$B$6,Constants!$B$7))))</f>
        <v/>
      </c>
      <c r="AA147" s="65" t="str">
        <f aca="false">IF(ISBLANK($C147),"",IF($Z147&lt;&gt;Constants!$B$7,$Z147,IF(OR(NOT(T147),AND(NOT(Q147),COUNTIFS(U147:W147,Constants!$B$18,V147:X147,"&gt;=0")&gt;0),AND(NOT(R147),COUNTIFS(U147:W147,Constants!$B$19,V147:X147,"&gt;=0")&gt;0)),Constants!$B$12,Constants!$B$11)))</f>
        <v/>
      </c>
      <c r="AB147" s="65" t="str">
        <f aca="false">IF($Z147=Constants!$B$7,IF(V147="",Constants!$B$13,V147),"")</f>
        <v/>
      </c>
      <c r="AC147" s="65" t="str">
        <f aca="false">IF($Z147=Constants!$B$7,IF(X147="",Constants!$B$13,X147),"")</f>
        <v/>
      </c>
      <c r="AD147" s="65" t="str">
        <f aca="false">IF($Z147=Constants!$B$7,IF($AB147&gt;=$AC147,1,2),"")</f>
        <v/>
      </c>
      <c r="AE147" s="65" t="str">
        <f aca="false">IF($Z147=Constants!$B$7,LARGE(AB147:AC147,1),"")</f>
        <v/>
      </c>
      <c r="AF147" s="65" t="str">
        <f aca="false">IF(ISBLANK($C147),"",IF($Z147&lt;&gt;Constants!$B$7,$Z147,AE147*S147))</f>
        <v/>
      </c>
      <c r="AG147" s="65" t="str">
        <f aca="false">IF(ISBLANK($C147),"",IF($Z147=Constants!$B$7,IF(ISNUMBER(AF147),RANK(AF147,$AF$8:$AF$507),Constants!$B$14),$Z147))</f>
        <v/>
      </c>
      <c r="AH147" s="65" t="str">
        <f aca="false">IF(ISBLANK($C147),"",IF($Z147=Constants!$B$7,IF(ISNUMBER(AG147),COUNTIFS($AA$8:$AA$507,"&lt;"&amp;$AA147)+COUNTIFS($AA$8:$AA$507,$AA147,$AG$8:$AG$507,"&lt;"&amp;$AG147)+1,Constants!$B$14),$Z147))</f>
        <v/>
      </c>
      <c r="AI147" s="65" t="str">
        <f aca="false">IF(ISBLANK($C147),"",IF($Z147=Constants!$B$7,LARGE(AB147:AC147,2)*S147,""))</f>
        <v/>
      </c>
      <c r="AJ147" s="65" t="str">
        <f aca="false">IF(ISBLANK($C147),"",IF($Z147=Constants!$B$7,RANK(AI147,$AI$8:$AI$507),$Z147))</f>
        <v/>
      </c>
      <c r="AK147" s="65" t="str">
        <f aca="false">IF(ISBLANK($C147),"",IF($Z147=Constants!$B$7,IF(ISNUMBER(AG147),COUNTIFS($AA$8:$AA$507,"&lt;"&amp;$AA147)+COUNTIFS($AA$8:$AA$507,$AA147,$AG$8:$AG$507,"&lt;"&amp;$AG147)+COUNTIFS($AA$8:$AA$507,$AA147,$AG$8:$AG$507,$AG147,$AJ$8:$AJ$507,"&lt;"&amp;$AJ147)+1,Constants!$B$14),$Z147))</f>
        <v/>
      </c>
      <c r="AL147" s="65" t="str">
        <f aca="false">IF(ISBLANK($C147),"",IF($Z147=Constants!$B$7,IF(ISNUMBER(AH147),AH147-AK147,Constants!$B$14),$Z147))</f>
        <v/>
      </c>
      <c r="AM147" s="67"/>
      <c r="AN147" s="68" t="str">
        <f aca="false">IF(ISBLANK($C147),"",IF($Z147&lt;&gt;Constants!$B$7,$Z147,AD147))</f>
        <v/>
      </c>
      <c r="AO147" s="69" t="str">
        <f aca="false">IF(ISBLANK($C147),"",IF($Z147&lt;&gt;Constants!$B$7,$Z147,S147))</f>
        <v/>
      </c>
      <c r="AP147" s="70" t="str">
        <f aca="false">IF(ISBLANK($C147),"",IF($Z147&lt;&gt;Constants!$B$7,$Z147,AF147))</f>
        <v/>
      </c>
      <c r="AQ147" s="71" t="str">
        <f aca="false">IF(ISBLANK($C147),"",IF($Z147&lt;&gt;Constants!$B$7,$Z147,AA147))</f>
        <v/>
      </c>
      <c r="AR147" s="69" t="str">
        <f aca="false">IF(ISBLANK($C147),"",AL147)</f>
        <v/>
      </c>
      <c r="AS147" s="69" t="str">
        <f aca="false">IF(ISBLANK($C147),"",AK147)</f>
        <v/>
      </c>
      <c r="AT147" s="72" t="str">
        <f aca="false">IF(ISBLANK($C147),"",IF(AS147=Constants!$B$4,COUNTA($C$8:$C$507)+2,IF(AS147=Constants!$B$5,COUNTA($C$8:$C$507)+1,IF(AS147=Constants!$B$6,COUNTA($C$8:$C$507),AS147))))</f>
        <v/>
      </c>
      <c r="AU147" s="5"/>
      <c r="AV147" s="73" t="n">
        <f aca="false">IF(OR(ISNUMBER(AS147),AS147=Constants!$B$4,AS147=Constants!$B$6,AS147=Constants!$B$5),1,0)</f>
        <v>0</v>
      </c>
      <c r="AW147" s="73" t="n">
        <v>140</v>
      </c>
      <c r="AX147" s="73" t="str">
        <f aca="false">IF(ISBLANK($C147),"",IF(ISNUMBER(AT147),AT147+ROW($B147)/1000,""))</f>
        <v/>
      </c>
      <c r="AY147" s="73" t="str">
        <f aca="false">IF(ISNUMBER(AX147),RANK(AX147,$AX$8:$AX$507,1),"")</f>
        <v/>
      </c>
      <c r="AZ147" s="73" t="str">
        <f aca="false">IF(ISBLANK($C147),"",$B147)</f>
        <v/>
      </c>
      <c r="BA147" s="73" t="str">
        <f aca="false">IF(ISBLANK($C147),"",$C147)</f>
        <v/>
      </c>
      <c r="BB147" s="73" t="str">
        <f aca="false">IF(ISBLANK($C147),"",$D147)</f>
        <v/>
      </c>
      <c r="BC147" s="74" t="str">
        <f aca="false">AQ147</f>
        <v/>
      </c>
      <c r="BD147" s="75" t="str">
        <f aca="false">AP147</f>
        <v/>
      </c>
      <c r="BE147" s="73" t="str">
        <f aca="false">IF(ISBLANK($C147),"",AS147)</f>
        <v/>
      </c>
      <c r="BF147" s="76" t="str">
        <f aca="false">IF($AW147&gt;$AV$7,"",VLOOKUP($AW147,$AY$8:$BE$507,7,FALSE()))</f>
        <v/>
      </c>
      <c r="BG147" s="77" t="str">
        <f aca="false">IF($AW147&gt;$AV$7,"",VLOOKUP($AW147,$AY$8:$BE$507,2,FALSE()))</f>
        <v/>
      </c>
      <c r="BH147" s="77" t="str">
        <f aca="false">IF($AW147&gt;$AV$7,"",VLOOKUP($AW147,$AY$8:$BE$507,3,FALSE()))</f>
        <v/>
      </c>
      <c r="BI147" s="77" t="str">
        <f aca="false">IF($AW147&gt;$AV$7,"",VLOOKUP($AW147,$AY$8:$BE$507,4,FALSE()))</f>
        <v/>
      </c>
      <c r="BJ147" s="77" t="str">
        <f aca="false">IF($AW147&gt;$AV$7,"",VLOOKUP($AW147,$AY$8:$BE$507,5,FALSE()))</f>
        <v/>
      </c>
      <c r="BK147" s="78" t="str">
        <f aca="false">IF($AW147&gt;$AV$7,"",VLOOKUP($AW147,$AY$8:$BE$507,6,FALSE()))</f>
        <v/>
      </c>
      <c r="BL147" s="50"/>
    </row>
    <row r="148" customFormat="false" ht="15.75" hidden="false" customHeight="false" outlineLevel="0" collapsed="false">
      <c r="A148" s="5"/>
      <c r="B148" s="131"/>
      <c r="C148" s="52"/>
      <c r="D148" s="53"/>
      <c r="E148" s="80"/>
      <c r="F148" s="132"/>
      <c r="G148" s="56"/>
      <c r="H148" s="133"/>
      <c r="I148" s="134"/>
      <c r="J148" s="59"/>
      <c r="K148" s="60"/>
      <c r="L148" s="134"/>
      <c r="M148" s="61"/>
      <c r="N148" s="62"/>
      <c r="O148" s="80"/>
      <c r="P148" s="64"/>
      <c r="Q148" s="65" t="str">
        <f aca="false">IF(ISBLANK($C148),"",IF(E148=Constants!$B$2, TRUE(), IF(E148=Constants!$B$3, FALSE(), TRUE())))</f>
        <v/>
      </c>
      <c r="R148" s="65" t="str">
        <f aca="false">IF(ISBLANK($C148),"",IF(F148=Constants!$B$2, TRUE(), IF(F148=Constants!$B$3, FALSE(), TRUE())))</f>
        <v/>
      </c>
      <c r="S148" s="65" t="str">
        <f aca="false">IF(ISBLANK($C148),"",IF(G148=Constants!$B$15,Constants!$B$8,IF(G148=Constants!$B$16,Constants!$B$9,Constants!$B$10)))</f>
        <v/>
      </c>
      <c r="T148" s="65" t="str">
        <f aca="false">IF(ISBLANK($C148),"",IF(H148=Constants!$B$2, TRUE(), IF(H148=Constants!$B$3, FALSE(), TRUE())))</f>
        <v/>
      </c>
      <c r="U148" s="65" t="str">
        <f aca="false">IF(ISBLANK($C148),"",IF(I148=Constants!$B$19,Constants!$B$19,Constants!$B$18))</f>
        <v/>
      </c>
      <c r="V148" s="65" t="str">
        <f aca="false">IF(ISBLANK($C148),"",IF(COUNTA(J148:K148)=0,"",IF(AND(OR(ISBLANK(J148),AND(ISNUMBER(J148),J148&gt;=0)),OR(ISBLANK(K148),AND(ISNUMBER(K148),K148&gt;=0))),60*IF(ISBLANK(J148),0,J148)+IF(ISBLANK(K148),0,K148),"")))</f>
        <v/>
      </c>
      <c r="W148" s="65" t="str">
        <f aca="false">IF(ISBLANK($C148),"",IF(L148=Constants!$B$19,Constants!$B$19,Constants!$B$18))</f>
        <v/>
      </c>
      <c r="X148" s="65" t="str">
        <f aca="false">IF(ISBLANK($C148),"",IF(COUNTA(M148:N148)=0,"",IF(AND(OR(ISBLANK(M148),AND(ISNUMBER(M148),M148&gt;=0)),OR(ISBLANK(N148),AND(ISNUMBER(N148),N148&gt;=0))),60*IF(ISBLANK(M148),0,M148)+IF(ISBLANK(N148),0,N148),"")))</f>
        <v/>
      </c>
      <c r="Y148" s="65" t="str">
        <f aca="false">IF(ISBLANK($C148),"",IF(O148=Constants!$B$2, TRUE(), IF(O148=Constants!$B$3, FALSE(), FALSE())))</f>
        <v/>
      </c>
      <c r="Z148" s="65" t="str">
        <f aca="false">IF(ISBLANK($C148),"",IF(Y148,Constants!$B$4,IF(COUNTA(E148:N148)=0,Constants!$B$5,IF(COUNTA(J148:K148,M148:N148)=0,Constants!$B$6,Constants!$B$7))))</f>
        <v/>
      </c>
      <c r="AA148" s="65" t="str">
        <f aca="false">IF(ISBLANK($C148),"",IF($Z148&lt;&gt;Constants!$B$7,$Z148,IF(OR(NOT(T148),AND(NOT(Q148),COUNTIFS(U148:W148,Constants!$B$18,V148:X148,"&gt;=0")&gt;0),AND(NOT(R148),COUNTIFS(U148:W148,Constants!$B$19,V148:X148,"&gt;=0")&gt;0)),Constants!$B$12,Constants!$B$11)))</f>
        <v/>
      </c>
      <c r="AB148" s="65" t="str">
        <f aca="false">IF($Z148=Constants!$B$7,IF(V148="",Constants!$B$13,V148),"")</f>
        <v/>
      </c>
      <c r="AC148" s="65" t="str">
        <f aca="false">IF($Z148=Constants!$B$7,IF(X148="",Constants!$B$13,X148),"")</f>
        <v/>
      </c>
      <c r="AD148" s="65" t="str">
        <f aca="false">IF($Z148=Constants!$B$7,IF($AB148&gt;=$AC148,1,2),"")</f>
        <v/>
      </c>
      <c r="AE148" s="65" t="str">
        <f aca="false">IF($Z148=Constants!$B$7,LARGE(AB148:AC148,1),"")</f>
        <v/>
      </c>
      <c r="AF148" s="65" t="str">
        <f aca="false">IF(ISBLANK($C148),"",IF($Z148&lt;&gt;Constants!$B$7,$Z148,AE148*S148))</f>
        <v/>
      </c>
      <c r="AG148" s="65" t="str">
        <f aca="false">IF(ISBLANK($C148),"",IF($Z148=Constants!$B$7,IF(ISNUMBER(AF148),RANK(AF148,$AF$8:$AF$507),Constants!$B$14),$Z148))</f>
        <v/>
      </c>
      <c r="AH148" s="65" t="str">
        <f aca="false">IF(ISBLANK($C148),"",IF($Z148=Constants!$B$7,IF(ISNUMBER(AG148),COUNTIFS($AA$8:$AA$507,"&lt;"&amp;$AA148)+COUNTIFS($AA$8:$AA$507,$AA148,$AG$8:$AG$507,"&lt;"&amp;$AG148)+1,Constants!$B$14),$Z148))</f>
        <v/>
      </c>
      <c r="AI148" s="65" t="str">
        <f aca="false">IF(ISBLANK($C148),"",IF($Z148=Constants!$B$7,LARGE(AB148:AC148,2)*S148,""))</f>
        <v/>
      </c>
      <c r="AJ148" s="65" t="str">
        <f aca="false">IF(ISBLANK($C148),"",IF($Z148=Constants!$B$7,RANK(AI148,$AI$8:$AI$507),$Z148))</f>
        <v/>
      </c>
      <c r="AK148" s="65" t="str">
        <f aca="false">IF(ISBLANK($C148),"",IF($Z148=Constants!$B$7,IF(ISNUMBER(AG148),COUNTIFS($AA$8:$AA$507,"&lt;"&amp;$AA148)+COUNTIFS($AA$8:$AA$507,$AA148,$AG$8:$AG$507,"&lt;"&amp;$AG148)+COUNTIFS($AA$8:$AA$507,$AA148,$AG$8:$AG$507,$AG148,$AJ$8:$AJ$507,"&lt;"&amp;$AJ148)+1,Constants!$B$14),$Z148))</f>
        <v/>
      </c>
      <c r="AL148" s="65" t="str">
        <f aca="false">IF(ISBLANK($C148),"",IF($Z148=Constants!$B$7,IF(ISNUMBER(AH148),AH148-AK148,Constants!$B$14),$Z148))</f>
        <v/>
      </c>
      <c r="AM148" s="67"/>
      <c r="AN148" s="68" t="str">
        <f aca="false">IF(ISBLANK($C148),"",IF($Z148&lt;&gt;Constants!$B$7,$Z148,AD148))</f>
        <v/>
      </c>
      <c r="AO148" s="69" t="str">
        <f aca="false">IF(ISBLANK($C148),"",IF($Z148&lt;&gt;Constants!$B$7,$Z148,S148))</f>
        <v/>
      </c>
      <c r="AP148" s="70" t="str">
        <f aca="false">IF(ISBLANK($C148),"",IF($Z148&lt;&gt;Constants!$B$7,$Z148,AF148))</f>
        <v/>
      </c>
      <c r="AQ148" s="71" t="str">
        <f aca="false">IF(ISBLANK($C148),"",IF($Z148&lt;&gt;Constants!$B$7,$Z148,AA148))</f>
        <v/>
      </c>
      <c r="AR148" s="69" t="str">
        <f aca="false">IF(ISBLANK($C148),"",AL148)</f>
        <v/>
      </c>
      <c r="AS148" s="69" t="str">
        <f aca="false">IF(ISBLANK($C148),"",AK148)</f>
        <v/>
      </c>
      <c r="AT148" s="72" t="str">
        <f aca="false">IF(ISBLANK($C148),"",IF(AS148=Constants!$B$4,COUNTA($C$8:$C$507)+2,IF(AS148=Constants!$B$5,COUNTA($C$8:$C$507)+1,IF(AS148=Constants!$B$6,COUNTA($C$8:$C$507),AS148))))</f>
        <v/>
      </c>
      <c r="AU148" s="5"/>
      <c r="AV148" s="73" t="n">
        <f aca="false">IF(OR(ISNUMBER(AS148),AS148=Constants!$B$4,AS148=Constants!$B$6,AS148=Constants!$B$5),1,0)</f>
        <v>0</v>
      </c>
      <c r="AW148" s="73" t="n">
        <v>141</v>
      </c>
      <c r="AX148" s="73" t="str">
        <f aca="false">IF(ISBLANK($C148),"",IF(ISNUMBER(AT148),AT148+ROW($B148)/1000,""))</f>
        <v/>
      </c>
      <c r="AY148" s="73" t="str">
        <f aca="false">IF(ISNUMBER(AX148),RANK(AX148,$AX$8:$AX$507,1),"")</f>
        <v/>
      </c>
      <c r="AZ148" s="73" t="str">
        <f aca="false">IF(ISBLANK($C148),"",$B148)</f>
        <v/>
      </c>
      <c r="BA148" s="73" t="str">
        <f aca="false">IF(ISBLANK($C148),"",$C148)</f>
        <v/>
      </c>
      <c r="BB148" s="73" t="str">
        <f aca="false">IF(ISBLANK($C148),"",$D148)</f>
        <v/>
      </c>
      <c r="BC148" s="74" t="str">
        <f aca="false">AQ148</f>
        <v/>
      </c>
      <c r="BD148" s="75" t="str">
        <f aca="false">AP148</f>
        <v/>
      </c>
      <c r="BE148" s="73" t="str">
        <f aca="false">IF(ISBLANK($C148),"",AS148)</f>
        <v/>
      </c>
      <c r="BF148" s="76" t="str">
        <f aca="false">IF($AW148&gt;$AV$7,"",VLOOKUP($AW148,$AY$8:$BE$507,7,FALSE()))</f>
        <v/>
      </c>
      <c r="BG148" s="77" t="str">
        <f aca="false">IF($AW148&gt;$AV$7,"",VLOOKUP($AW148,$AY$8:$BE$507,2,FALSE()))</f>
        <v/>
      </c>
      <c r="BH148" s="77" t="str">
        <f aca="false">IF($AW148&gt;$AV$7,"",VLOOKUP($AW148,$AY$8:$BE$507,3,FALSE()))</f>
        <v/>
      </c>
      <c r="BI148" s="77" t="str">
        <f aca="false">IF($AW148&gt;$AV$7,"",VLOOKUP($AW148,$AY$8:$BE$507,4,FALSE()))</f>
        <v/>
      </c>
      <c r="BJ148" s="77" t="str">
        <f aca="false">IF($AW148&gt;$AV$7,"",VLOOKUP($AW148,$AY$8:$BE$507,5,FALSE()))</f>
        <v/>
      </c>
      <c r="BK148" s="78" t="str">
        <f aca="false">IF($AW148&gt;$AV$7,"",VLOOKUP($AW148,$AY$8:$BE$507,6,FALSE()))</f>
        <v/>
      </c>
      <c r="BL148" s="50"/>
    </row>
    <row r="149" customFormat="false" ht="15.75" hidden="false" customHeight="false" outlineLevel="0" collapsed="false">
      <c r="A149" s="5"/>
      <c r="B149" s="124"/>
      <c r="C149" s="125"/>
      <c r="D149" s="110"/>
      <c r="E149" s="130"/>
      <c r="F149" s="135"/>
      <c r="G149" s="88"/>
      <c r="H149" s="136"/>
      <c r="I149" s="137"/>
      <c r="J149" s="91"/>
      <c r="K149" s="92"/>
      <c r="L149" s="137"/>
      <c r="M149" s="93"/>
      <c r="N149" s="94"/>
      <c r="O149" s="130"/>
      <c r="P149" s="96"/>
      <c r="Q149" s="97" t="str">
        <f aca="false">IF(ISBLANK($C149),"",IF(E149=Constants!$B$2, TRUE(), IF(E149=Constants!$B$3, FALSE(), TRUE())))</f>
        <v/>
      </c>
      <c r="R149" s="97" t="str">
        <f aca="false">IF(ISBLANK($C149),"",IF(F149=Constants!$B$2, TRUE(), IF(F149=Constants!$B$3, FALSE(), TRUE())))</f>
        <v/>
      </c>
      <c r="S149" s="97" t="str">
        <f aca="false">IF(ISBLANK($C149),"",IF(G149=Constants!$B$15,Constants!$B$8,IF(G149=Constants!$B$16,Constants!$B$9,Constants!$B$10)))</f>
        <v/>
      </c>
      <c r="T149" s="97" t="str">
        <f aca="false">IF(ISBLANK($C149),"",IF(H149=Constants!$B$2, TRUE(), IF(H149=Constants!$B$3, FALSE(), TRUE())))</f>
        <v/>
      </c>
      <c r="U149" s="97" t="str">
        <f aca="false">IF(ISBLANK($C149),"",IF(I149=Constants!$B$19,Constants!$B$19,Constants!$B$18))</f>
        <v/>
      </c>
      <c r="V149" s="97" t="str">
        <f aca="false">IF(ISBLANK($C149),"",IF(COUNTA(J149:K149)=0,"",IF(AND(OR(ISBLANK(J149),AND(ISNUMBER(J149),J149&gt;=0)),OR(ISBLANK(K149),AND(ISNUMBER(K149),K149&gt;=0))),60*IF(ISBLANK(J149),0,J149)+IF(ISBLANK(K149),0,K149),"")))</f>
        <v/>
      </c>
      <c r="W149" s="97" t="str">
        <f aca="false">IF(ISBLANK($C149),"",IF(L149=Constants!$B$19,Constants!$B$19,Constants!$B$18))</f>
        <v/>
      </c>
      <c r="X149" s="97" t="str">
        <f aca="false">IF(ISBLANK($C149),"",IF(COUNTA(M149:N149)=0,"",IF(AND(OR(ISBLANK(M149),AND(ISNUMBER(M149),M149&gt;=0)),OR(ISBLANK(N149),AND(ISNUMBER(N149),N149&gt;=0))),60*IF(ISBLANK(M149),0,M149)+IF(ISBLANK(N149),0,N149),"")))</f>
        <v/>
      </c>
      <c r="Y149" s="97" t="str">
        <f aca="false">IF(ISBLANK($C149),"",IF(O149=Constants!$B$2, TRUE(), IF(O149=Constants!$B$3, FALSE(), FALSE())))</f>
        <v/>
      </c>
      <c r="Z149" s="97" t="str">
        <f aca="false">IF(ISBLANK($C149),"",IF(Y149,Constants!$B$4,IF(COUNTA(E149:N149)=0,Constants!$B$5,IF(COUNTA(J149:K149,M149:N149)=0,Constants!$B$6,Constants!$B$7))))</f>
        <v/>
      </c>
      <c r="AA149" s="97" t="str">
        <f aca="false">IF(ISBLANK($C149),"",IF($Z149&lt;&gt;Constants!$B$7,$Z149,IF(OR(NOT(T149),AND(NOT(Q149),COUNTIFS(U149:W149,Constants!$B$18,V149:X149,"&gt;=0")&gt;0),AND(NOT(R149),COUNTIFS(U149:W149,Constants!$B$19,V149:X149,"&gt;=0")&gt;0)),Constants!$B$12,Constants!$B$11)))</f>
        <v/>
      </c>
      <c r="AB149" s="97" t="str">
        <f aca="false">IF($Z149=Constants!$B$7,IF(V149="",Constants!$B$13,V149),"")</f>
        <v/>
      </c>
      <c r="AC149" s="97" t="str">
        <f aca="false">IF($Z149=Constants!$B$7,IF(X149="",Constants!$B$13,X149),"")</f>
        <v/>
      </c>
      <c r="AD149" s="97" t="str">
        <f aca="false">IF($Z149=Constants!$B$7,IF($AB149&gt;=$AC149,1,2),"")</f>
        <v/>
      </c>
      <c r="AE149" s="97" t="str">
        <f aca="false">IF($Z149=Constants!$B$7,LARGE(AB149:AC149,1),"")</f>
        <v/>
      </c>
      <c r="AF149" s="97" t="str">
        <f aca="false">IF(ISBLANK($C149),"",IF($Z149&lt;&gt;Constants!$B$7,$Z149,AE149*S149))</f>
        <v/>
      </c>
      <c r="AG149" s="97" t="str">
        <f aca="false">IF(ISBLANK($C149),"",IF($Z149=Constants!$B$7,IF(ISNUMBER(AF149),RANK(AF149,$AF$8:$AF$507),Constants!$B$14),$Z149))</f>
        <v/>
      </c>
      <c r="AH149" s="97" t="str">
        <f aca="false">IF(ISBLANK($C149),"",IF($Z149=Constants!$B$7,IF(ISNUMBER(AG149),COUNTIFS($AA$8:$AA$507,"&lt;"&amp;$AA149)+COUNTIFS($AA$8:$AA$507,$AA149,$AG$8:$AG$507,"&lt;"&amp;$AG149)+1,Constants!$B$14),$Z149))</f>
        <v/>
      </c>
      <c r="AI149" s="97" t="str">
        <f aca="false">IF(ISBLANK($C149),"",IF($Z149=Constants!$B$7,LARGE(AB149:AC149,2)*S149,""))</f>
        <v/>
      </c>
      <c r="AJ149" s="97" t="str">
        <f aca="false">IF(ISBLANK($C149),"",IF($Z149=Constants!$B$7,RANK(AI149,$AI$8:$AI$507),$Z149))</f>
        <v/>
      </c>
      <c r="AK149" s="97" t="str">
        <f aca="false">IF(ISBLANK($C149),"",IF($Z149=Constants!$B$7,IF(ISNUMBER(AG149),COUNTIFS($AA$8:$AA$507,"&lt;"&amp;$AA149)+COUNTIFS($AA$8:$AA$507,$AA149,$AG$8:$AG$507,"&lt;"&amp;$AG149)+COUNTIFS($AA$8:$AA$507,$AA149,$AG$8:$AG$507,$AG149,$AJ$8:$AJ$507,"&lt;"&amp;$AJ149)+1,Constants!$B$14),$Z149))</f>
        <v/>
      </c>
      <c r="AL149" s="97" t="str">
        <f aca="false">IF(ISBLANK($C149),"",IF($Z149=Constants!$B$7,IF(ISNUMBER(AH149),AH149-AK149,Constants!$B$14),$Z149))</f>
        <v/>
      </c>
      <c r="AM149" s="98"/>
      <c r="AN149" s="99" t="str">
        <f aca="false">IF(ISBLANK($C149),"",IF($Z149&lt;&gt;Constants!$B$7,$Z149,AD149))</f>
        <v/>
      </c>
      <c r="AO149" s="100" t="str">
        <f aca="false">IF(ISBLANK($C149),"",IF($Z149&lt;&gt;Constants!$B$7,$Z149,S149))</f>
        <v/>
      </c>
      <c r="AP149" s="101" t="str">
        <f aca="false">IF(ISBLANK($C149),"",IF($Z149&lt;&gt;Constants!$B$7,$Z149,AF149))</f>
        <v/>
      </c>
      <c r="AQ149" s="102" t="str">
        <f aca="false">IF(ISBLANK($C149),"",IF($Z149&lt;&gt;Constants!$B$7,$Z149,AA149))</f>
        <v/>
      </c>
      <c r="AR149" s="100" t="str">
        <f aca="false">IF(ISBLANK($C149),"",AL149)</f>
        <v/>
      </c>
      <c r="AS149" s="100" t="str">
        <f aca="false">IF(ISBLANK($C149),"",AK149)</f>
        <v/>
      </c>
      <c r="AT149" s="103" t="str">
        <f aca="false">IF(ISBLANK($C149),"",IF(AS149=Constants!$B$4,COUNTA($C$8:$C$507)+2,IF(AS149=Constants!$B$5,COUNTA($C$8:$C$507)+1,IF(AS149=Constants!$B$6,COUNTA($C$8:$C$507),AS149))))</f>
        <v/>
      </c>
      <c r="AU149" s="5"/>
      <c r="AV149" s="104" t="n">
        <f aca="false">IF(OR(ISNUMBER(AS149),AS149=Constants!$B$4,AS149=Constants!$B$6,AS149=Constants!$B$5),1,0)</f>
        <v>0</v>
      </c>
      <c r="AW149" s="104" t="n">
        <v>142</v>
      </c>
      <c r="AX149" s="104" t="str">
        <f aca="false">IF(ISBLANK($C149),"",IF(ISNUMBER(AT149),AT149+ROW($B149)/1000,""))</f>
        <v/>
      </c>
      <c r="AY149" s="104" t="str">
        <f aca="false">IF(ISNUMBER(AX149),RANK(AX149,$AX$8:$AX$507,1),"")</f>
        <v/>
      </c>
      <c r="AZ149" s="104" t="str">
        <f aca="false">IF(ISBLANK($C149),"",$B149)</f>
        <v/>
      </c>
      <c r="BA149" s="104" t="str">
        <f aca="false">IF(ISBLANK($C149),"",$C149)</f>
        <v/>
      </c>
      <c r="BB149" s="104" t="str">
        <f aca="false">IF(ISBLANK($C149),"",$D149)</f>
        <v/>
      </c>
      <c r="BC149" s="105" t="str">
        <f aca="false">AQ149</f>
        <v/>
      </c>
      <c r="BD149" s="106" t="str">
        <f aca="false">AP149</f>
        <v/>
      </c>
      <c r="BE149" s="104" t="str">
        <f aca="false">IF(ISBLANK($C149),"",AS149)</f>
        <v/>
      </c>
      <c r="BF149" s="107" t="str">
        <f aca="false">IF($AW149&gt;$AV$7,"",VLOOKUP($AW149,$AY$8:$BE$507,7,FALSE()))</f>
        <v/>
      </c>
      <c r="BG149" s="108" t="str">
        <f aca="false">IF($AW149&gt;$AV$7,"",VLOOKUP($AW149,$AY$8:$BE$507,2,FALSE()))</f>
        <v/>
      </c>
      <c r="BH149" s="108" t="str">
        <f aca="false">IF($AW149&gt;$AV$7,"",VLOOKUP($AW149,$AY$8:$BE$507,3,FALSE()))</f>
        <v/>
      </c>
      <c r="BI149" s="108" t="str">
        <f aca="false">IF($AW149&gt;$AV$7,"",VLOOKUP($AW149,$AY$8:$BE$507,4,FALSE()))</f>
        <v/>
      </c>
      <c r="BJ149" s="108" t="str">
        <f aca="false">IF($AW149&gt;$AV$7,"",VLOOKUP($AW149,$AY$8:$BE$507,5,FALSE()))</f>
        <v/>
      </c>
      <c r="BK149" s="109" t="str">
        <f aca="false">IF($AW149&gt;$AV$7,"",VLOOKUP($AW149,$AY$8:$BE$507,6,FALSE()))</f>
        <v/>
      </c>
      <c r="BL149" s="50"/>
    </row>
    <row r="150" customFormat="false" ht="15.75" hidden="false" customHeight="false" outlineLevel="0" collapsed="false">
      <c r="A150" s="5"/>
      <c r="B150" s="124"/>
      <c r="C150" s="125"/>
      <c r="D150" s="110"/>
      <c r="E150" s="130"/>
      <c r="F150" s="135"/>
      <c r="G150" s="88"/>
      <c r="H150" s="136"/>
      <c r="I150" s="137"/>
      <c r="J150" s="91"/>
      <c r="K150" s="92"/>
      <c r="L150" s="137"/>
      <c r="M150" s="93"/>
      <c r="N150" s="94"/>
      <c r="O150" s="130"/>
      <c r="P150" s="96"/>
      <c r="Q150" s="97" t="str">
        <f aca="false">IF(ISBLANK($C150),"",IF(E150=Constants!$B$2, TRUE(), IF(E150=Constants!$B$3, FALSE(), TRUE())))</f>
        <v/>
      </c>
      <c r="R150" s="97" t="str">
        <f aca="false">IF(ISBLANK($C150),"",IF(F150=Constants!$B$2, TRUE(), IF(F150=Constants!$B$3, FALSE(), TRUE())))</f>
        <v/>
      </c>
      <c r="S150" s="97" t="str">
        <f aca="false">IF(ISBLANK($C150),"",IF(G150=Constants!$B$15,Constants!$B$8,IF(G150=Constants!$B$16,Constants!$B$9,Constants!$B$10)))</f>
        <v/>
      </c>
      <c r="T150" s="97" t="str">
        <f aca="false">IF(ISBLANK($C150),"",IF(H150=Constants!$B$2, TRUE(), IF(H150=Constants!$B$3, FALSE(), TRUE())))</f>
        <v/>
      </c>
      <c r="U150" s="97" t="str">
        <f aca="false">IF(ISBLANK($C150),"",IF(I150=Constants!$B$19,Constants!$B$19,Constants!$B$18))</f>
        <v/>
      </c>
      <c r="V150" s="97" t="str">
        <f aca="false">IF(ISBLANK($C150),"",IF(COUNTA(J150:K150)=0,"",IF(AND(OR(ISBLANK(J150),AND(ISNUMBER(J150),J150&gt;=0)),OR(ISBLANK(K150),AND(ISNUMBER(K150),K150&gt;=0))),60*IF(ISBLANK(J150),0,J150)+IF(ISBLANK(K150),0,K150),"")))</f>
        <v/>
      </c>
      <c r="W150" s="97" t="str">
        <f aca="false">IF(ISBLANK($C150),"",IF(L150=Constants!$B$19,Constants!$B$19,Constants!$B$18))</f>
        <v/>
      </c>
      <c r="X150" s="97" t="str">
        <f aca="false">IF(ISBLANK($C150),"",IF(COUNTA(M150:N150)=0,"",IF(AND(OR(ISBLANK(M150),AND(ISNUMBER(M150),M150&gt;=0)),OR(ISBLANK(N150),AND(ISNUMBER(N150),N150&gt;=0))),60*IF(ISBLANK(M150),0,M150)+IF(ISBLANK(N150),0,N150),"")))</f>
        <v/>
      </c>
      <c r="Y150" s="97" t="str">
        <f aca="false">IF(ISBLANK($C150),"",IF(O150=Constants!$B$2, TRUE(), IF(O150=Constants!$B$3, FALSE(), FALSE())))</f>
        <v/>
      </c>
      <c r="Z150" s="97" t="str">
        <f aca="false">IF(ISBLANK($C150),"",IF(Y150,Constants!$B$4,IF(COUNTA(E150:N150)=0,Constants!$B$5,IF(COUNTA(J150:K150,M150:N150)=0,Constants!$B$6,Constants!$B$7))))</f>
        <v/>
      </c>
      <c r="AA150" s="97" t="str">
        <f aca="false">IF(ISBLANK($C150),"",IF($Z150&lt;&gt;Constants!$B$7,$Z150,IF(OR(NOT(T150),AND(NOT(Q150),COUNTIFS(U150:W150,Constants!$B$18,V150:X150,"&gt;=0")&gt;0),AND(NOT(R150),COUNTIFS(U150:W150,Constants!$B$19,V150:X150,"&gt;=0")&gt;0)),Constants!$B$12,Constants!$B$11)))</f>
        <v/>
      </c>
      <c r="AB150" s="97" t="str">
        <f aca="false">IF($Z150=Constants!$B$7,IF(V150="",Constants!$B$13,V150),"")</f>
        <v/>
      </c>
      <c r="AC150" s="97" t="str">
        <f aca="false">IF($Z150=Constants!$B$7,IF(X150="",Constants!$B$13,X150),"")</f>
        <v/>
      </c>
      <c r="AD150" s="97" t="str">
        <f aca="false">IF($Z150=Constants!$B$7,IF($AB150&gt;=$AC150,1,2),"")</f>
        <v/>
      </c>
      <c r="AE150" s="97" t="str">
        <f aca="false">IF($Z150=Constants!$B$7,LARGE(AB150:AC150,1),"")</f>
        <v/>
      </c>
      <c r="AF150" s="97" t="str">
        <f aca="false">IF(ISBLANK($C150),"",IF($Z150&lt;&gt;Constants!$B$7,$Z150,AE150*S150))</f>
        <v/>
      </c>
      <c r="AG150" s="97" t="str">
        <f aca="false">IF(ISBLANK($C150),"",IF($Z150=Constants!$B$7,IF(ISNUMBER(AF150),RANK(AF150,$AF$8:$AF$507),Constants!$B$14),$Z150))</f>
        <v/>
      </c>
      <c r="AH150" s="97" t="str">
        <f aca="false">IF(ISBLANK($C150),"",IF($Z150=Constants!$B$7,IF(ISNUMBER(AG150),COUNTIFS($AA$8:$AA$507,"&lt;"&amp;$AA150)+COUNTIFS($AA$8:$AA$507,$AA150,$AG$8:$AG$507,"&lt;"&amp;$AG150)+1,Constants!$B$14),$Z150))</f>
        <v/>
      </c>
      <c r="AI150" s="97" t="str">
        <f aca="false">IF(ISBLANK($C150),"",IF($Z150=Constants!$B$7,LARGE(AB150:AC150,2)*S150,""))</f>
        <v/>
      </c>
      <c r="AJ150" s="97" t="str">
        <f aca="false">IF(ISBLANK($C150),"",IF($Z150=Constants!$B$7,RANK(AI150,$AI$8:$AI$507),$Z150))</f>
        <v/>
      </c>
      <c r="AK150" s="97" t="str">
        <f aca="false">IF(ISBLANK($C150),"",IF($Z150=Constants!$B$7,IF(ISNUMBER(AG150),COUNTIFS($AA$8:$AA$507,"&lt;"&amp;$AA150)+COUNTIFS($AA$8:$AA$507,$AA150,$AG$8:$AG$507,"&lt;"&amp;$AG150)+COUNTIFS($AA$8:$AA$507,$AA150,$AG$8:$AG$507,$AG150,$AJ$8:$AJ$507,"&lt;"&amp;$AJ150)+1,Constants!$B$14),$Z150))</f>
        <v/>
      </c>
      <c r="AL150" s="97" t="str">
        <f aca="false">IF(ISBLANK($C150),"",IF($Z150=Constants!$B$7,IF(ISNUMBER(AH150),AH150-AK150,Constants!$B$14),$Z150))</f>
        <v/>
      </c>
      <c r="AM150" s="98"/>
      <c r="AN150" s="99" t="str">
        <f aca="false">IF(ISBLANK($C150),"",IF($Z150&lt;&gt;Constants!$B$7,$Z150,AD150))</f>
        <v/>
      </c>
      <c r="AO150" s="100" t="str">
        <f aca="false">IF(ISBLANK($C150),"",IF($Z150&lt;&gt;Constants!$B$7,$Z150,S150))</f>
        <v/>
      </c>
      <c r="AP150" s="101" t="str">
        <f aca="false">IF(ISBLANK($C150),"",IF($Z150&lt;&gt;Constants!$B$7,$Z150,AF150))</f>
        <v/>
      </c>
      <c r="AQ150" s="102" t="str">
        <f aca="false">IF(ISBLANK($C150),"",IF($Z150&lt;&gt;Constants!$B$7,$Z150,AA150))</f>
        <v/>
      </c>
      <c r="AR150" s="100" t="str">
        <f aca="false">IF(ISBLANK($C150),"",AL150)</f>
        <v/>
      </c>
      <c r="AS150" s="100" t="str">
        <f aca="false">IF(ISBLANK($C150),"",AK150)</f>
        <v/>
      </c>
      <c r="AT150" s="103" t="str">
        <f aca="false">IF(ISBLANK($C150),"",IF(AS150=Constants!$B$4,COUNTA($C$8:$C$507)+2,IF(AS150=Constants!$B$5,COUNTA($C$8:$C$507)+1,IF(AS150=Constants!$B$6,COUNTA($C$8:$C$507),AS150))))</f>
        <v/>
      </c>
      <c r="AU150" s="5"/>
      <c r="AV150" s="104" t="n">
        <f aca="false">IF(OR(ISNUMBER(AS150),AS150=Constants!$B$4,AS150=Constants!$B$6,AS150=Constants!$B$5),1,0)</f>
        <v>0</v>
      </c>
      <c r="AW150" s="104" t="n">
        <v>143</v>
      </c>
      <c r="AX150" s="104" t="str">
        <f aca="false">IF(ISBLANK($C150),"",IF(ISNUMBER(AT150),AT150+ROW($B150)/1000,""))</f>
        <v/>
      </c>
      <c r="AY150" s="104" t="str">
        <f aca="false">IF(ISNUMBER(AX150),RANK(AX150,$AX$8:$AX$507,1),"")</f>
        <v/>
      </c>
      <c r="AZ150" s="104" t="str">
        <f aca="false">IF(ISBLANK($C150),"",$B150)</f>
        <v/>
      </c>
      <c r="BA150" s="104" t="str">
        <f aca="false">IF(ISBLANK($C150),"",$C150)</f>
        <v/>
      </c>
      <c r="BB150" s="104" t="str">
        <f aca="false">IF(ISBLANK($C150),"",$D150)</f>
        <v/>
      </c>
      <c r="BC150" s="105" t="str">
        <f aca="false">AQ150</f>
        <v/>
      </c>
      <c r="BD150" s="106" t="str">
        <f aca="false">AP150</f>
        <v/>
      </c>
      <c r="BE150" s="104" t="str">
        <f aca="false">IF(ISBLANK($C150),"",AS150)</f>
        <v/>
      </c>
      <c r="BF150" s="107" t="str">
        <f aca="false">IF($AW150&gt;$AV$7,"",VLOOKUP($AW150,$AY$8:$BE$507,7,FALSE()))</f>
        <v/>
      </c>
      <c r="BG150" s="108" t="str">
        <f aca="false">IF($AW150&gt;$AV$7,"",VLOOKUP($AW150,$AY$8:$BE$507,2,FALSE()))</f>
        <v/>
      </c>
      <c r="BH150" s="108" t="str">
        <f aca="false">IF($AW150&gt;$AV$7,"",VLOOKUP($AW150,$AY$8:$BE$507,3,FALSE()))</f>
        <v/>
      </c>
      <c r="BI150" s="108" t="str">
        <f aca="false">IF($AW150&gt;$AV$7,"",VLOOKUP($AW150,$AY$8:$BE$507,4,FALSE()))</f>
        <v/>
      </c>
      <c r="BJ150" s="108" t="str">
        <f aca="false">IF($AW150&gt;$AV$7,"",VLOOKUP($AW150,$AY$8:$BE$507,5,FALSE()))</f>
        <v/>
      </c>
      <c r="BK150" s="109" t="str">
        <f aca="false">IF($AW150&gt;$AV$7,"",VLOOKUP($AW150,$AY$8:$BE$507,6,FALSE()))</f>
        <v/>
      </c>
      <c r="BL150" s="50"/>
    </row>
    <row r="151" customFormat="false" ht="15.75" hidden="false" customHeight="false" outlineLevel="0" collapsed="false">
      <c r="A151" s="5"/>
      <c r="B151" s="124"/>
      <c r="C151" s="125"/>
      <c r="D151" s="110"/>
      <c r="E151" s="130"/>
      <c r="F151" s="135"/>
      <c r="G151" s="88"/>
      <c r="H151" s="136"/>
      <c r="I151" s="137"/>
      <c r="J151" s="91"/>
      <c r="K151" s="92"/>
      <c r="L151" s="137"/>
      <c r="M151" s="93"/>
      <c r="N151" s="94"/>
      <c r="O151" s="130"/>
      <c r="P151" s="96"/>
      <c r="Q151" s="97" t="str">
        <f aca="false">IF(ISBLANK($C151),"",IF(E151=Constants!$B$2, TRUE(), IF(E151=Constants!$B$3, FALSE(), TRUE())))</f>
        <v/>
      </c>
      <c r="R151" s="97" t="str">
        <f aca="false">IF(ISBLANK($C151),"",IF(F151=Constants!$B$2, TRUE(), IF(F151=Constants!$B$3, FALSE(), TRUE())))</f>
        <v/>
      </c>
      <c r="S151" s="97" t="str">
        <f aca="false">IF(ISBLANK($C151),"",IF(G151=Constants!$B$15,Constants!$B$8,IF(G151=Constants!$B$16,Constants!$B$9,Constants!$B$10)))</f>
        <v/>
      </c>
      <c r="T151" s="97" t="str">
        <f aca="false">IF(ISBLANK($C151),"",IF(H151=Constants!$B$2, TRUE(), IF(H151=Constants!$B$3, FALSE(), TRUE())))</f>
        <v/>
      </c>
      <c r="U151" s="97" t="str">
        <f aca="false">IF(ISBLANK($C151),"",IF(I151=Constants!$B$19,Constants!$B$19,Constants!$B$18))</f>
        <v/>
      </c>
      <c r="V151" s="97" t="str">
        <f aca="false">IF(ISBLANK($C151),"",IF(COUNTA(J151:K151)=0,"",IF(AND(OR(ISBLANK(J151),AND(ISNUMBER(J151),J151&gt;=0)),OR(ISBLANK(K151),AND(ISNUMBER(K151),K151&gt;=0))),60*IF(ISBLANK(J151),0,J151)+IF(ISBLANK(K151),0,K151),"")))</f>
        <v/>
      </c>
      <c r="W151" s="97" t="str">
        <f aca="false">IF(ISBLANK($C151),"",IF(L151=Constants!$B$19,Constants!$B$19,Constants!$B$18))</f>
        <v/>
      </c>
      <c r="X151" s="97" t="str">
        <f aca="false">IF(ISBLANK($C151),"",IF(COUNTA(M151:N151)=0,"",IF(AND(OR(ISBLANK(M151),AND(ISNUMBER(M151),M151&gt;=0)),OR(ISBLANK(N151),AND(ISNUMBER(N151),N151&gt;=0))),60*IF(ISBLANK(M151),0,M151)+IF(ISBLANK(N151),0,N151),"")))</f>
        <v/>
      </c>
      <c r="Y151" s="97" t="str">
        <f aca="false">IF(ISBLANK($C151),"",IF(O151=Constants!$B$2, TRUE(), IF(O151=Constants!$B$3, FALSE(), FALSE())))</f>
        <v/>
      </c>
      <c r="Z151" s="97" t="str">
        <f aca="false">IF(ISBLANK($C151),"",IF(Y151,Constants!$B$4,IF(COUNTA(E151:N151)=0,Constants!$B$5,IF(COUNTA(J151:K151,M151:N151)=0,Constants!$B$6,Constants!$B$7))))</f>
        <v/>
      </c>
      <c r="AA151" s="97" t="str">
        <f aca="false">IF(ISBLANK($C151),"",IF($Z151&lt;&gt;Constants!$B$7,$Z151,IF(OR(NOT(T151),AND(NOT(Q151),COUNTIFS(U151:W151,Constants!$B$18,V151:X151,"&gt;=0")&gt;0),AND(NOT(R151),COUNTIFS(U151:W151,Constants!$B$19,V151:X151,"&gt;=0")&gt;0)),Constants!$B$12,Constants!$B$11)))</f>
        <v/>
      </c>
      <c r="AB151" s="97" t="str">
        <f aca="false">IF($Z151=Constants!$B$7,IF(V151="",Constants!$B$13,V151),"")</f>
        <v/>
      </c>
      <c r="AC151" s="97" t="str">
        <f aca="false">IF($Z151=Constants!$B$7,IF(X151="",Constants!$B$13,X151),"")</f>
        <v/>
      </c>
      <c r="AD151" s="97" t="str">
        <f aca="false">IF($Z151=Constants!$B$7,IF($AB151&gt;=$AC151,1,2),"")</f>
        <v/>
      </c>
      <c r="AE151" s="97" t="str">
        <f aca="false">IF($Z151=Constants!$B$7,LARGE(AB151:AC151,1),"")</f>
        <v/>
      </c>
      <c r="AF151" s="97" t="str">
        <f aca="false">IF(ISBLANK($C151),"",IF($Z151&lt;&gt;Constants!$B$7,$Z151,AE151*S151))</f>
        <v/>
      </c>
      <c r="AG151" s="97" t="str">
        <f aca="false">IF(ISBLANK($C151),"",IF($Z151=Constants!$B$7,IF(ISNUMBER(AF151),RANK(AF151,$AF$8:$AF$507),Constants!$B$14),$Z151))</f>
        <v/>
      </c>
      <c r="AH151" s="97" t="str">
        <f aca="false">IF(ISBLANK($C151),"",IF($Z151=Constants!$B$7,IF(ISNUMBER(AG151),COUNTIFS($AA$8:$AA$507,"&lt;"&amp;$AA151)+COUNTIFS($AA$8:$AA$507,$AA151,$AG$8:$AG$507,"&lt;"&amp;$AG151)+1,Constants!$B$14),$Z151))</f>
        <v/>
      </c>
      <c r="AI151" s="97" t="str">
        <f aca="false">IF(ISBLANK($C151),"",IF($Z151=Constants!$B$7,LARGE(AB151:AC151,2)*S151,""))</f>
        <v/>
      </c>
      <c r="AJ151" s="97" t="str">
        <f aca="false">IF(ISBLANK($C151),"",IF($Z151=Constants!$B$7,RANK(AI151,$AI$8:$AI$507),$Z151))</f>
        <v/>
      </c>
      <c r="AK151" s="97" t="str">
        <f aca="false">IF(ISBLANK($C151),"",IF($Z151=Constants!$B$7,IF(ISNUMBER(AG151),COUNTIFS($AA$8:$AA$507,"&lt;"&amp;$AA151)+COUNTIFS($AA$8:$AA$507,$AA151,$AG$8:$AG$507,"&lt;"&amp;$AG151)+COUNTIFS($AA$8:$AA$507,$AA151,$AG$8:$AG$507,$AG151,$AJ$8:$AJ$507,"&lt;"&amp;$AJ151)+1,Constants!$B$14),$Z151))</f>
        <v/>
      </c>
      <c r="AL151" s="97" t="str">
        <f aca="false">IF(ISBLANK($C151),"",IF($Z151=Constants!$B$7,IF(ISNUMBER(AH151),AH151-AK151,Constants!$B$14),$Z151))</f>
        <v/>
      </c>
      <c r="AM151" s="98"/>
      <c r="AN151" s="99" t="str">
        <f aca="false">IF(ISBLANK($C151),"",IF($Z151&lt;&gt;Constants!$B$7,$Z151,AD151))</f>
        <v/>
      </c>
      <c r="AO151" s="100" t="str">
        <f aca="false">IF(ISBLANK($C151),"",IF($Z151&lt;&gt;Constants!$B$7,$Z151,S151))</f>
        <v/>
      </c>
      <c r="AP151" s="101" t="str">
        <f aca="false">IF(ISBLANK($C151),"",IF($Z151&lt;&gt;Constants!$B$7,$Z151,AF151))</f>
        <v/>
      </c>
      <c r="AQ151" s="102" t="str">
        <f aca="false">IF(ISBLANK($C151),"",IF($Z151&lt;&gt;Constants!$B$7,$Z151,AA151))</f>
        <v/>
      </c>
      <c r="AR151" s="100" t="str">
        <f aca="false">IF(ISBLANK($C151),"",AL151)</f>
        <v/>
      </c>
      <c r="AS151" s="100" t="str">
        <f aca="false">IF(ISBLANK($C151),"",AK151)</f>
        <v/>
      </c>
      <c r="AT151" s="103" t="str">
        <f aca="false">IF(ISBLANK($C151),"",IF(AS151=Constants!$B$4,COUNTA($C$8:$C$507)+2,IF(AS151=Constants!$B$5,COUNTA($C$8:$C$507)+1,IF(AS151=Constants!$B$6,COUNTA($C$8:$C$507),AS151))))</f>
        <v/>
      </c>
      <c r="AU151" s="5"/>
      <c r="AV151" s="104" t="n">
        <f aca="false">IF(OR(ISNUMBER(AS151),AS151=Constants!$B$4,AS151=Constants!$B$6,AS151=Constants!$B$5),1,0)</f>
        <v>0</v>
      </c>
      <c r="AW151" s="104" t="n">
        <v>144</v>
      </c>
      <c r="AX151" s="104" t="str">
        <f aca="false">IF(ISBLANK($C151),"",IF(ISNUMBER(AT151),AT151+ROW($B151)/1000,""))</f>
        <v/>
      </c>
      <c r="AY151" s="104" t="str">
        <f aca="false">IF(ISNUMBER(AX151),RANK(AX151,$AX$8:$AX$507,1),"")</f>
        <v/>
      </c>
      <c r="AZ151" s="104" t="str">
        <f aca="false">IF(ISBLANK($C151),"",$B151)</f>
        <v/>
      </c>
      <c r="BA151" s="104" t="str">
        <f aca="false">IF(ISBLANK($C151),"",$C151)</f>
        <v/>
      </c>
      <c r="BB151" s="104" t="str">
        <f aca="false">IF(ISBLANK($C151),"",$D151)</f>
        <v/>
      </c>
      <c r="BC151" s="105" t="str">
        <f aca="false">AQ151</f>
        <v/>
      </c>
      <c r="BD151" s="106" t="str">
        <f aca="false">AP151</f>
        <v/>
      </c>
      <c r="BE151" s="104" t="str">
        <f aca="false">IF(ISBLANK($C151),"",AS151)</f>
        <v/>
      </c>
      <c r="BF151" s="107" t="str">
        <f aca="false">IF($AW151&gt;$AV$7,"",VLOOKUP($AW151,$AY$8:$BE$507,7,FALSE()))</f>
        <v/>
      </c>
      <c r="BG151" s="108" t="str">
        <f aca="false">IF($AW151&gt;$AV$7,"",VLOOKUP($AW151,$AY$8:$BE$507,2,FALSE()))</f>
        <v/>
      </c>
      <c r="BH151" s="108" t="str">
        <f aca="false">IF($AW151&gt;$AV$7,"",VLOOKUP($AW151,$AY$8:$BE$507,3,FALSE()))</f>
        <v/>
      </c>
      <c r="BI151" s="108" t="str">
        <f aca="false">IF($AW151&gt;$AV$7,"",VLOOKUP($AW151,$AY$8:$BE$507,4,FALSE()))</f>
        <v/>
      </c>
      <c r="BJ151" s="108" t="str">
        <f aca="false">IF($AW151&gt;$AV$7,"",VLOOKUP($AW151,$AY$8:$BE$507,5,FALSE()))</f>
        <v/>
      </c>
      <c r="BK151" s="109" t="str">
        <f aca="false">IF($AW151&gt;$AV$7,"",VLOOKUP($AW151,$AY$8:$BE$507,6,FALSE()))</f>
        <v/>
      </c>
      <c r="BL151" s="50"/>
    </row>
    <row r="152" customFormat="false" ht="15.75" hidden="false" customHeight="false" outlineLevel="0" collapsed="false">
      <c r="A152" s="5"/>
      <c r="B152" s="131"/>
      <c r="C152" s="52"/>
      <c r="D152" s="53"/>
      <c r="E152" s="80"/>
      <c r="F152" s="132"/>
      <c r="G152" s="56"/>
      <c r="H152" s="133"/>
      <c r="I152" s="134"/>
      <c r="J152" s="59"/>
      <c r="K152" s="60"/>
      <c r="L152" s="134"/>
      <c r="M152" s="61"/>
      <c r="N152" s="62"/>
      <c r="O152" s="80"/>
      <c r="P152" s="64"/>
      <c r="Q152" s="65" t="str">
        <f aca="false">IF(ISBLANK($C152),"",IF(E152=Constants!$B$2, TRUE(), IF(E152=Constants!$B$3, FALSE(), TRUE())))</f>
        <v/>
      </c>
      <c r="R152" s="65" t="str">
        <f aca="false">IF(ISBLANK($C152),"",IF(F152=Constants!$B$2, TRUE(), IF(F152=Constants!$B$3, FALSE(), TRUE())))</f>
        <v/>
      </c>
      <c r="S152" s="65" t="str">
        <f aca="false">IF(ISBLANK($C152),"",IF(G152=Constants!$B$15,Constants!$B$8,IF(G152=Constants!$B$16,Constants!$B$9,Constants!$B$10)))</f>
        <v/>
      </c>
      <c r="T152" s="65" t="str">
        <f aca="false">IF(ISBLANK($C152),"",IF(H152=Constants!$B$2, TRUE(), IF(H152=Constants!$B$3, FALSE(), TRUE())))</f>
        <v/>
      </c>
      <c r="U152" s="65" t="str">
        <f aca="false">IF(ISBLANK($C152),"",IF(I152=Constants!$B$19,Constants!$B$19,Constants!$B$18))</f>
        <v/>
      </c>
      <c r="V152" s="65" t="str">
        <f aca="false">IF(ISBLANK($C152),"",IF(COUNTA(J152:K152)=0,"",IF(AND(OR(ISBLANK(J152),AND(ISNUMBER(J152),J152&gt;=0)),OR(ISBLANK(K152),AND(ISNUMBER(K152),K152&gt;=0))),60*IF(ISBLANK(J152),0,J152)+IF(ISBLANK(K152),0,K152),"")))</f>
        <v/>
      </c>
      <c r="W152" s="65" t="str">
        <f aca="false">IF(ISBLANK($C152),"",IF(L152=Constants!$B$19,Constants!$B$19,Constants!$B$18))</f>
        <v/>
      </c>
      <c r="X152" s="65" t="str">
        <f aca="false">IF(ISBLANK($C152),"",IF(COUNTA(M152:N152)=0,"",IF(AND(OR(ISBLANK(M152),AND(ISNUMBER(M152),M152&gt;=0)),OR(ISBLANK(N152),AND(ISNUMBER(N152),N152&gt;=0))),60*IF(ISBLANK(M152),0,M152)+IF(ISBLANK(N152),0,N152),"")))</f>
        <v/>
      </c>
      <c r="Y152" s="65" t="str">
        <f aca="false">IF(ISBLANK($C152),"",IF(O152=Constants!$B$2, TRUE(), IF(O152=Constants!$B$3, FALSE(), FALSE())))</f>
        <v/>
      </c>
      <c r="Z152" s="65" t="str">
        <f aca="false">IF(ISBLANK($C152),"",IF(Y152,Constants!$B$4,IF(COUNTA(E152:N152)=0,Constants!$B$5,IF(COUNTA(J152:K152,M152:N152)=0,Constants!$B$6,Constants!$B$7))))</f>
        <v/>
      </c>
      <c r="AA152" s="65" t="str">
        <f aca="false">IF(ISBLANK($C152),"",IF($Z152&lt;&gt;Constants!$B$7,$Z152,IF(OR(NOT(T152),AND(NOT(Q152),COUNTIFS(U152:W152,Constants!$B$18,V152:X152,"&gt;=0")&gt;0),AND(NOT(R152),COUNTIFS(U152:W152,Constants!$B$19,V152:X152,"&gt;=0")&gt;0)),Constants!$B$12,Constants!$B$11)))</f>
        <v/>
      </c>
      <c r="AB152" s="65" t="str">
        <f aca="false">IF($Z152=Constants!$B$7,IF(V152="",Constants!$B$13,V152),"")</f>
        <v/>
      </c>
      <c r="AC152" s="65" t="str">
        <f aca="false">IF($Z152=Constants!$B$7,IF(X152="",Constants!$B$13,X152),"")</f>
        <v/>
      </c>
      <c r="AD152" s="65" t="str">
        <f aca="false">IF($Z152=Constants!$B$7,IF($AB152&gt;=$AC152,1,2),"")</f>
        <v/>
      </c>
      <c r="AE152" s="65" t="str">
        <f aca="false">IF($Z152=Constants!$B$7,LARGE(AB152:AC152,1),"")</f>
        <v/>
      </c>
      <c r="AF152" s="65" t="str">
        <f aca="false">IF(ISBLANK($C152),"",IF($Z152&lt;&gt;Constants!$B$7,$Z152,AE152*S152))</f>
        <v/>
      </c>
      <c r="AG152" s="65" t="str">
        <f aca="false">IF(ISBLANK($C152),"",IF($Z152=Constants!$B$7,IF(ISNUMBER(AF152),RANK(AF152,$AF$8:$AF$507),Constants!$B$14),$Z152))</f>
        <v/>
      </c>
      <c r="AH152" s="65" t="str">
        <f aca="false">IF(ISBLANK($C152),"",IF($Z152=Constants!$B$7,IF(ISNUMBER(AG152),COUNTIFS($AA$8:$AA$507,"&lt;"&amp;$AA152)+COUNTIFS($AA$8:$AA$507,$AA152,$AG$8:$AG$507,"&lt;"&amp;$AG152)+1,Constants!$B$14),$Z152))</f>
        <v/>
      </c>
      <c r="AI152" s="65" t="str">
        <f aca="false">IF(ISBLANK($C152),"",IF($Z152=Constants!$B$7,LARGE(AB152:AC152,2)*S152,""))</f>
        <v/>
      </c>
      <c r="AJ152" s="65" t="str">
        <f aca="false">IF(ISBLANK($C152),"",IF($Z152=Constants!$B$7,RANK(AI152,$AI$8:$AI$507),$Z152))</f>
        <v/>
      </c>
      <c r="AK152" s="65" t="str">
        <f aca="false">IF(ISBLANK($C152),"",IF($Z152=Constants!$B$7,IF(ISNUMBER(AG152),COUNTIFS($AA$8:$AA$507,"&lt;"&amp;$AA152)+COUNTIFS($AA$8:$AA$507,$AA152,$AG$8:$AG$507,"&lt;"&amp;$AG152)+COUNTIFS($AA$8:$AA$507,$AA152,$AG$8:$AG$507,$AG152,$AJ$8:$AJ$507,"&lt;"&amp;$AJ152)+1,Constants!$B$14),$Z152))</f>
        <v/>
      </c>
      <c r="AL152" s="65" t="str">
        <f aca="false">IF(ISBLANK($C152),"",IF($Z152=Constants!$B$7,IF(ISNUMBER(AH152),AH152-AK152,Constants!$B$14),$Z152))</f>
        <v/>
      </c>
      <c r="AM152" s="67"/>
      <c r="AN152" s="68" t="str">
        <f aca="false">IF(ISBLANK($C152),"",IF($Z152&lt;&gt;Constants!$B$7,$Z152,AD152))</f>
        <v/>
      </c>
      <c r="AO152" s="69" t="str">
        <f aca="false">IF(ISBLANK($C152),"",IF($Z152&lt;&gt;Constants!$B$7,$Z152,S152))</f>
        <v/>
      </c>
      <c r="AP152" s="70" t="str">
        <f aca="false">IF(ISBLANK($C152),"",IF($Z152&lt;&gt;Constants!$B$7,$Z152,AF152))</f>
        <v/>
      </c>
      <c r="AQ152" s="71" t="str">
        <f aca="false">IF(ISBLANK($C152),"",IF($Z152&lt;&gt;Constants!$B$7,$Z152,AA152))</f>
        <v/>
      </c>
      <c r="AR152" s="69" t="str">
        <f aca="false">IF(ISBLANK($C152),"",AL152)</f>
        <v/>
      </c>
      <c r="AS152" s="69" t="str">
        <f aca="false">IF(ISBLANK($C152),"",AK152)</f>
        <v/>
      </c>
      <c r="AT152" s="72" t="str">
        <f aca="false">IF(ISBLANK($C152),"",IF(AS152=Constants!$B$4,COUNTA($C$8:$C$507)+2,IF(AS152=Constants!$B$5,COUNTA($C$8:$C$507)+1,IF(AS152=Constants!$B$6,COUNTA($C$8:$C$507),AS152))))</f>
        <v/>
      </c>
      <c r="AU152" s="5"/>
      <c r="AV152" s="73" t="n">
        <f aca="false">IF(OR(ISNUMBER(AS152),AS152=Constants!$B$4,AS152=Constants!$B$6,AS152=Constants!$B$5),1,0)</f>
        <v>0</v>
      </c>
      <c r="AW152" s="73" t="n">
        <v>145</v>
      </c>
      <c r="AX152" s="73" t="str">
        <f aca="false">IF(ISBLANK($C152),"",IF(ISNUMBER(AT152),AT152+ROW($B152)/1000,""))</f>
        <v/>
      </c>
      <c r="AY152" s="73" t="str">
        <f aca="false">IF(ISNUMBER(AX152),RANK(AX152,$AX$8:$AX$507,1),"")</f>
        <v/>
      </c>
      <c r="AZ152" s="73" t="str">
        <f aca="false">IF(ISBLANK($C152),"",$B152)</f>
        <v/>
      </c>
      <c r="BA152" s="73" t="str">
        <f aca="false">IF(ISBLANK($C152),"",$C152)</f>
        <v/>
      </c>
      <c r="BB152" s="73" t="str">
        <f aca="false">IF(ISBLANK($C152),"",$D152)</f>
        <v/>
      </c>
      <c r="BC152" s="74" t="str">
        <f aca="false">AQ152</f>
        <v/>
      </c>
      <c r="BD152" s="75" t="str">
        <f aca="false">AP152</f>
        <v/>
      </c>
      <c r="BE152" s="73" t="str">
        <f aca="false">IF(ISBLANK($C152),"",AS152)</f>
        <v/>
      </c>
      <c r="BF152" s="76" t="str">
        <f aca="false">IF($AW152&gt;$AV$7,"",VLOOKUP($AW152,$AY$8:$BE$507,7,FALSE()))</f>
        <v/>
      </c>
      <c r="BG152" s="77" t="str">
        <f aca="false">IF($AW152&gt;$AV$7,"",VLOOKUP($AW152,$AY$8:$BE$507,2,FALSE()))</f>
        <v/>
      </c>
      <c r="BH152" s="77" t="str">
        <f aca="false">IF($AW152&gt;$AV$7,"",VLOOKUP($AW152,$AY$8:$BE$507,3,FALSE()))</f>
        <v/>
      </c>
      <c r="BI152" s="77" t="str">
        <f aca="false">IF($AW152&gt;$AV$7,"",VLOOKUP($AW152,$AY$8:$BE$507,4,FALSE()))</f>
        <v/>
      </c>
      <c r="BJ152" s="77" t="str">
        <f aca="false">IF($AW152&gt;$AV$7,"",VLOOKUP($AW152,$AY$8:$BE$507,5,FALSE()))</f>
        <v/>
      </c>
      <c r="BK152" s="78" t="str">
        <f aca="false">IF($AW152&gt;$AV$7,"",VLOOKUP($AW152,$AY$8:$BE$507,6,FALSE()))</f>
        <v/>
      </c>
      <c r="BL152" s="50"/>
    </row>
    <row r="153" customFormat="false" ht="15.75" hidden="false" customHeight="false" outlineLevel="0" collapsed="false">
      <c r="A153" s="5"/>
      <c r="B153" s="131"/>
      <c r="C153" s="52"/>
      <c r="D153" s="53"/>
      <c r="E153" s="80"/>
      <c r="F153" s="132"/>
      <c r="G153" s="56"/>
      <c r="H153" s="133"/>
      <c r="I153" s="134"/>
      <c r="J153" s="59"/>
      <c r="K153" s="60"/>
      <c r="L153" s="134"/>
      <c r="M153" s="61"/>
      <c r="N153" s="62"/>
      <c r="O153" s="80"/>
      <c r="P153" s="64"/>
      <c r="Q153" s="65" t="str">
        <f aca="false">IF(ISBLANK($C153),"",IF(E153=Constants!$B$2, TRUE(), IF(E153=Constants!$B$3, FALSE(), TRUE())))</f>
        <v/>
      </c>
      <c r="R153" s="65" t="str">
        <f aca="false">IF(ISBLANK($C153),"",IF(F153=Constants!$B$2, TRUE(), IF(F153=Constants!$B$3, FALSE(), TRUE())))</f>
        <v/>
      </c>
      <c r="S153" s="65" t="str">
        <f aca="false">IF(ISBLANK($C153),"",IF(G153=Constants!$B$15,Constants!$B$8,IF(G153=Constants!$B$16,Constants!$B$9,Constants!$B$10)))</f>
        <v/>
      </c>
      <c r="T153" s="65" t="str">
        <f aca="false">IF(ISBLANK($C153),"",IF(H153=Constants!$B$2, TRUE(), IF(H153=Constants!$B$3, FALSE(), TRUE())))</f>
        <v/>
      </c>
      <c r="U153" s="65" t="str">
        <f aca="false">IF(ISBLANK($C153),"",IF(I153=Constants!$B$19,Constants!$B$19,Constants!$B$18))</f>
        <v/>
      </c>
      <c r="V153" s="65" t="str">
        <f aca="false">IF(ISBLANK($C153),"",IF(COUNTA(J153:K153)=0,"",IF(AND(OR(ISBLANK(J153),AND(ISNUMBER(J153),J153&gt;=0)),OR(ISBLANK(K153),AND(ISNUMBER(K153),K153&gt;=0))),60*IF(ISBLANK(J153),0,J153)+IF(ISBLANK(K153),0,K153),"")))</f>
        <v/>
      </c>
      <c r="W153" s="65" t="str">
        <f aca="false">IF(ISBLANK($C153),"",IF(L153=Constants!$B$19,Constants!$B$19,Constants!$B$18))</f>
        <v/>
      </c>
      <c r="X153" s="65" t="str">
        <f aca="false">IF(ISBLANK($C153),"",IF(COUNTA(M153:N153)=0,"",IF(AND(OR(ISBLANK(M153),AND(ISNUMBER(M153),M153&gt;=0)),OR(ISBLANK(N153),AND(ISNUMBER(N153),N153&gt;=0))),60*IF(ISBLANK(M153),0,M153)+IF(ISBLANK(N153),0,N153),"")))</f>
        <v/>
      </c>
      <c r="Y153" s="65" t="str">
        <f aca="false">IF(ISBLANK($C153),"",IF(O153=Constants!$B$2, TRUE(), IF(O153=Constants!$B$3, FALSE(), FALSE())))</f>
        <v/>
      </c>
      <c r="Z153" s="65" t="str">
        <f aca="false">IF(ISBLANK($C153),"",IF(Y153,Constants!$B$4,IF(COUNTA(E153:N153)=0,Constants!$B$5,IF(COUNTA(J153:K153,M153:N153)=0,Constants!$B$6,Constants!$B$7))))</f>
        <v/>
      </c>
      <c r="AA153" s="65" t="str">
        <f aca="false">IF(ISBLANK($C153),"",IF($Z153&lt;&gt;Constants!$B$7,$Z153,IF(OR(NOT(T153),AND(NOT(Q153),COUNTIFS(U153:W153,Constants!$B$18,V153:X153,"&gt;=0")&gt;0),AND(NOT(R153),COUNTIFS(U153:W153,Constants!$B$19,V153:X153,"&gt;=0")&gt;0)),Constants!$B$12,Constants!$B$11)))</f>
        <v/>
      </c>
      <c r="AB153" s="65" t="str">
        <f aca="false">IF($Z153=Constants!$B$7,IF(V153="",Constants!$B$13,V153),"")</f>
        <v/>
      </c>
      <c r="AC153" s="65" t="str">
        <f aca="false">IF($Z153=Constants!$B$7,IF(X153="",Constants!$B$13,X153),"")</f>
        <v/>
      </c>
      <c r="AD153" s="65" t="str">
        <f aca="false">IF($Z153=Constants!$B$7,IF($AB153&gt;=$AC153,1,2),"")</f>
        <v/>
      </c>
      <c r="AE153" s="65" t="str">
        <f aca="false">IF($Z153=Constants!$B$7,LARGE(AB153:AC153,1),"")</f>
        <v/>
      </c>
      <c r="AF153" s="65" t="str">
        <f aca="false">IF(ISBLANK($C153),"",IF($Z153&lt;&gt;Constants!$B$7,$Z153,AE153*S153))</f>
        <v/>
      </c>
      <c r="AG153" s="65" t="str">
        <f aca="false">IF(ISBLANK($C153),"",IF($Z153=Constants!$B$7,IF(ISNUMBER(AF153),RANK(AF153,$AF$8:$AF$507),Constants!$B$14),$Z153))</f>
        <v/>
      </c>
      <c r="AH153" s="65" t="str">
        <f aca="false">IF(ISBLANK($C153),"",IF($Z153=Constants!$B$7,IF(ISNUMBER(AG153),COUNTIFS($AA$8:$AA$507,"&lt;"&amp;$AA153)+COUNTIFS($AA$8:$AA$507,$AA153,$AG$8:$AG$507,"&lt;"&amp;$AG153)+1,Constants!$B$14),$Z153))</f>
        <v/>
      </c>
      <c r="AI153" s="65" t="str">
        <f aca="false">IF(ISBLANK($C153),"",IF($Z153=Constants!$B$7,LARGE(AB153:AC153,2)*S153,""))</f>
        <v/>
      </c>
      <c r="AJ153" s="65" t="str">
        <f aca="false">IF(ISBLANK($C153),"",IF($Z153=Constants!$B$7,RANK(AI153,$AI$8:$AI$507),$Z153))</f>
        <v/>
      </c>
      <c r="AK153" s="65" t="str">
        <f aca="false">IF(ISBLANK($C153),"",IF($Z153=Constants!$B$7,IF(ISNUMBER(AG153),COUNTIFS($AA$8:$AA$507,"&lt;"&amp;$AA153)+COUNTIFS($AA$8:$AA$507,$AA153,$AG$8:$AG$507,"&lt;"&amp;$AG153)+COUNTIFS($AA$8:$AA$507,$AA153,$AG$8:$AG$507,$AG153,$AJ$8:$AJ$507,"&lt;"&amp;$AJ153)+1,Constants!$B$14),$Z153))</f>
        <v/>
      </c>
      <c r="AL153" s="65" t="str">
        <f aca="false">IF(ISBLANK($C153),"",IF($Z153=Constants!$B$7,IF(ISNUMBER(AH153),AH153-AK153,Constants!$B$14),$Z153))</f>
        <v/>
      </c>
      <c r="AM153" s="67"/>
      <c r="AN153" s="68" t="str">
        <f aca="false">IF(ISBLANK($C153),"",IF($Z153&lt;&gt;Constants!$B$7,$Z153,AD153))</f>
        <v/>
      </c>
      <c r="AO153" s="69" t="str">
        <f aca="false">IF(ISBLANK($C153),"",IF($Z153&lt;&gt;Constants!$B$7,$Z153,S153))</f>
        <v/>
      </c>
      <c r="AP153" s="70" t="str">
        <f aca="false">IF(ISBLANK($C153),"",IF($Z153&lt;&gt;Constants!$B$7,$Z153,AF153))</f>
        <v/>
      </c>
      <c r="AQ153" s="71" t="str">
        <f aca="false">IF(ISBLANK($C153),"",IF($Z153&lt;&gt;Constants!$B$7,$Z153,AA153))</f>
        <v/>
      </c>
      <c r="AR153" s="69" t="str">
        <f aca="false">IF(ISBLANK($C153),"",AL153)</f>
        <v/>
      </c>
      <c r="AS153" s="69" t="str">
        <f aca="false">IF(ISBLANK($C153),"",AK153)</f>
        <v/>
      </c>
      <c r="AT153" s="72" t="str">
        <f aca="false">IF(ISBLANK($C153),"",IF(AS153=Constants!$B$4,COUNTA($C$8:$C$507)+2,IF(AS153=Constants!$B$5,COUNTA($C$8:$C$507)+1,IF(AS153=Constants!$B$6,COUNTA($C$8:$C$507),AS153))))</f>
        <v/>
      </c>
      <c r="AU153" s="5"/>
      <c r="AV153" s="73" t="n">
        <f aca="false">IF(OR(ISNUMBER(AS153),AS153=Constants!$B$4,AS153=Constants!$B$6,AS153=Constants!$B$5),1,0)</f>
        <v>0</v>
      </c>
      <c r="AW153" s="73" t="n">
        <v>146</v>
      </c>
      <c r="AX153" s="73" t="str">
        <f aca="false">IF(ISBLANK($C153),"",IF(ISNUMBER(AT153),AT153+ROW($B153)/1000,""))</f>
        <v/>
      </c>
      <c r="AY153" s="73" t="str">
        <f aca="false">IF(ISNUMBER(AX153),RANK(AX153,$AX$8:$AX$507,1),"")</f>
        <v/>
      </c>
      <c r="AZ153" s="73" t="str">
        <f aca="false">IF(ISBLANK($C153),"",$B153)</f>
        <v/>
      </c>
      <c r="BA153" s="73" t="str">
        <f aca="false">IF(ISBLANK($C153),"",$C153)</f>
        <v/>
      </c>
      <c r="BB153" s="73" t="str">
        <f aca="false">IF(ISBLANK($C153),"",$D153)</f>
        <v/>
      </c>
      <c r="BC153" s="74" t="str">
        <f aca="false">AQ153</f>
        <v/>
      </c>
      <c r="BD153" s="75" t="str">
        <f aca="false">AP153</f>
        <v/>
      </c>
      <c r="BE153" s="73" t="str">
        <f aca="false">IF(ISBLANK($C153),"",AS153)</f>
        <v/>
      </c>
      <c r="BF153" s="76" t="str">
        <f aca="false">IF($AW153&gt;$AV$7,"",VLOOKUP($AW153,$AY$8:$BE$507,7,FALSE()))</f>
        <v/>
      </c>
      <c r="BG153" s="77" t="str">
        <f aca="false">IF($AW153&gt;$AV$7,"",VLOOKUP($AW153,$AY$8:$BE$507,2,FALSE()))</f>
        <v/>
      </c>
      <c r="BH153" s="77" t="str">
        <f aca="false">IF($AW153&gt;$AV$7,"",VLOOKUP($AW153,$AY$8:$BE$507,3,FALSE()))</f>
        <v/>
      </c>
      <c r="BI153" s="77" t="str">
        <f aca="false">IF($AW153&gt;$AV$7,"",VLOOKUP($AW153,$AY$8:$BE$507,4,FALSE()))</f>
        <v/>
      </c>
      <c r="BJ153" s="77" t="str">
        <f aca="false">IF($AW153&gt;$AV$7,"",VLOOKUP($AW153,$AY$8:$BE$507,5,FALSE()))</f>
        <v/>
      </c>
      <c r="BK153" s="78" t="str">
        <f aca="false">IF($AW153&gt;$AV$7,"",VLOOKUP($AW153,$AY$8:$BE$507,6,FALSE()))</f>
        <v/>
      </c>
      <c r="BL153" s="50"/>
    </row>
    <row r="154" customFormat="false" ht="15.75" hidden="false" customHeight="false" outlineLevel="0" collapsed="false">
      <c r="A154" s="5"/>
      <c r="B154" s="131"/>
      <c r="C154" s="52"/>
      <c r="D154" s="53"/>
      <c r="E154" s="80"/>
      <c r="F154" s="132"/>
      <c r="G154" s="56"/>
      <c r="H154" s="133"/>
      <c r="I154" s="134"/>
      <c r="J154" s="59"/>
      <c r="K154" s="60"/>
      <c r="L154" s="134"/>
      <c r="M154" s="61"/>
      <c r="N154" s="62"/>
      <c r="O154" s="80"/>
      <c r="P154" s="64"/>
      <c r="Q154" s="65" t="str">
        <f aca="false">IF(ISBLANK($C154),"",IF(E154=Constants!$B$2, TRUE(), IF(E154=Constants!$B$3, FALSE(), TRUE())))</f>
        <v/>
      </c>
      <c r="R154" s="65" t="str">
        <f aca="false">IF(ISBLANK($C154),"",IF(F154=Constants!$B$2, TRUE(), IF(F154=Constants!$B$3, FALSE(), TRUE())))</f>
        <v/>
      </c>
      <c r="S154" s="65" t="str">
        <f aca="false">IF(ISBLANK($C154),"",IF(G154=Constants!$B$15,Constants!$B$8,IF(G154=Constants!$B$16,Constants!$B$9,Constants!$B$10)))</f>
        <v/>
      </c>
      <c r="T154" s="65" t="str">
        <f aca="false">IF(ISBLANK($C154),"",IF(H154=Constants!$B$2, TRUE(), IF(H154=Constants!$B$3, FALSE(), TRUE())))</f>
        <v/>
      </c>
      <c r="U154" s="65" t="str">
        <f aca="false">IF(ISBLANK($C154),"",IF(I154=Constants!$B$19,Constants!$B$19,Constants!$B$18))</f>
        <v/>
      </c>
      <c r="V154" s="65" t="str">
        <f aca="false">IF(ISBLANK($C154),"",IF(COUNTA(J154:K154)=0,"",IF(AND(OR(ISBLANK(J154),AND(ISNUMBER(J154),J154&gt;=0)),OR(ISBLANK(K154),AND(ISNUMBER(K154),K154&gt;=0))),60*IF(ISBLANK(J154),0,J154)+IF(ISBLANK(K154),0,K154),"")))</f>
        <v/>
      </c>
      <c r="W154" s="65" t="str">
        <f aca="false">IF(ISBLANK($C154),"",IF(L154=Constants!$B$19,Constants!$B$19,Constants!$B$18))</f>
        <v/>
      </c>
      <c r="X154" s="65" t="str">
        <f aca="false">IF(ISBLANK($C154),"",IF(COUNTA(M154:N154)=0,"",IF(AND(OR(ISBLANK(M154),AND(ISNUMBER(M154),M154&gt;=0)),OR(ISBLANK(N154),AND(ISNUMBER(N154),N154&gt;=0))),60*IF(ISBLANK(M154),0,M154)+IF(ISBLANK(N154),0,N154),"")))</f>
        <v/>
      </c>
      <c r="Y154" s="65" t="str">
        <f aca="false">IF(ISBLANK($C154),"",IF(O154=Constants!$B$2, TRUE(), IF(O154=Constants!$B$3, FALSE(), FALSE())))</f>
        <v/>
      </c>
      <c r="Z154" s="65" t="str">
        <f aca="false">IF(ISBLANK($C154),"",IF(Y154,Constants!$B$4,IF(COUNTA(E154:N154)=0,Constants!$B$5,IF(COUNTA(J154:K154,M154:N154)=0,Constants!$B$6,Constants!$B$7))))</f>
        <v/>
      </c>
      <c r="AA154" s="65" t="str">
        <f aca="false">IF(ISBLANK($C154),"",IF($Z154&lt;&gt;Constants!$B$7,$Z154,IF(OR(NOT(T154),AND(NOT(Q154),COUNTIFS(U154:W154,Constants!$B$18,V154:X154,"&gt;=0")&gt;0),AND(NOT(R154),COUNTIFS(U154:W154,Constants!$B$19,V154:X154,"&gt;=0")&gt;0)),Constants!$B$12,Constants!$B$11)))</f>
        <v/>
      </c>
      <c r="AB154" s="65" t="str">
        <f aca="false">IF($Z154=Constants!$B$7,IF(V154="",Constants!$B$13,V154),"")</f>
        <v/>
      </c>
      <c r="AC154" s="65" t="str">
        <f aca="false">IF($Z154=Constants!$B$7,IF(X154="",Constants!$B$13,X154),"")</f>
        <v/>
      </c>
      <c r="AD154" s="65" t="str">
        <f aca="false">IF($Z154=Constants!$B$7,IF($AB154&gt;=$AC154,1,2),"")</f>
        <v/>
      </c>
      <c r="AE154" s="65" t="str">
        <f aca="false">IF($Z154=Constants!$B$7,LARGE(AB154:AC154,1),"")</f>
        <v/>
      </c>
      <c r="AF154" s="65" t="str">
        <f aca="false">IF(ISBLANK($C154),"",IF($Z154&lt;&gt;Constants!$B$7,$Z154,AE154*S154))</f>
        <v/>
      </c>
      <c r="AG154" s="65" t="str">
        <f aca="false">IF(ISBLANK($C154),"",IF($Z154=Constants!$B$7,IF(ISNUMBER(AF154),RANK(AF154,$AF$8:$AF$507),Constants!$B$14),$Z154))</f>
        <v/>
      </c>
      <c r="AH154" s="65" t="str">
        <f aca="false">IF(ISBLANK($C154),"",IF($Z154=Constants!$B$7,IF(ISNUMBER(AG154),COUNTIFS($AA$8:$AA$507,"&lt;"&amp;$AA154)+COUNTIFS($AA$8:$AA$507,$AA154,$AG$8:$AG$507,"&lt;"&amp;$AG154)+1,Constants!$B$14),$Z154))</f>
        <v/>
      </c>
      <c r="AI154" s="65" t="str">
        <f aca="false">IF(ISBLANK($C154),"",IF($Z154=Constants!$B$7,LARGE(AB154:AC154,2)*S154,""))</f>
        <v/>
      </c>
      <c r="AJ154" s="65" t="str">
        <f aca="false">IF(ISBLANK($C154),"",IF($Z154=Constants!$B$7,RANK(AI154,$AI$8:$AI$507),$Z154))</f>
        <v/>
      </c>
      <c r="AK154" s="65" t="str">
        <f aca="false">IF(ISBLANK($C154),"",IF($Z154=Constants!$B$7,IF(ISNUMBER(AG154),COUNTIFS($AA$8:$AA$507,"&lt;"&amp;$AA154)+COUNTIFS($AA$8:$AA$507,$AA154,$AG$8:$AG$507,"&lt;"&amp;$AG154)+COUNTIFS($AA$8:$AA$507,$AA154,$AG$8:$AG$507,$AG154,$AJ$8:$AJ$507,"&lt;"&amp;$AJ154)+1,Constants!$B$14),$Z154))</f>
        <v/>
      </c>
      <c r="AL154" s="65" t="str">
        <f aca="false">IF(ISBLANK($C154),"",IF($Z154=Constants!$B$7,IF(ISNUMBER(AH154),AH154-AK154,Constants!$B$14),$Z154))</f>
        <v/>
      </c>
      <c r="AM154" s="67"/>
      <c r="AN154" s="68" t="str">
        <f aca="false">IF(ISBLANK($C154),"",IF($Z154&lt;&gt;Constants!$B$7,$Z154,AD154))</f>
        <v/>
      </c>
      <c r="AO154" s="69" t="str">
        <f aca="false">IF(ISBLANK($C154),"",IF($Z154&lt;&gt;Constants!$B$7,$Z154,S154))</f>
        <v/>
      </c>
      <c r="AP154" s="70" t="str">
        <f aca="false">IF(ISBLANK($C154),"",IF($Z154&lt;&gt;Constants!$B$7,$Z154,AF154))</f>
        <v/>
      </c>
      <c r="AQ154" s="71" t="str">
        <f aca="false">IF(ISBLANK($C154),"",IF($Z154&lt;&gt;Constants!$B$7,$Z154,AA154))</f>
        <v/>
      </c>
      <c r="AR154" s="69" t="str">
        <f aca="false">IF(ISBLANK($C154),"",AL154)</f>
        <v/>
      </c>
      <c r="AS154" s="69" t="str">
        <f aca="false">IF(ISBLANK($C154),"",AK154)</f>
        <v/>
      </c>
      <c r="AT154" s="72" t="str">
        <f aca="false">IF(ISBLANK($C154),"",IF(AS154=Constants!$B$4,COUNTA($C$8:$C$507)+2,IF(AS154=Constants!$B$5,COUNTA($C$8:$C$507)+1,IF(AS154=Constants!$B$6,COUNTA($C$8:$C$507),AS154))))</f>
        <v/>
      </c>
      <c r="AU154" s="5"/>
      <c r="AV154" s="73" t="n">
        <f aca="false">IF(OR(ISNUMBER(AS154),AS154=Constants!$B$4,AS154=Constants!$B$6,AS154=Constants!$B$5),1,0)</f>
        <v>0</v>
      </c>
      <c r="AW154" s="73" t="n">
        <v>147</v>
      </c>
      <c r="AX154" s="73" t="str">
        <f aca="false">IF(ISBLANK($C154),"",IF(ISNUMBER(AT154),AT154+ROW($B154)/1000,""))</f>
        <v/>
      </c>
      <c r="AY154" s="73" t="str">
        <f aca="false">IF(ISNUMBER(AX154),RANK(AX154,$AX$8:$AX$507,1),"")</f>
        <v/>
      </c>
      <c r="AZ154" s="73" t="str">
        <f aca="false">IF(ISBLANK($C154),"",$B154)</f>
        <v/>
      </c>
      <c r="BA154" s="73" t="str">
        <f aca="false">IF(ISBLANK($C154),"",$C154)</f>
        <v/>
      </c>
      <c r="BB154" s="73" t="str">
        <f aca="false">IF(ISBLANK($C154),"",$D154)</f>
        <v/>
      </c>
      <c r="BC154" s="74" t="str">
        <f aca="false">AQ154</f>
        <v/>
      </c>
      <c r="BD154" s="75" t="str">
        <f aca="false">AP154</f>
        <v/>
      </c>
      <c r="BE154" s="73" t="str">
        <f aca="false">IF(ISBLANK($C154),"",AS154)</f>
        <v/>
      </c>
      <c r="BF154" s="76" t="str">
        <f aca="false">IF($AW154&gt;$AV$7,"",VLOOKUP($AW154,$AY$8:$BE$507,7,FALSE()))</f>
        <v/>
      </c>
      <c r="BG154" s="77" t="str">
        <f aca="false">IF($AW154&gt;$AV$7,"",VLOOKUP($AW154,$AY$8:$BE$507,2,FALSE()))</f>
        <v/>
      </c>
      <c r="BH154" s="77" t="str">
        <f aca="false">IF($AW154&gt;$AV$7,"",VLOOKUP($AW154,$AY$8:$BE$507,3,FALSE()))</f>
        <v/>
      </c>
      <c r="BI154" s="77" t="str">
        <f aca="false">IF($AW154&gt;$AV$7,"",VLOOKUP($AW154,$AY$8:$BE$507,4,FALSE()))</f>
        <v/>
      </c>
      <c r="BJ154" s="77" t="str">
        <f aca="false">IF($AW154&gt;$AV$7,"",VLOOKUP($AW154,$AY$8:$BE$507,5,FALSE()))</f>
        <v/>
      </c>
      <c r="BK154" s="78" t="str">
        <f aca="false">IF($AW154&gt;$AV$7,"",VLOOKUP($AW154,$AY$8:$BE$507,6,FALSE()))</f>
        <v/>
      </c>
      <c r="BL154" s="50"/>
    </row>
    <row r="155" customFormat="false" ht="15.75" hidden="false" customHeight="false" outlineLevel="0" collapsed="false">
      <c r="A155" s="5"/>
      <c r="B155" s="124"/>
      <c r="C155" s="125"/>
      <c r="D155" s="110"/>
      <c r="E155" s="130"/>
      <c r="F155" s="135"/>
      <c r="G155" s="88"/>
      <c r="H155" s="136"/>
      <c r="I155" s="137"/>
      <c r="J155" s="91"/>
      <c r="K155" s="92"/>
      <c r="L155" s="137"/>
      <c r="M155" s="93"/>
      <c r="N155" s="94"/>
      <c r="O155" s="130"/>
      <c r="P155" s="96"/>
      <c r="Q155" s="97" t="str">
        <f aca="false">IF(ISBLANK($C155),"",IF(E155=Constants!$B$2, TRUE(), IF(E155=Constants!$B$3, FALSE(), TRUE())))</f>
        <v/>
      </c>
      <c r="R155" s="97" t="str">
        <f aca="false">IF(ISBLANK($C155),"",IF(F155=Constants!$B$2, TRUE(), IF(F155=Constants!$B$3, FALSE(), TRUE())))</f>
        <v/>
      </c>
      <c r="S155" s="97" t="str">
        <f aca="false">IF(ISBLANK($C155),"",IF(G155=Constants!$B$15,Constants!$B$8,IF(G155=Constants!$B$16,Constants!$B$9,Constants!$B$10)))</f>
        <v/>
      </c>
      <c r="T155" s="97" t="str">
        <f aca="false">IF(ISBLANK($C155),"",IF(H155=Constants!$B$2, TRUE(), IF(H155=Constants!$B$3, FALSE(), TRUE())))</f>
        <v/>
      </c>
      <c r="U155" s="97" t="str">
        <f aca="false">IF(ISBLANK($C155),"",IF(I155=Constants!$B$19,Constants!$B$19,Constants!$B$18))</f>
        <v/>
      </c>
      <c r="V155" s="97" t="str">
        <f aca="false">IF(ISBLANK($C155),"",IF(COUNTA(J155:K155)=0,"",IF(AND(OR(ISBLANK(J155),AND(ISNUMBER(J155),J155&gt;=0)),OR(ISBLANK(K155),AND(ISNUMBER(K155),K155&gt;=0))),60*IF(ISBLANK(J155),0,J155)+IF(ISBLANK(K155),0,K155),"")))</f>
        <v/>
      </c>
      <c r="W155" s="97" t="str">
        <f aca="false">IF(ISBLANK($C155),"",IF(L155=Constants!$B$19,Constants!$B$19,Constants!$B$18))</f>
        <v/>
      </c>
      <c r="X155" s="97" t="str">
        <f aca="false">IF(ISBLANK($C155),"",IF(COUNTA(M155:N155)=0,"",IF(AND(OR(ISBLANK(M155),AND(ISNUMBER(M155),M155&gt;=0)),OR(ISBLANK(N155),AND(ISNUMBER(N155),N155&gt;=0))),60*IF(ISBLANK(M155),0,M155)+IF(ISBLANK(N155),0,N155),"")))</f>
        <v/>
      </c>
      <c r="Y155" s="97" t="str">
        <f aca="false">IF(ISBLANK($C155),"",IF(O155=Constants!$B$2, TRUE(), IF(O155=Constants!$B$3, FALSE(), FALSE())))</f>
        <v/>
      </c>
      <c r="Z155" s="97" t="str">
        <f aca="false">IF(ISBLANK($C155),"",IF(Y155,Constants!$B$4,IF(COUNTA(E155:N155)=0,Constants!$B$5,IF(COUNTA(J155:K155,M155:N155)=0,Constants!$B$6,Constants!$B$7))))</f>
        <v/>
      </c>
      <c r="AA155" s="97" t="str">
        <f aca="false">IF(ISBLANK($C155),"",IF($Z155&lt;&gt;Constants!$B$7,$Z155,IF(OR(NOT(T155),AND(NOT(Q155),COUNTIFS(U155:W155,Constants!$B$18,V155:X155,"&gt;=0")&gt;0),AND(NOT(R155),COUNTIFS(U155:W155,Constants!$B$19,V155:X155,"&gt;=0")&gt;0)),Constants!$B$12,Constants!$B$11)))</f>
        <v/>
      </c>
      <c r="AB155" s="97" t="str">
        <f aca="false">IF($Z155=Constants!$B$7,IF(V155="",Constants!$B$13,V155),"")</f>
        <v/>
      </c>
      <c r="AC155" s="97" t="str">
        <f aca="false">IF($Z155=Constants!$B$7,IF(X155="",Constants!$B$13,X155),"")</f>
        <v/>
      </c>
      <c r="AD155" s="97" t="str">
        <f aca="false">IF($Z155=Constants!$B$7,IF($AB155&gt;=$AC155,1,2),"")</f>
        <v/>
      </c>
      <c r="AE155" s="97" t="str">
        <f aca="false">IF($Z155=Constants!$B$7,LARGE(AB155:AC155,1),"")</f>
        <v/>
      </c>
      <c r="AF155" s="97" t="str">
        <f aca="false">IF(ISBLANK($C155),"",IF($Z155&lt;&gt;Constants!$B$7,$Z155,AE155*S155))</f>
        <v/>
      </c>
      <c r="AG155" s="97" t="str">
        <f aca="false">IF(ISBLANK($C155),"",IF($Z155=Constants!$B$7,IF(ISNUMBER(AF155),RANK(AF155,$AF$8:$AF$507),Constants!$B$14),$Z155))</f>
        <v/>
      </c>
      <c r="AH155" s="97" t="str">
        <f aca="false">IF(ISBLANK($C155),"",IF($Z155=Constants!$B$7,IF(ISNUMBER(AG155),COUNTIFS($AA$8:$AA$507,"&lt;"&amp;$AA155)+COUNTIFS($AA$8:$AA$507,$AA155,$AG$8:$AG$507,"&lt;"&amp;$AG155)+1,Constants!$B$14),$Z155))</f>
        <v/>
      </c>
      <c r="AI155" s="97" t="str">
        <f aca="false">IF(ISBLANK($C155),"",IF($Z155=Constants!$B$7,LARGE(AB155:AC155,2)*S155,""))</f>
        <v/>
      </c>
      <c r="AJ155" s="97" t="str">
        <f aca="false">IF(ISBLANK($C155),"",IF($Z155=Constants!$B$7,RANK(AI155,$AI$8:$AI$507),$Z155))</f>
        <v/>
      </c>
      <c r="AK155" s="97" t="str">
        <f aca="false">IF(ISBLANK($C155),"",IF($Z155=Constants!$B$7,IF(ISNUMBER(AG155),COUNTIFS($AA$8:$AA$507,"&lt;"&amp;$AA155)+COUNTIFS($AA$8:$AA$507,$AA155,$AG$8:$AG$507,"&lt;"&amp;$AG155)+COUNTIFS($AA$8:$AA$507,$AA155,$AG$8:$AG$507,$AG155,$AJ$8:$AJ$507,"&lt;"&amp;$AJ155)+1,Constants!$B$14),$Z155))</f>
        <v/>
      </c>
      <c r="AL155" s="97" t="str">
        <f aca="false">IF(ISBLANK($C155),"",IF($Z155=Constants!$B$7,IF(ISNUMBER(AH155),AH155-AK155,Constants!$B$14),$Z155))</f>
        <v/>
      </c>
      <c r="AM155" s="98"/>
      <c r="AN155" s="99" t="str">
        <f aca="false">IF(ISBLANK($C155),"",IF($Z155&lt;&gt;Constants!$B$7,$Z155,AD155))</f>
        <v/>
      </c>
      <c r="AO155" s="100" t="str">
        <f aca="false">IF(ISBLANK($C155),"",IF($Z155&lt;&gt;Constants!$B$7,$Z155,S155))</f>
        <v/>
      </c>
      <c r="AP155" s="101" t="str">
        <f aca="false">IF(ISBLANK($C155),"",IF($Z155&lt;&gt;Constants!$B$7,$Z155,AF155))</f>
        <v/>
      </c>
      <c r="AQ155" s="102" t="str">
        <f aca="false">IF(ISBLANK($C155),"",IF($Z155&lt;&gt;Constants!$B$7,$Z155,AA155))</f>
        <v/>
      </c>
      <c r="AR155" s="100" t="str">
        <f aca="false">IF(ISBLANK($C155),"",AL155)</f>
        <v/>
      </c>
      <c r="AS155" s="100" t="str">
        <f aca="false">IF(ISBLANK($C155),"",AK155)</f>
        <v/>
      </c>
      <c r="AT155" s="103" t="str">
        <f aca="false">IF(ISBLANK($C155),"",IF(AS155=Constants!$B$4,COUNTA($C$8:$C$507)+2,IF(AS155=Constants!$B$5,COUNTA($C$8:$C$507)+1,IF(AS155=Constants!$B$6,COUNTA($C$8:$C$507),AS155))))</f>
        <v/>
      </c>
      <c r="AU155" s="5"/>
      <c r="AV155" s="104" t="n">
        <f aca="false">IF(OR(ISNUMBER(AS155),AS155=Constants!$B$4,AS155=Constants!$B$6,AS155=Constants!$B$5),1,0)</f>
        <v>0</v>
      </c>
      <c r="AW155" s="104" t="n">
        <v>148</v>
      </c>
      <c r="AX155" s="104" t="str">
        <f aca="false">IF(ISBLANK($C155),"",IF(ISNUMBER(AT155),AT155+ROW($B155)/1000,""))</f>
        <v/>
      </c>
      <c r="AY155" s="104" t="str">
        <f aca="false">IF(ISNUMBER(AX155),RANK(AX155,$AX$8:$AX$507,1),"")</f>
        <v/>
      </c>
      <c r="AZ155" s="104" t="str">
        <f aca="false">IF(ISBLANK($C155),"",$B155)</f>
        <v/>
      </c>
      <c r="BA155" s="104" t="str">
        <f aca="false">IF(ISBLANK($C155),"",$C155)</f>
        <v/>
      </c>
      <c r="BB155" s="104" t="str">
        <f aca="false">IF(ISBLANK($C155),"",$D155)</f>
        <v/>
      </c>
      <c r="BC155" s="105" t="str">
        <f aca="false">AQ155</f>
        <v/>
      </c>
      <c r="BD155" s="106" t="str">
        <f aca="false">AP155</f>
        <v/>
      </c>
      <c r="BE155" s="104" t="str">
        <f aca="false">IF(ISBLANK($C155),"",AS155)</f>
        <v/>
      </c>
      <c r="BF155" s="107" t="str">
        <f aca="false">IF($AW155&gt;$AV$7,"",VLOOKUP($AW155,$AY$8:$BE$507,7,FALSE()))</f>
        <v/>
      </c>
      <c r="BG155" s="108" t="str">
        <f aca="false">IF($AW155&gt;$AV$7,"",VLOOKUP($AW155,$AY$8:$BE$507,2,FALSE()))</f>
        <v/>
      </c>
      <c r="BH155" s="108" t="str">
        <f aca="false">IF($AW155&gt;$AV$7,"",VLOOKUP($AW155,$AY$8:$BE$507,3,FALSE()))</f>
        <v/>
      </c>
      <c r="BI155" s="108" t="str">
        <f aca="false">IF($AW155&gt;$AV$7,"",VLOOKUP($AW155,$AY$8:$BE$507,4,FALSE()))</f>
        <v/>
      </c>
      <c r="BJ155" s="108" t="str">
        <f aca="false">IF($AW155&gt;$AV$7,"",VLOOKUP($AW155,$AY$8:$BE$507,5,FALSE()))</f>
        <v/>
      </c>
      <c r="BK155" s="109" t="str">
        <f aca="false">IF($AW155&gt;$AV$7,"",VLOOKUP($AW155,$AY$8:$BE$507,6,FALSE()))</f>
        <v/>
      </c>
      <c r="BL155" s="50"/>
    </row>
    <row r="156" customFormat="false" ht="15.75" hidden="false" customHeight="false" outlineLevel="0" collapsed="false">
      <c r="A156" s="5"/>
      <c r="B156" s="124"/>
      <c r="C156" s="125"/>
      <c r="D156" s="110"/>
      <c r="E156" s="130"/>
      <c r="F156" s="135"/>
      <c r="G156" s="88"/>
      <c r="H156" s="136"/>
      <c r="I156" s="137"/>
      <c r="J156" s="91"/>
      <c r="K156" s="92"/>
      <c r="L156" s="137"/>
      <c r="M156" s="93"/>
      <c r="N156" s="94"/>
      <c r="O156" s="130"/>
      <c r="P156" s="96"/>
      <c r="Q156" s="97" t="str">
        <f aca="false">IF(ISBLANK($C156),"",IF(E156=Constants!$B$2, TRUE(), IF(E156=Constants!$B$3, FALSE(), TRUE())))</f>
        <v/>
      </c>
      <c r="R156" s="97" t="str">
        <f aca="false">IF(ISBLANK($C156),"",IF(F156=Constants!$B$2, TRUE(), IF(F156=Constants!$B$3, FALSE(), TRUE())))</f>
        <v/>
      </c>
      <c r="S156" s="97" t="str">
        <f aca="false">IF(ISBLANK($C156),"",IF(G156=Constants!$B$15,Constants!$B$8,IF(G156=Constants!$B$16,Constants!$B$9,Constants!$B$10)))</f>
        <v/>
      </c>
      <c r="T156" s="97" t="str">
        <f aca="false">IF(ISBLANK($C156),"",IF(H156=Constants!$B$2, TRUE(), IF(H156=Constants!$B$3, FALSE(), TRUE())))</f>
        <v/>
      </c>
      <c r="U156" s="97" t="str">
        <f aca="false">IF(ISBLANK($C156),"",IF(I156=Constants!$B$19,Constants!$B$19,Constants!$B$18))</f>
        <v/>
      </c>
      <c r="V156" s="97" t="str">
        <f aca="false">IF(ISBLANK($C156),"",IF(COUNTA(J156:K156)=0,"",IF(AND(OR(ISBLANK(J156),AND(ISNUMBER(J156),J156&gt;=0)),OR(ISBLANK(K156),AND(ISNUMBER(K156),K156&gt;=0))),60*IF(ISBLANK(J156),0,J156)+IF(ISBLANK(K156),0,K156),"")))</f>
        <v/>
      </c>
      <c r="W156" s="97" t="str">
        <f aca="false">IF(ISBLANK($C156),"",IF(L156=Constants!$B$19,Constants!$B$19,Constants!$B$18))</f>
        <v/>
      </c>
      <c r="X156" s="97" t="str">
        <f aca="false">IF(ISBLANK($C156),"",IF(COUNTA(M156:N156)=0,"",IF(AND(OR(ISBLANK(M156),AND(ISNUMBER(M156),M156&gt;=0)),OR(ISBLANK(N156),AND(ISNUMBER(N156),N156&gt;=0))),60*IF(ISBLANK(M156),0,M156)+IF(ISBLANK(N156),0,N156),"")))</f>
        <v/>
      </c>
      <c r="Y156" s="97" t="str">
        <f aca="false">IF(ISBLANK($C156),"",IF(O156=Constants!$B$2, TRUE(), IF(O156=Constants!$B$3, FALSE(), FALSE())))</f>
        <v/>
      </c>
      <c r="Z156" s="97" t="str">
        <f aca="false">IF(ISBLANK($C156),"",IF(Y156,Constants!$B$4,IF(COUNTA(E156:N156)=0,Constants!$B$5,IF(COUNTA(J156:K156,M156:N156)=0,Constants!$B$6,Constants!$B$7))))</f>
        <v/>
      </c>
      <c r="AA156" s="97" t="str">
        <f aca="false">IF(ISBLANK($C156),"",IF($Z156&lt;&gt;Constants!$B$7,$Z156,IF(OR(NOT(T156),AND(NOT(Q156),COUNTIFS(U156:W156,Constants!$B$18,V156:X156,"&gt;=0")&gt;0),AND(NOT(R156),COUNTIFS(U156:W156,Constants!$B$19,V156:X156,"&gt;=0")&gt;0)),Constants!$B$12,Constants!$B$11)))</f>
        <v/>
      </c>
      <c r="AB156" s="97" t="str">
        <f aca="false">IF($Z156=Constants!$B$7,IF(V156="",Constants!$B$13,V156),"")</f>
        <v/>
      </c>
      <c r="AC156" s="97" t="str">
        <f aca="false">IF($Z156=Constants!$B$7,IF(X156="",Constants!$B$13,X156),"")</f>
        <v/>
      </c>
      <c r="AD156" s="97" t="str">
        <f aca="false">IF($Z156=Constants!$B$7,IF($AB156&gt;=$AC156,1,2),"")</f>
        <v/>
      </c>
      <c r="AE156" s="97" t="str">
        <f aca="false">IF($Z156=Constants!$B$7,LARGE(AB156:AC156,1),"")</f>
        <v/>
      </c>
      <c r="AF156" s="97" t="str">
        <f aca="false">IF(ISBLANK($C156),"",IF($Z156&lt;&gt;Constants!$B$7,$Z156,AE156*S156))</f>
        <v/>
      </c>
      <c r="AG156" s="97" t="str">
        <f aca="false">IF(ISBLANK($C156),"",IF($Z156=Constants!$B$7,IF(ISNUMBER(AF156),RANK(AF156,$AF$8:$AF$507),Constants!$B$14),$Z156))</f>
        <v/>
      </c>
      <c r="AH156" s="97" t="str">
        <f aca="false">IF(ISBLANK($C156),"",IF($Z156=Constants!$B$7,IF(ISNUMBER(AG156),COUNTIFS($AA$8:$AA$507,"&lt;"&amp;$AA156)+COUNTIFS($AA$8:$AA$507,$AA156,$AG$8:$AG$507,"&lt;"&amp;$AG156)+1,Constants!$B$14),$Z156))</f>
        <v/>
      </c>
      <c r="AI156" s="97" t="str">
        <f aca="false">IF(ISBLANK($C156),"",IF($Z156=Constants!$B$7,LARGE(AB156:AC156,2)*S156,""))</f>
        <v/>
      </c>
      <c r="AJ156" s="97" t="str">
        <f aca="false">IF(ISBLANK($C156),"",IF($Z156=Constants!$B$7,RANK(AI156,$AI$8:$AI$507),$Z156))</f>
        <v/>
      </c>
      <c r="AK156" s="97" t="str">
        <f aca="false">IF(ISBLANK($C156),"",IF($Z156=Constants!$B$7,IF(ISNUMBER(AG156),COUNTIFS($AA$8:$AA$507,"&lt;"&amp;$AA156)+COUNTIFS($AA$8:$AA$507,$AA156,$AG$8:$AG$507,"&lt;"&amp;$AG156)+COUNTIFS($AA$8:$AA$507,$AA156,$AG$8:$AG$507,$AG156,$AJ$8:$AJ$507,"&lt;"&amp;$AJ156)+1,Constants!$B$14),$Z156))</f>
        <v/>
      </c>
      <c r="AL156" s="97" t="str">
        <f aca="false">IF(ISBLANK($C156),"",IF($Z156=Constants!$B$7,IF(ISNUMBER(AH156),AH156-AK156,Constants!$B$14),$Z156))</f>
        <v/>
      </c>
      <c r="AM156" s="98"/>
      <c r="AN156" s="99" t="str">
        <f aca="false">IF(ISBLANK($C156),"",IF($Z156&lt;&gt;Constants!$B$7,$Z156,AD156))</f>
        <v/>
      </c>
      <c r="AO156" s="100" t="str">
        <f aca="false">IF(ISBLANK($C156),"",IF($Z156&lt;&gt;Constants!$B$7,$Z156,S156))</f>
        <v/>
      </c>
      <c r="AP156" s="101" t="str">
        <f aca="false">IF(ISBLANK($C156),"",IF($Z156&lt;&gt;Constants!$B$7,$Z156,AF156))</f>
        <v/>
      </c>
      <c r="AQ156" s="102" t="str">
        <f aca="false">IF(ISBLANK($C156),"",IF($Z156&lt;&gt;Constants!$B$7,$Z156,AA156))</f>
        <v/>
      </c>
      <c r="AR156" s="100" t="str">
        <f aca="false">IF(ISBLANK($C156),"",AL156)</f>
        <v/>
      </c>
      <c r="AS156" s="100" t="str">
        <f aca="false">IF(ISBLANK($C156),"",AK156)</f>
        <v/>
      </c>
      <c r="AT156" s="103" t="str">
        <f aca="false">IF(ISBLANK($C156),"",IF(AS156=Constants!$B$4,COUNTA($C$8:$C$507)+2,IF(AS156=Constants!$B$5,COUNTA($C$8:$C$507)+1,IF(AS156=Constants!$B$6,COUNTA($C$8:$C$507),AS156))))</f>
        <v/>
      </c>
      <c r="AU156" s="5"/>
      <c r="AV156" s="104" t="n">
        <f aca="false">IF(OR(ISNUMBER(AS156),AS156=Constants!$B$4,AS156=Constants!$B$6,AS156=Constants!$B$5),1,0)</f>
        <v>0</v>
      </c>
      <c r="AW156" s="104" t="n">
        <v>149</v>
      </c>
      <c r="AX156" s="104" t="str">
        <f aca="false">IF(ISBLANK($C156),"",IF(ISNUMBER(AT156),AT156+ROW($B156)/1000,""))</f>
        <v/>
      </c>
      <c r="AY156" s="104" t="str">
        <f aca="false">IF(ISNUMBER(AX156),RANK(AX156,$AX$8:$AX$507,1),"")</f>
        <v/>
      </c>
      <c r="AZ156" s="104" t="str">
        <f aca="false">IF(ISBLANK($C156),"",$B156)</f>
        <v/>
      </c>
      <c r="BA156" s="104" t="str">
        <f aca="false">IF(ISBLANK($C156),"",$C156)</f>
        <v/>
      </c>
      <c r="BB156" s="104" t="str">
        <f aca="false">IF(ISBLANK($C156),"",$D156)</f>
        <v/>
      </c>
      <c r="BC156" s="105" t="str">
        <f aca="false">AQ156</f>
        <v/>
      </c>
      <c r="BD156" s="106" t="str">
        <f aca="false">AP156</f>
        <v/>
      </c>
      <c r="BE156" s="104" t="str">
        <f aca="false">IF(ISBLANK($C156),"",AS156)</f>
        <v/>
      </c>
      <c r="BF156" s="107" t="str">
        <f aca="false">IF($AW156&gt;$AV$7,"",VLOOKUP($AW156,$AY$8:$BE$507,7,FALSE()))</f>
        <v/>
      </c>
      <c r="BG156" s="108" t="str">
        <f aca="false">IF($AW156&gt;$AV$7,"",VLOOKUP($AW156,$AY$8:$BE$507,2,FALSE()))</f>
        <v/>
      </c>
      <c r="BH156" s="108" t="str">
        <f aca="false">IF($AW156&gt;$AV$7,"",VLOOKUP($AW156,$AY$8:$BE$507,3,FALSE()))</f>
        <v/>
      </c>
      <c r="BI156" s="108" t="str">
        <f aca="false">IF($AW156&gt;$AV$7,"",VLOOKUP($AW156,$AY$8:$BE$507,4,FALSE()))</f>
        <v/>
      </c>
      <c r="BJ156" s="108" t="str">
        <f aca="false">IF($AW156&gt;$AV$7,"",VLOOKUP($AW156,$AY$8:$BE$507,5,FALSE()))</f>
        <v/>
      </c>
      <c r="BK156" s="109" t="str">
        <f aca="false">IF($AW156&gt;$AV$7,"",VLOOKUP($AW156,$AY$8:$BE$507,6,FALSE()))</f>
        <v/>
      </c>
      <c r="BL156" s="50"/>
    </row>
    <row r="157" customFormat="false" ht="15.75" hidden="false" customHeight="false" outlineLevel="0" collapsed="false">
      <c r="A157" s="5"/>
      <c r="B157" s="124"/>
      <c r="C157" s="125"/>
      <c r="D157" s="110"/>
      <c r="E157" s="130"/>
      <c r="F157" s="135"/>
      <c r="G157" s="88"/>
      <c r="H157" s="136"/>
      <c r="I157" s="137"/>
      <c r="J157" s="91"/>
      <c r="K157" s="92"/>
      <c r="L157" s="137"/>
      <c r="M157" s="93"/>
      <c r="N157" s="94"/>
      <c r="O157" s="130"/>
      <c r="P157" s="96"/>
      <c r="Q157" s="97" t="str">
        <f aca="false">IF(ISBLANK($C157),"",IF(E157=Constants!$B$2, TRUE(), IF(E157=Constants!$B$3, FALSE(), TRUE())))</f>
        <v/>
      </c>
      <c r="R157" s="97" t="str">
        <f aca="false">IF(ISBLANK($C157),"",IF(F157=Constants!$B$2, TRUE(), IF(F157=Constants!$B$3, FALSE(), TRUE())))</f>
        <v/>
      </c>
      <c r="S157" s="97" t="str">
        <f aca="false">IF(ISBLANK($C157),"",IF(G157=Constants!$B$15,Constants!$B$8,IF(G157=Constants!$B$16,Constants!$B$9,Constants!$B$10)))</f>
        <v/>
      </c>
      <c r="T157" s="97" t="str">
        <f aca="false">IF(ISBLANK($C157),"",IF(H157=Constants!$B$2, TRUE(), IF(H157=Constants!$B$3, FALSE(), TRUE())))</f>
        <v/>
      </c>
      <c r="U157" s="97" t="str">
        <f aca="false">IF(ISBLANK($C157),"",IF(I157=Constants!$B$19,Constants!$B$19,Constants!$B$18))</f>
        <v/>
      </c>
      <c r="V157" s="97" t="str">
        <f aca="false">IF(ISBLANK($C157),"",IF(COUNTA(J157:K157)=0,"",IF(AND(OR(ISBLANK(J157),AND(ISNUMBER(J157),J157&gt;=0)),OR(ISBLANK(K157),AND(ISNUMBER(K157),K157&gt;=0))),60*IF(ISBLANK(J157),0,J157)+IF(ISBLANK(K157),0,K157),"")))</f>
        <v/>
      </c>
      <c r="W157" s="97" t="str">
        <f aca="false">IF(ISBLANK($C157),"",IF(L157=Constants!$B$19,Constants!$B$19,Constants!$B$18))</f>
        <v/>
      </c>
      <c r="X157" s="97" t="str">
        <f aca="false">IF(ISBLANK($C157),"",IF(COUNTA(M157:N157)=0,"",IF(AND(OR(ISBLANK(M157),AND(ISNUMBER(M157),M157&gt;=0)),OR(ISBLANK(N157),AND(ISNUMBER(N157),N157&gt;=0))),60*IF(ISBLANK(M157),0,M157)+IF(ISBLANK(N157),0,N157),"")))</f>
        <v/>
      </c>
      <c r="Y157" s="97" t="str">
        <f aca="false">IF(ISBLANK($C157),"",IF(O157=Constants!$B$2, TRUE(), IF(O157=Constants!$B$3, FALSE(), FALSE())))</f>
        <v/>
      </c>
      <c r="Z157" s="97" t="str">
        <f aca="false">IF(ISBLANK($C157),"",IF(Y157,Constants!$B$4,IF(COUNTA(E157:N157)=0,Constants!$B$5,IF(COUNTA(J157:K157,M157:N157)=0,Constants!$B$6,Constants!$B$7))))</f>
        <v/>
      </c>
      <c r="AA157" s="97" t="str">
        <f aca="false">IF(ISBLANK($C157),"",IF($Z157&lt;&gt;Constants!$B$7,$Z157,IF(OR(NOT(T157),AND(NOT(Q157),COUNTIFS(U157:W157,Constants!$B$18,V157:X157,"&gt;=0")&gt;0),AND(NOT(R157),COUNTIFS(U157:W157,Constants!$B$19,V157:X157,"&gt;=0")&gt;0)),Constants!$B$12,Constants!$B$11)))</f>
        <v/>
      </c>
      <c r="AB157" s="97" t="str">
        <f aca="false">IF($Z157=Constants!$B$7,IF(V157="",Constants!$B$13,V157),"")</f>
        <v/>
      </c>
      <c r="AC157" s="97" t="str">
        <f aca="false">IF($Z157=Constants!$B$7,IF(X157="",Constants!$B$13,X157),"")</f>
        <v/>
      </c>
      <c r="AD157" s="97" t="str">
        <f aca="false">IF($Z157=Constants!$B$7,IF($AB157&gt;=$AC157,1,2),"")</f>
        <v/>
      </c>
      <c r="AE157" s="97" t="str">
        <f aca="false">IF($Z157=Constants!$B$7,LARGE(AB157:AC157,1),"")</f>
        <v/>
      </c>
      <c r="AF157" s="97" t="str">
        <f aca="false">IF(ISBLANK($C157),"",IF($Z157&lt;&gt;Constants!$B$7,$Z157,AE157*S157))</f>
        <v/>
      </c>
      <c r="AG157" s="97" t="str">
        <f aca="false">IF(ISBLANK($C157),"",IF($Z157=Constants!$B$7,IF(ISNUMBER(AF157),RANK(AF157,$AF$8:$AF$507),Constants!$B$14),$Z157))</f>
        <v/>
      </c>
      <c r="AH157" s="97" t="str">
        <f aca="false">IF(ISBLANK($C157),"",IF($Z157=Constants!$B$7,IF(ISNUMBER(AG157),COUNTIFS($AA$8:$AA$507,"&lt;"&amp;$AA157)+COUNTIFS($AA$8:$AA$507,$AA157,$AG$8:$AG$507,"&lt;"&amp;$AG157)+1,Constants!$B$14),$Z157))</f>
        <v/>
      </c>
      <c r="AI157" s="97" t="str">
        <f aca="false">IF(ISBLANK($C157),"",IF($Z157=Constants!$B$7,LARGE(AB157:AC157,2)*S157,""))</f>
        <v/>
      </c>
      <c r="AJ157" s="97" t="str">
        <f aca="false">IF(ISBLANK($C157),"",IF($Z157=Constants!$B$7,RANK(AI157,$AI$8:$AI$507),$Z157))</f>
        <v/>
      </c>
      <c r="AK157" s="97" t="str">
        <f aca="false">IF(ISBLANK($C157),"",IF($Z157=Constants!$B$7,IF(ISNUMBER(AG157),COUNTIFS($AA$8:$AA$507,"&lt;"&amp;$AA157)+COUNTIFS($AA$8:$AA$507,$AA157,$AG$8:$AG$507,"&lt;"&amp;$AG157)+COUNTIFS($AA$8:$AA$507,$AA157,$AG$8:$AG$507,$AG157,$AJ$8:$AJ$507,"&lt;"&amp;$AJ157)+1,Constants!$B$14),$Z157))</f>
        <v/>
      </c>
      <c r="AL157" s="97" t="str">
        <f aca="false">IF(ISBLANK($C157),"",IF($Z157=Constants!$B$7,IF(ISNUMBER(AH157),AH157-AK157,Constants!$B$14),$Z157))</f>
        <v/>
      </c>
      <c r="AM157" s="98"/>
      <c r="AN157" s="99" t="str">
        <f aca="false">IF(ISBLANK($C157),"",IF($Z157&lt;&gt;Constants!$B$7,$Z157,AD157))</f>
        <v/>
      </c>
      <c r="AO157" s="100" t="str">
        <f aca="false">IF(ISBLANK($C157),"",IF($Z157&lt;&gt;Constants!$B$7,$Z157,S157))</f>
        <v/>
      </c>
      <c r="AP157" s="101" t="str">
        <f aca="false">IF(ISBLANK($C157),"",IF($Z157&lt;&gt;Constants!$B$7,$Z157,AF157))</f>
        <v/>
      </c>
      <c r="AQ157" s="102" t="str">
        <f aca="false">IF(ISBLANK($C157),"",IF($Z157&lt;&gt;Constants!$B$7,$Z157,AA157))</f>
        <v/>
      </c>
      <c r="AR157" s="100" t="str">
        <f aca="false">IF(ISBLANK($C157),"",AL157)</f>
        <v/>
      </c>
      <c r="AS157" s="100" t="str">
        <f aca="false">IF(ISBLANK($C157),"",AK157)</f>
        <v/>
      </c>
      <c r="AT157" s="103" t="str">
        <f aca="false">IF(ISBLANK($C157),"",IF(AS157=Constants!$B$4,COUNTA($C$8:$C$507)+2,IF(AS157=Constants!$B$5,COUNTA($C$8:$C$507)+1,IF(AS157=Constants!$B$6,COUNTA($C$8:$C$507),AS157))))</f>
        <v/>
      </c>
      <c r="AU157" s="5"/>
      <c r="AV157" s="104" t="n">
        <f aca="false">IF(OR(ISNUMBER(AS157),AS157=Constants!$B$4,AS157=Constants!$B$6,AS157=Constants!$B$5),1,0)</f>
        <v>0</v>
      </c>
      <c r="AW157" s="104" t="n">
        <v>150</v>
      </c>
      <c r="AX157" s="104" t="str">
        <f aca="false">IF(ISBLANK($C157),"",IF(ISNUMBER(AT157),AT157+ROW($B157)/1000,""))</f>
        <v/>
      </c>
      <c r="AY157" s="104" t="str">
        <f aca="false">IF(ISNUMBER(AX157),RANK(AX157,$AX$8:$AX$507,1),"")</f>
        <v/>
      </c>
      <c r="AZ157" s="104" t="str">
        <f aca="false">IF(ISBLANK($C157),"",$B157)</f>
        <v/>
      </c>
      <c r="BA157" s="104" t="str">
        <f aca="false">IF(ISBLANK($C157),"",$C157)</f>
        <v/>
      </c>
      <c r="BB157" s="104" t="str">
        <f aca="false">IF(ISBLANK($C157),"",$D157)</f>
        <v/>
      </c>
      <c r="BC157" s="105" t="str">
        <f aca="false">AQ157</f>
        <v/>
      </c>
      <c r="BD157" s="106" t="str">
        <f aca="false">AP157</f>
        <v/>
      </c>
      <c r="BE157" s="104" t="str">
        <f aca="false">IF(ISBLANK($C157),"",AS157)</f>
        <v/>
      </c>
      <c r="BF157" s="107" t="str">
        <f aca="false">IF($AW157&gt;$AV$7,"",VLOOKUP($AW157,$AY$8:$BE$507,7,FALSE()))</f>
        <v/>
      </c>
      <c r="BG157" s="108" t="str">
        <f aca="false">IF($AW157&gt;$AV$7,"",VLOOKUP($AW157,$AY$8:$BE$507,2,FALSE()))</f>
        <v/>
      </c>
      <c r="BH157" s="108" t="str">
        <f aca="false">IF($AW157&gt;$AV$7,"",VLOOKUP($AW157,$AY$8:$BE$507,3,FALSE()))</f>
        <v/>
      </c>
      <c r="BI157" s="108" t="str">
        <f aca="false">IF($AW157&gt;$AV$7,"",VLOOKUP($AW157,$AY$8:$BE$507,4,FALSE()))</f>
        <v/>
      </c>
      <c r="BJ157" s="108" t="str">
        <f aca="false">IF($AW157&gt;$AV$7,"",VLOOKUP($AW157,$AY$8:$BE$507,5,FALSE()))</f>
        <v/>
      </c>
      <c r="BK157" s="109" t="str">
        <f aca="false">IF($AW157&gt;$AV$7,"",VLOOKUP($AW157,$AY$8:$BE$507,6,FALSE()))</f>
        <v/>
      </c>
      <c r="BL157" s="50"/>
    </row>
    <row r="158" customFormat="false" ht="15.75" hidden="false" customHeight="false" outlineLevel="0" collapsed="false">
      <c r="A158" s="5"/>
      <c r="B158" s="131"/>
      <c r="C158" s="52"/>
      <c r="D158" s="53"/>
      <c r="E158" s="80"/>
      <c r="F158" s="132"/>
      <c r="G158" s="56"/>
      <c r="H158" s="133"/>
      <c r="I158" s="134"/>
      <c r="J158" s="59"/>
      <c r="K158" s="60"/>
      <c r="L158" s="134"/>
      <c r="M158" s="61"/>
      <c r="N158" s="62"/>
      <c r="O158" s="80"/>
      <c r="P158" s="64"/>
      <c r="Q158" s="65" t="str">
        <f aca="false">IF(ISBLANK($C158),"",IF(E158=Constants!$B$2, TRUE(), IF(E158=Constants!$B$3, FALSE(), TRUE())))</f>
        <v/>
      </c>
      <c r="R158" s="65" t="str">
        <f aca="false">IF(ISBLANK($C158),"",IF(F158=Constants!$B$2, TRUE(), IF(F158=Constants!$B$3, FALSE(), TRUE())))</f>
        <v/>
      </c>
      <c r="S158" s="65" t="str">
        <f aca="false">IF(ISBLANK($C158),"",IF(G158=Constants!$B$15,Constants!$B$8,IF(G158=Constants!$B$16,Constants!$B$9,Constants!$B$10)))</f>
        <v/>
      </c>
      <c r="T158" s="65" t="str">
        <f aca="false">IF(ISBLANK($C158),"",IF(H158=Constants!$B$2, TRUE(), IF(H158=Constants!$B$3, FALSE(), TRUE())))</f>
        <v/>
      </c>
      <c r="U158" s="65" t="str">
        <f aca="false">IF(ISBLANK($C158),"",IF(I158=Constants!$B$19,Constants!$B$19,Constants!$B$18))</f>
        <v/>
      </c>
      <c r="V158" s="65" t="str">
        <f aca="false">IF(ISBLANK($C158),"",IF(COUNTA(J158:K158)=0,"",IF(AND(OR(ISBLANK(J158),AND(ISNUMBER(J158),J158&gt;=0)),OR(ISBLANK(K158),AND(ISNUMBER(K158),K158&gt;=0))),60*IF(ISBLANK(J158),0,J158)+IF(ISBLANK(K158),0,K158),"")))</f>
        <v/>
      </c>
      <c r="W158" s="65" t="str">
        <f aca="false">IF(ISBLANK($C158),"",IF(L158=Constants!$B$19,Constants!$B$19,Constants!$B$18))</f>
        <v/>
      </c>
      <c r="X158" s="65" t="str">
        <f aca="false">IF(ISBLANK($C158),"",IF(COUNTA(M158:N158)=0,"",IF(AND(OR(ISBLANK(M158),AND(ISNUMBER(M158),M158&gt;=0)),OR(ISBLANK(N158),AND(ISNUMBER(N158),N158&gt;=0))),60*IF(ISBLANK(M158),0,M158)+IF(ISBLANK(N158),0,N158),"")))</f>
        <v/>
      </c>
      <c r="Y158" s="65" t="str">
        <f aca="false">IF(ISBLANK($C158),"",IF(O158=Constants!$B$2, TRUE(), IF(O158=Constants!$B$3, FALSE(), FALSE())))</f>
        <v/>
      </c>
      <c r="Z158" s="65" t="str">
        <f aca="false">IF(ISBLANK($C158),"",IF(Y158,Constants!$B$4,IF(COUNTA(E158:N158)=0,Constants!$B$5,IF(COUNTA(J158:K158,M158:N158)=0,Constants!$B$6,Constants!$B$7))))</f>
        <v/>
      </c>
      <c r="AA158" s="65" t="str">
        <f aca="false">IF(ISBLANK($C158),"",IF($Z158&lt;&gt;Constants!$B$7,$Z158,IF(OR(NOT(T158),AND(NOT(Q158),COUNTIFS(U158:W158,Constants!$B$18,V158:X158,"&gt;=0")&gt;0),AND(NOT(R158),COUNTIFS(U158:W158,Constants!$B$19,V158:X158,"&gt;=0")&gt;0)),Constants!$B$12,Constants!$B$11)))</f>
        <v/>
      </c>
      <c r="AB158" s="65" t="str">
        <f aca="false">IF($Z158=Constants!$B$7,IF(V158="",Constants!$B$13,V158),"")</f>
        <v/>
      </c>
      <c r="AC158" s="65" t="str">
        <f aca="false">IF($Z158=Constants!$B$7,IF(X158="",Constants!$B$13,X158),"")</f>
        <v/>
      </c>
      <c r="AD158" s="65" t="str">
        <f aca="false">IF($Z158=Constants!$B$7,IF($AB158&gt;=$AC158,1,2),"")</f>
        <v/>
      </c>
      <c r="AE158" s="65" t="str">
        <f aca="false">IF($Z158=Constants!$B$7,LARGE(AB158:AC158,1),"")</f>
        <v/>
      </c>
      <c r="AF158" s="65" t="str">
        <f aca="false">IF(ISBLANK($C158),"",IF($Z158&lt;&gt;Constants!$B$7,$Z158,AE158*S158))</f>
        <v/>
      </c>
      <c r="AG158" s="65" t="str">
        <f aca="false">IF(ISBLANK($C158),"",IF($Z158=Constants!$B$7,IF(ISNUMBER(AF158),RANK(AF158,$AF$8:$AF$507),Constants!$B$14),$Z158))</f>
        <v/>
      </c>
      <c r="AH158" s="65" t="str">
        <f aca="false">IF(ISBLANK($C158),"",IF($Z158=Constants!$B$7,IF(ISNUMBER(AG158),COUNTIFS($AA$8:$AA$507,"&lt;"&amp;$AA158)+COUNTIFS($AA$8:$AA$507,$AA158,$AG$8:$AG$507,"&lt;"&amp;$AG158)+1,Constants!$B$14),$Z158))</f>
        <v/>
      </c>
      <c r="AI158" s="65" t="str">
        <f aca="false">IF(ISBLANK($C158),"",IF($Z158=Constants!$B$7,LARGE(AB158:AC158,2)*S158,""))</f>
        <v/>
      </c>
      <c r="AJ158" s="65" t="str">
        <f aca="false">IF(ISBLANK($C158),"",IF($Z158=Constants!$B$7,RANK(AI158,$AI$8:$AI$507),$Z158))</f>
        <v/>
      </c>
      <c r="AK158" s="65" t="str">
        <f aca="false">IF(ISBLANK($C158),"",IF($Z158=Constants!$B$7,IF(ISNUMBER(AG158),COUNTIFS($AA$8:$AA$507,"&lt;"&amp;$AA158)+COUNTIFS($AA$8:$AA$507,$AA158,$AG$8:$AG$507,"&lt;"&amp;$AG158)+COUNTIFS($AA$8:$AA$507,$AA158,$AG$8:$AG$507,$AG158,$AJ$8:$AJ$507,"&lt;"&amp;$AJ158)+1,Constants!$B$14),$Z158))</f>
        <v/>
      </c>
      <c r="AL158" s="65" t="str">
        <f aca="false">IF(ISBLANK($C158),"",IF($Z158=Constants!$B$7,IF(ISNUMBER(AH158),AH158-AK158,Constants!$B$14),$Z158))</f>
        <v/>
      </c>
      <c r="AM158" s="67"/>
      <c r="AN158" s="68" t="str">
        <f aca="false">IF(ISBLANK($C158),"",IF($Z158&lt;&gt;Constants!$B$7,$Z158,AD158))</f>
        <v/>
      </c>
      <c r="AO158" s="69" t="str">
        <f aca="false">IF(ISBLANK($C158),"",IF($Z158&lt;&gt;Constants!$B$7,$Z158,S158))</f>
        <v/>
      </c>
      <c r="AP158" s="70" t="str">
        <f aca="false">IF(ISBLANK($C158),"",IF($Z158&lt;&gt;Constants!$B$7,$Z158,AF158))</f>
        <v/>
      </c>
      <c r="AQ158" s="71" t="str">
        <f aca="false">IF(ISBLANK($C158),"",IF($Z158&lt;&gt;Constants!$B$7,$Z158,AA158))</f>
        <v/>
      </c>
      <c r="AR158" s="69" t="str">
        <f aca="false">IF(ISBLANK($C158),"",AL158)</f>
        <v/>
      </c>
      <c r="AS158" s="69" t="str">
        <f aca="false">IF(ISBLANK($C158),"",AK158)</f>
        <v/>
      </c>
      <c r="AT158" s="72" t="str">
        <f aca="false">IF(ISBLANK($C158),"",IF(AS158=Constants!$B$4,COUNTA($C$8:$C$507)+2,IF(AS158=Constants!$B$5,COUNTA($C$8:$C$507)+1,IF(AS158=Constants!$B$6,COUNTA($C$8:$C$507),AS158))))</f>
        <v/>
      </c>
      <c r="AU158" s="5"/>
      <c r="AV158" s="73" t="n">
        <f aca="false">IF(OR(ISNUMBER(AS158),AS158=Constants!$B$4,AS158=Constants!$B$6,AS158=Constants!$B$5),1,0)</f>
        <v>0</v>
      </c>
      <c r="AW158" s="73" t="n">
        <v>151</v>
      </c>
      <c r="AX158" s="73" t="str">
        <f aca="false">IF(ISBLANK($C158),"",IF(ISNUMBER(AT158),AT158+ROW($B158)/1000,""))</f>
        <v/>
      </c>
      <c r="AY158" s="73" t="str">
        <f aca="false">IF(ISNUMBER(AX158),RANK(AX158,$AX$8:$AX$507,1),"")</f>
        <v/>
      </c>
      <c r="AZ158" s="73" t="str">
        <f aca="false">IF(ISBLANK($C158),"",$B158)</f>
        <v/>
      </c>
      <c r="BA158" s="73" t="str">
        <f aca="false">IF(ISBLANK($C158),"",$C158)</f>
        <v/>
      </c>
      <c r="BB158" s="73" t="str">
        <f aca="false">IF(ISBLANK($C158),"",$D158)</f>
        <v/>
      </c>
      <c r="BC158" s="74" t="str">
        <f aca="false">AQ158</f>
        <v/>
      </c>
      <c r="BD158" s="75" t="str">
        <f aca="false">AP158</f>
        <v/>
      </c>
      <c r="BE158" s="73" t="str">
        <f aca="false">IF(ISBLANK($C158),"",AS158)</f>
        <v/>
      </c>
      <c r="BF158" s="76" t="str">
        <f aca="false">IF($AW158&gt;$AV$7,"",VLOOKUP($AW158,$AY$8:$BE$507,7,FALSE()))</f>
        <v/>
      </c>
      <c r="BG158" s="77" t="str">
        <f aca="false">IF($AW158&gt;$AV$7,"",VLOOKUP($AW158,$AY$8:$BE$507,2,FALSE()))</f>
        <v/>
      </c>
      <c r="BH158" s="77" t="str">
        <f aca="false">IF($AW158&gt;$AV$7,"",VLOOKUP($AW158,$AY$8:$BE$507,3,FALSE()))</f>
        <v/>
      </c>
      <c r="BI158" s="77" t="str">
        <f aca="false">IF($AW158&gt;$AV$7,"",VLOOKUP($AW158,$AY$8:$BE$507,4,FALSE()))</f>
        <v/>
      </c>
      <c r="BJ158" s="77" t="str">
        <f aca="false">IF($AW158&gt;$AV$7,"",VLOOKUP($AW158,$AY$8:$BE$507,5,FALSE()))</f>
        <v/>
      </c>
      <c r="BK158" s="78" t="str">
        <f aca="false">IF($AW158&gt;$AV$7,"",VLOOKUP($AW158,$AY$8:$BE$507,6,FALSE()))</f>
        <v/>
      </c>
      <c r="BL158" s="50"/>
    </row>
    <row r="159" customFormat="false" ht="15.75" hidden="false" customHeight="false" outlineLevel="0" collapsed="false">
      <c r="A159" s="5"/>
      <c r="B159" s="131"/>
      <c r="C159" s="52"/>
      <c r="D159" s="53"/>
      <c r="E159" s="80"/>
      <c r="F159" s="132"/>
      <c r="G159" s="56"/>
      <c r="H159" s="133"/>
      <c r="I159" s="134"/>
      <c r="J159" s="59"/>
      <c r="K159" s="60"/>
      <c r="L159" s="134"/>
      <c r="M159" s="61"/>
      <c r="N159" s="62"/>
      <c r="O159" s="80"/>
      <c r="P159" s="64"/>
      <c r="Q159" s="65" t="str">
        <f aca="false">IF(ISBLANK($C159),"",IF(E159=Constants!$B$2, TRUE(), IF(E159=Constants!$B$3, FALSE(), TRUE())))</f>
        <v/>
      </c>
      <c r="R159" s="65" t="str">
        <f aca="false">IF(ISBLANK($C159),"",IF(F159=Constants!$B$2, TRUE(), IF(F159=Constants!$B$3, FALSE(), TRUE())))</f>
        <v/>
      </c>
      <c r="S159" s="65" t="str">
        <f aca="false">IF(ISBLANK($C159),"",IF(G159=Constants!$B$15,Constants!$B$8,IF(G159=Constants!$B$16,Constants!$B$9,Constants!$B$10)))</f>
        <v/>
      </c>
      <c r="T159" s="65" t="str">
        <f aca="false">IF(ISBLANK($C159),"",IF(H159=Constants!$B$2, TRUE(), IF(H159=Constants!$B$3, FALSE(), TRUE())))</f>
        <v/>
      </c>
      <c r="U159" s="65" t="str">
        <f aca="false">IF(ISBLANK($C159),"",IF(I159=Constants!$B$19,Constants!$B$19,Constants!$B$18))</f>
        <v/>
      </c>
      <c r="V159" s="65" t="str">
        <f aca="false">IF(ISBLANK($C159),"",IF(COUNTA(J159:K159)=0,"",IF(AND(OR(ISBLANK(J159),AND(ISNUMBER(J159),J159&gt;=0)),OR(ISBLANK(K159),AND(ISNUMBER(K159),K159&gt;=0))),60*IF(ISBLANK(J159),0,J159)+IF(ISBLANK(K159),0,K159),"")))</f>
        <v/>
      </c>
      <c r="W159" s="65" t="str">
        <f aca="false">IF(ISBLANK($C159),"",IF(L159=Constants!$B$19,Constants!$B$19,Constants!$B$18))</f>
        <v/>
      </c>
      <c r="X159" s="65" t="str">
        <f aca="false">IF(ISBLANK($C159),"",IF(COUNTA(M159:N159)=0,"",IF(AND(OR(ISBLANK(M159),AND(ISNUMBER(M159),M159&gt;=0)),OR(ISBLANK(N159),AND(ISNUMBER(N159),N159&gt;=0))),60*IF(ISBLANK(M159),0,M159)+IF(ISBLANK(N159),0,N159),"")))</f>
        <v/>
      </c>
      <c r="Y159" s="65" t="str">
        <f aca="false">IF(ISBLANK($C159),"",IF(O159=Constants!$B$2, TRUE(), IF(O159=Constants!$B$3, FALSE(), FALSE())))</f>
        <v/>
      </c>
      <c r="Z159" s="65" t="str">
        <f aca="false">IF(ISBLANK($C159),"",IF(Y159,Constants!$B$4,IF(COUNTA(E159:N159)=0,Constants!$B$5,IF(COUNTA(J159:K159,M159:N159)=0,Constants!$B$6,Constants!$B$7))))</f>
        <v/>
      </c>
      <c r="AA159" s="65" t="str">
        <f aca="false">IF(ISBLANK($C159),"",IF($Z159&lt;&gt;Constants!$B$7,$Z159,IF(OR(NOT(T159),AND(NOT(Q159),COUNTIFS(U159:W159,Constants!$B$18,V159:X159,"&gt;=0")&gt;0),AND(NOT(R159),COUNTIFS(U159:W159,Constants!$B$19,V159:X159,"&gt;=0")&gt;0)),Constants!$B$12,Constants!$B$11)))</f>
        <v/>
      </c>
      <c r="AB159" s="65" t="str">
        <f aca="false">IF($Z159=Constants!$B$7,IF(V159="",Constants!$B$13,V159),"")</f>
        <v/>
      </c>
      <c r="AC159" s="65" t="str">
        <f aca="false">IF($Z159=Constants!$B$7,IF(X159="",Constants!$B$13,X159),"")</f>
        <v/>
      </c>
      <c r="AD159" s="65" t="str">
        <f aca="false">IF($Z159=Constants!$B$7,IF($AB159&gt;=$AC159,1,2),"")</f>
        <v/>
      </c>
      <c r="AE159" s="65" t="str">
        <f aca="false">IF($Z159=Constants!$B$7,LARGE(AB159:AC159,1),"")</f>
        <v/>
      </c>
      <c r="AF159" s="65" t="str">
        <f aca="false">IF(ISBLANK($C159),"",IF($Z159&lt;&gt;Constants!$B$7,$Z159,AE159*S159))</f>
        <v/>
      </c>
      <c r="AG159" s="65" t="str">
        <f aca="false">IF(ISBLANK($C159),"",IF($Z159=Constants!$B$7,IF(ISNUMBER(AF159),RANK(AF159,$AF$8:$AF$507),Constants!$B$14),$Z159))</f>
        <v/>
      </c>
      <c r="AH159" s="65" t="str">
        <f aca="false">IF(ISBLANK($C159),"",IF($Z159=Constants!$B$7,IF(ISNUMBER(AG159),COUNTIFS($AA$8:$AA$507,"&lt;"&amp;$AA159)+COUNTIFS($AA$8:$AA$507,$AA159,$AG$8:$AG$507,"&lt;"&amp;$AG159)+1,Constants!$B$14),$Z159))</f>
        <v/>
      </c>
      <c r="AI159" s="65" t="str">
        <f aca="false">IF(ISBLANK($C159),"",IF($Z159=Constants!$B$7,LARGE(AB159:AC159,2)*S159,""))</f>
        <v/>
      </c>
      <c r="AJ159" s="65" t="str">
        <f aca="false">IF(ISBLANK($C159),"",IF($Z159=Constants!$B$7,RANK(AI159,$AI$8:$AI$507),$Z159))</f>
        <v/>
      </c>
      <c r="AK159" s="65" t="str">
        <f aca="false">IF(ISBLANK($C159),"",IF($Z159=Constants!$B$7,IF(ISNUMBER(AG159),COUNTIFS($AA$8:$AA$507,"&lt;"&amp;$AA159)+COUNTIFS($AA$8:$AA$507,$AA159,$AG$8:$AG$507,"&lt;"&amp;$AG159)+COUNTIFS($AA$8:$AA$507,$AA159,$AG$8:$AG$507,$AG159,$AJ$8:$AJ$507,"&lt;"&amp;$AJ159)+1,Constants!$B$14),$Z159))</f>
        <v/>
      </c>
      <c r="AL159" s="65" t="str">
        <f aca="false">IF(ISBLANK($C159),"",IF($Z159=Constants!$B$7,IF(ISNUMBER(AH159),AH159-AK159,Constants!$B$14),$Z159))</f>
        <v/>
      </c>
      <c r="AM159" s="67"/>
      <c r="AN159" s="68" t="str">
        <f aca="false">IF(ISBLANK($C159),"",IF($Z159&lt;&gt;Constants!$B$7,$Z159,AD159))</f>
        <v/>
      </c>
      <c r="AO159" s="69" t="str">
        <f aca="false">IF(ISBLANK($C159),"",IF($Z159&lt;&gt;Constants!$B$7,$Z159,S159))</f>
        <v/>
      </c>
      <c r="AP159" s="70" t="str">
        <f aca="false">IF(ISBLANK($C159),"",IF($Z159&lt;&gt;Constants!$B$7,$Z159,AF159))</f>
        <v/>
      </c>
      <c r="AQ159" s="71" t="str">
        <f aca="false">IF(ISBLANK($C159),"",IF($Z159&lt;&gt;Constants!$B$7,$Z159,AA159))</f>
        <v/>
      </c>
      <c r="AR159" s="69" t="str">
        <f aca="false">IF(ISBLANK($C159),"",AL159)</f>
        <v/>
      </c>
      <c r="AS159" s="69" t="str">
        <f aca="false">IF(ISBLANK($C159),"",AK159)</f>
        <v/>
      </c>
      <c r="AT159" s="72" t="str">
        <f aca="false">IF(ISBLANK($C159),"",IF(AS159=Constants!$B$4,COUNTA($C$8:$C$507)+2,IF(AS159=Constants!$B$5,COUNTA($C$8:$C$507)+1,IF(AS159=Constants!$B$6,COUNTA($C$8:$C$507),AS159))))</f>
        <v/>
      </c>
      <c r="AU159" s="5"/>
      <c r="AV159" s="73" t="n">
        <f aca="false">IF(OR(ISNUMBER(AS159),AS159=Constants!$B$4,AS159=Constants!$B$6,AS159=Constants!$B$5),1,0)</f>
        <v>0</v>
      </c>
      <c r="AW159" s="73" t="n">
        <v>152</v>
      </c>
      <c r="AX159" s="73" t="str">
        <f aca="false">IF(ISBLANK($C159),"",IF(ISNUMBER(AT159),AT159+ROW($B159)/1000,""))</f>
        <v/>
      </c>
      <c r="AY159" s="73" t="str">
        <f aca="false">IF(ISNUMBER(AX159),RANK(AX159,$AX$8:$AX$507,1),"")</f>
        <v/>
      </c>
      <c r="AZ159" s="73" t="str">
        <f aca="false">IF(ISBLANK($C159),"",$B159)</f>
        <v/>
      </c>
      <c r="BA159" s="73" t="str">
        <f aca="false">IF(ISBLANK($C159),"",$C159)</f>
        <v/>
      </c>
      <c r="BB159" s="73" t="str">
        <f aca="false">IF(ISBLANK($C159),"",$D159)</f>
        <v/>
      </c>
      <c r="BC159" s="74" t="str">
        <f aca="false">AQ159</f>
        <v/>
      </c>
      <c r="BD159" s="75" t="str">
        <f aca="false">AP159</f>
        <v/>
      </c>
      <c r="BE159" s="73" t="str">
        <f aca="false">IF(ISBLANK($C159),"",AS159)</f>
        <v/>
      </c>
      <c r="BF159" s="76" t="str">
        <f aca="false">IF($AW159&gt;$AV$7,"",VLOOKUP($AW159,$AY$8:$BE$507,7,FALSE()))</f>
        <v/>
      </c>
      <c r="BG159" s="77" t="str">
        <f aca="false">IF($AW159&gt;$AV$7,"",VLOOKUP($AW159,$AY$8:$BE$507,2,FALSE()))</f>
        <v/>
      </c>
      <c r="BH159" s="77" t="str">
        <f aca="false">IF($AW159&gt;$AV$7,"",VLOOKUP($AW159,$AY$8:$BE$507,3,FALSE()))</f>
        <v/>
      </c>
      <c r="BI159" s="77" t="str">
        <f aca="false">IF($AW159&gt;$AV$7,"",VLOOKUP($AW159,$AY$8:$BE$507,4,FALSE()))</f>
        <v/>
      </c>
      <c r="BJ159" s="77" t="str">
        <f aca="false">IF($AW159&gt;$AV$7,"",VLOOKUP($AW159,$AY$8:$BE$507,5,FALSE()))</f>
        <v/>
      </c>
      <c r="BK159" s="78" t="str">
        <f aca="false">IF($AW159&gt;$AV$7,"",VLOOKUP($AW159,$AY$8:$BE$507,6,FALSE()))</f>
        <v/>
      </c>
      <c r="BL159" s="50"/>
    </row>
    <row r="160" customFormat="false" ht="15.75" hidden="false" customHeight="false" outlineLevel="0" collapsed="false">
      <c r="A160" s="5"/>
      <c r="B160" s="131"/>
      <c r="C160" s="52"/>
      <c r="D160" s="53"/>
      <c r="E160" s="80"/>
      <c r="F160" s="132"/>
      <c r="G160" s="56"/>
      <c r="H160" s="133"/>
      <c r="I160" s="134"/>
      <c r="J160" s="59"/>
      <c r="K160" s="60"/>
      <c r="L160" s="134"/>
      <c r="M160" s="61"/>
      <c r="N160" s="62"/>
      <c r="O160" s="80"/>
      <c r="P160" s="64"/>
      <c r="Q160" s="65" t="str">
        <f aca="false">IF(ISBLANK($C160),"",IF(E160=Constants!$B$2, TRUE(), IF(E160=Constants!$B$3, FALSE(), TRUE())))</f>
        <v/>
      </c>
      <c r="R160" s="65" t="str">
        <f aca="false">IF(ISBLANK($C160),"",IF(F160=Constants!$B$2, TRUE(), IF(F160=Constants!$B$3, FALSE(), TRUE())))</f>
        <v/>
      </c>
      <c r="S160" s="65" t="str">
        <f aca="false">IF(ISBLANK($C160),"",IF(G160=Constants!$B$15,Constants!$B$8,IF(G160=Constants!$B$16,Constants!$B$9,Constants!$B$10)))</f>
        <v/>
      </c>
      <c r="T160" s="65" t="str">
        <f aca="false">IF(ISBLANK($C160),"",IF(H160=Constants!$B$2, TRUE(), IF(H160=Constants!$B$3, FALSE(), TRUE())))</f>
        <v/>
      </c>
      <c r="U160" s="65" t="str">
        <f aca="false">IF(ISBLANK($C160),"",IF(I160=Constants!$B$19,Constants!$B$19,Constants!$B$18))</f>
        <v/>
      </c>
      <c r="V160" s="65" t="str">
        <f aca="false">IF(ISBLANK($C160),"",IF(COUNTA(J160:K160)=0,"",IF(AND(OR(ISBLANK(J160),AND(ISNUMBER(J160),J160&gt;=0)),OR(ISBLANK(K160),AND(ISNUMBER(K160),K160&gt;=0))),60*IF(ISBLANK(J160),0,J160)+IF(ISBLANK(K160),0,K160),"")))</f>
        <v/>
      </c>
      <c r="W160" s="65" t="str">
        <f aca="false">IF(ISBLANK($C160),"",IF(L160=Constants!$B$19,Constants!$B$19,Constants!$B$18))</f>
        <v/>
      </c>
      <c r="X160" s="65" t="str">
        <f aca="false">IF(ISBLANK($C160),"",IF(COUNTA(M160:N160)=0,"",IF(AND(OR(ISBLANK(M160),AND(ISNUMBER(M160),M160&gt;=0)),OR(ISBLANK(N160),AND(ISNUMBER(N160),N160&gt;=0))),60*IF(ISBLANK(M160),0,M160)+IF(ISBLANK(N160),0,N160),"")))</f>
        <v/>
      </c>
      <c r="Y160" s="65" t="str">
        <f aca="false">IF(ISBLANK($C160),"",IF(O160=Constants!$B$2, TRUE(), IF(O160=Constants!$B$3, FALSE(), FALSE())))</f>
        <v/>
      </c>
      <c r="Z160" s="65" t="str">
        <f aca="false">IF(ISBLANK($C160),"",IF(Y160,Constants!$B$4,IF(COUNTA(E160:N160)=0,Constants!$B$5,IF(COUNTA(J160:K160,M160:N160)=0,Constants!$B$6,Constants!$B$7))))</f>
        <v/>
      </c>
      <c r="AA160" s="65" t="str">
        <f aca="false">IF(ISBLANK($C160),"",IF($Z160&lt;&gt;Constants!$B$7,$Z160,IF(OR(NOT(T160),AND(NOT(Q160),COUNTIFS(U160:W160,Constants!$B$18,V160:X160,"&gt;=0")&gt;0),AND(NOT(R160),COUNTIFS(U160:W160,Constants!$B$19,V160:X160,"&gt;=0")&gt;0)),Constants!$B$12,Constants!$B$11)))</f>
        <v/>
      </c>
      <c r="AB160" s="65" t="str">
        <f aca="false">IF($Z160=Constants!$B$7,IF(V160="",Constants!$B$13,V160),"")</f>
        <v/>
      </c>
      <c r="AC160" s="65" t="str">
        <f aca="false">IF($Z160=Constants!$B$7,IF(X160="",Constants!$B$13,X160),"")</f>
        <v/>
      </c>
      <c r="AD160" s="65" t="str">
        <f aca="false">IF($Z160=Constants!$B$7,IF($AB160&gt;=$AC160,1,2),"")</f>
        <v/>
      </c>
      <c r="AE160" s="65" t="str">
        <f aca="false">IF($Z160=Constants!$B$7,LARGE(AB160:AC160,1),"")</f>
        <v/>
      </c>
      <c r="AF160" s="65" t="str">
        <f aca="false">IF(ISBLANK($C160),"",IF($Z160&lt;&gt;Constants!$B$7,$Z160,AE160*S160))</f>
        <v/>
      </c>
      <c r="AG160" s="65" t="str">
        <f aca="false">IF(ISBLANK($C160),"",IF($Z160=Constants!$B$7,IF(ISNUMBER(AF160),RANK(AF160,$AF$8:$AF$507),Constants!$B$14),$Z160))</f>
        <v/>
      </c>
      <c r="AH160" s="65" t="str">
        <f aca="false">IF(ISBLANK($C160),"",IF($Z160=Constants!$B$7,IF(ISNUMBER(AG160),COUNTIFS($AA$8:$AA$507,"&lt;"&amp;$AA160)+COUNTIFS($AA$8:$AA$507,$AA160,$AG$8:$AG$507,"&lt;"&amp;$AG160)+1,Constants!$B$14),$Z160))</f>
        <v/>
      </c>
      <c r="AI160" s="65" t="str">
        <f aca="false">IF(ISBLANK($C160),"",IF($Z160=Constants!$B$7,LARGE(AB160:AC160,2)*S160,""))</f>
        <v/>
      </c>
      <c r="AJ160" s="65" t="str">
        <f aca="false">IF(ISBLANK($C160),"",IF($Z160=Constants!$B$7,RANK(AI160,$AI$8:$AI$507),$Z160))</f>
        <v/>
      </c>
      <c r="AK160" s="65" t="str">
        <f aca="false">IF(ISBLANK($C160),"",IF($Z160=Constants!$B$7,IF(ISNUMBER(AG160),COUNTIFS($AA$8:$AA$507,"&lt;"&amp;$AA160)+COUNTIFS($AA$8:$AA$507,$AA160,$AG$8:$AG$507,"&lt;"&amp;$AG160)+COUNTIFS($AA$8:$AA$507,$AA160,$AG$8:$AG$507,$AG160,$AJ$8:$AJ$507,"&lt;"&amp;$AJ160)+1,Constants!$B$14),$Z160))</f>
        <v/>
      </c>
      <c r="AL160" s="65" t="str">
        <f aca="false">IF(ISBLANK($C160),"",IF($Z160=Constants!$B$7,IF(ISNUMBER(AH160),AH160-AK160,Constants!$B$14),$Z160))</f>
        <v/>
      </c>
      <c r="AM160" s="67"/>
      <c r="AN160" s="68" t="str">
        <f aca="false">IF(ISBLANK($C160),"",IF($Z160&lt;&gt;Constants!$B$7,$Z160,AD160))</f>
        <v/>
      </c>
      <c r="AO160" s="69" t="str">
        <f aca="false">IF(ISBLANK($C160),"",IF($Z160&lt;&gt;Constants!$B$7,$Z160,S160))</f>
        <v/>
      </c>
      <c r="AP160" s="70" t="str">
        <f aca="false">IF(ISBLANK($C160),"",IF($Z160&lt;&gt;Constants!$B$7,$Z160,AF160))</f>
        <v/>
      </c>
      <c r="AQ160" s="71" t="str">
        <f aca="false">IF(ISBLANK($C160),"",IF($Z160&lt;&gt;Constants!$B$7,$Z160,AA160))</f>
        <v/>
      </c>
      <c r="AR160" s="69" t="str">
        <f aca="false">IF(ISBLANK($C160),"",AL160)</f>
        <v/>
      </c>
      <c r="AS160" s="69" t="str">
        <f aca="false">IF(ISBLANK($C160),"",AK160)</f>
        <v/>
      </c>
      <c r="AT160" s="72" t="str">
        <f aca="false">IF(ISBLANK($C160),"",IF(AS160=Constants!$B$4,COUNTA($C$8:$C$507)+2,IF(AS160=Constants!$B$5,COUNTA($C$8:$C$507)+1,IF(AS160=Constants!$B$6,COUNTA($C$8:$C$507),AS160))))</f>
        <v/>
      </c>
      <c r="AU160" s="5"/>
      <c r="AV160" s="73" t="n">
        <f aca="false">IF(OR(ISNUMBER(AS160),AS160=Constants!$B$4,AS160=Constants!$B$6,AS160=Constants!$B$5),1,0)</f>
        <v>0</v>
      </c>
      <c r="AW160" s="73" t="n">
        <v>153</v>
      </c>
      <c r="AX160" s="73" t="str">
        <f aca="false">IF(ISBLANK($C160),"",IF(ISNUMBER(AT160),AT160+ROW($B160)/1000,""))</f>
        <v/>
      </c>
      <c r="AY160" s="73" t="str">
        <f aca="false">IF(ISNUMBER(AX160),RANK(AX160,$AX$8:$AX$507,1),"")</f>
        <v/>
      </c>
      <c r="AZ160" s="73" t="str">
        <f aca="false">IF(ISBLANK($C160),"",$B160)</f>
        <v/>
      </c>
      <c r="BA160" s="73" t="str">
        <f aca="false">IF(ISBLANK($C160),"",$C160)</f>
        <v/>
      </c>
      <c r="BB160" s="73" t="str">
        <f aca="false">IF(ISBLANK($C160),"",$D160)</f>
        <v/>
      </c>
      <c r="BC160" s="74" t="str">
        <f aca="false">AQ160</f>
        <v/>
      </c>
      <c r="BD160" s="75" t="str">
        <f aca="false">AP160</f>
        <v/>
      </c>
      <c r="BE160" s="73" t="str">
        <f aca="false">IF(ISBLANK($C160),"",AS160)</f>
        <v/>
      </c>
      <c r="BF160" s="76" t="str">
        <f aca="false">IF($AW160&gt;$AV$7,"",VLOOKUP($AW160,$AY$8:$BE$507,7,FALSE()))</f>
        <v/>
      </c>
      <c r="BG160" s="77" t="str">
        <f aca="false">IF($AW160&gt;$AV$7,"",VLOOKUP($AW160,$AY$8:$BE$507,2,FALSE()))</f>
        <v/>
      </c>
      <c r="BH160" s="77" t="str">
        <f aca="false">IF($AW160&gt;$AV$7,"",VLOOKUP($AW160,$AY$8:$BE$507,3,FALSE()))</f>
        <v/>
      </c>
      <c r="BI160" s="77" t="str">
        <f aca="false">IF($AW160&gt;$AV$7,"",VLOOKUP($AW160,$AY$8:$BE$507,4,FALSE()))</f>
        <v/>
      </c>
      <c r="BJ160" s="77" t="str">
        <f aca="false">IF($AW160&gt;$AV$7,"",VLOOKUP($AW160,$AY$8:$BE$507,5,FALSE()))</f>
        <v/>
      </c>
      <c r="BK160" s="78" t="str">
        <f aca="false">IF($AW160&gt;$AV$7,"",VLOOKUP($AW160,$AY$8:$BE$507,6,FALSE()))</f>
        <v/>
      </c>
      <c r="BL160" s="50"/>
    </row>
    <row r="161" customFormat="false" ht="15.75" hidden="false" customHeight="false" outlineLevel="0" collapsed="false">
      <c r="A161" s="5"/>
      <c r="B161" s="124"/>
      <c r="C161" s="125"/>
      <c r="D161" s="110"/>
      <c r="E161" s="130"/>
      <c r="F161" s="135"/>
      <c r="G161" s="88"/>
      <c r="H161" s="136"/>
      <c r="I161" s="137"/>
      <c r="J161" s="91"/>
      <c r="K161" s="92"/>
      <c r="L161" s="137"/>
      <c r="M161" s="93"/>
      <c r="N161" s="94"/>
      <c r="O161" s="130"/>
      <c r="P161" s="96"/>
      <c r="Q161" s="97" t="str">
        <f aca="false">IF(ISBLANK($C161),"",IF(E161=Constants!$B$2, TRUE(), IF(E161=Constants!$B$3, FALSE(), TRUE())))</f>
        <v/>
      </c>
      <c r="R161" s="97" t="str">
        <f aca="false">IF(ISBLANK($C161),"",IF(F161=Constants!$B$2, TRUE(), IF(F161=Constants!$B$3, FALSE(), TRUE())))</f>
        <v/>
      </c>
      <c r="S161" s="97" t="str">
        <f aca="false">IF(ISBLANK($C161),"",IF(G161=Constants!$B$15,Constants!$B$8,IF(G161=Constants!$B$16,Constants!$B$9,Constants!$B$10)))</f>
        <v/>
      </c>
      <c r="T161" s="97" t="str">
        <f aca="false">IF(ISBLANK($C161),"",IF(H161=Constants!$B$2, TRUE(), IF(H161=Constants!$B$3, FALSE(), TRUE())))</f>
        <v/>
      </c>
      <c r="U161" s="97" t="str">
        <f aca="false">IF(ISBLANK($C161),"",IF(I161=Constants!$B$19,Constants!$B$19,Constants!$B$18))</f>
        <v/>
      </c>
      <c r="V161" s="97" t="str">
        <f aca="false">IF(ISBLANK($C161),"",IF(COUNTA(J161:K161)=0,"",IF(AND(OR(ISBLANK(J161),AND(ISNUMBER(J161),J161&gt;=0)),OR(ISBLANK(K161),AND(ISNUMBER(K161),K161&gt;=0))),60*IF(ISBLANK(J161),0,J161)+IF(ISBLANK(K161),0,K161),"")))</f>
        <v/>
      </c>
      <c r="W161" s="97" t="str">
        <f aca="false">IF(ISBLANK($C161),"",IF(L161=Constants!$B$19,Constants!$B$19,Constants!$B$18))</f>
        <v/>
      </c>
      <c r="X161" s="97" t="str">
        <f aca="false">IF(ISBLANK($C161),"",IF(COUNTA(M161:N161)=0,"",IF(AND(OR(ISBLANK(M161),AND(ISNUMBER(M161),M161&gt;=0)),OR(ISBLANK(N161),AND(ISNUMBER(N161),N161&gt;=0))),60*IF(ISBLANK(M161),0,M161)+IF(ISBLANK(N161),0,N161),"")))</f>
        <v/>
      </c>
      <c r="Y161" s="97" t="str">
        <f aca="false">IF(ISBLANK($C161),"",IF(O161=Constants!$B$2, TRUE(), IF(O161=Constants!$B$3, FALSE(), FALSE())))</f>
        <v/>
      </c>
      <c r="Z161" s="97" t="str">
        <f aca="false">IF(ISBLANK($C161),"",IF(Y161,Constants!$B$4,IF(COUNTA(E161:N161)=0,Constants!$B$5,IF(COUNTA(J161:K161,M161:N161)=0,Constants!$B$6,Constants!$B$7))))</f>
        <v/>
      </c>
      <c r="AA161" s="97" t="str">
        <f aca="false">IF(ISBLANK($C161),"",IF($Z161&lt;&gt;Constants!$B$7,$Z161,IF(OR(NOT(T161),AND(NOT(Q161),COUNTIFS(U161:W161,Constants!$B$18,V161:X161,"&gt;=0")&gt;0),AND(NOT(R161),COUNTIFS(U161:W161,Constants!$B$19,V161:X161,"&gt;=0")&gt;0)),Constants!$B$12,Constants!$B$11)))</f>
        <v/>
      </c>
      <c r="AB161" s="97" t="str">
        <f aca="false">IF($Z161=Constants!$B$7,IF(V161="",Constants!$B$13,V161),"")</f>
        <v/>
      </c>
      <c r="AC161" s="97" t="str">
        <f aca="false">IF($Z161=Constants!$B$7,IF(X161="",Constants!$B$13,X161),"")</f>
        <v/>
      </c>
      <c r="AD161" s="97" t="str">
        <f aca="false">IF($Z161=Constants!$B$7,IF($AB161&gt;=$AC161,1,2),"")</f>
        <v/>
      </c>
      <c r="AE161" s="97" t="str">
        <f aca="false">IF($Z161=Constants!$B$7,LARGE(AB161:AC161,1),"")</f>
        <v/>
      </c>
      <c r="AF161" s="97" t="str">
        <f aca="false">IF(ISBLANK($C161),"",IF($Z161&lt;&gt;Constants!$B$7,$Z161,AE161*S161))</f>
        <v/>
      </c>
      <c r="AG161" s="97" t="str">
        <f aca="false">IF(ISBLANK($C161),"",IF($Z161=Constants!$B$7,IF(ISNUMBER(AF161),RANK(AF161,$AF$8:$AF$507),Constants!$B$14),$Z161))</f>
        <v/>
      </c>
      <c r="AH161" s="97" t="str">
        <f aca="false">IF(ISBLANK($C161),"",IF($Z161=Constants!$B$7,IF(ISNUMBER(AG161),COUNTIFS($AA$8:$AA$507,"&lt;"&amp;$AA161)+COUNTIFS($AA$8:$AA$507,$AA161,$AG$8:$AG$507,"&lt;"&amp;$AG161)+1,Constants!$B$14),$Z161))</f>
        <v/>
      </c>
      <c r="AI161" s="97" t="str">
        <f aca="false">IF(ISBLANK($C161),"",IF($Z161=Constants!$B$7,LARGE(AB161:AC161,2)*S161,""))</f>
        <v/>
      </c>
      <c r="AJ161" s="97" t="str">
        <f aca="false">IF(ISBLANK($C161),"",IF($Z161=Constants!$B$7,RANK(AI161,$AI$8:$AI$507),$Z161))</f>
        <v/>
      </c>
      <c r="AK161" s="97" t="str">
        <f aca="false">IF(ISBLANK($C161),"",IF($Z161=Constants!$B$7,IF(ISNUMBER(AG161),COUNTIFS($AA$8:$AA$507,"&lt;"&amp;$AA161)+COUNTIFS($AA$8:$AA$507,$AA161,$AG$8:$AG$507,"&lt;"&amp;$AG161)+COUNTIFS($AA$8:$AA$507,$AA161,$AG$8:$AG$507,$AG161,$AJ$8:$AJ$507,"&lt;"&amp;$AJ161)+1,Constants!$B$14),$Z161))</f>
        <v/>
      </c>
      <c r="AL161" s="97" t="str">
        <f aca="false">IF(ISBLANK($C161),"",IF($Z161=Constants!$B$7,IF(ISNUMBER(AH161),AH161-AK161,Constants!$B$14),$Z161))</f>
        <v/>
      </c>
      <c r="AM161" s="98"/>
      <c r="AN161" s="99" t="str">
        <f aca="false">IF(ISBLANK($C161),"",IF($Z161&lt;&gt;Constants!$B$7,$Z161,AD161))</f>
        <v/>
      </c>
      <c r="AO161" s="100" t="str">
        <f aca="false">IF(ISBLANK($C161),"",IF($Z161&lt;&gt;Constants!$B$7,$Z161,S161))</f>
        <v/>
      </c>
      <c r="AP161" s="101" t="str">
        <f aca="false">IF(ISBLANK($C161),"",IF($Z161&lt;&gt;Constants!$B$7,$Z161,AF161))</f>
        <v/>
      </c>
      <c r="AQ161" s="102" t="str">
        <f aca="false">IF(ISBLANK($C161),"",IF($Z161&lt;&gt;Constants!$B$7,$Z161,AA161))</f>
        <v/>
      </c>
      <c r="AR161" s="100" t="str">
        <f aca="false">IF(ISBLANK($C161),"",AL161)</f>
        <v/>
      </c>
      <c r="AS161" s="100" t="str">
        <f aca="false">IF(ISBLANK($C161),"",AK161)</f>
        <v/>
      </c>
      <c r="AT161" s="103" t="str">
        <f aca="false">IF(ISBLANK($C161),"",IF(AS161=Constants!$B$4,COUNTA($C$8:$C$507)+2,IF(AS161=Constants!$B$5,COUNTA($C$8:$C$507)+1,IF(AS161=Constants!$B$6,COUNTA($C$8:$C$507),AS161))))</f>
        <v/>
      </c>
      <c r="AU161" s="5"/>
      <c r="AV161" s="104" t="n">
        <f aca="false">IF(OR(ISNUMBER(AS161),AS161=Constants!$B$4,AS161=Constants!$B$6,AS161=Constants!$B$5),1,0)</f>
        <v>0</v>
      </c>
      <c r="AW161" s="104" t="n">
        <v>154</v>
      </c>
      <c r="AX161" s="104" t="str">
        <f aca="false">IF(ISBLANK($C161),"",IF(ISNUMBER(AT161),AT161+ROW($B161)/1000,""))</f>
        <v/>
      </c>
      <c r="AY161" s="104" t="str">
        <f aca="false">IF(ISNUMBER(AX161),RANK(AX161,$AX$8:$AX$507,1),"")</f>
        <v/>
      </c>
      <c r="AZ161" s="104" t="str">
        <f aca="false">IF(ISBLANK($C161),"",$B161)</f>
        <v/>
      </c>
      <c r="BA161" s="104" t="str">
        <f aca="false">IF(ISBLANK($C161),"",$C161)</f>
        <v/>
      </c>
      <c r="BB161" s="104" t="str">
        <f aca="false">IF(ISBLANK($C161),"",$D161)</f>
        <v/>
      </c>
      <c r="BC161" s="105" t="str">
        <f aca="false">AQ161</f>
        <v/>
      </c>
      <c r="BD161" s="106" t="str">
        <f aca="false">AP161</f>
        <v/>
      </c>
      <c r="BE161" s="104" t="str">
        <f aca="false">IF(ISBLANK($C161),"",AS161)</f>
        <v/>
      </c>
      <c r="BF161" s="107" t="str">
        <f aca="false">IF($AW161&gt;$AV$7,"",VLOOKUP($AW161,$AY$8:$BE$507,7,FALSE()))</f>
        <v/>
      </c>
      <c r="BG161" s="108" t="str">
        <f aca="false">IF($AW161&gt;$AV$7,"",VLOOKUP($AW161,$AY$8:$BE$507,2,FALSE()))</f>
        <v/>
      </c>
      <c r="BH161" s="108" t="str">
        <f aca="false">IF($AW161&gt;$AV$7,"",VLOOKUP($AW161,$AY$8:$BE$507,3,FALSE()))</f>
        <v/>
      </c>
      <c r="BI161" s="108" t="str">
        <f aca="false">IF($AW161&gt;$AV$7,"",VLOOKUP($AW161,$AY$8:$BE$507,4,FALSE()))</f>
        <v/>
      </c>
      <c r="BJ161" s="108" t="str">
        <f aca="false">IF($AW161&gt;$AV$7,"",VLOOKUP($AW161,$AY$8:$BE$507,5,FALSE()))</f>
        <v/>
      </c>
      <c r="BK161" s="109" t="str">
        <f aca="false">IF($AW161&gt;$AV$7,"",VLOOKUP($AW161,$AY$8:$BE$507,6,FALSE()))</f>
        <v/>
      </c>
      <c r="BL161" s="50"/>
    </row>
    <row r="162" customFormat="false" ht="15.75" hidden="false" customHeight="false" outlineLevel="0" collapsed="false">
      <c r="A162" s="5"/>
      <c r="B162" s="124"/>
      <c r="C162" s="125"/>
      <c r="D162" s="110"/>
      <c r="E162" s="130"/>
      <c r="F162" s="135"/>
      <c r="G162" s="88"/>
      <c r="H162" s="136"/>
      <c r="I162" s="137"/>
      <c r="J162" s="91"/>
      <c r="K162" s="92"/>
      <c r="L162" s="137"/>
      <c r="M162" s="93"/>
      <c r="N162" s="94"/>
      <c r="O162" s="130"/>
      <c r="P162" s="96"/>
      <c r="Q162" s="97" t="str">
        <f aca="false">IF(ISBLANK($C162),"",IF(E162=Constants!$B$2, TRUE(), IF(E162=Constants!$B$3, FALSE(), TRUE())))</f>
        <v/>
      </c>
      <c r="R162" s="97" t="str">
        <f aca="false">IF(ISBLANK($C162),"",IF(F162=Constants!$B$2, TRUE(), IF(F162=Constants!$B$3, FALSE(), TRUE())))</f>
        <v/>
      </c>
      <c r="S162" s="97" t="str">
        <f aca="false">IF(ISBLANK($C162),"",IF(G162=Constants!$B$15,Constants!$B$8,IF(G162=Constants!$B$16,Constants!$B$9,Constants!$B$10)))</f>
        <v/>
      </c>
      <c r="T162" s="97" t="str">
        <f aca="false">IF(ISBLANK($C162),"",IF(H162=Constants!$B$2, TRUE(), IF(H162=Constants!$B$3, FALSE(), TRUE())))</f>
        <v/>
      </c>
      <c r="U162" s="97" t="str">
        <f aca="false">IF(ISBLANK($C162),"",IF(I162=Constants!$B$19,Constants!$B$19,Constants!$B$18))</f>
        <v/>
      </c>
      <c r="V162" s="97" t="str">
        <f aca="false">IF(ISBLANK($C162),"",IF(COUNTA(J162:K162)=0,"",IF(AND(OR(ISBLANK(J162),AND(ISNUMBER(J162),J162&gt;=0)),OR(ISBLANK(K162),AND(ISNUMBER(K162),K162&gt;=0))),60*IF(ISBLANK(J162),0,J162)+IF(ISBLANK(K162),0,K162),"")))</f>
        <v/>
      </c>
      <c r="W162" s="97" t="str">
        <f aca="false">IF(ISBLANK($C162),"",IF(L162=Constants!$B$19,Constants!$B$19,Constants!$B$18))</f>
        <v/>
      </c>
      <c r="X162" s="97" t="str">
        <f aca="false">IF(ISBLANK($C162),"",IF(COUNTA(M162:N162)=0,"",IF(AND(OR(ISBLANK(M162),AND(ISNUMBER(M162),M162&gt;=0)),OR(ISBLANK(N162),AND(ISNUMBER(N162),N162&gt;=0))),60*IF(ISBLANK(M162),0,M162)+IF(ISBLANK(N162),0,N162),"")))</f>
        <v/>
      </c>
      <c r="Y162" s="97" t="str">
        <f aca="false">IF(ISBLANK($C162),"",IF(O162=Constants!$B$2, TRUE(), IF(O162=Constants!$B$3, FALSE(), FALSE())))</f>
        <v/>
      </c>
      <c r="Z162" s="97" t="str">
        <f aca="false">IF(ISBLANK($C162),"",IF(Y162,Constants!$B$4,IF(COUNTA(E162:N162)=0,Constants!$B$5,IF(COUNTA(J162:K162,M162:N162)=0,Constants!$B$6,Constants!$B$7))))</f>
        <v/>
      </c>
      <c r="AA162" s="97" t="str">
        <f aca="false">IF(ISBLANK($C162),"",IF($Z162&lt;&gt;Constants!$B$7,$Z162,IF(OR(NOT(T162),AND(NOT(Q162),COUNTIFS(U162:W162,Constants!$B$18,V162:X162,"&gt;=0")&gt;0),AND(NOT(R162),COUNTIFS(U162:W162,Constants!$B$19,V162:X162,"&gt;=0")&gt;0)),Constants!$B$12,Constants!$B$11)))</f>
        <v/>
      </c>
      <c r="AB162" s="97" t="str">
        <f aca="false">IF($Z162=Constants!$B$7,IF(V162="",Constants!$B$13,V162),"")</f>
        <v/>
      </c>
      <c r="AC162" s="97" t="str">
        <f aca="false">IF($Z162=Constants!$B$7,IF(X162="",Constants!$B$13,X162),"")</f>
        <v/>
      </c>
      <c r="AD162" s="97" t="str">
        <f aca="false">IF($Z162=Constants!$B$7,IF($AB162&gt;=$AC162,1,2),"")</f>
        <v/>
      </c>
      <c r="AE162" s="97" t="str">
        <f aca="false">IF($Z162=Constants!$B$7,LARGE(AB162:AC162,1),"")</f>
        <v/>
      </c>
      <c r="AF162" s="97" t="str">
        <f aca="false">IF(ISBLANK($C162),"",IF($Z162&lt;&gt;Constants!$B$7,$Z162,AE162*S162))</f>
        <v/>
      </c>
      <c r="AG162" s="97" t="str">
        <f aca="false">IF(ISBLANK($C162),"",IF($Z162=Constants!$B$7,IF(ISNUMBER(AF162),RANK(AF162,$AF$8:$AF$507),Constants!$B$14),$Z162))</f>
        <v/>
      </c>
      <c r="AH162" s="97" t="str">
        <f aca="false">IF(ISBLANK($C162),"",IF($Z162=Constants!$B$7,IF(ISNUMBER(AG162),COUNTIFS($AA$8:$AA$507,"&lt;"&amp;$AA162)+COUNTIFS($AA$8:$AA$507,$AA162,$AG$8:$AG$507,"&lt;"&amp;$AG162)+1,Constants!$B$14),$Z162))</f>
        <v/>
      </c>
      <c r="AI162" s="97" t="str">
        <f aca="false">IF(ISBLANK($C162),"",IF($Z162=Constants!$B$7,LARGE(AB162:AC162,2)*S162,""))</f>
        <v/>
      </c>
      <c r="AJ162" s="97" t="str">
        <f aca="false">IF(ISBLANK($C162),"",IF($Z162=Constants!$B$7,RANK(AI162,$AI$8:$AI$507),$Z162))</f>
        <v/>
      </c>
      <c r="AK162" s="97" t="str">
        <f aca="false">IF(ISBLANK($C162),"",IF($Z162=Constants!$B$7,IF(ISNUMBER(AG162),COUNTIFS($AA$8:$AA$507,"&lt;"&amp;$AA162)+COUNTIFS($AA$8:$AA$507,$AA162,$AG$8:$AG$507,"&lt;"&amp;$AG162)+COUNTIFS($AA$8:$AA$507,$AA162,$AG$8:$AG$507,$AG162,$AJ$8:$AJ$507,"&lt;"&amp;$AJ162)+1,Constants!$B$14),$Z162))</f>
        <v/>
      </c>
      <c r="AL162" s="97" t="str">
        <f aca="false">IF(ISBLANK($C162),"",IF($Z162=Constants!$B$7,IF(ISNUMBER(AH162),AH162-AK162,Constants!$B$14),$Z162))</f>
        <v/>
      </c>
      <c r="AM162" s="98"/>
      <c r="AN162" s="99" t="str">
        <f aca="false">IF(ISBLANK($C162),"",IF($Z162&lt;&gt;Constants!$B$7,$Z162,AD162))</f>
        <v/>
      </c>
      <c r="AO162" s="100" t="str">
        <f aca="false">IF(ISBLANK($C162),"",IF($Z162&lt;&gt;Constants!$B$7,$Z162,S162))</f>
        <v/>
      </c>
      <c r="AP162" s="101" t="str">
        <f aca="false">IF(ISBLANK($C162),"",IF($Z162&lt;&gt;Constants!$B$7,$Z162,AF162))</f>
        <v/>
      </c>
      <c r="AQ162" s="102" t="str">
        <f aca="false">IF(ISBLANK($C162),"",IF($Z162&lt;&gt;Constants!$B$7,$Z162,AA162))</f>
        <v/>
      </c>
      <c r="AR162" s="100" t="str">
        <f aca="false">IF(ISBLANK($C162),"",AL162)</f>
        <v/>
      </c>
      <c r="AS162" s="100" t="str">
        <f aca="false">IF(ISBLANK($C162),"",AK162)</f>
        <v/>
      </c>
      <c r="AT162" s="103" t="str">
        <f aca="false">IF(ISBLANK($C162),"",IF(AS162=Constants!$B$4,COUNTA($C$8:$C$507)+2,IF(AS162=Constants!$B$5,COUNTA($C$8:$C$507)+1,IF(AS162=Constants!$B$6,COUNTA($C$8:$C$507),AS162))))</f>
        <v/>
      </c>
      <c r="AU162" s="5"/>
      <c r="AV162" s="104" t="n">
        <f aca="false">IF(OR(ISNUMBER(AS162),AS162=Constants!$B$4,AS162=Constants!$B$6,AS162=Constants!$B$5),1,0)</f>
        <v>0</v>
      </c>
      <c r="AW162" s="104" t="n">
        <v>155</v>
      </c>
      <c r="AX162" s="104" t="str">
        <f aca="false">IF(ISBLANK($C162),"",IF(ISNUMBER(AT162),AT162+ROW($B162)/1000,""))</f>
        <v/>
      </c>
      <c r="AY162" s="104" t="str">
        <f aca="false">IF(ISNUMBER(AX162),RANK(AX162,$AX$8:$AX$507,1),"")</f>
        <v/>
      </c>
      <c r="AZ162" s="104" t="str">
        <f aca="false">IF(ISBLANK($C162),"",$B162)</f>
        <v/>
      </c>
      <c r="BA162" s="104" t="str">
        <f aca="false">IF(ISBLANK($C162),"",$C162)</f>
        <v/>
      </c>
      <c r="BB162" s="104" t="str">
        <f aca="false">IF(ISBLANK($C162),"",$D162)</f>
        <v/>
      </c>
      <c r="BC162" s="105" t="str">
        <f aca="false">AQ162</f>
        <v/>
      </c>
      <c r="BD162" s="106" t="str">
        <f aca="false">AP162</f>
        <v/>
      </c>
      <c r="BE162" s="104" t="str">
        <f aca="false">IF(ISBLANK($C162),"",AS162)</f>
        <v/>
      </c>
      <c r="BF162" s="107" t="str">
        <f aca="false">IF($AW162&gt;$AV$7,"",VLOOKUP($AW162,$AY$8:$BE$507,7,FALSE()))</f>
        <v/>
      </c>
      <c r="BG162" s="108" t="str">
        <f aca="false">IF($AW162&gt;$AV$7,"",VLOOKUP($AW162,$AY$8:$BE$507,2,FALSE()))</f>
        <v/>
      </c>
      <c r="BH162" s="108" t="str">
        <f aca="false">IF($AW162&gt;$AV$7,"",VLOOKUP($AW162,$AY$8:$BE$507,3,FALSE()))</f>
        <v/>
      </c>
      <c r="BI162" s="108" t="str">
        <f aca="false">IF($AW162&gt;$AV$7,"",VLOOKUP($AW162,$AY$8:$BE$507,4,FALSE()))</f>
        <v/>
      </c>
      <c r="BJ162" s="108" t="str">
        <f aca="false">IF($AW162&gt;$AV$7,"",VLOOKUP($AW162,$AY$8:$BE$507,5,FALSE()))</f>
        <v/>
      </c>
      <c r="BK162" s="109" t="str">
        <f aca="false">IF($AW162&gt;$AV$7,"",VLOOKUP($AW162,$AY$8:$BE$507,6,FALSE()))</f>
        <v/>
      </c>
      <c r="BL162" s="50"/>
    </row>
    <row r="163" customFormat="false" ht="15.75" hidden="false" customHeight="false" outlineLevel="0" collapsed="false">
      <c r="A163" s="5"/>
      <c r="B163" s="124"/>
      <c r="C163" s="125"/>
      <c r="D163" s="110"/>
      <c r="E163" s="130"/>
      <c r="F163" s="135"/>
      <c r="G163" s="88"/>
      <c r="H163" s="136"/>
      <c r="I163" s="137"/>
      <c r="J163" s="91"/>
      <c r="K163" s="92"/>
      <c r="L163" s="137"/>
      <c r="M163" s="93"/>
      <c r="N163" s="94"/>
      <c r="O163" s="130"/>
      <c r="P163" s="96"/>
      <c r="Q163" s="97" t="str">
        <f aca="false">IF(ISBLANK($C163),"",IF(E163=Constants!$B$2, TRUE(), IF(E163=Constants!$B$3, FALSE(), TRUE())))</f>
        <v/>
      </c>
      <c r="R163" s="97" t="str">
        <f aca="false">IF(ISBLANK($C163),"",IF(F163=Constants!$B$2, TRUE(), IF(F163=Constants!$B$3, FALSE(), TRUE())))</f>
        <v/>
      </c>
      <c r="S163" s="97" t="str">
        <f aca="false">IF(ISBLANK($C163),"",IF(G163=Constants!$B$15,Constants!$B$8,IF(G163=Constants!$B$16,Constants!$B$9,Constants!$B$10)))</f>
        <v/>
      </c>
      <c r="T163" s="97" t="str">
        <f aca="false">IF(ISBLANK($C163),"",IF(H163=Constants!$B$2, TRUE(), IF(H163=Constants!$B$3, FALSE(), TRUE())))</f>
        <v/>
      </c>
      <c r="U163" s="97" t="str">
        <f aca="false">IF(ISBLANK($C163),"",IF(I163=Constants!$B$19,Constants!$B$19,Constants!$B$18))</f>
        <v/>
      </c>
      <c r="V163" s="97" t="str">
        <f aca="false">IF(ISBLANK($C163),"",IF(COUNTA(J163:K163)=0,"",IF(AND(OR(ISBLANK(J163),AND(ISNUMBER(J163),J163&gt;=0)),OR(ISBLANK(K163),AND(ISNUMBER(K163),K163&gt;=0))),60*IF(ISBLANK(J163),0,J163)+IF(ISBLANK(K163),0,K163),"")))</f>
        <v/>
      </c>
      <c r="W163" s="97" t="str">
        <f aca="false">IF(ISBLANK($C163),"",IF(L163=Constants!$B$19,Constants!$B$19,Constants!$B$18))</f>
        <v/>
      </c>
      <c r="X163" s="97" t="str">
        <f aca="false">IF(ISBLANK($C163),"",IF(COUNTA(M163:N163)=0,"",IF(AND(OR(ISBLANK(M163),AND(ISNUMBER(M163),M163&gt;=0)),OR(ISBLANK(N163),AND(ISNUMBER(N163),N163&gt;=0))),60*IF(ISBLANK(M163),0,M163)+IF(ISBLANK(N163),0,N163),"")))</f>
        <v/>
      </c>
      <c r="Y163" s="97" t="str">
        <f aca="false">IF(ISBLANK($C163),"",IF(O163=Constants!$B$2, TRUE(), IF(O163=Constants!$B$3, FALSE(), FALSE())))</f>
        <v/>
      </c>
      <c r="Z163" s="97" t="str">
        <f aca="false">IF(ISBLANK($C163),"",IF(Y163,Constants!$B$4,IF(COUNTA(E163:N163)=0,Constants!$B$5,IF(COUNTA(J163:K163,M163:N163)=0,Constants!$B$6,Constants!$B$7))))</f>
        <v/>
      </c>
      <c r="AA163" s="97" t="str">
        <f aca="false">IF(ISBLANK($C163),"",IF($Z163&lt;&gt;Constants!$B$7,$Z163,IF(OR(NOT(T163),AND(NOT(Q163),COUNTIFS(U163:W163,Constants!$B$18,V163:X163,"&gt;=0")&gt;0),AND(NOT(R163),COUNTIFS(U163:W163,Constants!$B$19,V163:X163,"&gt;=0")&gt;0)),Constants!$B$12,Constants!$B$11)))</f>
        <v/>
      </c>
      <c r="AB163" s="97" t="str">
        <f aca="false">IF($Z163=Constants!$B$7,IF(V163="",Constants!$B$13,V163),"")</f>
        <v/>
      </c>
      <c r="AC163" s="97" t="str">
        <f aca="false">IF($Z163=Constants!$B$7,IF(X163="",Constants!$B$13,X163),"")</f>
        <v/>
      </c>
      <c r="AD163" s="97" t="str">
        <f aca="false">IF($Z163=Constants!$B$7,IF($AB163&gt;=$AC163,1,2),"")</f>
        <v/>
      </c>
      <c r="AE163" s="97" t="str">
        <f aca="false">IF($Z163=Constants!$B$7,LARGE(AB163:AC163,1),"")</f>
        <v/>
      </c>
      <c r="AF163" s="97" t="str">
        <f aca="false">IF(ISBLANK($C163),"",IF($Z163&lt;&gt;Constants!$B$7,$Z163,AE163*S163))</f>
        <v/>
      </c>
      <c r="AG163" s="97" t="str">
        <f aca="false">IF(ISBLANK($C163),"",IF($Z163=Constants!$B$7,IF(ISNUMBER(AF163),RANK(AF163,$AF$8:$AF$507),Constants!$B$14),$Z163))</f>
        <v/>
      </c>
      <c r="AH163" s="97" t="str">
        <f aca="false">IF(ISBLANK($C163),"",IF($Z163=Constants!$B$7,IF(ISNUMBER(AG163),COUNTIFS($AA$8:$AA$507,"&lt;"&amp;$AA163)+COUNTIFS($AA$8:$AA$507,$AA163,$AG$8:$AG$507,"&lt;"&amp;$AG163)+1,Constants!$B$14),$Z163))</f>
        <v/>
      </c>
      <c r="AI163" s="97" t="str">
        <f aca="false">IF(ISBLANK($C163),"",IF($Z163=Constants!$B$7,LARGE(AB163:AC163,2)*S163,""))</f>
        <v/>
      </c>
      <c r="AJ163" s="97" t="str">
        <f aca="false">IF(ISBLANK($C163),"",IF($Z163=Constants!$B$7,RANK(AI163,$AI$8:$AI$507),$Z163))</f>
        <v/>
      </c>
      <c r="AK163" s="97" t="str">
        <f aca="false">IF(ISBLANK($C163),"",IF($Z163=Constants!$B$7,IF(ISNUMBER(AG163),COUNTIFS($AA$8:$AA$507,"&lt;"&amp;$AA163)+COUNTIFS($AA$8:$AA$507,$AA163,$AG$8:$AG$507,"&lt;"&amp;$AG163)+COUNTIFS($AA$8:$AA$507,$AA163,$AG$8:$AG$507,$AG163,$AJ$8:$AJ$507,"&lt;"&amp;$AJ163)+1,Constants!$B$14),$Z163))</f>
        <v/>
      </c>
      <c r="AL163" s="97" t="str">
        <f aca="false">IF(ISBLANK($C163),"",IF($Z163=Constants!$B$7,IF(ISNUMBER(AH163),AH163-AK163,Constants!$B$14),$Z163))</f>
        <v/>
      </c>
      <c r="AM163" s="98"/>
      <c r="AN163" s="99" t="str">
        <f aca="false">IF(ISBLANK($C163),"",IF($Z163&lt;&gt;Constants!$B$7,$Z163,AD163))</f>
        <v/>
      </c>
      <c r="AO163" s="100" t="str">
        <f aca="false">IF(ISBLANK($C163),"",IF($Z163&lt;&gt;Constants!$B$7,$Z163,S163))</f>
        <v/>
      </c>
      <c r="AP163" s="101" t="str">
        <f aca="false">IF(ISBLANK($C163),"",IF($Z163&lt;&gt;Constants!$B$7,$Z163,AF163))</f>
        <v/>
      </c>
      <c r="AQ163" s="102" t="str">
        <f aca="false">IF(ISBLANK($C163),"",IF($Z163&lt;&gt;Constants!$B$7,$Z163,AA163))</f>
        <v/>
      </c>
      <c r="AR163" s="100" t="str">
        <f aca="false">IF(ISBLANK($C163),"",AL163)</f>
        <v/>
      </c>
      <c r="AS163" s="100" t="str">
        <f aca="false">IF(ISBLANK($C163),"",AK163)</f>
        <v/>
      </c>
      <c r="AT163" s="103" t="str">
        <f aca="false">IF(ISBLANK($C163),"",IF(AS163=Constants!$B$4,COUNTA($C$8:$C$507)+2,IF(AS163=Constants!$B$5,COUNTA($C$8:$C$507)+1,IF(AS163=Constants!$B$6,COUNTA($C$8:$C$507),AS163))))</f>
        <v/>
      </c>
      <c r="AU163" s="5"/>
      <c r="AV163" s="104" t="n">
        <f aca="false">IF(OR(ISNUMBER(AS163),AS163=Constants!$B$4,AS163=Constants!$B$6,AS163=Constants!$B$5),1,0)</f>
        <v>0</v>
      </c>
      <c r="AW163" s="104" t="n">
        <v>156</v>
      </c>
      <c r="AX163" s="104" t="str">
        <f aca="false">IF(ISBLANK($C163),"",IF(ISNUMBER(AT163),AT163+ROW($B163)/1000,""))</f>
        <v/>
      </c>
      <c r="AY163" s="104" t="str">
        <f aca="false">IF(ISNUMBER(AX163),RANK(AX163,$AX$8:$AX$507,1),"")</f>
        <v/>
      </c>
      <c r="AZ163" s="104" t="str">
        <f aca="false">IF(ISBLANK($C163),"",$B163)</f>
        <v/>
      </c>
      <c r="BA163" s="104" t="str">
        <f aca="false">IF(ISBLANK($C163),"",$C163)</f>
        <v/>
      </c>
      <c r="BB163" s="104" t="str">
        <f aca="false">IF(ISBLANK($C163),"",$D163)</f>
        <v/>
      </c>
      <c r="BC163" s="105" t="str">
        <f aca="false">AQ163</f>
        <v/>
      </c>
      <c r="BD163" s="106" t="str">
        <f aca="false">AP163</f>
        <v/>
      </c>
      <c r="BE163" s="104" t="str">
        <f aca="false">IF(ISBLANK($C163),"",AS163)</f>
        <v/>
      </c>
      <c r="BF163" s="107" t="str">
        <f aca="false">IF($AW163&gt;$AV$7,"",VLOOKUP($AW163,$AY$8:$BE$507,7,FALSE()))</f>
        <v/>
      </c>
      <c r="BG163" s="108" t="str">
        <f aca="false">IF($AW163&gt;$AV$7,"",VLOOKUP($AW163,$AY$8:$BE$507,2,FALSE()))</f>
        <v/>
      </c>
      <c r="BH163" s="108" t="str">
        <f aca="false">IF($AW163&gt;$AV$7,"",VLOOKUP($AW163,$AY$8:$BE$507,3,FALSE()))</f>
        <v/>
      </c>
      <c r="BI163" s="108" t="str">
        <f aca="false">IF($AW163&gt;$AV$7,"",VLOOKUP($AW163,$AY$8:$BE$507,4,FALSE()))</f>
        <v/>
      </c>
      <c r="BJ163" s="108" t="str">
        <f aca="false">IF($AW163&gt;$AV$7,"",VLOOKUP($AW163,$AY$8:$BE$507,5,FALSE()))</f>
        <v/>
      </c>
      <c r="BK163" s="109" t="str">
        <f aca="false">IF($AW163&gt;$AV$7,"",VLOOKUP($AW163,$AY$8:$BE$507,6,FALSE()))</f>
        <v/>
      </c>
      <c r="BL163" s="50"/>
    </row>
    <row r="164" customFormat="false" ht="15.75" hidden="false" customHeight="false" outlineLevel="0" collapsed="false">
      <c r="A164" s="5"/>
      <c r="B164" s="131"/>
      <c r="C164" s="52"/>
      <c r="D164" s="53"/>
      <c r="E164" s="80"/>
      <c r="F164" s="132"/>
      <c r="G164" s="56"/>
      <c r="H164" s="133"/>
      <c r="I164" s="134"/>
      <c r="J164" s="59"/>
      <c r="K164" s="60"/>
      <c r="L164" s="134"/>
      <c r="M164" s="61"/>
      <c r="N164" s="62"/>
      <c r="O164" s="80"/>
      <c r="P164" s="64"/>
      <c r="Q164" s="65" t="str">
        <f aca="false">IF(ISBLANK($C164),"",IF(E164=Constants!$B$2, TRUE(), IF(E164=Constants!$B$3, FALSE(), TRUE())))</f>
        <v/>
      </c>
      <c r="R164" s="65" t="str">
        <f aca="false">IF(ISBLANK($C164),"",IF(F164=Constants!$B$2, TRUE(), IF(F164=Constants!$B$3, FALSE(), TRUE())))</f>
        <v/>
      </c>
      <c r="S164" s="65" t="str">
        <f aca="false">IF(ISBLANK($C164),"",IF(G164=Constants!$B$15,Constants!$B$8,IF(G164=Constants!$B$16,Constants!$B$9,Constants!$B$10)))</f>
        <v/>
      </c>
      <c r="T164" s="65" t="str">
        <f aca="false">IF(ISBLANK($C164),"",IF(H164=Constants!$B$2, TRUE(), IF(H164=Constants!$B$3, FALSE(), TRUE())))</f>
        <v/>
      </c>
      <c r="U164" s="65" t="str">
        <f aca="false">IF(ISBLANK($C164),"",IF(I164=Constants!$B$19,Constants!$B$19,Constants!$B$18))</f>
        <v/>
      </c>
      <c r="V164" s="65" t="str">
        <f aca="false">IF(ISBLANK($C164),"",IF(COUNTA(J164:K164)=0,"",IF(AND(OR(ISBLANK(J164),AND(ISNUMBER(J164),J164&gt;=0)),OR(ISBLANK(K164),AND(ISNUMBER(K164),K164&gt;=0))),60*IF(ISBLANK(J164),0,J164)+IF(ISBLANK(K164),0,K164),"")))</f>
        <v/>
      </c>
      <c r="W164" s="65" t="str">
        <f aca="false">IF(ISBLANK($C164),"",IF(L164=Constants!$B$19,Constants!$B$19,Constants!$B$18))</f>
        <v/>
      </c>
      <c r="X164" s="65" t="str">
        <f aca="false">IF(ISBLANK($C164),"",IF(COUNTA(M164:N164)=0,"",IF(AND(OR(ISBLANK(M164),AND(ISNUMBER(M164),M164&gt;=0)),OR(ISBLANK(N164),AND(ISNUMBER(N164),N164&gt;=0))),60*IF(ISBLANK(M164),0,M164)+IF(ISBLANK(N164),0,N164),"")))</f>
        <v/>
      </c>
      <c r="Y164" s="65" t="str">
        <f aca="false">IF(ISBLANK($C164),"",IF(O164=Constants!$B$2, TRUE(), IF(O164=Constants!$B$3, FALSE(), FALSE())))</f>
        <v/>
      </c>
      <c r="Z164" s="65" t="str">
        <f aca="false">IF(ISBLANK($C164),"",IF(Y164,Constants!$B$4,IF(COUNTA(E164:N164)=0,Constants!$B$5,IF(COUNTA(J164:K164,M164:N164)=0,Constants!$B$6,Constants!$B$7))))</f>
        <v/>
      </c>
      <c r="AA164" s="65" t="str">
        <f aca="false">IF(ISBLANK($C164),"",IF($Z164&lt;&gt;Constants!$B$7,$Z164,IF(OR(NOT(T164),AND(NOT(Q164),COUNTIFS(U164:W164,Constants!$B$18,V164:X164,"&gt;=0")&gt;0),AND(NOT(R164),COUNTIFS(U164:W164,Constants!$B$19,V164:X164,"&gt;=0")&gt;0)),Constants!$B$12,Constants!$B$11)))</f>
        <v/>
      </c>
      <c r="AB164" s="65" t="str">
        <f aca="false">IF($Z164=Constants!$B$7,IF(V164="",Constants!$B$13,V164),"")</f>
        <v/>
      </c>
      <c r="AC164" s="65" t="str">
        <f aca="false">IF($Z164=Constants!$B$7,IF(X164="",Constants!$B$13,X164),"")</f>
        <v/>
      </c>
      <c r="AD164" s="65" t="str">
        <f aca="false">IF($Z164=Constants!$B$7,IF($AB164&gt;=$AC164,1,2),"")</f>
        <v/>
      </c>
      <c r="AE164" s="65" t="str">
        <f aca="false">IF($Z164=Constants!$B$7,LARGE(AB164:AC164,1),"")</f>
        <v/>
      </c>
      <c r="AF164" s="65" t="str">
        <f aca="false">IF(ISBLANK($C164),"",IF($Z164&lt;&gt;Constants!$B$7,$Z164,AE164*S164))</f>
        <v/>
      </c>
      <c r="AG164" s="65" t="str">
        <f aca="false">IF(ISBLANK($C164),"",IF($Z164=Constants!$B$7,IF(ISNUMBER(AF164),RANK(AF164,$AF$8:$AF$507),Constants!$B$14),$Z164))</f>
        <v/>
      </c>
      <c r="AH164" s="65" t="str">
        <f aca="false">IF(ISBLANK($C164),"",IF($Z164=Constants!$B$7,IF(ISNUMBER(AG164),COUNTIFS($AA$8:$AA$507,"&lt;"&amp;$AA164)+COUNTIFS($AA$8:$AA$507,$AA164,$AG$8:$AG$507,"&lt;"&amp;$AG164)+1,Constants!$B$14),$Z164))</f>
        <v/>
      </c>
      <c r="AI164" s="65" t="str">
        <f aca="false">IF(ISBLANK($C164),"",IF($Z164=Constants!$B$7,LARGE(AB164:AC164,2)*S164,""))</f>
        <v/>
      </c>
      <c r="AJ164" s="65" t="str">
        <f aca="false">IF(ISBLANK($C164),"",IF($Z164=Constants!$B$7,RANK(AI164,$AI$8:$AI$507),$Z164))</f>
        <v/>
      </c>
      <c r="AK164" s="65" t="str">
        <f aca="false">IF(ISBLANK($C164),"",IF($Z164=Constants!$B$7,IF(ISNUMBER(AG164),COUNTIFS($AA$8:$AA$507,"&lt;"&amp;$AA164)+COUNTIFS($AA$8:$AA$507,$AA164,$AG$8:$AG$507,"&lt;"&amp;$AG164)+COUNTIFS($AA$8:$AA$507,$AA164,$AG$8:$AG$507,$AG164,$AJ$8:$AJ$507,"&lt;"&amp;$AJ164)+1,Constants!$B$14),$Z164))</f>
        <v/>
      </c>
      <c r="AL164" s="65" t="str">
        <f aca="false">IF(ISBLANK($C164),"",IF($Z164=Constants!$B$7,IF(ISNUMBER(AH164),AH164-AK164,Constants!$B$14),$Z164))</f>
        <v/>
      </c>
      <c r="AM164" s="67"/>
      <c r="AN164" s="68" t="str">
        <f aca="false">IF(ISBLANK($C164),"",IF($Z164&lt;&gt;Constants!$B$7,$Z164,AD164))</f>
        <v/>
      </c>
      <c r="AO164" s="69" t="str">
        <f aca="false">IF(ISBLANK($C164),"",IF($Z164&lt;&gt;Constants!$B$7,$Z164,S164))</f>
        <v/>
      </c>
      <c r="AP164" s="70" t="str">
        <f aca="false">IF(ISBLANK($C164),"",IF($Z164&lt;&gt;Constants!$B$7,$Z164,AF164))</f>
        <v/>
      </c>
      <c r="AQ164" s="71" t="str">
        <f aca="false">IF(ISBLANK($C164),"",IF($Z164&lt;&gt;Constants!$B$7,$Z164,AA164))</f>
        <v/>
      </c>
      <c r="AR164" s="69" t="str">
        <f aca="false">IF(ISBLANK($C164),"",AL164)</f>
        <v/>
      </c>
      <c r="AS164" s="69" t="str">
        <f aca="false">IF(ISBLANK($C164),"",AK164)</f>
        <v/>
      </c>
      <c r="AT164" s="72" t="str">
        <f aca="false">IF(ISBLANK($C164),"",IF(AS164=Constants!$B$4,COUNTA($C$8:$C$507)+2,IF(AS164=Constants!$B$5,COUNTA($C$8:$C$507)+1,IF(AS164=Constants!$B$6,COUNTA($C$8:$C$507),AS164))))</f>
        <v/>
      </c>
      <c r="AU164" s="5"/>
      <c r="AV164" s="73" t="n">
        <f aca="false">IF(OR(ISNUMBER(AS164),AS164=Constants!$B$4,AS164=Constants!$B$6,AS164=Constants!$B$5),1,0)</f>
        <v>0</v>
      </c>
      <c r="AW164" s="73" t="n">
        <v>157</v>
      </c>
      <c r="AX164" s="73" t="str">
        <f aca="false">IF(ISBLANK($C164),"",IF(ISNUMBER(AT164),AT164+ROW($B164)/1000,""))</f>
        <v/>
      </c>
      <c r="AY164" s="73" t="str">
        <f aca="false">IF(ISNUMBER(AX164),RANK(AX164,$AX$8:$AX$507,1),"")</f>
        <v/>
      </c>
      <c r="AZ164" s="73" t="str">
        <f aca="false">IF(ISBLANK($C164),"",$B164)</f>
        <v/>
      </c>
      <c r="BA164" s="73" t="str">
        <f aca="false">IF(ISBLANK($C164),"",$C164)</f>
        <v/>
      </c>
      <c r="BB164" s="73" t="str">
        <f aca="false">IF(ISBLANK($C164),"",$D164)</f>
        <v/>
      </c>
      <c r="BC164" s="74" t="str">
        <f aca="false">AQ164</f>
        <v/>
      </c>
      <c r="BD164" s="75" t="str">
        <f aca="false">AP164</f>
        <v/>
      </c>
      <c r="BE164" s="73" t="str">
        <f aca="false">IF(ISBLANK($C164),"",AS164)</f>
        <v/>
      </c>
      <c r="BF164" s="76" t="str">
        <f aca="false">IF($AW164&gt;$AV$7,"",VLOOKUP($AW164,$AY$8:$BE$507,7,FALSE()))</f>
        <v/>
      </c>
      <c r="BG164" s="77" t="str">
        <f aca="false">IF($AW164&gt;$AV$7,"",VLOOKUP($AW164,$AY$8:$BE$507,2,FALSE()))</f>
        <v/>
      </c>
      <c r="BH164" s="77" t="str">
        <f aca="false">IF($AW164&gt;$AV$7,"",VLOOKUP($AW164,$AY$8:$BE$507,3,FALSE()))</f>
        <v/>
      </c>
      <c r="BI164" s="77" t="str">
        <f aca="false">IF($AW164&gt;$AV$7,"",VLOOKUP($AW164,$AY$8:$BE$507,4,FALSE()))</f>
        <v/>
      </c>
      <c r="BJ164" s="77" t="str">
        <f aca="false">IF($AW164&gt;$AV$7,"",VLOOKUP($AW164,$AY$8:$BE$507,5,FALSE()))</f>
        <v/>
      </c>
      <c r="BK164" s="78" t="str">
        <f aca="false">IF($AW164&gt;$AV$7,"",VLOOKUP($AW164,$AY$8:$BE$507,6,FALSE()))</f>
        <v/>
      </c>
      <c r="BL164" s="50"/>
    </row>
    <row r="165" customFormat="false" ht="15.75" hidden="false" customHeight="false" outlineLevel="0" collapsed="false">
      <c r="A165" s="5"/>
      <c r="B165" s="131"/>
      <c r="C165" s="52"/>
      <c r="D165" s="53"/>
      <c r="E165" s="80"/>
      <c r="F165" s="132"/>
      <c r="G165" s="56"/>
      <c r="H165" s="133"/>
      <c r="I165" s="134"/>
      <c r="J165" s="59"/>
      <c r="K165" s="60"/>
      <c r="L165" s="134"/>
      <c r="M165" s="61"/>
      <c r="N165" s="62"/>
      <c r="O165" s="80"/>
      <c r="P165" s="64"/>
      <c r="Q165" s="65" t="str">
        <f aca="false">IF(ISBLANK($C165),"",IF(E165=Constants!$B$2, TRUE(), IF(E165=Constants!$B$3, FALSE(), TRUE())))</f>
        <v/>
      </c>
      <c r="R165" s="65" t="str">
        <f aca="false">IF(ISBLANK($C165),"",IF(F165=Constants!$B$2, TRUE(), IF(F165=Constants!$B$3, FALSE(), TRUE())))</f>
        <v/>
      </c>
      <c r="S165" s="65" t="str">
        <f aca="false">IF(ISBLANK($C165),"",IF(G165=Constants!$B$15,Constants!$B$8,IF(G165=Constants!$B$16,Constants!$B$9,Constants!$B$10)))</f>
        <v/>
      </c>
      <c r="T165" s="65" t="str">
        <f aca="false">IF(ISBLANK($C165),"",IF(H165=Constants!$B$2, TRUE(), IF(H165=Constants!$B$3, FALSE(), TRUE())))</f>
        <v/>
      </c>
      <c r="U165" s="65" t="str">
        <f aca="false">IF(ISBLANK($C165),"",IF(I165=Constants!$B$19,Constants!$B$19,Constants!$B$18))</f>
        <v/>
      </c>
      <c r="V165" s="65" t="str">
        <f aca="false">IF(ISBLANK($C165),"",IF(COUNTA(J165:K165)=0,"",IF(AND(OR(ISBLANK(J165),AND(ISNUMBER(J165),J165&gt;=0)),OR(ISBLANK(K165),AND(ISNUMBER(K165),K165&gt;=0))),60*IF(ISBLANK(J165),0,J165)+IF(ISBLANK(K165),0,K165),"")))</f>
        <v/>
      </c>
      <c r="W165" s="65" t="str">
        <f aca="false">IF(ISBLANK($C165),"",IF(L165=Constants!$B$19,Constants!$B$19,Constants!$B$18))</f>
        <v/>
      </c>
      <c r="X165" s="65" t="str">
        <f aca="false">IF(ISBLANK($C165),"",IF(COUNTA(M165:N165)=0,"",IF(AND(OR(ISBLANK(M165),AND(ISNUMBER(M165),M165&gt;=0)),OR(ISBLANK(N165),AND(ISNUMBER(N165),N165&gt;=0))),60*IF(ISBLANK(M165),0,M165)+IF(ISBLANK(N165),0,N165),"")))</f>
        <v/>
      </c>
      <c r="Y165" s="65" t="str">
        <f aca="false">IF(ISBLANK($C165),"",IF(O165=Constants!$B$2, TRUE(), IF(O165=Constants!$B$3, FALSE(), FALSE())))</f>
        <v/>
      </c>
      <c r="Z165" s="65" t="str">
        <f aca="false">IF(ISBLANK($C165),"",IF(Y165,Constants!$B$4,IF(COUNTA(E165:N165)=0,Constants!$B$5,IF(COUNTA(J165:K165,M165:N165)=0,Constants!$B$6,Constants!$B$7))))</f>
        <v/>
      </c>
      <c r="AA165" s="65" t="str">
        <f aca="false">IF(ISBLANK($C165),"",IF($Z165&lt;&gt;Constants!$B$7,$Z165,IF(OR(NOT(T165),AND(NOT(Q165),COUNTIFS(U165:W165,Constants!$B$18,V165:X165,"&gt;=0")&gt;0),AND(NOT(R165),COUNTIFS(U165:W165,Constants!$B$19,V165:X165,"&gt;=0")&gt;0)),Constants!$B$12,Constants!$B$11)))</f>
        <v/>
      </c>
      <c r="AB165" s="65" t="str">
        <f aca="false">IF($Z165=Constants!$B$7,IF(V165="",Constants!$B$13,V165),"")</f>
        <v/>
      </c>
      <c r="AC165" s="65" t="str">
        <f aca="false">IF($Z165=Constants!$B$7,IF(X165="",Constants!$B$13,X165),"")</f>
        <v/>
      </c>
      <c r="AD165" s="65" t="str">
        <f aca="false">IF($Z165=Constants!$B$7,IF($AB165&gt;=$AC165,1,2),"")</f>
        <v/>
      </c>
      <c r="AE165" s="65" t="str">
        <f aca="false">IF($Z165=Constants!$B$7,LARGE(AB165:AC165,1),"")</f>
        <v/>
      </c>
      <c r="AF165" s="65" t="str">
        <f aca="false">IF(ISBLANK($C165),"",IF($Z165&lt;&gt;Constants!$B$7,$Z165,AE165*S165))</f>
        <v/>
      </c>
      <c r="AG165" s="65" t="str">
        <f aca="false">IF(ISBLANK($C165),"",IF($Z165=Constants!$B$7,IF(ISNUMBER(AF165),RANK(AF165,$AF$8:$AF$507),Constants!$B$14),$Z165))</f>
        <v/>
      </c>
      <c r="AH165" s="65" t="str">
        <f aca="false">IF(ISBLANK($C165),"",IF($Z165=Constants!$B$7,IF(ISNUMBER(AG165),COUNTIFS($AA$8:$AA$507,"&lt;"&amp;$AA165)+COUNTIFS($AA$8:$AA$507,$AA165,$AG$8:$AG$507,"&lt;"&amp;$AG165)+1,Constants!$B$14),$Z165))</f>
        <v/>
      </c>
      <c r="AI165" s="65" t="str">
        <f aca="false">IF(ISBLANK($C165),"",IF($Z165=Constants!$B$7,LARGE(AB165:AC165,2)*S165,""))</f>
        <v/>
      </c>
      <c r="AJ165" s="65" t="str">
        <f aca="false">IF(ISBLANK($C165),"",IF($Z165=Constants!$B$7,RANK(AI165,$AI$8:$AI$507),$Z165))</f>
        <v/>
      </c>
      <c r="AK165" s="65" t="str">
        <f aca="false">IF(ISBLANK($C165),"",IF($Z165=Constants!$B$7,IF(ISNUMBER(AG165),COUNTIFS($AA$8:$AA$507,"&lt;"&amp;$AA165)+COUNTIFS($AA$8:$AA$507,$AA165,$AG$8:$AG$507,"&lt;"&amp;$AG165)+COUNTIFS($AA$8:$AA$507,$AA165,$AG$8:$AG$507,$AG165,$AJ$8:$AJ$507,"&lt;"&amp;$AJ165)+1,Constants!$B$14),$Z165))</f>
        <v/>
      </c>
      <c r="AL165" s="65" t="str">
        <f aca="false">IF(ISBLANK($C165),"",IF($Z165=Constants!$B$7,IF(ISNUMBER(AH165),AH165-AK165,Constants!$B$14),$Z165))</f>
        <v/>
      </c>
      <c r="AM165" s="67"/>
      <c r="AN165" s="68" t="str">
        <f aca="false">IF(ISBLANK($C165),"",IF($Z165&lt;&gt;Constants!$B$7,$Z165,AD165))</f>
        <v/>
      </c>
      <c r="AO165" s="69" t="str">
        <f aca="false">IF(ISBLANK($C165),"",IF($Z165&lt;&gt;Constants!$B$7,$Z165,S165))</f>
        <v/>
      </c>
      <c r="AP165" s="70" t="str">
        <f aca="false">IF(ISBLANK($C165),"",IF($Z165&lt;&gt;Constants!$B$7,$Z165,AF165))</f>
        <v/>
      </c>
      <c r="AQ165" s="71" t="str">
        <f aca="false">IF(ISBLANK($C165),"",IF($Z165&lt;&gt;Constants!$B$7,$Z165,AA165))</f>
        <v/>
      </c>
      <c r="AR165" s="69" t="str">
        <f aca="false">IF(ISBLANK($C165),"",AL165)</f>
        <v/>
      </c>
      <c r="AS165" s="69" t="str">
        <f aca="false">IF(ISBLANK($C165),"",AK165)</f>
        <v/>
      </c>
      <c r="AT165" s="72" t="str">
        <f aca="false">IF(ISBLANK($C165),"",IF(AS165=Constants!$B$4,COUNTA($C$8:$C$507)+2,IF(AS165=Constants!$B$5,COUNTA($C$8:$C$507)+1,IF(AS165=Constants!$B$6,COUNTA($C$8:$C$507),AS165))))</f>
        <v/>
      </c>
      <c r="AU165" s="5"/>
      <c r="AV165" s="73" t="n">
        <f aca="false">IF(OR(ISNUMBER(AS165),AS165=Constants!$B$4,AS165=Constants!$B$6,AS165=Constants!$B$5),1,0)</f>
        <v>0</v>
      </c>
      <c r="AW165" s="73" t="n">
        <v>158</v>
      </c>
      <c r="AX165" s="73" t="str">
        <f aca="false">IF(ISBLANK($C165),"",IF(ISNUMBER(AT165),AT165+ROW($B165)/1000,""))</f>
        <v/>
      </c>
      <c r="AY165" s="73" t="str">
        <f aca="false">IF(ISNUMBER(AX165),RANK(AX165,$AX$8:$AX$507,1),"")</f>
        <v/>
      </c>
      <c r="AZ165" s="73" t="str">
        <f aca="false">IF(ISBLANK($C165),"",$B165)</f>
        <v/>
      </c>
      <c r="BA165" s="73" t="str">
        <f aca="false">IF(ISBLANK($C165),"",$C165)</f>
        <v/>
      </c>
      <c r="BB165" s="73" t="str">
        <f aca="false">IF(ISBLANK($C165),"",$D165)</f>
        <v/>
      </c>
      <c r="BC165" s="74" t="str">
        <f aca="false">AQ165</f>
        <v/>
      </c>
      <c r="BD165" s="75" t="str">
        <f aca="false">AP165</f>
        <v/>
      </c>
      <c r="BE165" s="73" t="str">
        <f aca="false">IF(ISBLANK($C165),"",AS165)</f>
        <v/>
      </c>
      <c r="BF165" s="76" t="str">
        <f aca="false">IF($AW165&gt;$AV$7,"",VLOOKUP($AW165,$AY$8:$BE$507,7,FALSE()))</f>
        <v/>
      </c>
      <c r="BG165" s="77" t="str">
        <f aca="false">IF($AW165&gt;$AV$7,"",VLOOKUP($AW165,$AY$8:$BE$507,2,FALSE()))</f>
        <v/>
      </c>
      <c r="BH165" s="77" t="str">
        <f aca="false">IF($AW165&gt;$AV$7,"",VLOOKUP($AW165,$AY$8:$BE$507,3,FALSE()))</f>
        <v/>
      </c>
      <c r="BI165" s="77" t="str">
        <f aca="false">IF($AW165&gt;$AV$7,"",VLOOKUP($AW165,$AY$8:$BE$507,4,FALSE()))</f>
        <v/>
      </c>
      <c r="BJ165" s="77" t="str">
        <f aca="false">IF($AW165&gt;$AV$7,"",VLOOKUP($AW165,$AY$8:$BE$507,5,FALSE()))</f>
        <v/>
      </c>
      <c r="BK165" s="78" t="str">
        <f aca="false">IF($AW165&gt;$AV$7,"",VLOOKUP($AW165,$AY$8:$BE$507,6,FALSE()))</f>
        <v/>
      </c>
      <c r="BL165" s="50"/>
    </row>
    <row r="166" customFormat="false" ht="15.75" hidden="false" customHeight="false" outlineLevel="0" collapsed="false">
      <c r="A166" s="5"/>
      <c r="B166" s="131"/>
      <c r="C166" s="52"/>
      <c r="D166" s="53"/>
      <c r="E166" s="80"/>
      <c r="F166" s="132"/>
      <c r="G166" s="56"/>
      <c r="H166" s="133"/>
      <c r="I166" s="134"/>
      <c r="J166" s="59"/>
      <c r="K166" s="60"/>
      <c r="L166" s="134"/>
      <c r="M166" s="61"/>
      <c r="N166" s="62"/>
      <c r="O166" s="80"/>
      <c r="P166" s="64"/>
      <c r="Q166" s="65" t="str">
        <f aca="false">IF(ISBLANK($C166),"",IF(E166=Constants!$B$2, TRUE(), IF(E166=Constants!$B$3, FALSE(), TRUE())))</f>
        <v/>
      </c>
      <c r="R166" s="65" t="str">
        <f aca="false">IF(ISBLANK($C166),"",IF(F166=Constants!$B$2, TRUE(), IF(F166=Constants!$B$3, FALSE(), TRUE())))</f>
        <v/>
      </c>
      <c r="S166" s="65" t="str">
        <f aca="false">IF(ISBLANK($C166),"",IF(G166=Constants!$B$15,Constants!$B$8,IF(G166=Constants!$B$16,Constants!$B$9,Constants!$B$10)))</f>
        <v/>
      </c>
      <c r="T166" s="65" t="str">
        <f aca="false">IF(ISBLANK($C166),"",IF(H166=Constants!$B$2, TRUE(), IF(H166=Constants!$B$3, FALSE(), TRUE())))</f>
        <v/>
      </c>
      <c r="U166" s="65" t="str">
        <f aca="false">IF(ISBLANK($C166),"",IF(I166=Constants!$B$19,Constants!$B$19,Constants!$B$18))</f>
        <v/>
      </c>
      <c r="V166" s="65" t="str">
        <f aca="false">IF(ISBLANK($C166),"",IF(COUNTA(J166:K166)=0,"",IF(AND(OR(ISBLANK(J166),AND(ISNUMBER(J166),J166&gt;=0)),OR(ISBLANK(K166),AND(ISNUMBER(K166),K166&gt;=0))),60*IF(ISBLANK(J166),0,J166)+IF(ISBLANK(K166),0,K166),"")))</f>
        <v/>
      </c>
      <c r="W166" s="65" t="str">
        <f aca="false">IF(ISBLANK($C166),"",IF(L166=Constants!$B$19,Constants!$B$19,Constants!$B$18))</f>
        <v/>
      </c>
      <c r="X166" s="65" t="str">
        <f aca="false">IF(ISBLANK($C166),"",IF(COUNTA(M166:N166)=0,"",IF(AND(OR(ISBLANK(M166),AND(ISNUMBER(M166),M166&gt;=0)),OR(ISBLANK(N166),AND(ISNUMBER(N166),N166&gt;=0))),60*IF(ISBLANK(M166),0,M166)+IF(ISBLANK(N166),0,N166),"")))</f>
        <v/>
      </c>
      <c r="Y166" s="65" t="str">
        <f aca="false">IF(ISBLANK($C166),"",IF(O166=Constants!$B$2, TRUE(), IF(O166=Constants!$B$3, FALSE(), FALSE())))</f>
        <v/>
      </c>
      <c r="Z166" s="65" t="str">
        <f aca="false">IF(ISBLANK($C166),"",IF(Y166,Constants!$B$4,IF(COUNTA(E166:N166)=0,Constants!$B$5,IF(COUNTA(J166:K166,M166:N166)=0,Constants!$B$6,Constants!$B$7))))</f>
        <v/>
      </c>
      <c r="AA166" s="65" t="str">
        <f aca="false">IF(ISBLANK($C166),"",IF($Z166&lt;&gt;Constants!$B$7,$Z166,IF(OR(NOT(T166),AND(NOT(Q166),COUNTIFS(U166:W166,Constants!$B$18,V166:X166,"&gt;=0")&gt;0),AND(NOT(R166),COUNTIFS(U166:W166,Constants!$B$19,V166:X166,"&gt;=0")&gt;0)),Constants!$B$12,Constants!$B$11)))</f>
        <v/>
      </c>
      <c r="AB166" s="65" t="str">
        <f aca="false">IF($Z166=Constants!$B$7,IF(V166="",Constants!$B$13,V166),"")</f>
        <v/>
      </c>
      <c r="AC166" s="65" t="str">
        <f aca="false">IF($Z166=Constants!$B$7,IF(X166="",Constants!$B$13,X166),"")</f>
        <v/>
      </c>
      <c r="AD166" s="65" t="str">
        <f aca="false">IF($Z166=Constants!$B$7,IF($AB166&gt;=$AC166,1,2),"")</f>
        <v/>
      </c>
      <c r="AE166" s="65" t="str">
        <f aca="false">IF($Z166=Constants!$B$7,LARGE(AB166:AC166,1),"")</f>
        <v/>
      </c>
      <c r="AF166" s="65" t="str">
        <f aca="false">IF(ISBLANK($C166),"",IF($Z166&lt;&gt;Constants!$B$7,$Z166,AE166*S166))</f>
        <v/>
      </c>
      <c r="AG166" s="65" t="str">
        <f aca="false">IF(ISBLANK($C166),"",IF($Z166=Constants!$B$7,IF(ISNUMBER(AF166),RANK(AF166,$AF$8:$AF$507),Constants!$B$14),$Z166))</f>
        <v/>
      </c>
      <c r="AH166" s="65" t="str">
        <f aca="false">IF(ISBLANK($C166),"",IF($Z166=Constants!$B$7,IF(ISNUMBER(AG166),COUNTIFS($AA$8:$AA$507,"&lt;"&amp;$AA166)+COUNTIFS($AA$8:$AA$507,$AA166,$AG$8:$AG$507,"&lt;"&amp;$AG166)+1,Constants!$B$14),$Z166))</f>
        <v/>
      </c>
      <c r="AI166" s="65" t="str">
        <f aca="false">IF(ISBLANK($C166),"",IF($Z166=Constants!$B$7,LARGE(AB166:AC166,2)*S166,""))</f>
        <v/>
      </c>
      <c r="AJ166" s="65" t="str">
        <f aca="false">IF(ISBLANK($C166),"",IF($Z166=Constants!$B$7,RANK(AI166,$AI$8:$AI$507),$Z166))</f>
        <v/>
      </c>
      <c r="AK166" s="65" t="str">
        <f aca="false">IF(ISBLANK($C166),"",IF($Z166=Constants!$B$7,IF(ISNUMBER(AG166),COUNTIFS($AA$8:$AA$507,"&lt;"&amp;$AA166)+COUNTIFS($AA$8:$AA$507,$AA166,$AG$8:$AG$507,"&lt;"&amp;$AG166)+COUNTIFS($AA$8:$AA$507,$AA166,$AG$8:$AG$507,$AG166,$AJ$8:$AJ$507,"&lt;"&amp;$AJ166)+1,Constants!$B$14),$Z166))</f>
        <v/>
      </c>
      <c r="AL166" s="65" t="str">
        <f aca="false">IF(ISBLANK($C166),"",IF($Z166=Constants!$B$7,IF(ISNUMBER(AH166),AH166-AK166,Constants!$B$14),$Z166))</f>
        <v/>
      </c>
      <c r="AM166" s="67"/>
      <c r="AN166" s="68" t="str">
        <f aca="false">IF(ISBLANK($C166),"",IF($Z166&lt;&gt;Constants!$B$7,$Z166,AD166))</f>
        <v/>
      </c>
      <c r="AO166" s="69" t="str">
        <f aca="false">IF(ISBLANK($C166),"",IF($Z166&lt;&gt;Constants!$B$7,$Z166,S166))</f>
        <v/>
      </c>
      <c r="AP166" s="70" t="str">
        <f aca="false">IF(ISBLANK($C166),"",IF($Z166&lt;&gt;Constants!$B$7,$Z166,AF166))</f>
        <v/>
      </c>
      <c r="AQ166" s="71" t="str">
        <f aca="false">IF(ISBLANK($C166),"",IF($Z166&lt;&gt;Constants!$B$7,$Z166,AA166))</f>
        <v/>
      </c>
      <c r="AR166" s="69" t="str">
        <f aca="false">IF(ISBLANK($C166),"",AL166)</f>
        <v/>
      </c>
      <c r="AS166" s="69" t="str">
        <f aca="false">IF(ISBLANK($C166),"",AK166)</f>
        <v/>
      </c>
      <c r="AT166" s="72" t="str">
        <f aca="false">IF(ISBLANK($C166),"",IF(AS166=Constants!$B$4,COUNTA($C$8:$C$507)+2,IF(AS166=Constants!$B$5,COUNTA($C$8:$C$507)+1,IF(AS166=Constants!$B$6,COUNTA($C$8:$C$507),AS166))))</f>
        <v/>
      </c>
      <c r="AU166" s="5"/>
      <c r="AV166" s="73" t="n">
        <f aca="false">IF(OR(ISNUMBER(AS166),AS166=Constants!$B$4,AS166=Constants!$B$6,AS166=Constants!$B$5),1,0)</f>
        <v>0</v>
      </c>
      <c r="AW166" s="73" t="n">
        <v>159</v>
      </c>
      <c r="AX166" s="73" t="str">
        <f aca="false">IF(ISBLANK($C166),"",IF(ISNUMBER(AT166),AT166+ROW($B166)/1000,""))</f>
        <v/>
      </c>
      <c r="AY166" s="73" t="str">
        <f aca="false">IF(ISNUMBER(AX166),RANK(AX166,$AX$8:$AX$507,1),"")</f>
        <v/>
      </c>
      <c r="AZ166" s="73" t="str">
        <f aca="false">IF(ISBLANK($C166),"",$B166)</f>
        <v/>
      </c>
      <c r="BA166" s="73" t="str">
        <f aca="false">IF(ISBLANK($C166),"",$C166)</f>
        <v/>
      </c>
      <c r="BB166" s="73" t="str">
        <f aca="false">IF(ISBLANK($C166),"",$D166)</f>
        <v/>
      </c>
      <c r="BC166" s="74" t="str">
        <f aca="false">AQ166</f>
        <v/>
      </c>
      <c r="BD166" s="75" t="str">
        <f aca="false">AP166</f>
        <v/>
      </c>
      <c r="BE166" s="73" t="str">
        <f aca="false">IF(ISBLANK($C166),"",AS166)</f>
        <v/>
      </c>
      <c r="BF166" s="76" t="str">
        <f aca="false">IF($AW166&gt;$AV$7,"",VLOOKUP($AW166,$AY$8:$BE$507,7,FALSE()))</f>
        <v/>
      </c>
      <c r="BG166" s="77" t="str">
        <f aca="false">IF($AW166&gt;$AV$7,"",VLOOKUP($AW166,$AY$8:$BE$507,2,FALSE()))</f>
        <v/>
      </c>
      <c r="BH166" s="77" t="str">
        <f aca="false">IF($AW166&gt;$AV$7,"",VLOOKUP($AW166,$AY$8:$BE$507,3,FALSE()))</f>
        <v/>
      </c>
      <c r="BI166" s="77" t="str">
        <f aca="false">IF($AW166&gt;$AV$7,"",VLOOKUP($AW166,$AY$8:$BE$507,4,FALSE()))</f>
        <v/>
      </c>
      <c r="BJ166" s="77" t="str">
        <f aca="false">IF($AW166&gt;$AV$7,"",VLOOKUP($AW166,$AY$8:$BE$507,5,FALSE()))</f>
        <v/>
      </c>
      <c r="BK166" s="78" t="str">
        <f aca="false">IF($AW166&gt;$AV$7,"",VLOOKUP($AW166,$AY$8:$BE$507,6,FALSE()))</f>
        <v/>
      </c>
      <c r="BL166" s="50"/>
    </row>
    <row r="167" customFormat="false" ht="15.75" hidden="false" customHeight="false" outlineLevel="0" collapsed="false">
      <c r="A167" s="5"/>
      <c r="B167" s="124"/>
      <c r="C167" s="125"/>
      <c r="D167" s="110"/>
      <c r="E167" s="130"/>
      <c r="F167" s="135"/>
      <c r="G167" s="88"/>
      <c r="H167" s="136"/>
      <c r="I167" s="137"/>
      <c r="J167" s="91"/>
      <c r="K167" s="92"/>
      <c r="L167" s="137"/>
      <c r="M167" s="93"/>
      <c r="N167" s="94"/>
      <c r="O167" s="130"/>
      <c r="P167" s="96"/>
      <c r="Q167" s="97" t="str">
        <f aca="false">IF(ISBLANK($C167),"",IF(E167=Constants!$B$2, TRUE(), IF(E167=Constants!$B$3, FALSE(), TRUE())))</f>
        <v/>
      </c>
      <c r="R167" s="97" t="str">
        <f aca="false">IF(ISBLANK($C167),"",IF(F167=Constants!$B$2, TRUE(), IF(F167=Constants!$B$3, FALSE(), TRUE())))</f>
        <v/>
      </c>
      <c r="S167" s="97" t="str">
        <f aca="false">IF(ISBLANK($C167),"",IF(G167=Constants!$B$15,Constants!$B$8,IF(G167=Constants!$B$16,Constants!$B$9,Constants!$B$10)))</f>
        <v/>
      </c>
      <c r="T167" s="97" t="str">
        <f aca="false">IF(ISBLANK($C167),"",IF(H167=Constants!$B$2, TRUE(), IF(H167=Constants!$B$3, FALSE(), TRUE())))</f>
        <v/>
      </c>
      <c r="U167" s="97" t="str">
        <f aca="false">IF(ISBLANK($C167),"",IF(I167=Constants!$B$19,Constants!$B$19,Constants!$B$18))</f>
        <v/>
      </c>
      <c r="V167" s="97" t="str">
        <f aca="false">IF(ISBLANK($C167),"",IF(COUNTA(J167:K167)=0,"",IF(AND(OR(ISBLANK(J167),AND(ISNUMBER(J167),J167&gt;=0)),OR(ISBLANK(K167),AND(ISNUMBER(K167),K167&gt;=0))),60*IF(ISBLANK(J167),0,J167)+IF(ISBLANK(K167),0,K167),"")))</f>
        <v/>
      </c>
      <c r="W167" s="97" t="str">
        <f aca="false">IF(ISBLANK($C167),"",IF(L167=Constants!$B$19,Constants!$B$19,Constants!$B$18))</f>
        <v/>
      </c>
      <c r="X167" s="97" t="str">
        <f aca="false">IF(ISBLANK($C167),"",IF(COUNTA(M167:N167)=0,"",IF(AND(OR(ISBLANK(M167),AND(ISNUMBER(M167),M167&gt;=0)),OR(ISBLANK(N167),AND(ISNUMBER(N167),N167&gt;=0))),60*IF(ISBLANK(M167),0,M167)+IF(ISBLANK(N167),0,N167),"")))</f>
        <v/>
      </c>
      <c r="Y167" s="97" t="str">
        <f aca="false">IF(ISBLANK($C167),"",IF(O167=Constants!$B$2, TRUE(), IF(O167=Constants!$B$3, FALSE(), FALSE())))</f>
        <v/>
      </c>
      <c r="Z167" s="97" t="str">
        <f aca="false">IF(ISBLANK($C167),"",IF(Y167,Constants!$B$4,IF(COUNTA(E167:N167)=0,Constants!$B$5,IF(COUNTA(J167:K167,M167:N167)=0,Constants!$B$6,Constants!$B$7))))</f>
        <v/>
      </c>
      <c r="AA167" s="97" t="str">
        <f aca="false">IF(ISBLANK($C167),"",IF($Z167&lt;&gt;Constants!$B$7,$Z167,IF(OR(NOT(T167),AND(NOT(Q167),COUNTIFS(U167:W167,Constants!$B$18,V167:X167,"&gt;=0")&gt;0),AND(NOT(R167),COUNTIFS(U167:W167,Constants!$B$19,V167:X167,"&gt;=0")&gt;0)),Constants!$B$12,Constants!$B$11)))</f>
        <v/>
      </c>
      <c r="AB167" s="97" t="str">
        <f aca="false">IF($Z167=Constants!$B$7,IF(V167="",Constants!$B$13,V167),"")</f>
        <v/>
      </c>
      <c r="AC167" s="97" t="str">
        <f aca="false">IF($Z167=Constants!$B$7,IF(X167="",Constants!$B$13,X167),"")</f>
        <v/>
      </c>
      <c r="AD167" s="97" t="str">
        <f aca="false">IF($Z167=Constants!$B$7,IF($AB167&gt;=$AC167,1,2),"")</f>
        <v/>
      </c>
      <c r="AE167" s="97" t="str">
        <f aca="false">IF($Z167=Constants!$B$7,LARGE(AB167:AC167,1),"")</f>
        <v/>
      </c>
      <c r="AF167" s="97" t="str">
        <f aca="false">IF(ISBLANK($C167),"",IF($Z167&lt;&gt;Constants!$B$7,$Z167,AE167*S167))</f>
        <v/>
      </c>
      <c r="AG167" s="97" t="str">
        <f aca="false">IF(ISBLANK($C167),"",IF($Z167=Constants!$B$7,IF(ISNUMBER(AF167),RANK(AF167,$AF$8:$AF$507),Constants!$B$14),$Z167))</f>
        <v/>
      </c>
      <c r="AH167" s="97" t="str">
        <f aca="false">IF(ISBLANK($C167),"",IF($Z167=Constants!$B$7,IF(ISNUMBER(AG167),COUNTIFS($AA$8:$AA$507,"&lt;"&amp;$AA167)+COUNTIFS($AA$8:$AA$507,$AA167,$AG$8:$AG$507,"&lt;"&amp;$AG167)+1,Constants!$B$14),$Z167))</f>
        <v/>
      </c>
      <c r="AI167" s="97" t="str">
        <f aca="false">IF(ISBLANK($C167),"",IF($Z167=Constants!$B$7,LARGE(AB167:AC167,2)*S167,""))</f>
        <v/>
      </c>
      <c r="AJ167" s="97" t="str">
        <f aca="false">IF(ISBLANK($C167),"",IF($Z167=Constants!$B$7,RANK(AI167,$AI$8:$AI$507),$Z167))</f>
        <v/>
      </c>
      <c r="AK167" s="97" t="str">
        <f aca="false">IF(ISBLANK($C167),"",IF($Z167=Constants!$B$7,IF(ISNUMBER(AG167),COUNTIFS($AA$8:$AA$507,"&lt;"&amp;$AA167)+COUNTIFS($AA$8:$AA$507,$AA167,$AG$8:$AG$507,"&lt;"&amp;$AG167)+COUNTIFS($AA$8:$AA$507,$AA167,$AG$8:$AG$507,$AG167,$AJ$8:$AJ$507,"&lt;"&amp;$AJ167)+1,Constants!$B$14),$Z167))</f>
        <v/>
      </c>
      <c r="AL167" s="97" t="str">
        <f aca="false">IF(ISBLANK($C167),"",IF($Z167=Constants!$B$7,IF(ISNUMBER(AH167),AH167-AK167,Constants!$B$14),$Z167))</f>
        <v/>
      </c>
      <c r="AM167" s="98"/>
      <c r="AN167" s="99" t="str">
        <f aca="false">IF(ISBLANK($C167),"",IF($Z167&lt;&gt;Constants!$B$7,$Z167,AD167))</f>
        <v/>
      </c>
      <c r="AO167" s="100" t="str">
        <f aca="false">IF(ISBLANK($C167),"",IF($Z167&lt;&gt;Constants!$B$7,$Z167,S167))</f>
        <v/>
      </c>
      <c r="AP167" s="101" t="str">
        <f aca="false">IF(ISBLANK($C167),"",IF($Z167&lt;&gt;Constants!$B$7,$Z167,AF167))</f>
        <v/>
      </c>
      <c r="AQ167" s="102" t="str">
        <f aca="false">IF(ISBLANK($C167),"",IF($Z167&lt;&gt;Constants!$B$7,$Z167,AA167))</f>
        <v/>
      </c>
      <c r="AR167" s="100" t="str">
        <f aca="false">IF(ISBLANK($C167),"",AL167)</f>
        <v/>
      </c>
      <c r="AS167" s="100" t="str">
        <f aca="false">IF(ISBLANK($C167),"",AK167)</f>
        <v/>
      </c>
      <c r="AT167" s="103" t="str">
        <f aca="false">IF(ISBLANK($C167),"",IF(AS167=Constants!$B$4,COUNTA($C$8:$C$507)+2,IF(AS167=Constants!$B$5,COUNTA($C$8:$C$507)+1,IF(AS167=Constants!$B$6,COUNTA($C$8:$C$507),AS167))))</f>
        <v/>
      </c>
      <c r="AU167" s="5"/>
      <c r="AV167" s="104" t="n">
        <f aca="false">IF(OR(ISNUMBER(AS167),AS167=Constants!$B$4,AS167=Constants!$B$6,AS167=Constants!$B$5),1,0)</f>
        <v>0</v>
      </c>
      <c r="AW167" s="104" t="n">
        <v>160</v>
      </c>
      <c r="AX167" s="104" t="str">
        <f aca="false">IF(ISBLANK($C167),"",IF(ISNUMBER(AT167),AT167+ROW($B167)/1000,""))</f>
        <v/>
      </c>
      <c r="AY167" s="104" t="str">
        <f aca="false">IF(ISNUMBER(AX167),RANK(AX167,$AX$8:$AX$507,1),"")</f>
        <v/>
      </c>
      <c r="AZ167" s="104" t="str">
        <f aca="false">IF(ISBLANK($C167),"",$B167)</f>
        <v/>
      </c>
      <c r="BA167" s="104" t="str">
        <f aca="false">IF(ISBLANK($C167),"",$C167)</f>
        <v/>
      </c>
      <c r="BB167" s="104" t="str">
        <f aca="false">IF(ISBLANK($C167),"",$D167)</f>
        <v/>
      </c>
      <c r="BC167" s="105" t="str">
        <f aca="false">AQ167</f>
        <v/>
      </c>
      <c r="BD167" s="106" t="str">
        <f aca="false">AP167</f>
        <v/>
      </c>
      <c r="BE167" s="104" t="str">
        <f aca="false">IF(ISBLANK($C167),"",AS167)</f>
        <v/>
      </c>
      <c r="BF167" s="107" t="str">
        <f aca="false">IF($AW167&gt;$AV$7,"",VLOOKUP($AW167,$AY$8:$BE$507,7,FALSE()))</f>
        <v/>
      </c>
      <c r="BG167" s="108" t="str">
        <f aca="false">IF($AW167&gt;$AV$7,"",VLOOKUP($AW167,$AY$8:$BE$507,2,FALSE()))</f>
        <v/>
      </c>
      <c r="BH167" s="108" t="str">
        <f aca="false">IF($AW167&gt;$AV$7,"",VLOOKUP($AW167,$AY$8:$BE$507,3,FALSE()))</f>
        <v/>
      </c>
      <c r="BI167" s="108" t="str">
        <f aca="false">IF($AW167&gt;$AV$7,"",VLOOKUP($AW167,$AY$8:$BE$507,4,FALSE()))</f>
        <v/>
      </c>
      <c r="BJ167" s="108" t="str">
        <f aca="false">IF($AW167&gt;$AV$7,"",VLOOKUP($AW167,$AY$8:$BE$507,5,FALSE()))</f>
        <v/>
      </c>
      <c r="BK167" s="109" t="str">
        <f aca="false">IF($AW167&gt;$AV$7,"",VLOOKUP($AW167,$AY$8:$BE$507,6,FALSE()))</f>
        <v/>
      </c>
      <c r="BL167" s="50"/>
    </row>
    <row r="168" customFormat="false" ht="15.75" hidden="false" customHeight="false" outlineLevel="0" collapsed="false">
      <c r="A168" s="5"/>
      <c r="B168" s="124"/>
      <c r="C168" s="125"/>
      <c r="D168" s="110"/>
      <c r="E168" s="130"/>
      <c r="F168" s="135"/>
      <c r="G168" s="88"/>
      <c r="H168" s="136"/>
      <c r="I168" s="137"/>
      <c r="J168" s="91"/>
      <c r="K168" s="92"/>
      <c r="L168" s="137"/>
      <c r="M168" s="93"/>
      <c r="N168" s="94"/>
      <c r="O168" s="130"/>
      <c r="P168" s="96"/>
      <c r="Q168" s="97" t="str">
        <f aca="false">IF(ISBLANK($C168),"",IF(E168=Constants!$B$2, TRUE(), IF(E168=Constants!$B$3, FALSE(), TRUE())))</f>
        <v/>
      </c>
      <c r="R168" s="97" t="str">
        <f aca="false">IF(ISBLANK($C168),"",IF(F168=Constants!$B$2, TRUE(), IF(F168=Constants!$B$3, FALSE(), TRUE())))</f>
        <v/>
      </c>
      <c r="S168" s="97" t="str">
        <f aca="false">IF(ISBLANK($C168),"",IF(G168=Constants!$B$15,Constants!$B$8,IF(G168=Constants!$B$16,Constants!$B$9,Constants!$B$10)))</f>
        <v/>
      </c>
      <c r="T168" s="97" t="str">
        <f aca="false">IF(ISBLANK($C168),"",IF(H168=Constants!$B$2, TRUE(), IF(H168=Constants!$B$3, FALSE(), TRUE())))</f>
        <v/>
      </c>
      <c r="U168" s="97" t="str">
        <f aca="false">IF(ISBLANK($C168),"",IF(I168=Constants!$B$19,Constants!$B$19,Constants!$B$18))</f>
        <v/>
      </c>
      <c r="V168" s="97" t="str">
        <f aca="false">IF(ISBLANK($C168),"",IF(COUNTA(J168:K168)=0,"",IF(AND(OR(ISBLANK(J168),AND(ISNUMBER(J168),J168&gt;=0)),OR(ISBLANK(K168),AND(ISNUMBER(K168),K168&gt;=0))),60*IF(ISBLANK(J168),0,J168)+IF(ISBLANK(K168),0,K168),"")))</f>
        <v/>
      </c>
      <c r="W168" s="97" t="str">
        <f aca="false">IF(ISBLANK($C168),"",IF(L168=Constants!$B$19,Constants!$B$19,Constants!$B$18))</f>
        <v/>
      </c>
      <c r="X168" s="97" t="str">
        <f aca="false">IF(ISBLANK($C168),"",IF(COUNTA(M168:N168)=0,"",IF(AND(OR(ISBLANK(M168),AND(ISNUMBER(M168),M168&gt;=0)),OR(ISBLANK(N168),AND(ISNUMBER(N168),N168&gt;=0))),60*IF(ISBLANK(M168),0,M168)+IF(ISBLANK(N168),0,N168),"")))</f>
        <v/>
      </c>
      <c r="Y168" s="97" t="str">
        <f aca="false">IF(ISBLANK($C168),"",IF(O168=Constants!$B$2, TRUE(), IF(O168=Constants!$B$3, FALSE(), FALSE())))</f>
        <v/>
      </c>
      <c r="Z168" s="97" t="str">
        <f aca="false">IF(ISBLANK($C168),"",IF(Y168,Constants!$B$4,IF(COUNTA(E168:N168)=0,Constants!$B$5,IF(COUNTA(J168:K168,M168:N168)=0,Constants!$B$6,Constants!$B$7))))</f>
        <v/>
      </c>
      <c r="AA168" s="97" t="str">
        <f aca="false">IF(ISBLANK($C168),"",IF($Z168&lt;&gt;Constants!$B$7,$Z168,IF(OR(NOT(T168),AND(NOT(Q168),COUNTIFS(U168:W168,Constants!$B$18,V168:X168,"&gt;=0")&gt;0),AND(NOT(R168),COUNTIFS(U168:W168,Constants!$B$19,V168:X168,"&gt;=0")&gt;0)),Constants!$B$12,Constants!$B$11)))</f>
        <v/>
      </c>
      <c r="AB168" s="97" t="str">
        <f aca="false">IF($Z168=Constants!$B$7,IF(V168="",Constants!$B$13,V168),"")</f>
        <v/>
      </c>
      <c r="AC168" s="97" t="str">
        <f aca="false">IF($Z168=Constants!$B$7,IF(X168="",Constants!$B$13,X168),"")</f>
        <v/>
      </c>
      <c r="AD168" s="97" t="str">
        <f aca="false">IF($Z168=Constants!$B$7,IF($AB168&gt;=$AC168,1,2),"")</f>
        <v/>
      </c>
      <c r="AE168" s="97" t="str">
        <f aca="false">IF($Z168=Constants!$B$7,LARGE(AB168:AC168,1),"")</f>
        <v/>
      </c>
      <c r="AF168" s="97" t="str">
        <f aca="false">IF(ISBLANK($C168),"",IF($Z168&lt;&gt;Constants!$B$7,$Z168,AE168*S168))</f>
        <v/>
      </c>
      <c r="AG168" s="97" t="str">
        <f aca="false">IF(ISBLANK($C168),"",IF($Z168=Constants!$B$7,IF(ISNUMBER(AF168),RANK(AF168,$AF$8:$AF$507),Constants!$B$14),$Z168))</f>
        <v/>
      </c>
      <c r="AH168" s="97" t="str">
        <f aca="false">IF(ISBLANK($C168),"",IF($Z168=Constants!$B$7,IF(ISNUMBER(AG168),COUNTIFS($AA$8:$AA$507,"&lt;"&amp;$AA168)+COUNTIFS($AA$8:$AA$507,$AA168,$AG$8:$AG$507,"&lt;"&amp;$AG168)+1,Constants!$B$14),$Z168))</f>
        <v/>
      </c>
      <c r="AI168" s="97" t="str">
        <f aca="false">IF(ISBLANK($C168),"",IF($Z168=Constants!$B$7,LARGE(AB168:AC168,2)*S168,""))</f>
        <v/>
      </c>
      <c r="AJ168" s="97" t="str">
        <f aca="false">IF(ISBLANK($C168),"",IF($Z168=Constants!$B$7,RANK(AI168,$AI$8:$AI$507),$Z168))</f>
        <v/>
      </c>
      <c r="AK168" s="97" t="str">
        <f aca="false">IF(ISBLANK($C168),"",IF($Z168=Constants!$B$7,IF(ISNUMBER(AG168),COUNTIFS($AA$8:$AA$507,"&lt;"&amp;$AA168)+COUNTIFS($AA$8:$AA$507,$AA168,$AG$8:$AG$507,"&lt;"&amp;$AG168)+COUNTIFS($AA$8:$AA$507,$AA168,$AG$8:$AG$507,$AG168,$AJ$8:$AJ$507,"&lt;"&amp;$AJ168)+1,Constants!$B$14),$Z168))</f>
        <v/>
      </c>
      <c r="AL168" s="97" t="str">
        <f aca="false">IF(ISBLANK($C168),"",IF($Z168=Constants!$B$7,IF(ISNUMBER(AH168),AH168-AK168,Constants!$B$14),$Z168))</f>
        <v/>
      </c>
      <c r="AM168" s="98"/>
      <c r="AN168" s="99" t="str">
        <f aca="false">IF(ISBLANK($C168),"",IF($Z168&lt;&gt;Constants!$B$7,$Z168,AD168))</f>
        <v/>
      </c>
      <c r="AO168" s="100" t="str">
        <f aca="false">IF(ISBLANK($C168),"",IF($Z168&lt;&gt;Constants!$B$7,$Z168,S168))</f>
        <v/>
      </c>
      <c r="AP168" s="101" t="str">
        <f aca="false">IF(ISBLANK($C168),"",IF($Z168&lt;&gt;Constants!$B$7,$Z168,AF168))</f>
        <v/>
      </c>
      <c r="AQ168" s="102" t="str">
        <f aca="false">IF(ISBLANK($C168),"",IF($Z168&lt;&gt;Constants!$B$7,$Z168,AA168))</f>
        <v/>
      </c>
      <c r="AR168" s="100" t="str">
        <f aca="false">IF(ISBLANK($C168),"",AL168)</f>
        <v/>
      </c>
      <c r="AS168" s="100" t="str">
        <f aca="false">IF(ISBLANK($C168),"",AK168)</f>
        <v/>
      </c>
      <c r="AT168" s="103" t="str">
        <f aca="false">IF(ISBLANK($C168),"",IF(AS168=Constants!$B$4,COUNTA($C$8:$C$507)+2,IF(AS168=Constants!$B$5,COUNTA($C$8:$C$507)+1,IF(AS168=Constants!$B$6,COUNTA($C$8:$C$507),AS168))))</f>
        <v/>
      </c>
      <c r="AU168" s="5"/>
      <c r="AV168" s="104" t="n">
        <f aca="false">IF(OR(ISNUMBER(AS168),AS168=Constants!$B$4,AS168=Constants!$B$6,AS168=Constants!$B$5),1,0)</f>
        <v>0</v>
      </c>
      <c r="AW168" s="104" t="n">
        <v>161</v>
      </c>
      <c r="AX168" s="104" t="str">
        <f aca="false">IF(ISBLANK($C168),"",IF(ISNUMBER(AT168),AT168+ROW($B168)/1000,""))</f>
        <v/>
      </c>
      <c r="AY168" s="104" t="str">
        <f aca="false">IF(ISNUMBER(AX168),RANK(AX168,$AX$8:$AX$507,1),"")</f>
        <v/>
      </c>
      <c r="AZ168" s="104" t="str">
        <f aca="false">IF(ISBLANK($C168),"",$B168)</f>
        <v/>
      </c>
      <c r="BA168" s="104" t="str">
        <f aca="false">IF(ISBLANK($C168),"",$C168)</f>
        <v/>
      </c>
      <c r="BB168" s="104" t="str">
        <f aca="false">IF(ISBLANK($C168),"",$D168)</f>
        <v/>
      </c>
      <c r="BC168" s="105" t="str">
        <f aca="false">AQ168</f>
        <v/>
      </c>
      <c r="BD168" s="106" t="str">
        <f aca="false">AP168</f>
        <v/>
      </c>
      <c r="BE168" s="104" t="str">
        <f aca="false">IF(ISBLANK($C168),"",AS168)</f>
        <v/>
      </c>
      <c r="BF168" s="107" t="str">
        <f aca="false">IF($AW168&gt;$AV$7,"",VLOOKUP($AW168,$AY$8:$BE$507,7,FALSE()))</f>
        <v/>
      </c>
      <c r="BG168" s="108" t="str">
        <f aca="false">IF($AW168&gt;$AV$7,"",VLOOKUP($AW168,$AY$8:$BE$507,2,FALSE()))</f>
        <v/>
      </c>
      <c r="BH168" s="108" t="str">
        <f aca="false">IF($AW168&gt;$AV$7,"",VLOOKUP($AW168,$AY$8:$BE$507,3,FALSE()))</f>
        <v/>
      </c>
      <c r="BI168" s="108" t="str">
        <f aca="false">IF($AW168&gt;$AV$7,"",VLOOKUP($AW168,$AY$8:$BE$507,4,FALSE()))</f>
        <v/>
      </c>
      <c r="BJ168" s="108" t="str">
        <f aca="false">IF($AW168&gt;$AV$7,"",VLOOKUP($AW168,$AY$8:$BE$507,5,FALSE()))</f>
        <v/>
      </c>
      <c r="BK168" s="109" t="str">
        <f aca="false">IF($AW168&gt;$AV$7,"",VLOOKUP($AW168,$AY$8:$BE$507,6,FALSE()))</f>
        <v/>
      </c>
      <c r="BL168" s="50"/>
    </row>
    <row r="169" customFormat="false" ht="15.75" hidden="false" customHeight="false" outlineLevel="0" collapsed="false">
      <c r="A169" s="5"/>
      <c r="B169" s="124"/>
      <c r="C169" s="125"/>
      <c r="D169" s="110"/>
      <c r="E169" s="130"/>
      <c r="F169" s="135"/>
      <c r="G169" s="88"/>
      <c r="H169" s="136"/>
      <c r="I169" s="137"/>
      <c r="J169" s="91"/>
      <c r="K169" s="92"/>
      <c r="L169" s="137"/>
      <c r="M169" s="93"/>
      <c r="N169" s="94"/>
      <c r="O169" s="130"/>
      <c r="P169" s="96"/>
      <c r="Q169" s="97" t="str">
        <f aca="false">IF(ISBLANK($C169),"",IF(E169=Constants!$B$2, TRUE(), IF(E169=Constants!$B$3, FALSE(), TRUE())))</f>
        <v/>
      </c>
      <c r="R169" s="97" t="str">
        <f aca="false">IF(ISBLANK($C169),"",IF(F169=Constants!$B$2, TRUE(), IF(F169=Constants!$B$3, FALSE(), TRUE())))</f>
        <v/>
      </c>
      <c r="S169" s="97" t="str">
        <f aca="false">IF(ISBLANK($C169),"",IF(G169=Constants!$B$15,Constants!$B$8,IF(G169=Constants!$B$16,Constants!$B$9,Constants!$B$10)))</f>
        <v/>
      </c>
      <c r="T169" s="97" t="str">
        <f aca="false">IF(ISBLANK($C169),"",IF(H169=Constants!$B$2, TRUE(), IF(H169=Constants!$B$3, FALSE(), TRUE())))</f>
        <v/>
      </c>
      <c r="U169" s="97" t="str">
        <f aca="false">IF(ISBLANK($C169),"",IF(I169=Constants!$B$19,Constants!$B$19,Constants!$B$18))</f>
        <v/>
      </c>
      <c r="V169" s="97" t="str">
        <f aca="false">IF(ISBLANK($C169),"",IF(COUNTA(J169:K169)=0,"",IF(AND(OR(ISBLANK(J169),AND(ISNUMBER(J169),J169&gt;=0)),OR(ISBLANK(K169),AND(ISNUMBER(K169),K169&gt;=0))),60*IF(ISBLANK(J169),0,J169)+IF(ISBLANK(K169),0,K169),"")))</f>
        <v/>
      </c>
      <c r="W169" s="97" t="str">
        <f aca="false">IF(ISBLANK($C169),"",IF(L169=Constants!$B$19,Constants!$B$19,Constants!$B$18))</f>
        <v/>
      </c>
      <c r="X169" s="97" t="str">
        <f aca="false">IF(ISBLANK($C169),"",IF(COUNTA(M169:N169)=0,"",IF(AND(OR(ISBLANK(M169),AND(ISNUMBER(M169),M169&gt;=0)),OR(ISBLANK(N169),AND(ISNUMBER(N169),N169&gt;=0))),60*IF(ISBLANK(M169),0,M169)+IF(ISBLANK(N169),0,N169),"")))</f>
        <v/>
      </c>
      <c r="Y169" s="97" t="str">
        <f aca="false">IF(ISBLANK($C169),"",IF(O169=Constants!$B$2, TRUE(), IF(O169=Constants!$B$3, FALSE(), FALSE())))</f>
        <v/>
      </c>
      <c r="Z169" s="97" t="str">
        <f aca="false">IF(ISBLANK($C169),"",IF(Y169,Constants!$B$4,IF(COUNTA(E169:N169)=0,Constants!$B$5,IF(COUNTA(J169:K169,M169:N169)=0,Constants!$B$6,Constants!$B$7))))</f>
        <v/>
      </c>
      <c r="AA169" s="97" t="str">
        <f aca="false">IF(ISBLANK($C169),"",IF($Z169&lt;&gt;Constants!$B$7,$Z169,IF(OR(NOT(T169),AND(NOT(Q169),COUNTIFS(U169:W169,Constants!$B$18,V169:X169,"&gt;=0")&gt;0),AND(NOT(R169),COUNTIFS(U169:W169,Constants!$B$19,V169:X169,"&gt;=0")&gt;0)),Constants!$B$12,Constants!$B$11)))</f>
        <v/>
      </c>
      <c r="AB169" s="97" t="str">
        <f aca="false">IF($Z169=Constants!$B$7,IF(V169="",Constants!$B$13,V169),"")</f>
        <v/>
      </c>
      <c r="AC169" s="97" t="str">
        <f aca="false">IF($Z169=Constants!$B$7,IF(X169="",Constants!$B$13,X169),"")</f>
        <v/>
      </c>
      <c r="AD169" s="97" t="str">
        <f aca="false">IF($Z169=Constants!$B$7,IF($AB169&gt;=$AC169,1,2),"")</f>
        <v/>
      </c>
      <c r="AE169" s="97" t="str">
        <f aca="false">IF($Z169=Constants!$B$7,LARGE(AB169:AC169,1),"")</f>
        <v/>
      </c>
      <c r="AF169" s="97" t="str">
        <f aca="false">IF(ISBLANK($C169),"",IF($Z169&lt;&gt;Constants!$B$7,$Z169,AE169*S169))</f>
        <v/>
      </c>
      <c r="AG169" s="97" t="str">
        <f aca="false">IF(ISBLANK($C169),"",IF($Z169=Constants!$B$7,IF(ISNUMBER(AF169),RANK(AF169,$AF$8:$AF$507),Constants!$B$14),$Z169))</f>
        <v/>
      </c>
      <c r="AH169" s="97" t="str">
        <f aca="false">IF(ISBLANK($C169),"",IF($Z169=Constants!$B$7,IF(ISNUMBER(AG169),COUNTIFS($AA$8:$AA$507,"&lt;"&amp;$AA169)+COUNTIFS($AA$8:$AA$507,$AA169,$AG$8:$AG$507,"&lt;"&amp;$AG169)+1,Constants!$B$14),$Z169))</f>
        <v/>
      </c>
      <c r="AI169" s="97" t="str">
        <f aca="false">IF(ISBLANK($C169),"",IF($Z169=Constants!$B$7,LARGE(AB169:AC169,2)*S169,""))</f>
        <v/>
      </c>
      <c r="AJ169" s="97" t="str">
        <f aca="false">IF(ISBLANK($C169),"",IF($Z169=Constants!$B$7,RANK(AI169,$AI$8:$AI$507),$Z169))</f>
        <v/>
      </c>
      <c r="AK169" s="97" t="str">
        <f aca="false">IF(ISBLANK($C169),"",IF($Z169=Constants!$B$7,IF(ISNUMBER(AG169),COUNTIFS($AA$8:$AA$507,"&lt;"&amp;$AA169)+COUNTIFS($AA$8:$AA$507,$AA169,$AG$8:$AG$507,"&lt;"&amp;$AG169)+COUNTIFS($AA$8:$AA$507,$AA169,$AG$8:$AG$507,$AG169,$AJ$8:$AJ$507,"&lt;"&amp;$AJ169)+1,Constants!$B$14),$Z169))</f>
        <v/>
      </c>
      <c r="AL169" s="97" t="str">
        <f aca="false">IF(ISBLANK($C169),"",IF($Z169=Constants!$B$7,IF(ISNUMBER(AH169),AH169-AK169,Constants!$B$14),$Z169))</f>
        <v/>
      </c>
      <c r="AM169" s="98"/>
      <c r="AN169" s="99" t="str">
        <f aca="false">IF(ISBLANK($C169),"",IF($Z169&lt;&gt;Constants!$B$7,$Z169,AD169))</f>
        <v/>
      </c>
      <c r="AO169" s="100" t="str">
        <f aca="false">IF(ISBLANK($C169),"",IF($Z169&lt;&gt;Constants!$B$7,$Z169,S169))</f>
        <v/>
      </c>
      <c r="AP169" s="101" t="str">
        <f aca="false">IF(ISBLANK($C169),"",IF($Z169&lt;&gt;Constants!$B$7,$Z169,AF169))</f>
        <v/>
      </c>
      <c r="AQ169" s="102" t="str">
        <f aca="false">IF(ISBLANK($C169),"",IF($Z169&lt;&gt;Constants!$B$7,$Z169,AA169))</f>
        <v/>
      </c>
      <c r="AR169" s="100" t="str">
        <f aca="false">IF(ISBLANK($C169),"",AL169)</f>
        <v/>
      </c>
      <c r="AS169" s="100" t="str">
        <f aca="false">IF(ISBLANK($C169),"",AK169)</f>
        <v/>
      </c>
      <c r="AT169" s="103" t="str">
        <f aca="false">IF(ISBLANK($C169),"",IF(AS169=Constants!$B$4,COUNTA($C$8:$C$507)+2,IF(AS169=Constants!$B$5,COUNTA($C$8:$C$507)+1,IF(AS169=Constants!$B$6,COUNTA($C$8:$C$507),AS169))))</f>
        <v/>
      </c>
      <c r="AU169" s="5"/>
      <c r="AV169" s="104" t="n">
        <f aca="false">IF(OR(ISNUMBER(AS169),AS169=Constants!$B$4,AS169=Constants!$B$6,AS169=Constants!$B$5),1,0)</f>
        <v>0</v>
      </c>
      <c r="AW169" s="104" t="n">
        <v>162</v>
      </c>
      <c r="AX169" s="104" t="str">
        <f aca="false">IF(ISBLANK($C169),"",IF(ISNUMBER(AT169),AT169+ROW($B169)/1000,""))</f>
        <v/>
      </c>
      <c r="AY169" s="104" t="str">
        <f aca="false">IF(ISNUMBER(AX169),RANK(AX169,$AX$8:$AX$507,1),"")</f>
        <v/>
      </c>
      <c r="AZ169" s="104" t="str">
        <f aca="false">IF(ISBLANK($C169),"",$B169)</f>
        <v/>
      </c>
      <c r="BA169" s="104" t="str">
        <f aca="false">IF(ISBLANK($C169),"",$C169)</f>
        <v/>
      </c>
      <c r="BB169" s="104" t="str">
        <f aca="false">IF(ISBLANK($C169),"",$D169)</f>
        <v/>
      </c>
      <c r="BC169" s="105" t="str">
        <f aca="false">AQ169</f>
        <v/>
      </c>
      <c r="BD169" s="106" t="str">
        <f aca="false">AP169</f>
        <v/>
      </c>
      <c r="BE169" s="104" t="str">
        <f aca="false">IF(ISBLANK($C169),"",AS169)</f>
        <v/>
      </c>
      <c r="BF169" s="107" t="str">
        <f aca="false">IF($AW169&gt;$AV$7,"",VLOOKUP($AW169,$AY$8:$BE$507,7,FALSE()))</f>
        <v/>
      </c>
      <c r="BG169" s="108" t="str">
        <f aca="false">IF($AW169&gt;$AV$7,"",VLOOKUP($AW169,$AY$8:$BE$507,2,FALSE()))</f>
        <v/>
      </c>
      <c r="BH169" s="108" t="str">
        <f aca="false">IF($AW169&gt;$AV$7,"",VLOOKUP($AW169,$AY$8:$BE$507,3,FALSE()))</f>
        <v/>
      </c>
      <c r="BI169" s="108" t="str">
        <f aca="false">IF($AW169&gt;$AV$7,"",VLOOKUP($AW169,$AY$8:$BE$507,4,FALSE()))</f>
        <v/>
      </c>
      <c r="BJ169" s="108" t="str">
        <f aca="false">IF($AW169&gt;$AV$7,"",VLOOKUP($AW169,$AY$8:$BE$507,5,FALSE()))</f>
        <v/>
      </c>
      <c r="BK169" s="109" t="str">
        <f aca="false">IF($AW169&gt;$AV$7,"",VLOOKUP($AW169,$AY$8:$BE$507,6,FALSE()))</f>
        <v/>
      </c>
      <c r="BL169" s="50"/>
    </row>
    <row r="170" customFormat="false" ht="15.75" hidden="false" customHeight="false" outlineLevel="0" collapsed="false">
      <c r="A170" s="5"/>
      <c r="B170" s="131"/>
      <c r="C170" s="52"/>
      <c r="D170" s="53"/>
      <c r="E170" s="80"/>
      <c r="F170" s="132"/>
      <c r="G170" s="56"/>
      <c r="H170" s="133"/>
      <c r="I170" s="134"/>
      <c r="J170" s="59"/>
      <c r="K170" s="60"/>
      <c r="L170" s="134"/>
      <c r="M170" s="61"/>
      <c r="N170" s="62"/>
      <c r="O170" s="80"/>
      <c r="P170" s="64"/>
      <c r="Q170" s="65" t="str">
        <f aca="false">IF(ISBLANK($C170),"",IF(E170=Constants!$B$2, TRUE(), IF(E170=Constants!$B$3, FALSE(), TRUE())))</f>
        <v/>
      </c>
      <c r="R170" s="65" t="str">
        <f aca="false">IF(ISBLANK($C170),"",IF(F170=Constants!$B$2, TRUE(), IF(F170=Constants!$B$3, FALSE(), TRUE())))</f>
        <v/>
      </c>
      <c r="S170" s="65" t="str">
        <f aca="false">IF(ISBLANK($C170),"",IF(G170=Constants!$B$15,Constants!$B$8,IF(G170=Constants!$B$16,Constants!$B$9,Constants!$B$10)))</f>
        <v/>
      </c>
      <c r="T170" s="65" t="str">
        <f aca="false">IF(ISBLANK($C170),"",IF(H170=Constants!$B$2, TRUE(), IF(H170=Constants!$B$3, FALSE(), TRUE())))</f>
        <v/>
      </c>
      <c r="U170" s="65" t="str">
        <f aca="false">IF(ISBLANK($C170),"",IF(I170=Constants!$B$19,Constants!$B$19,Constants!$B$18))</f>
        <v/>
      </c>
      <c r="V170" s="65" t="str">
        <f aca="false">IF(ISBLANK($C170),"",IF(COUNTA(J170:K170)=0,"",IF(AND(OR(ISBLANK(J170),AND(ISNUMBER(J170),J170&gt;=0)),OR(ISBLANK(K170),AND(ISNUMBER(K170),K170&gt;=0))),60*IF(ISBLANK(J170),0,J170)+IF(ISBLANK(K170),0,K170),"")))</f>
        <v/>
      </c>
      <c r="W170" s="65" t="str">
        <f aca="false">IF(ISBLANK($C170),"",IF(L170=Constants!$B$19,Constants!$B$19,Constants!$B$18))</f>
        <v/>
      </c>
      <c r="X170" s="65" t="str">
        <f aca="false">IF(ISBLANK($C170),"",IF(COUNTA(M170:N170)=0,"",IF(AND(OR(ISBLANK(M170),AND(ISNUMBER(M170),M170&gt;=0)),OR(ISBLANK(N170),AND(ISNUMBER(N170),N170&gt;=0))),60*IF(ISBLANK(M170),0,M170)+IF(ISBLANK(N170),0,N170),"")))</f>
        <v/>
      </c>
      <c r="Y170" s="65" t="str">
        <f aca="false">IF(ISBLANK($C170),"",IF(O170=Constants!$B$2, TRUE(), IF(O170=Constants!$B$3, FALSE(), FALSE())))</f>
        <v/>
      </c>
      <c r="Z170" s="65" t="str">
        <f aca="false">IF(ISBLANK($C170),"",IF(Y170,Constants!$B$4,IF(COUNTA(E170:N170)=0,Constants!$B$5,IF(COUNTA(J170:K170,M170:N170)=0,Constants!$B$6,Constants!$B$7))))</f>
        <v/>
      </c>
      <c r="AA170" s="65" t="str">
        <f aca="false">IF(ISBLANK($C170),"",IF($Z170&lt;&gt;Constants!$B$7,$Z170,IF(OR(NOT(T170),AND(NOT(Q170),COUNTIFS(U170:W170,Constants!$B$18,V170:X170,"&gt;=0")&gt;0),AND(NOT(R170),COUNTIFS(U170:W170,Constants!$B$19,V170:X170,"&gt;=0")&gt;0)),Constants!$B$12,Constants!$B$11)))</f>
        <v/>
      </c>
      <c r="AB170" s="65" t="str">
        <f aca="false">IF($Z170=Constants!$B$7,IF(V170="",Constants!$B$13,V170),"")</f>
        <v/>
      </c>
      <c r="AC170" s="65" t="str">
        <f aca="false">IF($Z170=Constants!$B$7,IF(X170="",Constants!$B$13,X170),"")</f>
        <v/>
      </c>
      <c r="AD170" s="65" t="str">
        <f aca="false">IF($Z170=Constants!$B$7,IF($AB170&gt;=$AC170,1,2),"")</f>
        <v/>
      </c>
      <c r="AE170" s="65" t="str">
        <f aca="false">IF($Z170=Constants!$B$7,LARGE(AB170:AC170,1),"")</f>
        <v/>
      </c>
      <c r="AF170" s="65" t="str">
        <f aca="false">IF(ISBLANK($C170),"",IF($Z170&lt;&gt;Constants!$B$7,$Z170,AE170*S170))</f>
        <v/>
      </c>
      <c r="AG170" s="65" t="str">
        <f aca="false">IF(ISBLANK($C170),"",IF($Z170=Constants!$B$7,IF(ISNUMBER(AF170),RANK(AF170,$AF$8:$AF$507),Constants!$B$14),$Z170))</f>
        <v/>
      </c>
      <c r="AH170" s="65" t="str">
        <f aca="false">IF(ISBLANK($C170),"",IF($Z170=Constants!$B$7,IF(ISNUMBER(AG170),COUNTIFS($AA$8:$AA$507,"&lt;"&amp;$AA170)+COUNTIFS($AA$8:$AA$507,$AA170,$AG$8:$AG$507,"&lt;"&amp;$AG170)+1,Constants!$B$14),$Z170))</f>
        <v/>
      </c>
      <c r="AI170" s="65" t="str">
        <f aca="false">IF(ISBLANK($C170),"",IF($Z170=Constants!$B$7,LARGE(AB170:AC170,2)*S170,""))</f>
        <v/>
      </c>
      <c r="AJ170" s="65" t="str">
        <f aca="false">IF(ISBLANK($C170),"",IF($Z170=Constants!$B$7,RANK(AI170,$AI$8:$AI$507),$Z170))</f>
        <v/>
      </c>
      <c r="AK170" s="65" t="str">
        <f aca="false">IF(ISBLANK($C170),"",IF($Z170=Constants!$B$7,IF(ISNUMBER(AG170),COUNTIFS($AA$8:$AA$507,"&lt;"&amp;$AA170)+COUNTIFS($AA$8:$AA$507,$AA170,$AG$8:$AG$507,"&lt;"&amp;$AG170)+COUNTIFS($AA$8:$AA$507,$AA170,$AG$8:$AG$507,$AG170,$AJ$8:$AJ$507,"&lt;"&amp;$AJ170)+1,Constants!$B$14),$Z170))</f>
        <v/>
      </c>
      <c r="AL170" s="65" t="str">
        <f aca="false">IF(ISBLANK($C170),"",IF($Z170=Constants!$B$7,IF(ISNUMBER(AH170),AH170-AK170,Constants!$B$14),$Z170))</f>
        <v/>
      </c>
      <c r="AM170" s="67"/>
      <c r="AN170" s="68" t="str">
        <f aca="false">IF(ISBLANK($C170),"",IF($Z170&lt;&gt;Constants!$B$7,$Z170,AD170))</f>
        <v/>
      </c>
      <c r="AO170" s="69" t="str">
        <f aca="false">IF(ISBLANK($C170),"",IF($Z170&lt;&gt;Constants!$B$7,$Z170,S170))</f>
        <v/>
      </c>
      <c r="AP170" s="70" t="str">
        <f aca="false">IF(ISBLANK($C170),"",IF($Z170&lt;&gt;Constants!$B$7,$Z170,AF170))</f>
        <v/>
      </c>
      <c r="AQ170" s="71" t="str">
        <f aca="false">IF(ISBLANK($C170),"",IF($Z170&lt;&gt;Constants!$B$7,$Z170,AA170))</f>
        <v/>
      </c>
      <c r="AR170" s="69" t="str">
        <f aca="false">IF(ISBLANK($C170),"",AL170)</f>
        <v/>
      </c>
      <c r="AS170" s="69" t="str">
        <f aca="false">IF(ISBLANK($C170),"",AK170)</f>
        <v/>
      </c>
      <c r="AT170" s="72" t="str">
        <f aca="false">IF(ISBLANK($C170),"",IF(AS170=Constants!$B$4,COUNTA($C$8:$C$507)+2,IF(AS170=Constants!$B$5,COUNTA($C$8:$C$507)+1,IF(AS170=Constants!$B$6,COUNTA($C$8:$C$507),AS170))))</f>
        <v/>
      </c>
      <c r="AU170" s="5"/>
      <c r="AV170" s="73" t="n">
        <f aca="false">IF(OR(ISNUMBER(AS170),AS170=Constants!$B$4,AS170=Constants!$B$6,AS170=Constants!$B$5),1,0)</f>
        <v>0</v>
      </c>
      <c r="AW170" s="73" t="n">
        <v>163</v>
      </c>
      <c r="AX170" s="73" t="str">
        <f aca="false">IF(ISBLANK($C170),"",IF(ISNUMBER(AT170),AT170+ROW($B170)/1000,""))</f>
        <v/>
      </c>
      <c r="AY170" s="73" t="str">
        <f aca="false">IF(ISNUMBER(AX170),RANK(AX170,$AX$8:$AX$507,1),"")</f>
        <v/>
      </c>
      <c r="AZ170" s="73" t="str">
        <f aca="false">IF(ISBLANK($C170),"",$B170)</f>
        <v/>
      </c>
      <c r="BA170" s="73" t="str">
        <f aca="false">IF(ISBLANK($C170),"",$C170)</f>
        <v/>
      </c>
      <c r="BB170" s="73" t="str">
        <f aca="false">IF(ISBLANK($C170),"",$D170)</f>
        <v/>
      </c>
      <c r="BC170" s="74" t="str">
        <f aca="false">AQ170</f>
        <v/>
      </c>
      <c r="BD170" s="75" t="str">
        <f aca="false">AP170</f>
        <v/>
      </c>
      <c r="BE170" s="73" t="str">
        <f aca="false">IF(ISBLANK($C170),"",AS170)</f>
        <v/>
      </c>
      <c r="BF170" s="76" t="str">
        <f aca="false">IF($AW170&gt;$AV$7,"",VLOOKUP($AW170,$AY$8:$BE$507,7,FALSE()))</f>
        <v/>
      </c>
      <c r="BG170" s="77" t="str">
        <f aca="false">IF($AW170&gt;$AV$7,"",VLOOKUP($AW170,$AY$8:$BE$507,2,FALSE()))</f>
        <v/>
      </c>
      <c r="BH170" s="77" t="str">
        <f aca="false">IF($AW170&gt;$AV$7,"",VLOOKUP($AW170,$AY$8:$BE$507,3,FALSE()))</f>
        <v/>
      </c>
      <c r="BI170" s="77" t="str">
        <f aca="false">IF($AW170&gt;$AV$7,"",VLOOKUP($AW170,$AY$8:$BE$507,4,FALSE()))</f>
        <v/>
      </c>
      <c r="BJ170" s="77" t="str">
        <f aca="false">IF($AW170&gt;$AV$7,"",VLOOKUP($AW170,$AY$8:$BE$507,5,FALSE()))</f>
        <v/>
      </c>
      <c r="BK170" s="78" t="str">
        <f aca="false">IF($AW170&gt;$AV$7,"",VLOOKUP($AW170,$AY$8:$BE$507,6,FALSE()))</f>
        <v/>
      </c>
      <c r="BL170" s="50"/>
    </row>
    <row r="171" customFormat="false" ht="15.75" hidden="false" customHeight="false" outlineLevel="0" collapsed="false">
      <c r="A171" s="5"/>
      <c r="B171" s="131"/>
      <c r="C171" s="52"/>
      <c r="D171" s="53"/>
      <c r="E171" s="80"/>
      <c r="F171" s="132"/>
      <c r="G171" s="56"/>
      <c r="H171" s="133"/>
      <c r="I171" s="134"/>
      <c r="J171" s="59"/>
      <c r="K171" s="60"/>
      <c r="L171" s="134"/>
      <c r="M171" s="61"/>
      <c r="N171" s="62"/>
      <c r="O171" s="80"/>
      <c r="P171" s="64"/>
      <c r="Q171" s="65" t="str">
        <f aca="false">IF(ISBLANK($C171),"",IF(E171=Constants!$B$2, TRUE(), IF(E171=Constants!$B$3, FALSE(), TRUE())))</f>
        <v/>
      </c>
      <c r="R171" s="65" t="str">
        <f aca="false">IF(ISBLANK($C171),"",IF(F171=Constants!$B$2, TRUE(), IF(F171=Constants!$B$3, FALSE(), TRUE())))</f>
        <v/>
      </c>
      <c r="S171" s="65" t="str">
        <f aca="false">IF(ISBLANK($C171),"",IF(G171=Constants!$B$15,Constants!$B$8,IF(G171=Constants!$B$16,Constants!$B$9,Constants!$B$10)))</f>
        <v/>
      </c>
      <c r="T171" s="65" t="str">
        <f aca="false">IF(ISBLANK($C171),"",IF(H171=Constants!$B$2, TRUE(), IF(H171=Constants!$B$3, FALSE(), TRUE())))</f>
        <v/>
      </c>
      <c r="U171" s="65" t="str">
        <f aca="false">IF(ISBLANK($C171),"",IF(I171=Constants!$B$19,Constants!$B$19,Constants!$B$18))</f>
        <v/>
      </c>
      <c r="V171" s="65" t="str">
        <f aca="false">IF(ISBLANK($C171),"",IF(COUNTA(J171:K171)=0,"",IF(AND(OR(ISBLANK(J171),AND(ISNUMBER(J171),J171&gt;=0)),OR(ISBLANK(K171),AND(ISNUMBER(K171),K171&gt;=0))),60*IF(ISBLANK(J171),0,J171)+IF(ISBLANK(K171),0,K171),"")))</f>
        <v/>
      </c>
      <c r="W171" s="65" t="str">
        <f aca="false">IF(ISBLANK($C171),"",IF(L171=Constants!$B$19,Constants!$B$19,Constants!$B$18))</f>
        <v/>
      </c>
      <c r="X171" s="65" t="str">
        <f aca="false">IF(ISBLANK($C171),"",IF(COUNTA(M171:N171)=0,"",IF(AND(OR(ISBLANK(M171),AND(ISNUMBER(M171),M171&gt;=0)),OR(ISBLANK(N171),AND(ISNUMBER(N171),N171&gt;=0))),60*IF(ISBLANK(M171),0,M171)+IF(ISBLANK(N171),0,N171),"")))</f>
        <v/>
      </c>
      <c r="Y171" s="65" t="str">
        <f aca="false">IF(ISBLANK($C171),"",IF(O171=Constants!$B$2, TRUE(), IF(O171=Constants!$B$3, FALSE(), FALSE())))</f>
        <v/>
      </c>
      <c r="Z171" s="65" t="str">
        <f aca="false">IF(ISBLANK($C171),"",IF(Y171,Constants!$B$4,IF(COUNTA(E171:N171)=0,Constants!$B$5,IF(COUNTA(J171:K171,M171:N171)=0,Constants!$B$6,Constants!$B$7))))</f>
        <v/>
      </c>
      <c r="AA171" s="65" t="str">
        <f aca="false">IF(ISBLANK($C171),"",IF($Z171&lt;&gt;Constants!$B$7,$Z171,IF(OR(NOT(T171),AND(NOT(Q171),COUNTIFS(U171:W171,Constants!$B$18,V171:X171,"&gt;=0")&gt;0),AND(NOT(R171),COUNTIFS(U171:W171,Constants!$B$19,V171:X171,"&gt;=0")&gt;0)),Constants!$B$12,Constants!$B$11)))</f>
        <v/>
      </c>
      <c r="AB171" s="65" t="str">
        <f aca="false">IF($Z171=Constants!$B$7,IF(V171="",Constants!$B$13,V171),"")</f>
        <v/>
      </c>
      <c r="AC171" s="65" t="str">
        <f aca="false">IF($Z171=Constants!$B$7,IF(X171="",Constants!$B$13,X171),"")</f>
        <v/>
      </c>
      <c r="AD171" s="65" t="str">
        <f aca="false">IF($Z171=Constants!$B$7,IF($AB171&gt;=$AC171,1,2),"")</f>
        <v/>
      </c>
      <c r="AE171" s="65" t="str">
        <f aca="false">IF($Z171=Constants!$B$7,LARGE(AB171:AC171,1),"")</f>
        <v/>
      </c>
      <c r="AF171" s="65" t="str">
        <f aca="false">IF(ISBLANK($C171),"",IF($Z171&lt;&gt;Constants!$B$7,$Z171,AE171*S171))</f>
        <v/>
      </c>
      <c r="AG171" s="65" t="str">
        <f aca="false">IF(ISBLANK($C171),"",IF($Z171=Constants!$B$7,IF(ISNUMBER(AF171),RANK(AF171,$AF$8:$AF$507),Constants!$B$14),$Z171))</f>
        <v/>
      </c>
      <c r="AH171" s="65" t="str">
        <f aca="false">IF(ISBLANK($C171),"",IF($Z171=Constants!$B$7,IF(ISNUMBER(AG171),COUNTIFS($AA$8:$AA$507,"&lt;"&amp;$AA171)+COUNTIFS($AA$8:$AA$507,$AA171,$AG$8:$AG$507,"&lt;"&amp;$AG171)+1,Constants!$B$14),$Z171))</f>
        <v/>
      </c>
      <c r="AI171" s="65" t="str">
        <f aca="false">IF(ISBLANK($C171),"",IF($Z171=Constants!$B$7,LARGE(AB171:AC171,2)*S171,""))</f>
        <v/>
      </c>
      <c r="AJ171" s="65" t="str">
        <f aca="false">IF(ISBLANK($C171),"",IF($Z171=Constants!$B$7,RANK(AI171,$AI$8:$AI$507),$Z171))</f>
        <v/>
      </c>
      <c r="AK171" s="65" t="str">
        <f aca="false">IF(ISBLANK($C171),"",IF($Z171=Constants!$B$7,IF(ISNUMBER(AG171),COUNTIFS($AA$8:$AA$507,"&lt;"&amp;$AA171)+COUNTIFS($AA$8:$AA$507,$AA171,$AG$8:$AG$507,"&lt;"&amp;$AG171)+COUNTIFS($AA$8:$AA$507,$AA171,$AG$8:$AG$507,$AG171,$AJ$8:$AJ$507,"&lt;"&amp;$AJ171)+1,Constants!$B$14),$Z171))</f>
        <v/>
      </c>
      <c r="AL171" s="65" t="str">
        <f aca="false">IF(ISBLANK($C171),"",IF($Z171=Constants!$B$7,IF(ISNUMBER(AH171),AH171-AK171,Constants!$B$14),$Z171))</f>
        <v/>
      </c>
      <c r="AM171" s="67"/>
      <c r="AN171" s="68" t="str">
        <f aca="false">IF(ISBLANK($C171),"",IF($Z171&lt;&gt;Constants!$B$7,$Z171,AD171))</f>
        <v/>
      </c>
      <c r="AO171" s="69" t="str">
        <f aca="false">IF(ISBLANK($C171),"",IF($Z171&lt;&gt;Constants!$B$7,$Z171,S171))</f>
        <v/>
      </c>
      <c r="AP171" s="70" t="str">
        <f aca="false">IF(ISBLANK($C171),"",IF($Z171&lt;&gt;Constants!$B$7,$Z171,AF171))</f>
        <v/>
      </c>
      <c r="AQ171" s="71" t="str">
        <f aca="false">IF(ISBLANK($C171),"",IF($Z171&lt;&gt;Constants!$B$7,$Z171,AA171))</f>
        <v/>
      </c>
      <c r="AR171" s="69" t="str">
        <f aca="false">IF(ISBLANK($C171),"",AL171)</f>
        <v/>
      </c>
      <c r="AS171" s="69" t="str">
        <f aca="false">IF(ISBLANK($C171),"",AK171)</f>
        <v/>
      </c>
      <c r="AT171" s="72" t="str">
        <f aca="false">IF(ISBLANK($C171),"",IF(AS171=Constants!$B$4,COUNTA($C$8:$C$507)+2,IF(AS171=Constants!$B$5,COUNTA($C$8:$C$507)+1,IF(AS171=Constants!$B$6,COUNTA($C$8:$C$507),AS171))))</f>
        <v/>
      </c>
      <c r="AU171" s="5"/>
      <c r="AV171" s="73" t="n">
        <f aca="false">IF(OR(ISNUMBER(AS171),AS171=Constants!$B$4,AS171=Constants!$B$6,AS171=Constants!$B$5),1,0)</f>
        <v>0</v>
      </c>
      <c r="AW171" s="73" t="n">
        <v>164</v>
      </c>
      <c r="AX171" s="73" t="str">
        <f aca="false">IF(ISBLANK($C171),"",IF(ISNUMBER(AT171),AT171+ROW($B171)/1000,""))</f>
        <v/>
      </c>
      <c r="AY171" s="73" t="str">
        <f aca="false">IF(ISNUMBER(AX171),RANK(AX171,$AX$8:$AX$507,1),"")</f>
        <v/>
      </c>
      <c r="AZ171" s="73" t="str">
        <f aca="false">IF(ISBLANK($C171),"",$B171)</f>
        <v/>
      </c>
      <c r="BA171" s="73" t="str">
        <f aca="false">IF(ISBLANK($C171),"",$C171)</f>
        <v/>
      </c>
      <c r="BB171" s="73" t="str">
        <f aca="false">IF(ISBLANK($C171),"",$D171)</f>
        <v/>
      </c>
      <c r="BC171" s="74" t="str">
        <f aca="false">AQ171</f>
        <v/>
      </c>
      <c r="BD171" s="75" t="str">
        <f aca="false">AP171</f>
        <v/>
      </c>
      <c r="BE171" s="73" t="str">
        <f aca="false">IF(ISBLANK($C171),"",AS171)</f>
        <v/>
      </c>
      <c r="BF171" s="76" t="str">
        <f aca="false">IF($AW171&gt;$AV$7,"",VLOOKUP($AW171,$AY$8:$BE$507,7,FALSE()))</f>
        <v/>
      </c>
      <c r="BG171" s="77" t="str">
        <f aca="false">IF($AW171&gt;$AV$7,"",VLOOKUP($AW171,$AY$8:$BE$507,2,FALSE()))</f>
        <v/>
      </c>
      <c r="BH171" s="77" t="str">
        <f aca="false">IF($AW171&gt;$AV$7,"",VLOOKUP($AW171,$AY$8:$BE$507,3,FALSE()))</f>
        <v/>
      </c>
      <c r="BI171" s="77" t="str">
        <f aca="false">IF($AW171&gt;$AV$7,"",VLOOKUP($AW171,$AY$8:$BE$507,4,FALSE()))</f>
        <v/>
      </c>
      <c r="BJ171" s="77" t="str">
        <f aca="false">IF($AW171&gt;$AV$7,"",VLOOKUP($AW171,$AY$8:$BE$507,5,FALSE()))</f>
        <v/>
      </c>
      <c r="BK171" s="78" t="str">
        <f aca="false">IF($AW171&gt;$AV$7,"",VLOOKUP($AW171,$AY$8:$BE$507,6,FALSE()))</f>
        <v/>
      </c>
      <c r="BL171" s="50"/>
    </row>
    <row r="172" customFormat="false" ht="15.75" hidden="false" customHeight="false" outlineLevel="0" collapsed="false">
      <c r="A172" s="5"/>
      <c r="B172" s="131"/>
      <c r="C172" s="52"/>
      <c r="D172" s="53"/>
      <c r="E172" s="80"/>
      <c r="F172" s="132"/>
      <c r="G172" s="56"/>
      <c r="H172" s="133"/>
      <c r="I172" s="134"/>
      <c r="J172" s="59"/>
      <c r="K172" s="60"/>
      <c r="L172" s="134"/>
      <c r="M172" s="61"/>
      <c r="N172" s="62"/>
      <c r="O172" s="80"/>
      <c r="P172" s="64"/>
      <c r="Q172" s="65" t="str">
        <f aca="false">IF(ISBLANK($C172),"",IF(E172=Constants!$B$2, TRUE(), IF(E172=Constants!$B$3, FALSE(), TRUE())))</f>
        <v/>
      </c>
      <c r="R172" s="65" t="str">
        <f aca="false">IF(ISBLANK($C172),"",IF(F172=Constants!$B$2, TRUE(), IF(F172=Constants!$B$3, FALSE(), TRUE())))</f>
        <v/>
      </c>
      <c r="S172" s="65" t="str">
        <f aca="false">IF(ISBLANK($C172),"",IF(G172=Constants!$B$15,Constants!$B$8,IF(G172=Constants!$B$16,Constants!$B$9,Constants!$B$10)))</f>
        <v/>
      </c>
      <c r="T172" s="65" t="str">
        <f aca="false">IF(ISBLANK($C172),"",IF(H172=Constants!$B$2, TRUE(), IF(H172=Constants!$B$3, FALSE(), TRUE())))</f>
        <v/>
      </c>
      <c r="U172" s="65" t="str">
        <f aca="false">IF(ISBLANK($C172),"",IF(I172=Constants!$B$19,Constants!$B$19,Constants!$B$18))</f>
        <v/>
      </c>
      <c r="V172" s="65" t="str">
        <f aca="false">IF(ISBLANK($C172),"",IF(COUNTA(J172:K172)=0,"",IF(AND(OR(ISBLANK(J172),AND(ISNUMBER(J172),J172&gt;=0)),OR(ISBLANK(K172),AND(ISNUMBER(K172),K172&gt;=0))),60*IF(ISBLANK(J172),0,J172)+IF(ISBLANK(K172),0,K172),"")))</f>
        <v/>
      </c>
      <c r="W172" s="65" t="str">
        <f aca="false">IF(ISBLANK($C172),"",IF(L172=Constants!$B$19,Constants!$B$19,Constants!$B$18))</f>
        <v/>
      </c>
      <c r="X172" s="65" t="str">
        <f aca="false">IF(ISBLANK($C172),"",IF(COUNTA(M172:N172)=0,"",IF(AND(OR(ISBLANK(M172),AND(ISNUMBER(M172),M172&gt;=0)),OR(ISBLANK(N172),AND(ISNUMBER(N172),N172&gt;=0))),60*IF(ISBLANK(M172),0,M172)+IF(ISBLANK(N172),0,N172),"")))</f>
        <v/>
      </c>
      <c r="Y172" s="65" t="str">
        <f aca="false">IF(ISBLANK($C172),"",IF(O172=Constants!$B$2, TRUE(), IF(O172=Constants!$B$3, FALSE(), FALSE())))</f>
        <v/>
      </c>
      <c r="Z172" s="65" t="str">
        <f aca="false">IF(ISBLANK($C172),"",IF(Y172,Constants!$B$4,IF(COUNTA(E172:N172)=0,Constants!$B$5,IF(COUNTA(J172:K172,M172:N172)=0,Constants!$B$6,Constants!$B$7))))</f>
        <v/>
      </c>
      <c r="AA172" s="65" t="str">
        <f aca="false">IF(ISBLANK($C172),"",IF($Z172&lt;&gt;Constants!$B$7,$Z172,IF(OR(NOT(T172),AND(NOT(Q172),COUNTIFS(U172:W172,Constants!$B$18,V172:X172,"&gt;=0")&gt;0),AND(NOT(R172),COUNTIFS(U172:W172,Constants!$B$19,V172:X172,"&gt;=0")&gt;0)),Constants!$B$12,Constants!$B$11)))</f>
        <v/>
      </c>
      <c r="AB172" s="65" t="str">
        <f aca="false">IF($Z172=Constants!$B$7,IF(V172="",Constants!$B$13,V172),"")</f>
        <v/>
      </c>
      <c r="AC172" s="65" t="str">
        <f aca="false">IF($Z172=Constants!$B$7,IF(X172="",Constants!$B$13,X172),"")</f>
        <v/>
      </c>
      <c r="AD172" s="65" t="str">
        <f aca="false">IF($Z172=Constants!$B$7,IF($AB172&gt;=$AC172,1,2),"")</f>
        <v/>
      </c>
      <c r="AE172" s="65" t="str">
        <f aca="false">IF($Z172=Constants!$B$7,LARGE(AB172:AC172,1),"")</f>
        <v/>
      </c>
      <c r="AF172" s="65" t="str">
        <f aca="false">IF(ISBLANK($C172),"",IF($Z172&lt;&gt;Constants!$B$7,$Z172,AE172*S172))</f>
        <v/>
      </c>
      <c r="AG172" s="65" t="str">
        <f aca="false">IF(ISBLANK($C172),"",IF($Z172=Constants!$B$7,IF(ISNUMBER(AF172),RANK(AF172,$AF$8:$AF$507),Constants!$B$14),$Z172))</f>
        <v/>
      </c>
      <c r="AH172" s="65" t="str">
        <f aca="false">IF(ISBLANK($C172),"",IF($Z172=Constants!$B$7,IF(ISNUMBER(AG172),COUNTIFS($AA$8:$AA$507,"&lt;"&amp;$AA172)+COUNTIFS($AA$8:$AA$507,$AA172,$AG$8:$AG$507,"&lt;"&amp;$AG172)+1,Constants!$B$14),$Z172))</f>
        <v/>
      </c>
      <c r="AI172" s="65" t="str">
        <f aca="false">IF(ISBLANK($C172),"",IF($Z172=Constants!$B$7,LARGE(AB172:AC172,2)*S172,""))</f>
        <v/>
      </c>
      <c r="AJ172" s="65" t="str">
        <f aca="false">IF(ISBLANK($C172),"",IF($Z172=Constants!$B$7,RANK(AI172,$AI$8:$AI$507),$Z172))</f>
        <v/>
      </c>
      <c r="AK172" s="65" t="str">
        <f aca="false">IF(ISBLANK($C172),"",IF($Z172=Constants!$B$7,IF(ISNUMBER(AG172),COUNTIFS($AA$8:$AA$507,"&lt;"&amp;$AA172)+COUNTIFS($AA$8:$AA$507,$AA172,$AG$8:$AG$507,"&lt;"&amp;$AG172)+COUNTIFS($AA$8:$AA$507,$AA172,$AG$8:$AG$507,$AG172,$AJ$8:$AJ$507,"&lt;"&amp;$AJ172)+1,Constants!$B$14),$Z172))</f>
        <v/>
      </c>
      <c r="AL172" s="65" t="str">
        <f aca="false">IF(ISBLANK($C172),"",IF($Z172=Constants!$B$7,IF(ISNUMBER(AH172),AH172-AK172,Constants!$B$14),$Z172))</f>
        <v/>
      </c>
      <c r="AM172" s="67"/>
      <c r="AN172" s="68" t="str">
        <f aca="false">IF(ISBLANK($C172),"",IF($Z172&lt;&gt;Constants!$B$7,$Z172,AD172))</f>
        <v/>
      </c>
      <c r="AO172" s="69" t="str">
        <f aca="false">IF(ISBLANK($C172),"",IF($Z172&lt;&gt;Constants!$B$7,$Z172,S172))</f>
        <v/>
      </c>
      <c r="AP172" s="70" t="str">
        <f aca="false">IF(ISBLANK($C172),"",IF($Z172&lt;&gt;Constants!$B$7,$Z172,AF172))</f>
        <v/>
      </c>
      <c r="AQ172" s="71" t="str">
        <f aca="false">IF(ISBLANK($C172),"",IF($Z172&lt;&gt;Constants!$B$7,$Z172,AA172))</f>
        <v/>
      </c>
      <c r="AR172" s="69" t="str">
        <f aca="false">IF(ISBLANK($C172),"",AL172)</f>
        <v/>
      </c>
      <c r="AS172" s="69" t="str">
        <f aca="false">IF(ISBLANK($C172),"",AK172)</f>
        <v/>
      </c>
      <c r="AT172" s="72" t="str">
        <f aca="false">IF(ISBLANK($C172),"",IF(AS172=Constants!$B$4,COUNTA($C$8:$C$507)+2,IF(AS172=Constants!$B$5,COUNTA($C$8:$C$507)+1,IF(AS172=Constants!$B$6,COUNTA($C$8:$C$507),AS172))))</f>
        <v/>
      </c>
      <c r="AU172" s="5"/>
      <c r="AV172" s="73" t="n">
        <f aca="false">IF(OR(ISNUMBER(AS172),AS172=Constants!$B$4,AS172=Constants!$B$6,AS172=Constants!$B$5),1,0)</f>
        <v>0</v>
      </c>
      <c r="AW172" s="73" t="n">
        <v>165</v>
      </c>
      <c r="AX172" s="73" t="str">
        <f aca="false">IF(ISBLANK($C172),"",IF(ISNUMBER(AT172),AT172+ROW($B172)/1000,""))</f>
        <v/>
      </c>
      <c r="AY172" s="73" t="str">
        <f aca="false">IF(ISNUMBER(AX172),RANK(AX172,$AX$8:$AX$507,1),"")</f>
        <v/>
      </c>
      <c r="AZ172" s="73" t="str">
        <f aca="false">IF(ISBLANK($C172),"",$B172)</f>
        <v/>
      </c>
      <c r="BA172" s="73" t="str">
        <f aca="false">IF(ISBLANK($C172),"",$C172)</f>
        <v/>
      </c>
      <c r="BB172" s="73" t="str">
        <f aca="false">IF(ISBLANK($C172),"",$D172)</f>
        <v/>
      </c>
      <c r="BC172" s="74" t="str">
        <f aca="false">AQ172</f>
        <v/>
      </c>
      <c r="BD172" s="75" t="str">
        <f aca="false">AP172</f>
        <v/>
      </c>
      <c r="BE172" s="73" t="str">
        <f aca="false">IF(ISBLANK($C172),"",AS172)</f>
        <v/>
      </c>
      <c r="BF172" s="76" t="str">
        <f aca="false">IF($AW172&gt;$AV$7,"",VLOOKUP($AW172,$AY$8:$BE$507,7,FALSE()))</f>
        <v/>
      </c>
      <c r="BG172" s="77" t="str">
        <f aca="false">IF($AW172&gt;$AV$7,"",VLOOKUP($AW172,$AY$8:$BE$507,2,FALSE()))</f>
        <v/>
      </c>
      <c r="BH172" s="77" t="str">
        <f aca="false">IF($AW172&gt;$AV$7,"",VLOOKUP($AW172,$AY$8:$BE$507,3,FALSE()))</f>
        <v/>
      </c>
      <c r="BI172" s="77" t="str">
        <f aca="false">IF($AW172&gt;$AV$7,"",VLOOKUP($AW172,$AY$8:$BE$507,4,FALSE()))</f>
        <v/>
      </c>
      <c r="BJ172" s="77" t="str">
        <f aca="false">IF($AW172&gt;$AV$7,"",VLOOKUP($AW172,$AY$8:$BE$507,5,FALSE()))</f>
        <v/>
      </c>
      <c r="BK172" s="78" t="str">
        <f aca="false">IF($AW172&gt;$AV$7,"",VLOOKUP($AW172,$AY$8:$BE$507,6,FALSE()))</f>
        <v/>
      </c>
      <c r="BL172" s="50"/>
    </row>
    <row r="173" customFormat="false" ht="15.75" hidden="false" customHeight="false" outlineLevel="0" collapsed="false">
      <c r="A173" s="5"/>
      <c r="B173" s="124"/>
      <c r="C173" s="125"/>
      <c r="D173" s="110"/>
      <c r="E173" s="130"/>
      <c r="F173" s="135"/>
      <c r="G173" s="88"/>
      <c r="H173" s="136"/>
      <c r="I173" s="137"/>
      <c r="J173" s="91"/>
      <c r="K173" s="92"/>
      <c r="L173" s="137"/>
      <c r="M173" s="93"/>
      <c r="N173" s="94"/>
      <c r="O173" s="130"/>
      <c r="P173" s="96"/>
      <c r="Q173" s="97" t="str">
        <f aca="false">IF(ISBLANK($C173),"",IF(E173=Constants!$B$2, TRUE(), IF(E173=Constants!$B$3, FALSE(), TRUE())))</f>
        <v/>
      </c>
      <c r="R173" s="97" t="str">
        <f aca="false">IF(ISBLANK($C173),"",IF(F173=Constants!$B$2, TRUE(), IF(F173=Constants!$B$3, FALSE(), TRUE())))</f>
        <v/>
      </c>
      <c r="S173" s="97" t="str">
        <f aca="false">IF(ISBLANK($C173),"",IF(G173=Constants!$B$15,Constants!$B$8,IF(G173=Constants!$B$16,Constants!$B$9,Constants!$B$10)))</f>
        <v/>
      </c>
      <c r="T173" s="97" t="str">
        <f aca="false">IF(ISBLANK($C173),"",IF(H173=Constants!$B$2, TRUE(), IF(H173=Constants!$B$3, FALSE(), TRUE())))</f>
        <v/>
      </c>
      <c r="U173" s="97" t="str">
        <f aca="false">IF(ISBLANK($C173),"",IF(I173=Constants!$B$19,Constants!$B$19,Constants!$B$18))</f>
        <v/>
      </c>
      <c r="V173" s="97" t="str">
        <f aca="false">IF(ISBLANK($C173),"",IF(COUNTA(J173:K173)=0,"",IF(AND(OR(ISBLANK(J173),AND(ISNUMBER(J173),J173&gt;=0)),OR(ISBLANK(K173),AND(ISNUMBER(K173),K173&gt;=0))),60*IF(ISBLANK(J173),0,J173)+IF(ISBLANK(K173),0,K173),"")))</f>
        <v/>
      </c>
      <c r="W173" s="97" t="str">
        <f aca="false">IF(ISBLANK($C173),"",IF(L173=Constants!$B$19,Constants!$B$19,Constants!$B$18))</f>
        <v/>
      </c>
      <c r="X173" s="97" t="str">
        <f aca="false">IF(ISBLANK($C173),"",IF(COUNTA(M173:N173)=0,"",IF(AND(OR(ISBLANK(M173),AND(ISNUMBER(M173),M173&gt;=0)),OR(ISBLANK(N173),AND(ISNUMBER(N173),N173&gt;=0))),60*IF(ISBLANK(M173),0,M173)+IF(ISBLANK(N173),0,N173),"")))</f>
        <v/>
      </c>
      <c r="Y173" s="97" t="str">
        <f aca="false">IF(ISBLANK($C173),"",IF(O173=Constants!$B$2, TRUE(), IF(O173=Constants!$B$3, FALSE(), FALSE())))</f>
        <v/>
      </c>
      <c r="Z173" s="97" t="str">
        <f aca="false">IF(ISBLANK($C173),"",IF(Y173,Constants!$B$4,IF(COUNTA(E173:N173)=0,Constants!$B$5,IF(COUNTA(J173:K173,M173:N173)=0,Constants!$B$6,Constants!$B$7))))</f>
        <v/>
      </c>
      <c r="AA173" s="97" t="str">
        <f aca="false">IF(ISBLANK($C173),"",IF($Z173&lt;&gt;Constants!$B$7,$Z173,IF(OR(NOT(T173),AND(NOT(Q173),COUNTIFS(U173:W173,Constants!$B$18,V173:X173,"&gt;=0")&gt;0),AND(NOT(R173),COUNTIFS(U173:W173,Constants!$B$19,V173:X173,"&gt;=0")&gt;0)),Constants!$B$12,Constants!$B$11)))</f>
        <v/>
      </c>
      <c r="AB173" s="97" t="str">
        <f aca="false">IF($Z173=Constants!$B$7,IF(V173="",Constants!$B$13,V173),"")</f>
        <v/>
      </c>
      <c r="AC173" s="97" t="str">
        <f aca="false">IF($Z173=Constants!$B$7,IF(X173="",Constants!$B$13,X173),"")</f>
        <v/>
      </c>
      <c r="AD173" s="97" t="str">
        <f aca="false">IF($Z173=Constants!$B$7,IF($AB173&gt;=$AC173,1,2),"")</f>
        <v/>
      </c>
      <c r="AE173" s="97" t="str">
        <f aca="false">IF($Z173=Constants!$B$7,LARGE(AB173:AC173,1),"")</f>
        <v/>
      </c>
      <c r="AF173" s="97" t="str">
        <f aca="false">IF(ISBLANK($C173),"",IF($Z173&lt;&gt;Constants!$B$7,$Z173,AE173*S173))</f>
        <v/>
      </c>
      <c r="AG173" s="97" t="str">
        <f aca="false">IF(ISBLANK($C173),"",IF($Z173=Constants!$B$7,IF(ISNUMBER(AF173),RANK(AF173,$AF$8:$AF$507),Constants!$B$14),$Z173))</f>
        <v/>
      </c>
      <c r="AH173" s="97" t="str">
        <f aca="false">IF(ISBLANK($C173),"",IF($Z173=Constants!$B$7,IF(ISNUMBER(AG173),COUNTIFS($AA$8:$AA$507,"&lt;"&amp;$AA173)+COUNTIFS($AA$8:$AA$507,$AA173,$AG$8:$AG$507,"&lt;"&amp;$AG173)+1,Constants!$B$14),$Z173))</f>
        <v/>
      </c>
      <c r="AI173" s="97" t="str">
        <f aca="false">IF(ISBLANK($C173),"",IF($Z173=Constants!$B$7,LARGE(AB173:AC173,2)*S173,""))</f>
        <v/>
      </c>
      <c r="AJ173" s="97" t="str">
        <f aca="false">IF(ISBLANK($C173),"",IF($Z173=Constants!$B$7,RANK(AI173,$AI$8:$AI$507),$Z173))</f>
        <v/>
      </c>
      <c r="AK173" s="97" t="str">
        <f aca="false">IF(ISBLANK($C173),"",IF($Z173=Constants!$B$7,IF(ISNUMBER(AG173),COUNTIFS($AA$8:$AA$507,"&lt;"&amp;$AA173)+COUNTIFS($AA$8:$AA$507,$AA173,$AG$8:$AG$507,"&lt;"&amp;$AG173)+COUNTIFS($AA$8:$AA$507,$AA173,$AG$8:$AG$507,$AG173,$AJ$8:$AJ$507,"&lt;"&amp;$AJ173)+1,Constants!$B$14),$Z173))</f>
        <v/>
      </c>
      <c r="AL173" s="97" t="str">
        <f aca="false">IF(ISBLANK($C173),"",IF($Z173=Constants!$B$7,IF(ISNUMBER(AH173),AH173-AK173,Constants!$B$14),$Z173))</f>
        <v/>
      </c>
      <c r="AM173" s="98"/>
      <c r="AN173" s="99" t="str">
        <f aca="false">IF(ISBLANK($C173),"",IF($Z173&lt;&gt;Constants!$B$7,$Z173,AD173))</f>
        <v/>
      </c>
      <c r="AO173" s="100" t="str">
        <f aca="false">IF(ISBLANK($C173),"",IF($Z173&lt;&gt;Constants!$B$7,$Z173,S173))</f>
        <v/>
      </c>
      <c r="AP173" s="101" t="str">
        <f aca="false">IF(ISBLANK($C173),"",IF($Z173&lt;&gt;Constants!$B$7,$Z173,AF173))</f>
        <v/>
      </c>
      <c r="AQ173" s="102" t="str">
        <f aca="false">IF(ISBLANK($C173),"",IF($Z173&lt;&gt;Constants!$B$7,$Z173,AA173))</f>
        <v/>
      </c>
      <c r="AR173" s="100" t="str">
        <f aca="false">IF(ISBLANK($C173),"",AL173)</f>
        <v/>
      </c>
      <c r="AS173" s="100" t="str">
        <f aca="false">IF(ISBLANK($C173),"",AK173)</f>
        <v/>
      </c>
      <c r="AT173" s="103" t="str">
        <f aca="false">IF(ISBLANK($C173),"",IF(AS173=Constants!$B$4,COUNTA($C$8:$C$507)+2,IF(AS173=Constants!$B$5,COUNTA($C$8:$C$507)+1,IF(AS173=Constants!$B$6,COUNTA($C$8:$C$507),AS173))))</f>
        <v/>
      </c>
      <c r="AU173" s="5"/>
      <c r="AV173" s="104" t="n">
        <f aca="false">IF(OR(ISNUMBER(AS173),AS173=Constants!$B$4,AS173=Constants!$B$6,AS173=Constants!$B$5),1,0)</f>
        <v>0</v>
      </c>
      <c r="AW173" s="104" t="n">
        <v>166</v>
      </c>
      <c r="AX173" s="104" t="str">
        <f aca="false">IF(ISBLANK($C173),"",IF(ISNUMBER(AT173),AT173+ROW($B173)/1000,""))</f>
        <v/>
      </c>
      <c r="AY173" s="104" t="str">
        <f aca="false">IF(ISNUMBER(AX173),RANK(AX173,$AX$8:$AX$507,1),"")</f>
        <v/>
      </c>
      <c r="AZ173" s="104" t="str">
        <f aca="false">IF(ISBLANK($C173),"",$B173)</f>
        <v/>
      </c>
      <c r="BA173" s="104" t="str">
        <f aca="false">IF(ISBLANK($C173),"",$C173)</f>
        <v/>
      </c>
      <c r="BB173" s="104" t="str">
        <f aca="false">IF(ISBLANK($C173),"",$D173)</f>
        <v/>
      </c>
      <c r="BC173" s="105" t="str">
        <f aca="false">AQ173</f>
        <v/>
      </c>
      <c r="BD173" s="106" t="str">
        <f aca="false">AP173</f>
        <v/>
      </c>
      <c r="BE173" s="104" t="str">
        <f aca="false">IF(ISBLANK($C173),"",AS173)</f>
        <v/>
      </c>
      <c r="BF173" s="107" t="str">
        <f aca="false">IF($AW173&gt;$AV$7,"",VLOOKUP($AW173,$AY$8:$BE$507,7,FALSE()))</f>
        <v/>
      </c>
      <c r="BG173" s="108" t="str">
        <f aca="false">IF($AW173&gt;$AV$7,"",VLOOKUP($AW173,$AY$8:$BE$507,2,FALSE()))</f>
        <v/>
      </c>
      <c r="BH173" s="108" t="str">
        <f aca="false">IF($AW173&gt;$AV$7,"",VLOOKUP($AW173,$AY$8:$BE$507,3,FALSE()))</f>
        <v/>
      </c>
      <c r="BI173" s="108" t="str">
        <f aca="false">IF($AW173&gt;$AV$7,"",VLOOKUP($AW173,$AY$8:$BE$507,4,FALSE()))</f>
        <v/>
      </c>
      <c r="BJ173" s="108" t="str">
        <f aca="false">IF($AW173&gt;$AV$7,"",VLOOKUP($AW173,$AY$8:$BE$507,5,FALSE()))</f>
        <v/>
      </c>
      <c r="BK173" s="109" t="str">
        <f aca="false">IF($AW173&gt;$AV$7,"",VLOOKUP($AW173,$AY$8:$BE$507,6,FALSE()))</f>
        <v/>
      </c>
      <c r="BL173" s="50"/>
    </row>
    <row r="174" customFormat="false" ht="15.75" hidden="false" customHeight="false" outlineLevel="0" collapsed="false">
      <c r="A174" s="5"/>
      <c r="B174" s="124"/>
      <c r="C174" s="125"/>
      <c r="D174" s="110"/>
      <c r="E174" s="130"/>
      <c r="F174" s="135"/>
      <c r="G174" s="88"/>
      <c r="H174" s="136"/>
      <c r="I174" s="137"/>
      <c r="J174" s="91"/>
      <c r="K174" s="92"/>
      <c r="L174" s="137"/>
      <c r="M174" s="93"/>
      <c r="N174" s="94"/>
      <c r="O174" s="130"/>
      <c r="P174" s="96"/>
      <c r="Q174" s="97" t="str">
        <f aca="false">IF(ISBLANK($C174),"",IF(E174=Constants!$B$2, TRUE(), IF(E174=Constants!$B$3, FALSE(), TRUE())))</f>
        <v/>
      </c>
      <c r="R174" s="97" t="str">
        <f aca="false">IF(ISBLANK($C174),"",IF(F174=Constants!$B$2, TRUE(), IF(F174=Constants!$B$3, FALSE(), TRUE())))</f>
        <v/>
      </c>
      <c r="S174" s="97" t="str">
        <f aca="false">IF(ISBLANK($C174),"",IF(G174=Constants!$B$15,Constants!$B$8,IF(G174=Constants!$B$16,Constants!$B$9,Constants!$B$10)))</f>
        <v/>
      </c>
      <c r="T174" s="97" t="str">
        <f aca="false">IF(ISBLANK($C174),"",IF(H174=Constants!$B$2, TRUE(), IF(H174=Constants!$B$3, FALSE(), TRUE())))</f>
        <v/>
      </c>
      <c r="U174" s="97" t="str">
        <f aca="false">IF(ISBLANK($C174),"",IF(I174=Constants!$B$19,Constants!$B$19,Constants!$B$18))</f>
        <v/>
      </c>
      <c r="V174" s="97" t="str">
        <f aca="false">IF(ISBLANK($C174),"",IF(COUNTA(J174:K174)=0,"",IF(AND(OR(ISBLANK(J174),AND(ISNUMBER(J174),J174&gt;=0)),OR(ISBLANK(K174),AND(ISNUMBER(K174),K174&gt;=0))),60*IF(ISBLANK(J174),0,J174)+IF(ISBLANK(K174),0,K174),"")))</f>
        <v/>
      </c>
      <c r="W174" s="97" t="str">
        <f aca="false">IF(ISBLANK($C174),"",IF(L174=Constants!$B$19,Constants!$B$19,Constants!$B$18))</f>
        <v/>
      </c>
      <c r="X174" s="97" t="str">
        <f aca="false">IF(ISBLANK($C174),"",IF(COUNTA(M174:N174)=0,"",IF(AND(OR(ISBLANK(M174),AND(ISNUMBER(M174),M174&gt;=0)),OR(ISBLANK(N174),AND(ISNUMBER(N174),N174&gt;=0))),60*IF(ISBLANK(M174),0,M174)+IF(ISBLANK(N174),0,N174),"")))</f>
        <v/>
      </c>
      <c r="Y174" s="97" t="str">
        <f aca="false">IF(ISBLANK($C174),"",IF(O174=Constants!$B$2, TRUE(), IF(O174=Constants!$B$3, FALSE(), FALSE())))</f>
        <v/>
      </c>
      <c r="Z174" s="97" t="str">
        <f aca="false">IF(ISBLANK($C174),"",IF(Y174,Constants!$B$4,IF(COUNTA(E174:N174)=0,Constants!$B$5,IF(COUNTA(J174:K174,M174:N174)=0,Constants!$B$6,Constants!$B$7))))</f>
        <v/>
      </c>
      <c r="AA174" s="97" t="str">
        <f aca="false">IF(ISBLANK($C174),"",IF($Z174&lt;&gt;Constants!$B$7,$Z174,IF(OR(NOT(T174),AND(NOT(Q174),COUNTIFS(U174:W174,Constants!$B$18,V174:X174,"&gt;=0")&gt;0),AND(NOT(R174),COUNTIFS(U174:W174,Constants!$B$19,V174:X174,"&gt;=0")&gt;0)),Constants!$B$12,Constants!$B$11)))</f>
        <v/>
      </c>
      <c r="AB174" s="97" t="str">
        <f aca="false">IF($Z174=Constants!$B$7,IF(V174="",Constants!$B$13,V174),"")</f>
        <v/>
      </c>
      <c r="AC174" s="97" t="str">
        <f aca="false">IF($Z174=Constants!$B$7,IF(X174="",Constants!$B$13,X174),"")</f>
        <v/>
      </c>
      <c r="AD174" s="97" t="str">
        <f aca="false">IF($Z174=Constants!$B$7,IF($AB174&gt;=$AC174,1,2),"")</f>
        <v/>
      </c>
      <c r="AE174" s="97" t="str">
        <f aca="false">IF($Z174=Constants!$B$7,LARGE(AB174:AC174,1),"")</f>
        <v/>
      </c>
      <c r="AF174" s="97" t="str">
        <f aca="false">IF(ISBLANK($C174),"",IF($Z174&lt;&gt;Constants!$B$7,$Z174,AE174*S174))</f>
        <v/>
      </c>
      <c r="AG174" s="97" t="str">
        <f aca="false">IF(ISBLANK($C174),"",IF($Z174=Constants!$B$7,IF(ISNUMBER(AF174),RANK(AF174,$AF$8:$AF$507),Constants!$B$14),$Z174))</f>
        <v/>
      </c>
      <c r="AH174" s="97" t="str">
        <f aca="false">IF(ISBLANK($C174),"",IF($Z174=Constants!$B$7,IF(ISNUMBER(AG174),COUNTIFS($AA$8:$AA$507,"&lt;"&amp;$AA174)+COUNTIFS($AA$8:$AA$507,$AA174,$AG$8:$AG$507,"&lt;"&amp;$AG174)+1,Constants!$B$14),$Z174))</f>
        <v/>
      </c>
      <c r="AI174" s="97" t="str">
        <f aca="false">IF(ISBLANK($C174),"",IF($Z174=Constants!$B$7,LARGE(AB174:AC174,2)*S174,""))</f>
        <v/>
      </c>
      <c r="AJ174" s="97" t="str">
        <f aca="false">IF(ISBLANK($C174),"",IF($Z174=Constants!$B$7,RANK(AI174,$AI$8:$AI$507),$Z174))</f>
        <v/>
      </c>
      <c r="AK174" s="97" t="str">
        <f aca="false">IF(ISBLANK($C174),"",IF($Z174=Constants!$B$7,IF(ISNUMBER(AG174),COUNTIFS($AA$8:$AA$507,"&lt;"&amp;$AA174)+COUNTIFS($AA$8:$AA$507,$AA174,$AG$8:$AG$507,"&lt;"&amp;$AG174)+COUNTIFS($AA$8:$AA$507,$AA174,$AG$8:$AG$507,$AG174,$AJ$8:$AJ$507,"&lt;"&amp;$AJ174)+1,Constants!$B$14),$Z174))</f>
        <v/>
      </c>
      <c r="AL174" s="97" t="str">
        <f aca="false">IF(ISBLANK($C174),"",IF($Z174=Constants!$B$7,IF(ISNUMBER(AH174),AH174-AK174,Constants!$B$14),$Z174))</f>
        <v/>
      </c>
      <c r="AM174" s="98"/>
      <c r="AN174" s="99" t="str">
        <f aca="false">IF(ISBLANK($C174),"",IF($Z174&lt;&gt;Constants!$B$7,$Z174,AD174))</f>
        <v/>
      </c>
      <c r="AO174" s="100" t="str">
        <f aca="false">IF(ISBLANK($C174),"",IF($Z174&lt;&gt;Constants!$B$7,$Z174,S174))</f>
        <v/>
      </c>
      <c r="AP174" s="101" t="str">
        <f aca="false">IF(ISBLANK($C174),"",IF($Z174&lt;&gt;Constants!$B$7,$Z174,AF174))</f>
        <v/>
      </c>
      <c r="AQ174" s="102" t="str">
        <f aca="false">IF(ISBLANK($C174),"",IF($Z174&lt;&gt;Constants!$B$7,$Z174,AA174))</f>
        <v/>
      </c>
      <c r="AR174" s="100" t="str">
        <f aca="false">IF(ISBLANK($C174),"",AL174)</f>
        <v/>
      </c>
      <c r="AS174" s="100" t="str">
        <f aca="false">IF(ISBLANK($C174),"",AK174)</f>
        <v/>
      </c>
      <c r="AT174" s="103" t="str">
        <f aca="false">IF(ISBLANK($C174),"",IF(AS174=Constants!$B$4,COUNTA($C$8:$C$507)+2,IF(AS174=Constants!$B$5,COUNTA($C$8:$C$507)+1,IF(AS174=Constants!$B$6,COUNTA($C$8:$C$507),AS174))))</f>
        <v/>
      </c>
      <c r="AU174" s="5"/>
      <c r="AV174" s="104" t="n">
        <f aca="false">IF(OR(ISNUMBER(AS174),AS174=Constants!$B$4,AS174=Constants!$B$6,AS174=Constants!$B$5),1,0)</f>
        <v>0</v>
      </c>
      <c r="AW174" s="104" t="n">
        <v>167</v>
      </c>
      <c r="AX174" s="104" t="str">
        <f aca="false">IF(ISBLANK($C174),"",IF(ISNUMBER(AT174),AT174+ROW($B174)/1000,""))</f>
        <v/>
      </c>
      <c r="AY174" s="104" t="str">
        <f aca="false">IF(ISNUMBER(AX174),RANK(AX174,$AX$8:$AX$507,1),"")</f>
        <v/>
      </c>
      <c r="AZ174" s="104" t="str">
        <f aca="false">IF(ISBLANK($C174),"",$B174)</f>
        <v/>
      </c>
      <c r="BA174" s="104" t="str">
        <f aca="false">IF(ISBLANK($C174),"",$C174)</f>
        <v/>
      </c>
      <c r="BB174" s="104" t="str">
        <f aca="false">IF(ISBLANK($C174),"",$D174)</f>
        <v/>
      </c>
      <c r="BC174" s="105" t="str">
        <f aca="false">AQ174</f>
        <v/>
      </c>
      <c r="BD174" s="106" t="str">
        <f aca="false">AP174</f>
        <v/>
      </c>
      <c r="BE174" s="104" t="str">
        <f aca="false">IF(ISBLANK($C174),"",AS174)</f>
        <v/>
      </c>
      <c r="BF174" s="107" t="str">
        <f aca="false">IF($AW174&gt;$AV$7,"",VLOOKUP($AW174,$AY$8:$BE$507,7,FALSE()))</f>
        <v/>
      </c>
      <c r="BG174" s="108" t="str">
        <f aca="false">IF($AW174&gt;$AV$7,"",VLOOKUP($AW174,$AY$8:$BE$507,2,FALSE()))</f>
        <v/>
      </c>
      <c r="BH174" s="108" t="str">
        <f aca="false">IF($AW174&gt;$AV$7,"",VLOOKUP($AW174,$AY$8:$BE$507,3,FALSE()))</f>
        <v/>
      </c>
      <c r="BI174" s="108" t="str">
        <f aca="false">IF($AW174&gt;$AV$7,"",VLOOKUP($AW174,$AY$8:$BE$507,4,FALSE()))</f>
        <v/>
      </c>
      <c r="BJ174" s="108" t="str">
        <f aca="false">IF($AW174&gt;$AV$7,"",VLOOKUP($AW174,$AY$8:$BE$507,5,FALSE()))</f>
        <v/>
      </c>
      <c r="BK174" s="109" t="str">
        <f aca="false">IF($AW174&gt;$AV$7,"",VLOOKUP($AW174,$AY$8:$BE$507,6,FALSE()))</f>
        <v/>
      </c>
      <c r="BL174" s="50"/>
    </row>
    <row r="175" customFormat="false" ht="15.75" hidden="false" customHeight="false" outlineLevel="0" collapsed="false">
      <c r="A175" s="5"/>
      <c r="B175" s="124"/>
      <c r="C175" s="125"/>
      <c r="D175" s="110"/>
      <c r="E175" s="130"/>
      <c r="F175" s="135"/>
      <c r="G175" s="88"/>
      <c r="H175" s="136"/>
      <c r="I175" s="137"/>
      <c r="J175" s="91"/>
      <c r="K175" s="92"/>
      <c r="L175" s="137"/>
      <c r="M175" s="93"/>
      <c r="N175" s="94"/>
      <c r="O175" s="130"/>
      <c r="P175" s="96"/>
      <c r="Q175" s="97" t="str">
        <f aca="false">IF(ISBLANK($C175),"",IF(E175=Constants!$B$2, TRUE(), IF(E175=Constants!$B$3, FALSE(), TRUE())))</f>
        <v/>
      </c>
      <c r="R175" s="97" t="str">
        <f aca="false">IF(ISBLANK($C175),"",IF(F175=Constants!$B$2, TRUE(), IF(F175=Constants!$B$3, FALSE(), TRUE())))</f>
        <v/>
      </c>
      <c r="S175" s="97" t="str">
        <f aca="false">IF(ISBLANK($C175),"",IF(G175=Constants!$B$15,Constants!$B$8,IF(G175=Constants!$B$16,Constants!$B$9,Constants!$B$10)))</f>
        <v/>
      </c>
      <c r="T175" s="97" t="str">
        <f aca="false">IF(ISBLANK($C175),"",IF(H175=Constants!$B$2, TRUE(), IF(H175=Constants!$B$3, FALSE(), TRUE())))</f>
        <v/>
      </c>
      <c r="U175" s="97" t="str">
        <f aca="false">IF(ISBLANK($C175),"",IF(I175=Constants!$B$19,Constants!$B$19,Constants!$B$18))</f>
        <v/>
      </c>
      <c r="V175" s="97" t="str">
        <f aca="false">IF(ISBLANK($C175),"",IF(COUNTA(J175:K175)=0,"",IF(AND(OR(ISBLANK(J175),AND(ISNUMBER(J175),J175&gt;=0)),OR(ISBLANK(K175),AND(ISNUMBER(K175),K175&gt;=0))),60*IF(ISBLANK(J175),0,J175)+IF(ISBLANK(K175),0,K175),"")))</f>
        <v/>
      </c>
      <c r="W175" s="97" t="str">
        <f aca="false">IF(ISBLANK($C175),"",IF(L175=Constants!$B$19,Constants!$B$19,Constants!$B$18))</f>
        <v/>
      </c>
      <c r="X175" s="97" t="str">
        <f aca="false">IF(ISBLANK($C175),"",IF(COUNTA(M175:N175)=0,"",IF(AND(OR(ISBLANK(M175),AND(ISNUMBER(M175),M175&gt;=0)),OR(ISBLANK(N175),AND(ISNUMBER(N175),N175&gt;=0))),60*IF(ISBLANK(M175),0,M175)+IF(ISBLANK(N175),0,N175),"")))</f>
        <v/>
      </c>
      <c r="Y175" s="97" t="str">
        <f aca="false">IF(ISBLANK($C175),"",IF(O175=Constants!$B$2, TRUE(), IF(O175=Constants!$B$3, FALSE(), FALSE())))</f>
        <v/>
      </c>
      <c r="Z175" s="97" t="str">
        <f aca="false">IF(ISBLANK($C175),"",IF(Y175,Constants!$B$4,IF(COUNTA(E175:N175)=0,Constants!$B$5,IF(COUNTA(J175:K175,M175:N175)=0,Constants!$B$6,Constants!$B$7))))</f>
        <v/>
      </c>
      <c r="AA175" s="97" t="str">
        <f aca="false">IF(ISBLANK($C175),"",IF($Z175&lt;&gt;Constants!$B$7,$Z175,IF(OR(NOT(T175),AND(NOT(Q175),COUNTIFS(U175:W175,Constants!$B$18,V175:X175,"&gt;=0")&gt;0),AND(NOT(R175),COUNTIFS(U175:W175,Constants!$B$19,V175:X175,"&gt;=0")&gt;0)),Constants!$B$12,Constants!$B$11)))</f>
        <v/>
      </c>
      <c r="AB175" s="97" t="str">
        <f aca="false">IF($Z175=Constants!$B$7,IF(V175="",Constants!$B$13,V175),"")</f>
        <v/>
      </c>
      <c r="AC175" s="97" t="str">
        <f aca="false">IF($Z175=Constants!$B$7,IF(X175="",Constants!$B$13,X175),"")</f>
        <v/>
      </c>
      <c r="AD175" s="97" t="str">
        <f aca="false">IF($Z175=Constants!$B$7,IF($AB175&gt;=$AC175,1,2),"")</f>
        <v/>
      </c>
      <c r="AE175" s="97" t="str">
        <f aca="false">IF($Z175=Constants!$B$7,LARGE(AB175:AC175,1),"")</f>
        <v/>
      </c>
      <c r="AF175" s="97" t="str">
        <f aca="false">IF(ISBLANK($C175),"",IF($Z175&lt;&gt;Constants!$B$7,$Z175,AE175*S175))</f>
        <v/>
      </c>
      <c r="AG175" s="97" t="str">
        <f aca="false">IF(ISBLANK($C175),"",IF($Z175=Constants!$B$7,IF(ISNUMBER(AF175),RANK(AF175,$AF$8:$AF$507),Constants!$B$14),$Z175))</f>
        <v/>
      </c>
      <c r="AH175" s="97" t="str">
        <f aca="false">IF(ISBLANK($C175),"",IF($Z175=Constants!$B$7,IF(ISNUMBER(AG175),COUNTIFS($AA$8:$AA$507,"&lt;"&amp;$AA175)+COUNTIFS($AA$8:$AA$507,$AA175,$AG$8:$AG$507,"&lt;"&amp;$AG175)+1,Constants!$B$14),$Z175))</f>
        <v/>
      </c>
      <c r="AI175" s="97" t="str">
        <f aca="false">IF(ISBLANK($C175),"",IF($Z175=Constants!$B$7,LARGE(AB175:AC175,2)*S175,""))</f>
        <v/>
      </c>
      <c r="AJ175" s="97" t="str">
        <f aca="false">IF(ISBLANK($C175),"",IF($Z175=Constants!$B$7,RANK(AI175,$AI$8:$AI$507),$Z175))</f>
        <v/>
      </c>
      <c r="AK175" s="97" t="str">
        <f aca="false">IF(ISBLANK($C175),"",IF($Z175=Constants!$B$7,IF(ISNUMBER(AG175),COUNTIFS($AA$8:$AA$507,"&lt;"&amp;$AA175)+COUNTIFS($AA$8:$AA$507,$AA175,$AG$8:$AG$507,"&lt;"&amp;$AG175)+COUNTIFS($AA$8:$AA$507,$AA175,$AG$8:$AG$507,$AG175,$AJ$8:$AJ$507,"&lt;"&amp;$AJ175)+1,Constants!$B$14),$Z175))</f>
        <v/>
      </c>
      <c r="AL175" s="97" t="str">
        <f aca="false">IF(ISBLANK($C175),"",IF($Z175=Constants!$B$7,IF(ISNUMBER(AH175),AH175-AK175,Constants!$B$14),$Z175))</f>
        <v/>
      </c>
      <c r="AM175" s="98"/>
      <c r="AN175" s="99" t="str">
        <f aca="false">IF(ISBLANK($C175),"",IF($Z175&lt;&gt;Constants!$B$7,$Z175,AD175))</f>
        <v/>
      </c>
      <c r="AO175" s="100" t="str">
        <f aca="false">IF(ISBLANK($C175),"",IF($Z175&lt;&gt;Constants!$B$7,$Z175,S175))</f>
        <v/>
      </c>
      <c r="AP175" s="101" t="str">
        <f aca="false">IF(ISBLANK($C175),"",IF($Z175&lt;&gt;Constants!$B$7,$Z175,AF175))</f>
        <v/>
      </c>
      <c r="AQ175" s="102" t="str">
        <f aca="false">IF(ISBLANK($C175),"",IF($Z175&lt;&gt;Constants!$B$7,$Z175,AA175))</f>
        <v/>
      </c>
      <c r="AR175" s="100" t="str">
        <f aca="false">IF(ISBLANK($C175),"",AL175)</f>
        <v/>
      </c>
      <c r="AS175" s="100" t="str">
        <f aca="false">IF(ISBLANK($C175),"",AK175)</f>
        <v/>
      </c>
      <c r="AT175" s="103" t="str">
        <f aca="false">IF(ISBLANK($C175),"",IF(AS175=Constants!$B$4,COUNTA($C$8:$C$507)+2,IF(AS175=Constants!$B$5,COUNTA($C$8:$C$507)+1,IF(AS175=Constants!$B$6,COUNTA($C$8:$C$507),AS175))))</f>
        <v/>
      </c>
      <c r="AU175" s="5"/>
      <c r="AV175" s="104" t="n">
        <f aca="false">IF(OR(ISNUMBER(AS175),AS175=Constants!$B$4,AS175=Constants!$B$6,AS175=Constants!$B$5),1,0)</f>
        <v>0</v>
      </c>
      <c r="AW175" s="104" t="n">
        <v>168</v>
      </c>
      <c r="AX175" s="104" t="str">
        <f aca="false">IF(ISBLANK($C175),"",IF(ISNUMBER(AT175),AT175+ROW($B175)/1000,""))</f>
        <v/>
      </c>
      <c r="AY175" s="104" t="str">
        <f aca="false">IF(ISNUMBER(AX175),RANK(AX175,$AX$8:$AX$507,1),"")</f>
        <v/>
      </c>
      <c r="AZ175" s="104" t="str">
        <f aca="false">IF(ISBLANK($C175),"",$B175)</f>
        <v/>
      </c>
      <c r="BA175" s="104" t="str">
        <f aca="false">IF(ISBLANK($C175),"",$C175)</f>
        <v/>
      </c>
      <c r="BB175" s="104" t="str">
        <f aca="false">IF(ISBLANK($C175),"",$D175)</f>
        <v/>
      </c>
      <c r="BC175" s="105" t="str">
        <f aca="false">AQ175</f>
        <v/>
      </c>
      <c r="BD175" s="106" t="str">
        <f aca="false">AP175</f>
        <v/>
      </c>
      <c r="BE175" s="104" t="str">
        <f aca="false">IF(ISBLANK($C175),"",AS175)</f>
        <v/>
      </c>
      <c r="BF175" s="107" t="str">
        <f aca="false">IF($AW175&gt;$AV$7,"",VLOOKUP($AW175,$AY$8:$BE$507,7,FALSE()))</f>
        <v/>
      </c>
      <c r="BG175" s="108" t="str">
        <f aca="false">IF($AW175&gt;$AV$7,"",VLOOKUP($AW175,$AY$8:$BE$507,2,FALSE()))</f>
        <v/>
      </c>
      <c r="BH175" s="108" t="str">
        <f aca="false">IF($AW175&gt;$AV$7,"",VLOOKUP($AW175,$AY$8:$BE$507,3,FALSE()))</f>
        <v/>
      </c>
      <c r="BI175" s="108" t="str">
        <f aca="false">IF($AW175&gt;$AV$7,"",VLOOKUP($AW175,$AY$8:$BE$507,4,FALSE()))</f>
        <v/>
      </c>
      <c r="BJ175" s="108" t="str">
        <f aca="false">IF($AW175&gt;$AV$7,"",VLOOKUP($AW175,$AY$8:$BE$507,5,FALSE()))</f>
        <v/>
      </c>
      <c r="BK175" s="109" t="str">
        <f aca="false">IF($AW175&gt;$AV$7,"",VLOOKUP($AW175,$AY$8:$BE$507,6,FALSE()))</f>
        <v/>
      </c>
      <c r="BL175" s="50"/>
    </row>
    <row r="176" customFormat="false" ht="15.75" hidden="false" customHeight="false" outlineLevel="0" collapsed="false">
      <c r="A176" s="5"/>
      <c r="B176" s="131"/>
      <c r="C176" s="52"/>
      <c r="D176" s="53"/>
      <c r="E176" s="80"/>
      <c r="F176" s="132"/>
      <c r="G176" s="56"/>
      <c r="H176" s="133"/>
      <c r="I176" s="134"/>
      <c r="J176" s="59"/>
      <c r="K176" s="60"/>
      <c r="L176" s="134"/>
      <c r="M176" s="61"/>
      <c r="N176" s="62"/>
      <c r="O176" s="80"/>
      <c r="P176" s="64"/>
      <c r="Q176" s="65" t="str">
        <f aca="false">IF(ISBLANK($C176),"",IF(E176=Constants!$B$2, TRUE(), IF(E176=Constants!$B$3, FALSE(), TRUE())))</f>
        <v/>
      </c>
      <c r="R176" s="65" t="str">
        <f aca="false">IF(ISBLANK($C176),"",IF(F176=Constants!$B$2, TRUE(), IF(F176=Constants!$B$3, FALSE(), TRUE())))</f>
        <v/>
      </c>
      <c r="S176" s="65" t="str">
        <f aca="false">IF(ISBLANK($C176),"",IF(G176=Constants!$B$15,Constants!$B$8,IF(G176=Constants!$B$16,Constants!$B$9,Constants!$B$10)))</f>
        <v/>
      </c>
      <c r="T176" s="65" t="str">
        <f aca="false">IF(ISBLANK($C176),"",IF(H176=Constants!$B$2, TRUE(), IF(H176=Constants!$B$3, FALSE(), TRUE())))</f>
        <v/>
      </c>
      <c r="U176" s="65" t="str">
        <f aca="false">IF(ISBLANK($C176),"",IF(I176=Constants!$B$19,Constants!$B$19,Constants!$B$18))</f>
        <v/>
      </c>
      <c r="V176" s="65" t="str">
        <f aca="false">IF(ISBLANK($C176),"",IF(COUNTA(J176:K176)=0,"",IF(AND(OR(ISBLANK(J176),AND(ISNUMBER(J176),J176&gt;=0)),OR(ISBLANK(K176),AND(ISNUMBER(K176),K176&gt;=0))),60*IF(ISBLANK(J176),0,J176)+IF(ISBLANK(K176),0,K176),"")))</f>
        <v/>
      </c>
      <c r="W176" s="65" t="str">
        <f aca="false">IF(ISBLANK($C176),"",IF(L176=Constants!$B$19,Constants!$B$19,Constants!$B$18))</f>
        <v/>
      </c>
      <c r="X176" s="65" t="str">
        <f aca="false">IF(ISBLANK($C176),"",IF(COUNTA(M176:N176)=0,"",IF(AND(OR(ISBLANK(M176),AND(ISNUMBER(M176),M176&gt;=0)),OR(ISBLANK(N176),AND(ISNUMBER(N176),N176&gt;=0))),60*IF(ISBLANK(M176),0,M176)+IF(ISBLANK(N176),0,N176),"")))</f>
        <v/>
      </c>
      <c r="Y176" s="65" t="str">
        <f aca="false">IF(ISBLANK($C176),"",IF(O176=Constants!$B$2, TRUE(), IF(O176=Constants!$B$3, FALSE(), FALSE())))</f>
        <v/>
      </c>
      <c r="Z176" s="65" t="str">
        <f aca="false">IF(ISBLANK($C176),"",IF(Y176,Constants!$B$4,IF(COUNTA(E176:N176)=0,Constants!$B$5,IF(COUNTA(J176:K176,M176:N176)=0,Constants!$B$6,Constants!$B$7))))</f>
        <v/>
      </c>
      <c r="AA176" s="65" t="str">
        <f aca="false">IF(ISBLANK($C176),"",IF($Z176&lt;&gt;Constants!$B$7,$Z176,IF(OR(NOT(T176),AND(NOT(Q176),COUNTIFS(U176:W176,Constants!$B$18,V176:X176,"&gt;=0")&gt;0),AND(NOT(R176),COUNTIFS(U176:W176,Constants!$B$19,V176:X176,"&gt;=0")&gt;0)),Constants!$B$12,Constants!$B$11)))</f>
        <v/>
      </c>
      <c r="AB176" s="65" t="str">
        <f aca="false">IF($Z176=Constants!$B$7,IF(V176="",Constants!$B$13,V176),"")</f>
        <v/>
      </c>
      <c r="AC176" s="65" t="str">
        <f aca="false">IF($Z176=Constants!$B$7,IF(X176="",Constants!$B$13,X176),"")</f>
        <v/>
      </c>
      <c r="AD176" s="65" t="str">
        <f aca="false">IF($Z176=Constants!$B$7,IF($AB176&gt;=$AC176,1,2),"")</f>
        <v/>
      </c>
      <c r="AE176" s="65" t="str">
        <f aca="false">IF($Z176=Constants!$B$7,LARGE(AB176:AC176,1),"")</f>
        <v/>
      </c>
      <c r="AF176" s="65" t="str">
        <f aca="false">IF(ISBLANK($C176),"",IF($Z176&lt;&gt;Constants!$B$7,$Z176,AE176*S176))</f>
        <v/>
      </c>
      <c r="AG176" s="65" t="str">
        <f aca="false">IF(ISBLANK($C176),"",IF($Z176=Constants!$B$7,IF(ISNUMBER(AF176),RANK(AF176,$AF$8:$AF$507),Constants!$B$14),$Z176))</f>
        <v/>
      </c>
      <c r="AH176" s="65" t="str">
        <f aca="false">IF(ISBLANK($C176),"",IF($Z176=Constants!$B$7,IF(ISNUMBER(AG176),COUNTIFS($AA$8:$AA$507,"&lt;"&amp;$AA176)+COUNTIFS($AA$8:$AA$507,$AA176,$AG$8:$AG$507,"&lt;"&amp;$AG176)+1,Constants!$B$14),$Z176))</f>
        <v/>
      </c>
      <c r="AI176" s="65" t="str">
        <f aca="false">IF(ISBLANK($C176),"",IF($Z176=Constants!$B$7,LARGE(AB176:AC176,2)*S176,""))</f>
        <v/>
      </c>
      <c r="AJ176" s="65" t="str">
        <f aca="false">IF(ISBLANK($C176),"",IF($Z176=Constants!$B$7,RANK(AI176,$AI$8:$AI$507),$Z176))</f>
        <v/>
      </c>
      <c r="AK176" s="65" t="str">
        <f aca="false">IF(ISBLANK($C176),"",IF($Z176=Constants!$B$7,IF(ISNUMBER(AG176),COUNTIFS($AA$8:$AA$507,"&lt;"&amp;$AA176)+COUNTIFS($AA$8:$AA$507,$AA176,$AG$8:$AG$507,"&lt;"&amp;$AG176)+COUNTIFS($AA$8:$AA$507,$AA176,$AG$8:$AG$507,$AG176,$AJ$8:$AJ$507,"&lt;"&amp;$AJ176)+1,Constants!$B$14),$Z176))</f>
        <v/>
      </c>
      <c r="AL176" s="65" t="str">
        <f aca="false">IF(ISBLANK($C176),"",IF($Z176=Constants!$B$7,IF(ISNUMBER(AH176),AH176-AK176,Constants!$B$14),$Z176))</f>
        <v/>
      </c>
      <c r="AM176" s="67"/>
      <c r="AN176" s="68" t="str">
        <f aca="false">IF(ISBLANK($C176),"",IF($Z176&lt;&gt;Constants!$B$7,$Z176,AD176))</f>
        <v/>
      </c>
      <c r="AO176" s="69" t="str">
        <f aca="false">IF(ISBLANK($C176),"",IF($Z176&lt;&gt;Constants!$B$7,$Z176,S176))</f>
        <v/>
      </c>
      <c r="AP176" s="70" t="str">
        <f aca="false">IF(ISBLANK($C176),"",IF($Z176&lt;&gt;Constants!$B$7,$Z176,AF176))</f>
        <v/>
      </c>
      <c r="AQ176" s="71" t="str">
        <f aca="false">IF(ISBLANK($C176),"",IF($Z176&lt;&gt;Constants!$B$7,$Z176,AA176))</f>
        <v/>
      </c>
      <c r="AR176" s="69" t="str">
        <f aca="false">IF(ISBLANK($C176),"",AL176)</f>
        <v/>
      </c>
      <c r="AS176" s="69" t="str">
        <f aca="false">IF(ISBLANK($C176),"",AK176)</f>
        <v/>
      </c>
      <c r="AT176" s="72" t="str">
        <f aca="false">IF(ISBLANK($C176),"",IF(AS176=Constants!$B$4,COUNTA($C$8:$C$507)+2,IF(AS176=Constants!$B$5,COUNTA($C$8:$C$507)+1,IF(AS176=Constants!$B$6,COUNTA($C$8:$C$507),AS176))))</f>
        <v/>
      </c>
      <c r="AU176" s="5"/>
      <c r="AV176" s="73" t="n">
        <f aca="false">IF(OR(ISNUMBER(AS176),AS176=Constants!$B$4,AS176=Constants!$B$6,AS176=Constants!$B$5),1,0)</f>
        <v>0</v>
      </c>
      <c r="AW176" s="73" t="n">
        <v>169</v>
      </c>
      <c r="AX176" s="73" t="str">
        <f aca="false">IF(ISBLANK($C176),"",IF(ISNUMBER(AT176),AT176+ROW($B176)/1000,""))</f>
        <v/>
      </c>
      <c r="AY176" s="73" t="str">
        <f aca="false">IF(ISNUMBER(AX176),RANK(AX176,$AX$8:$AX$507,1),"")</f>
        <v/>
      </c>
      <c r="AZ176" s="73" t="str">
        <f aca="false">IF(ISBLANK($C176),"",$B176)</f>
        <v/>
      </c>
      <c r="BA176" s="73" t="str">
        <f aca="false">IF(ISBLANK($C176),"",$C176)</f>
        <v/>
      </c>
      <c r="BB176" s="73" t="str">
        <f aca="false">IF(ISBLANK($C176),"",$D176)</f>
        <v/>
      </c>
      <c r="BC176" s="74" t="str">
        <f aca="false">AQ176</f>
        <v/>
      </c>
      <c r="BD176" s="75" t="str">
        <f aca="false">AP176</f>
        <v/>
      </c>
      <c r="BE176" s="73" t="str">
        <f aca="false">IF(ISBLANK($C176),"",AS176)</f>
        <v/>
      </c>
      <c r="BF176" s="76" t="str">
        <f aca="false">IF($AW176&gt;$AV$7,"",VLOOKUP($AW176,$AY$8:$BE$507,7,FALSE()))</f>
        <v/>
      </c>
      <c r="BG176" s="77" t="str">
        <f aca="false">IF($AW176&gt;$AV$7,"",VLOOKUP($AW176,$AY$8:$BE$507,2,FALSE()))</f>
        <v/>
      </c>
      <c r="BH176" s="77" t="str">
        <f aca="false">IF($AW176&gt;$AV$7,"",VLOOKUP($AW176,$AY$8:$BE$507,3,FALSE()))</f>
        <v/>
      </c>
      <c r="BI176" s="77" t="str">
        <f aca="false">IF($AW176&gt;$AV$7,"",VLOOKUP($AW176,$AY$8:$BE$507,4,FALSE()))</f>
        <v/>
      </c>
      <c r="BJ176" s="77" t="str">
        <f aca="false">IF($AW176&gt;$AV$7,"",VLOOKUP($AW176,$AY$8:$BE$507,5,FALSE()))</f>
        <v/>
      </c>
      <c r="BK176" s="78" t="str">
        <f aca="false">IF($AW176&gt;$AV$7,"",VLOOKUP($AW176,$AY$8:$BE$507,6,FALSE()))</f>
        <v/>
      </c>
      <c r="BL176" s="50"/>
    </row>
    <row r="177" customFormat="false" ht="15.75" hidden="false" customHeight="false" outlineLevel="0" collapsed="false">
      <c r="A177" s="5"/>
      <c r="B177" s="131"/>
      <c r="C177" s="52"/>
      <c r="D177" s="53"/>
      <c r="E177" s="80"/>
      <c r="F177" s="132"/>
      <c r="G177" s="56"/>
      <c r="H177" s="133"/>
      <c r="I177" s="134"/>
      <c r="J177" s="59"/>
      <c r="K177" s="60"/>
      <c r="L177" s="134"/>
      <c r="M177" s="61"/>
      <c r="N177" s="62"/>
      <c r="O177" s="80"/>
      <c r="P177" s="64"/>
      <c r="Q177" s="65" t="str">
        <f aca="false">IF(ISBLANK($C177),"",IF(E177=Constants!$B$2, TRUE(), IF(E177=Constants!$B$3, FALSE(), TRUE())))</f>
        <v/>
      </c>
      <c r="R177" s="65" t="str">
        <f aca="false">IF(ISBLANK($C177),"",IF(F177=Constants!$B$2, TRUE(), IF(F177=Constants!$B$3, FALSE(), TRUE())))</f>
        <v/>
      </c>
      <c r="S177" s="65" t="str">
        <f aca="false">IF(ISBLANK($C177),"",IF(G177=Constants!$B$15,Constants!$B$8,IF(G177=Constants!$B$16,Constants!$B$9,Constants!$B$10)))</f>
        <v/>
      </c>
      <c r="T177" s="65" t="str">
        <f aca="false">IF(ISBLANK($C177),"",IF(H177=Constants!$B$2, TRUE(), IF(H177=Constants!$B$3, FALSE(), TRUE())))</f>
        <v/>
      </c>
      <c r="U177" s="65" t="str">
        <f aca="false">IF(ISBLANK($C177),"",IF(I177=Constants!$B$19,Constants!$B$19,Constants!$B$18))</f>
        <v/>
      </c>
      <c r="V177" s="65" t="str">
        <f aca="false">IF(ISBLANK($C177),"",IF(COUNTA(J177:K177)=0,"",IF(AND(OR(ISBLANK(J177),AND(ISNUMBER(J177),J177&gt;=0)),OR(ISBLANK(K177),AND(ISNUMBER(K177),K177&gt;=0))),60*IF(ISBLANK(J177),0,J177)+IF(ISBLANK(K177),0,K177),"")))</f>
        <v/>
      </c>
      <c r="W177" s="65" t="str">
        <f aca="false">IF(ISBLANK($C177),"",IF(L177=Constants!$B$19,Constants!$B$19,Constants!$B$18))</f>
        <v/>
      </c>
      <c r="X177" s="65" t="str">
        <f aca="false">IF(ISBLANK($C177),"",IF(COUNTA(M177:N177)=0,"",IF(AND(OR(ISBLANK(M177),AND(ISNUMBER(M177),M177&gt;=0)),OR(ISBLANK(N177),AND(ISNUMBER(N177),N177&gt;=0))),60*IF(ISBLANK(M177),0,M177)+IF(ISBLANK(N177),0,N177),"")))</f>
        <v/>
      </c>
      <c r="Y177" s="65" t="str">
        <f aca="false">IF(ISBLANK($C177),"",IF(O177=Constants!$B$2, TRUE(), IF(O177=Constants!$B$3, FALSE(), FALSE())))</f>
        <v/>
      </c>
      <c r="Z177" s="65" t="str">
        <f aca="false">IF(ISBLANK($C177),"",IF(Y177,Constants!$B$4,IF(COUNTA(E177:N177)=0,Constants!$B$5,IF(COUNTA(J177:K177,M177:N177)=0,Constants!$B$6,Constants!$B$7))))</f>
        <v/>
      </c>
      <c r="AA177" s="65" t="str">
        <f aca="false">IF(ISBLANK($C177),"",IF($Z177&lt;&gt;Constants!$B$7,$Z177,IF(OR(NOT(T177),AND(NOT(Q177),COUNTIFS(U177:W177,Constants!$B$18,V177:X177,"&gt;=0")&gt;0),AND(NOT(R177),COUNTIFS(U177:W177,Constants!$B$19,V177:X177,"&gt;=0")&gt;0)),Constants!$B$12,Constants!$B$11)))</f>
        <v/>
      </c>
      <c r="AB177" s="65" t="str">
        <f aca="false">IF($Z177=Constants!$B$7,IF(V177="",Constants!$B$13,V177),"")</f>
        <v/>
      </c>
      <c r="AC177" s="65" t="str">
        <f aca="false">IF($Z177=Constants!$B$7,IF(X177="",Constants!$B$13,X177),"")</f>
        <v/>
      </c>
      <c r="AD177" s="65" t="str">
        <f aca="false">IF($Z177=Constants!$B$7,IF($AB177&gt;=$AC177,1,2),"")</f>
        <v/>
      </c>
      <c r="AE177" s="65" t="str">
        <f aca="false">IF($Z177=Constants!$B$7,LARGE(AB177:AC177,1),"")</f>
        <v/>
      </c>
      <c r="AF177" s="65" t="str">
        <f aca="false">IF(ISBLANK($C177),"",IF($Z177&lt;&gt;Constants!$B$7,$Z177,AE177*S177))</f>
        <v/>
      </c>
      <c r="AG177" s="65" t="str">
        <f aca="false">IF(ISBLANK($C177),"",IF($Z177=Constants!$B$7,IF(ISNUMBER(AF177),RANK(AF177,$AF$8:$AF$507),Constants!$B$14),$Z177))</f>
        <v/>
      </c>
      <c r="AH177" s="65" t="str">
        <f aca="false">IF(ISBLANK($C177),"",IF($Z177=Constants!$B$7,IF(ISNUMBER(AG177),COUNTIFS($AA$8:$AA$507,"&lt;"&amp;$AA177)+COUNTIFS($AA$8:$AA$507,$AA177,$AG$8:$AG$507,"&lt;"&amp;$AG177)+1,Constants!$B$14),$Z177))</f>
        <v/>
      </c>
      <c r="AI177" s="65" t="str">
        <f aca="false">IF(ISBLANK($C177),"",IF($Z177=Constants!$B$7,LARGE(AB177:AC177,2)*S177,""))</f>
        <v/>
      </c>
      <c r="AJ177" s="65" t="str">
        <f aca="false">IF(ISBLANK($C177),"",IF($Z177=Constants!$B$7,RANK(AI177,$AI$8:$AI$507),$Z177))</f>
        <v/>
      </c>
      <c r="AK177" s="65" t="str">
        <f aca="false">IF(ISBLANK($C177),"",IF($Z177=Constants!$B$7,IF(ISNUMBER(AG177),COUNTIFS($AA$8:$AA$507,"&lt;"&amp;$AA177)+COUNTIFS($AA$8:$AA$507,$AA177,$AG$8:$AG$507,"&lt;"&amp;$AG177)+COUNTIFS($AA$8:$AA$507,$AA177,$AG$8:$AG$507,$AG177,$AJ$8:$AJ$507,"&lt;"&amp;$AJ177)+1,Constants!$B$14),$Z177))</f>
        <v/>
      </c>
      <c r="AL177" s="65" t="str">
        <f aca="false">IF(ISBLANK($C177),"",IF($Z177=Constants!$B$7,IF(ISNUMBER(AH177),AH177-AK177,Constants!$B$14),$Z177))</f>
        <v/>
      </c>
      <c r="AM177" s="67"/>
      <c r="AN177" s="68" t="str">
        <f aca="false">IF(ISBLANK($C177),"",IF($Z177&lt;&gt;Constants!$B$7,$Z177,AD177))</f>
        <v/>
      </c>
      <c r="AO177" s="69" t="str">
        <f aca="false">IF(ISBLANK($C177),"",IF($Z177&lt;&gt;Constants!$B$7,$Z177,S177))</f>
        <v/>
      </c>
      <c r="AP177" s="70" t="str">
        <f aca="false">IF(ISBLANK($C177),"",IF($Z177&lt;&gt;Constants!$B$7,$Z177,AF177))</f>
        <v/>
      </c>
      <c r="AQ177" s="71" t="str">
        <f aca="false">IF(ISBLANK($C177),"",IF($Z177&lt;&gt;Constants!$B$7,$Z177,AA177))</f>
        <v/>
      </c>
      <c r="AR177" s="69" t="str">
        <f aca="false">IF(ISBLANK($C177),"",AL177)</f>
        <v/>
      </c>
      <c r="AS177" s="69" t="str">
        <f aca="false">IF(ISBLANK($C177),"",AK177)</f>
        <v/>
      </c>
      <c r="AT177" s="72" t="str">
        <f aca="false">IF(ISBLANK($C177),"",IF(AS177=Constants!$B$4,COUNTA($C$8:$C$507)+2,IF(AS177=Constants!$B$5,COUNTA($C$8:$C$507)+1,IF(AS177=Constants!$B$6,COUNTA($C$8:$C$507),AS177))))</f>
        <v/>
      </c>
      <c r="AU177" s="5"/>
      <c r="AV177" s="73" t="n">
        <f aca="false">IF(OR(ISNUMBER(AS177),AS177=Constants!$B$4,AS177=Constants!$B$6,AS177=Constants!$B$5),1,0)</f>
        <v>0</v>
      </c>
      <c r="AW177" s="73" t="n">
        <v>170</v>
      </c>
      <c r="AX177" s="73" t="str">
        <f aca="false">IF(ISBLANK($C177),"",IF(ISNUMBER(AT177),AT177+ROW($B177)/1000,""))</f>
        <v/>
      </c>
      <c r="AY177" s="73" t="str">
        <f aca="false">IF(ISNUMBER(AX177),RANK(AX177,$AX$8:$AX$507,1),"")</f>
        <v/>
      </c>
      <c r="AZ177" s="73" t="str">
        <f aca="false">IF(ISBLANK($C177),"",$B177)</f>
        <v/>
      </c>
      <c r="BA177" s="73" t="str">
        <f aca="false">IF(ISBLANK($C177),"",$C177)</f>
        <v/>
      </c>
      <c r="BB177" s="73" t="str">
        <f aca="false">IF(ISBLANK($C177),"",$D177)</f>
        <v/>
      </c>
      <c r="BC177" s="74" t="str">
        <f aca="false">AQ177</f>
        <v/>
      </c>
      <c r="BD177" s="75" t="str">
        <f aca="false">AP177</f>
        <v/>
      </c>
      <c r="BE177" s="73" t="str">
        <f aca="false">IF(ISBLANK($C177),"",AS177)</f>
        <v/>
      </c>
      <c r="BF177" s="76" t="str">
        <f aca="false">IF($AW177&gt;$AV$7,"",VLOOKUP($AW177,$AY$8:$BE$507,7,FALSE()))</f>
        <v/>
      </c>
      <c r="BG177" s="77" t="str">
        <f aca="false">IF($AW177&gt;$AV$7,"",VLOOKUP($AW177,$AY$8:$BE$507,2,FALSE()))</f>
        <v/>
      </c>
      <c r="BH177" s="77" t="str">
        <f aca="false">IF($AW177&gt;$AV$7,"",VLOOKUP($AW177,$AY$8:$BE$507,3,FALSE()))</f>
        <v/>
      </c>
      <c r="BI177" s="77" t="str">
        <f aca="false">IF($AW177&gt;$AV$7,"",VLOOKUP($AW177,$AY$8:$BE$507,4,FALSE()))</f>
        <v/>
      </c>
      <c r="BJ177" s="77" t="str">
        <f aca="false">IF($AW177&gt;$AV$7,"",VLOOKUP($AW177,$AY$8:$BE$507,5,FALSE()))</f>
        <v/>
      </c>
      <c r="BK177" s="78" t="str">
        <f aca="false">IF($AW177&gt;$AV$7,"",VLOOKUP($AW177,$AY$8:$BE$507,6,FALSE()))</f>
        <v/>
      </c>
      <c r="BL177" s="50"/>
    </row>
    <row r="178" customFormat="false" ht="15.75" hidden="false" customHeight="false" outlineLevel="0" collapsed="false">
      <c r="A178" s="5"/>
      <c r="B178" s="131"/>
      <c r="C178" s="52"/>
      <c r="D178" s="53"/>
      <c r="E178" s="80"/>
      <c r="F178" s="132"/>
      <c r="G178" s="56"/>
      <c r="H178" s="133"/>
      <c r="I178" s="134"/>
      <c r="J178" s="59"/>
      <c r="K178" s="60"/>
      <c r="L178" s="134"/>
      <c r="M178" s="61"/>
      <c r="N178" s="62"/>
      <c r="O178" s="80"/>
      <c r="P178" s="64"/>
      <c r="Q178" s="65" t="str">
        <f aca="false">IF(ISBLANK($C178),"",IF(E178=Constants!$B$2, TRUE(), IF(E178=Constants!$B$3, FALSE(), TRUE())))</f>
        <v/>
      </c>
      <c r="R178" s="65" t="str">
        <f aca="false">IF(ISBLANK($C178),"",IF(F178=Constants!$B$2, TRUE(), IF(F178=Constants!$B$3, FALSE(), TRUE())))</f>
        <v/>
      </c>
      <c r="S178" s="65" t="str">
        <f aca="false">IF(ISBLANK($C178),"",IF(G178=Constants!$B$15,Constants!$B$8,IF(G178=Constants!$B$16,Constants!$B$9,Constants!$B$10)))</f>
        <v/>
      </c>
      <c r="T178" s="65" t="str">
        <f aca="false">IF(ISBLANK($C178),"",IF(H178=Constants!$B$2, TRUE(), IF(H178=Constants!$B$3, FALSE(), TRUE())))</f>
        <v/>
      </c>
      <c r="U178" s="65" t="str">
        <f aca="false">IF(ISBLANK($C178),"",IF(I178=Constants!$B$19,Constants!$B$19,Constants!$B$18))</f>
        <v/>
      </c>
      <c r="V178" s="65" t="str">
        <f aca="false">IF(ISBLANK($C178),"",IF(COUNTA(J178:K178)=0,"",IF(AND(OR(ISBLANK(J178),AND(ISNUMBER(J178),J178&gt;=0)),OR(ISBLANK(K178),AND(ISNUMBER(K178),K178&gt;=0))),60*IF(ISBLANK(J178),0,J178)+IF(ISBLANK(K178),0,K178),"")))</f>
        <v/>
      </c>
      <c r="W178" s="65" t="str">
        <f aca="false">IF(ISBLANK($C178),"",IF(L178=Constants!$B$19,Constants!$B$19,Constants!$B$18))</f>
        <v/>
      </c>
      <c r="X178" s="65" t="str">
        <f aca="false">IF(ISBLANK($C178),"",IF(COUNTA(M178:N178)=0,"",IF(AND(OR(ISBLANK(M178),AND(ISNUMBER(M178),M178&gt;=0)),OR(ISBLANK(N178),AND(ISNUMBER(N178),N178&gt;=0))),60*IF(ISBLANK(M178),0,M178)+IF(ISBLANK(N178),0,N178),"")))</f>
        <v/>
      </c>
      <c r="Y178" s="65" t="str">
        <f aca="false">IF(ISBLANK($C178),"",IF(O178=Constants!$B$2, TRUE(), IF(O178=Constants!$B$3, FALSE(), FALSE())))</f>
        <v/>
      </c>
      <c r="Z178" s="65" t="str">
        <f aca="false">IF(ISBLANK($C178),"",IF(Y178,Constants!$B$4,IF(COUNTA(E178:N178)=0,Constants!$B$5,IF(COUNTA(J178:K178,M178:N178)=0,Constants!$B$6,Constants!$B$7))))</f>
        <v/>
      </c>
      <c r="AA178" s="65" t="str">
        <f aca="false">IF(ISBLANK($C178),"",IF($Z178&lt;&gt;Constants!$B$7,$Z178,IF(OR(NOT(T178),AND(NOT(Q178),COUNTIFS(U178:W178,Constants!$B$18,V178:X178,"&gt;=0")&gt;0),AND(NOT(R178),COUNTIFS(U178:W178,Constants!$B$19,V178:X178,"&gt;=0")&gt;0)),Constants!$B$12,Constants!$B$11)))</f>
        <v/>
      </c>
      <c r="AB178" s="65" t="str">
        <f aca="false">IF($Z178=Constants!$B$7,IF(V178="",Constants!$B$13,V178),"")</f>
        <v/>
      </c>
      <c r="AC178" s="65" t="str">
        <f aca="false">IF($Z178=Constants!$B$7,IF(X178="",Constants!$B$13,X178),"")</f>
        <v/>
      </c>
      <c r="AD178" s="65" t="str">
        <f aca="false">IF($Z178=Constants!$B$7,IF($AB178&gt;=$AC178,1,2),"")</f>
        <v/>
      </c>
      <c r="AE178" s="65" t="str">
        <f aca="false">IF($Z178=Constants!$B$7,LARGE(AB178:AC178,1),"")</f>
        <v/>
      </c>
      <c r="AF178" s="65" t="str">
        <f aca="false">IF(ISBLANK($C178),"",IF($Z178&lt;&gt;Constants!$B$7,$Z178,AE178*S178))</f>
        <v/>
      </c>
      <c r="AG178" s="65" t="str">
        <f aca="false">IF(ISBLANK($C178),"",IF($Z178=Constants!$B$7,IF(ISNUMBER(AF178),RANK(AF178,$AF$8:$AF$507),Constants!$B$14),$Z178))</f>
        <v/>
      </c>
      <c r="AH178" s="65" t="str">
        <f aca="false">IF(ISBLANK($C178),"",IF($Z178=Constants!$B$7,IF(ISNUMBER(AG178),COUNTIFS($AA$8:$AA$507,"&lt;"&amp;$AA178)+COUNTIFS($AA$8:$AA$507,$AA178,$AG$8:$AG$507,"&lt;"&amp;$AG178)+1,Constants!$B$14),$Z178))</f>
        <v/>
      </c>
      <c r="AI178" s="65" t="str">
        <f aca="false">IF(ISBLANK($C178),"",IF($Z178=Constants!$B$7,LARGE(AB178:AC178,2)*S178,""))</f>
        <v/>
      </c>
      <c r="AJ178" s="65" t="str">
        <f aca="false">IF(ISBLANK($C178),"",IF($Z178=Constants!$B$7,RANK(AI178,$AI$8:$AI$507),$Z178))</f>
        <v/>
      </c>
      <c r="AK178" s="65" t="str">
        <f aca="false">IF(ISBLANK($C178),"",IF($Z178=Constants!$B$7,IF(ISNUMBER(AG178),COUNTIFS($AA$8:$AA$507,"&lt;"&amp;$AA178)+COUNTIFS($AA$8:$AA$507,$AA178,$AG$8:$AG$507,"&lt;"&amp;$AG178)+COUNTIFS($AA$8:$AA$507,$AA178,$AG$8:$AG$507,$AG178,$AJ$8:$AJ$507,"&lt;"&amp;$AJ178)+1,Constants!$B$14),$Z178))</f>
        <v/>
      </c>
      <c r="AL178" s="65" t="str">
        <f aca="false">IF(ISBLANK($C178),"",IF($Z178=Constants!$B$7,IF(ISNUMBER(AH178),AH178-AK178,Constants!$B$14),$Z178))</f>
        <v/>
      </c>
      <c r="AM178" s="67"/>
      <c r="AN178" s="68" t="str">
        <f aca="false">IF(ISBLANK($C178),"",IF($Z178&lt;&gt;Constants!$B$7,$Z178,AD178))</f>
        <v/>
      </c>
      <c r="AO178" s="69" t="str">
        <f aca="false">IF(ISBLANK($C178),"",IF($Z178&lt;&gt;Constants!$B$7,$Z178,S178))</f>
        <v/>
      </c>
      <c r="AP178" s="70" t="str">
        <f aca="false">IF(ISBLANK($C178),"",IF($Z178&lt;&gt;Constants!$B$7,$Z178,AF178))</f>
        <v/>
      </c>
      <c r="AQ178" s="71" t="str">
        <f aca="false">IF(ISBLANK($C178),"",IF($Z178&lt;&gt;Constants!$B$7,$Z178,AA178))</f>
        <v/>
      </c>
      <c r="AR178" s="69" t="str">
        <f aca="false">IF(ISBLANK($C178),"",AL178)</f>
        <v/>
      </c>
      <c r="AS178" s="69" t="str">
        <f aca="false">IF(ISBLANK($C178),"",AK178)</f>
        <v/>
      </c>
      <c r="AT178" s="72" t="str">
        <f aca="false">IF(ISBLANK($C178),"",IF(AS178=Constants!$B$4,COUNTA($C$8:$C$507)+2,IF(AS178=Constants!$B$5,COUNTA($C$8:$C$507)+1,IF(AS178=Constants!$B$6,COUNTA($C$8:$C$507),AS178))))</f>
        <v/>
      </c>
      <c r="AU178" s="5"/>
      <c r="AV178" s="73" t="n">
        <f aca="false">IF(OR(ISNUMBER(AS178),AS178=Constants!$B$4,AS178=Constants!$B$6,AS178=Constants!$B$5),1,0)</f>
        <v>0</v>
      </c>
      <c r="AW178" s="73" t="n">
        <v>171</v>
      </c>
      <c r="AX178" s="73" t="str">
        <f aca="false">IF(ISBLANK($C178),"",IF(ISNUMBER(AT178),AT178+ROW($B178)/1000,""))</f>
        <v/>
      </c>
      <c r="AY178" s="73" t="str">
        <f aca="false">IF(ISNUMBER(AX178),RANK(AX178,$AX$8:$AX$507,1),"")</f>
        <v/>
      </c>
      <c r="AZ178" s="73" t="str">
        <f aca="false">IF(ISBLANK($C178),"",$B178)</f>
        <v/>
      </c>
      <c r="BA178" s="73" t="str">
        <f aca="false">IF(ISBLANK($C178),"",$C178)</f>
        <v/>
      </c>
      <c r="BB178" s="73" t="str">
        <f aca="false">IF(ISBLANK($C178),"",$D178)</f>
        <v/>
      </c>
      <c r="BC178" s="74" t="str">
        <f aca="false">AQ178</f>
        <v/>
      </c>
      <c r="BD178" s="75" t="str">
        <f aca="false">AP178</f>
        <v/>
      </c>
      <c r="BE178" s="73" t="str">
        <f aca="false">IF(ISBLANK($C178),"",AS178)</f>
        <v/>
      </c>
      <c r="BF178" s="76" t="str">
        <f aca="false">IF($AW178&gt;$AV$7,"",VLOOKUP($AW178,$AY$8:$BE$507,7,FALSE()))</f>
        <v/>
      </c>
      <c r="BG178" s="77" t="str">
        <f aca="false">IF($AW178&gt;$AV$7,"",VLOOKUP($AW178,$AY$8:$BE$507,2,FALSE()))</f>
        <v/>
      </c>
      <c r="BH178" s="77" t="str">
        <f aca="false">IF($AW178&gt;$AV$7,"",VLOOKUP($AW178,$AY$8:$BE$507,3,FALSE()))</f>
        <v/>
      </c>
      <c r="BI178" s="77" t="str">
        <f aca="false">IF($AW178&gt;$AV$7,"",VLOOKUP($AW178,$AY$8:$BE$507,4,FALSE()))</f>
        <v/>
      </c>
      <c r="BJ178" s="77" t="str">
        <f aca="false">IF($AW178&gt;$AV$7,"",VLOOKUP($AW178,$AY$8:$BE$507,5,FALSE()))</f>
        <v/>
      </c>
      <c r="BK178" s="78" t="str">
        <f aca="false">IF($AW178&gt;$AV$7,"",VLOOKUP($AW178,$AY$8:$BE$507,6,FALSE()))</f>
        <v/>
      </c>
      <c r="BL178" s="50"/>
    </row>
    <row r="179" customFormat="false" ht="15.75" hidden="false" customHeight="false" outlineLevel="0" collapsed="false">
      <c r="A179" s="5"/>
      <c r="B179" s="124"/>
      <c r="C179" s="125"/>
      <c r="D179" s="110"/>
      <c r="E179" s="130"/>
      <c r="F179" s="135"/>
      <c r="G179" s="88"/>
      <c r="H179" s="136"/>
      <c r="I179" s="137"/>
      <c r="J179" s="91"/>
      <c r="K179" s="92"/>
      <c r="L179" s="137"/>
      <c r="M179" s="93"/>
      <c r="N179" s="94"/>
      <c r="O179" s="130"/>
      <c r="P179" s="96"/>
      <c r="Q179" s="97" t="str">
        <f aca="false">IF(ISBLANK($C179),"",IF(E179=Constants!$B$2, TRUE(), IF(E179=Constants!$B$3, FALSE(), TRUE())))</f>
        <v/>
      </c>
      <c r="R179" s="97" t="str">
        <f aca="false">IF(ISBLANK($C179),"",IF(F179=Constants!$B$2, TRUE(), IF(F179=Constants!$B$3, FALSE(), TRUE())))</f>
        <v/>
      </c>
      <c r="S179" s="97" t="str">
        <f aca="false">IF(ISBLANK($C179),"",IF(G179=Constants!$B$15,Constants!$B$8,IF(G179=Constants!$B$16,Constants!$B$9,Constants!$B$10)))</f>
        <v/>
      </c>
      <c r="T179" s="97" t="str">
        <f aca="false">IF(ISBLANK($C179),"",IF(H179=Constants!$B$2, TRUE(), IF(H179=Constants!$B$3, FALSE(), TRUE())))</f>
        <v/>
      </c>
      <c r="U179" s="97" t="str">
        <f aca="false">IF(ISBLANK($C179),"",IF(I179=Constants!$B$19,Constants!$B$19,Constants!$B$18))</f>
        <v/>
      </c>
      <c r="V179" s="97" t="str">
        <f aca="false">IF(ISBLANK($C179),"",IF(COUNTA(J179:K179)=0,"",IF(AND(OR(ISBLANK(J179),AND(ISNUMBER(J179),J179&gt;=0)),OR(ISBLANK(K179),AND(ISNUMBER(K179),K179&gt;=0))),60*IF(ISBLANK(J179),0,J179)+IF(ISBLANK(K179),0,K179),"")))</f>
        <v/>
      </c>
      <c r="W179" s="97" t="str">
        <f aca="false">IF(ISBLANK($C179),"",IF(L179=Constants!$B$19,Constants!$B$19,Constants!$B$18))</f>
        <v/>
      </c>
      <c r="X179" s="97" t="str">
        <f aca="false">IF(ISBLANK($C179),"",IF(COUNTA(M179:N179)=0,"",IF(AND(OR(ISBLANK(M179),AND(ISNUMBER(M179),M179&gt;=0)),OR(ISBLANK(N179),AND(ISNUMBER(N179),N179&gt;=0))),60*IF(ISBLANK(M179),0,M179)+IF(ISBLANK(N179),0,N179),"")))</f>
        <v/>
      </c>
      <c r="Y179" s="97" t="str">
        <f aca="false">IF(ISBLANK($C179),"",IF(O179=Constants!$B$2, TRUE(), IF(O179=Constants!$B$3, FALSE(), FALSE())))</f>
        <v/>
      </c>
      <c r="Z179" s="97" t="str">
        <f aca="false">IF(ISBLANK($C179),"",IF(Y179,Constants!$B$4,IF(COUNTA(E179:N179)=0,Constants!$B$5,IF(COUNTA(J179:K179,M179:N179)=0,Constants!$B$6,Constants!$B$7))))</f>
        <v/>
      </c>
      <c r="AA179" s="97" t="str">
        <f aca="false">IF(ISBLANK($C179),"",IF($Z179&lt;&gt;Constants!$B$7,$Z179,IF(OR(NOT(T179),AND(NOT(Q179),COUNTIFS(U179:W179,Constants!$B$18,V179:X179,"&gt;=0")&gt;0),AND(NOT(R179),COUNTIFS(U179:W179,Constants!$B$19,V179:X179,"&gt;=0")&gt;0)),Constants!$B$12,Constants!$B$11)))</f>
        <v/>
      </c>
      <c r="AB179" s="97" t="str">
        <f aca="false">IF($Z179=Constants!$B$7,IF(V179="",Constants!$B$13,V179),"")</f>
        <v/>
      </c>
      <c r="AC179" s="97" t="str">
        <f aca="false">IF($Z179=Constants!$B$7,IF(X179="",Constants!$B$13,X179),"")</f>
        <v/>
      </c>
      <c r="AD179" s="97" t="str">
        <f aca="false">IF($Z179=Constants!$B$7,IF($AB179&gt;=$AC179,1,2),"")</f>
        <v/>
      </c>
      <c r="AE179" s="97" t="str">
        <f aca="false">IF($Z179=Constants!$B$7,LARGE(AB179:AC179,1),"")</f>
        <v/>
      </c>
      <c r="AF179" s="97" t="str">
        <f aca="false">IF(ISBLANK($C179),"",IF($Z179&lt;&gt;Constants!$B$7,$Z179,AE179*S179))</f>
        <v/>
      </c>
      <c r="AG179" s="97" t="str">
        <f aca="false">IF(ISBLANK($C179),"",IF($Z179=Constants!$B$7,IF(ISNUMBER(AF179),RANK(AF179,$AF$8:$AF$507),Constants!$B$14),$Z179))</f>
        <v/>
      </c>
      <c r="AH179" s="97" t="str">
        <f aca="false">IF(ISBLANK($C179),"",IF($Z179=Constants!$B$7,IF(ISNUMBER(AG179),COUNTIFS($AA$8:$AA$507,"&lt;"&amp;$AA179)+COUNTIFS($AA$8:$AA$507,$AA179,$AG$8:$AG$507,"&lt;"&amp;$AG179)+1,Constants!$B$14),$Z179))</f>
        <v/>
      </c>
      <c r="AI179" s="97" t="str">
        <f aca="false">IF(ISBLANK($C179),"",IF($Z179=Constants!$B$7,LARGE(AB179:AC179,2)*S179,""))</f>
        <v/>
      </c>
      <c r="AJ179" s="97" t="str">
        <f aca="false">IF(ISBLANK($C179),"",IF($Z179=Constants!$B$7,RANK(AI179,$AI$8:$AI$507),$Z179))</f>
        <v/>
      </c>
      <c r="AK179" s="97" t="str">
        <f aca="false">IF(ISBLANK($C179),"",IF($Z179=Constants!$B$7,IF(ISNUMBER(AG179),COUNTIFS($AA$8:$AA$507,"&lt;"&amp;$AA179)+COUNTIFS($AA$8:$AA$507,$AA179,$AG$8:$AG$507,"&lt;"&amp;$AG179)+COUNTIFS($AA$8:$AA$507,$AA179,$AG$8:$AG$507,$AG179,$AJ$8:$AJ$507,"&lt;"&amp;$AJ179)+1,Constants!$B$14),$Z179))</f>
        <v/>
      </c>
      <c r="AL179" s="97" t="str">
        <f aca="false">IF(ISBLANK($C179),"",IF($Z179=Constants!$B$7,IF(ISNUMBER(AH179),AH179-AK179,Constants!$B$14),$Z179))</f>
        <v/>
      </c>
      <c r="AM179" s="98"/>
      <c r="AN179" s="99" t="str">
        <f aca="false">IF(ISBLANK($C179),"",IF($Z179&lt;&gt;Constants!$B$7,$Z179,AD179))</f>
        <v/>
      </c>
      <c r="AO179" s="100" t="str">
        <f aca="false">IF(ISBLANK($C179),"",IF($Z179&lt;&gt;Constants!$B$7,$Z179,S179))</f>
        <v/>
      </c>
      <c r="AP179" s="101" t="str">
        <f aca="false">IF(ISBLANK($C179),"",IF($Z179&lt;&gt;Constants!$B$7,$Z179,AF179))</f>
        <v/>
      </c>
      <c r="AQ179" s="102" t="str">
        <f aca="false">IF(ISBLANK($C179),"",IF($Z179&lt;&gt;Constants!$B$7,$Z179,AA179))</f>
        <v/>
      </c>
      <c r="AR179" s="100" t="str">
        <f aca="false">IF(ISBLANK($C179),"",AL179)</f>
        <v/>
      </c>
      <c r="AS179" s="100" t="str">
        <f aca="false">IF(ISBLANK($C179),"",AK179)</f>
        <v/>
      </c>
      <c r="AT179" s="103" t="str">
        <f aca="false">IF(ISBLANK($C179),"",IF(AS179=Constants!$B$4,COUNTA($C$8:$C$507)+2,IF(AS179=Constants!$B$5,COUNTA($C$8:$C$507)+1,IF(AS179=Constants!$B$6,COUNTA($C$8:$C$507),AS179))))</f>
        <v/>
      </c>
      <c r="AU179" s="5"/>
      <c r="AV179" s="104" t="n">
        <f aca="false">IF(OR(ISNUMBER(AS179),AS179=Constants!$B$4,AS179=Constants!$B$6,AS179=Constants!$B$5),1,0)</f>
        <v>0</v>
      </c>
      <c r="AW179" s="104" t="n">
        <v>172</v>
      </c>
      <c r="AX179" s="104" t="str">
        <f aca="false">IF(ISBLANK($C179),"",IF(ISNUMBER(AT179),AT179+ROW($B179)/1000,""))</f>
        <v/>
      </c>
      <c r="AY179" s="104" t="str">
        <f aca="false">IF(ISNUMBER(AX179),RANK(AX179,$AX$8:$AX$507,1),"")</f>
        <v/>
      </c>
      <c r="AZ179" s="104" t="str">
        <f aca="false">IF(ISBLANK($C179),"",$B179)</f>
        <v/>
      </c>
      <c r="BA179" s="104" t="str">
        <f aca="false">IF(ISBLANK($C179),"",$C179)</f>
        <v/>
      </c>
      <c r="BB179" s="104" t="str">
        <f aca="false">IF(ISBLANK($C179),"",$D179)</f>
        <v/>
      </c>
      <c r="BC179" s="105" t="str">
        <f aca="false">AQ179</f>
        <v/>
      </c>
      <c r="BD179" s="106" t="str">
        <f aca="false">AP179</f>
        <v/>
      </c>
      <c r="BE179" s="104" t="str">
        <f aca="false">IF(ISBLANK($C179),"",AS179)</f>
        <v/>
      </c>
      <c r="BF179" s="107" t="str">
        <f aca="false">IF($AW179&gt;$AV$7,"",VLOOKUP($AW179,$AY$8:$BE$507,7,FALSE()))</f>
        <v/>
      </c>
      <c r="BG179" s="108" t="str">
        <f aca="false">IF($AW179&gt;$AV$7,"",VLOOKUP($AW179,$AY$8:$BE$507,2,FALSE()))</f>
        <v/>
      </c>
      <c r="BH179" s="108" t="str">
        <f aca="false">IF($AW179&gt;$AV$7,"",VLOOKUP($AW179,$AY$8:$BE$507,3,FALSE()))</f>
        <v/>
      </c>
      <c r="BI179" s="108" t="str">
        <f aca="false">IF($AW179&gt;$AV$7,"",VLOOKUP($AW179,$AY$8:$BE$507,4,FALSE()))</f>
        <v/>
      </c>
      <c r="BJ179" s="108" t="str">
        <f aca="false">IF($AW179&gt;$AV$7,"",VLOOKUP($AW179,$AY$8:$BE$507,5,FALSE()))</f>
        <v/>
      </c>
      <c r="BK179" s="109" t="str">
        <f aca="false">IF($AW179&gt;$AV$7,"",VLOOKUP($AW179,$AY$8:$BE$507,6,FALSE()))</f>
        <v/>
      </c>
      <c r="BL179" s="50"/>
    </row>
    <row r="180" customFormat="false" ht="15.75" hidden="false" customHeight="false" outlineLevel="0" collapsed="false">
      <c r="A180" s="5"/>
      <c r="B180" s="124"/>
      <c r="C180" s="125"/>
      <c r="D180" s="110"/>
      <c r="E180" s="130"/>
      <c r="F180" s="135"/>
      <c r="G180" s="88"/>
      <c r="H180" s="136"/>
      <c r="I180" s="137"/>
      <c r="J180" s="91"/>
      <c r="K180" s="92"/>
      <c r="L180" s="137"/>
      <c r="M180" s="93"/>
      <c r="N180" s="94"/>
      <c r="O180" s="130"/>
      <c r="P180" s="96"/>
      <c r="Q180" s="97" t="str">
        <f aca="false">IF(ISBLANK($C180),"",IF(E180=Constants!$B$2, TRUE(), IF(E180=Constants!$B$3, FALSE(), TRUE())))</f>
        <v/>
      </c>
      <c r="R180" s="97" t="str">
        <f aca="false">IF(ISBLANK($C180),"",IF(F180=Constants!$B$2, TRUE(), IF(F180=Constants!$B$3, FALSE(), TRUE())))</f>
        <v/>
      </c>
      <c r="S180" s="97" t="str">
        <f aca="false">IF(ISBLANK($C180),"",IF(G180=Constants!$B$15,Constants!$B$8,IF(G180=Constants!$B$16,Constants!$B$9,Constants!$B$10)))</f>
        <v/>
      </c>
      <c r="T180" s="97" t="str">
        <f aca="false">IF(ISBLANK($C180),"",IF(H180=Constants!$B$2, TRUE(), IF(H180=Constants!$B$3, FALSE(), TRUE())))</f>
        <v/>
      </c>
      <c r="U180" s="97" t="str">
        <f aca="false">IF(ISBLANK($C180),"",IF(I180=Constants!$B$19,Constants!$B$19,Constants!$B$18))</f>
        <v/>
      </c>
      <c r="V180" s="97" t="str">
        <f aca="false">IF(ISBLANK($C180),"",IF(COUNTA(J180:K180)=0,"",IF(AND(OR(ISBLANK(J180),AND(ISNUMBER(J180),J180&gt;=0)),OR(ISBLANK(K180),AND(ISNUMBER(K180),K180&gt;=0))),60*IF(ISBLANK(J180),0,J180)+IF(ISBLANK(K180),0,K180),"")))</f>
        <v/>
      </c>
      <c r="W180" s="97" t="str">
        <f aca="false">IF(ISBLANK($C180),"",IF(L180=Constants!$B$19,Constants!$B$19,Constants!$B$18))</f>
        <v/>
      </c>
      <c r="X180" s="97" t="str">
        <f aca="false">IF(ISBLANK($C180),"",IF(COUNTA(M180:N180)=0,"",IF(AND(OR(ISBLANK(M180),AND(ISNUMBER(M180),M180&gt;=0)),OR(ISBLANK(N180),AND(ISNUMBER(N180),N180&gt;=0))),60*IF(ISBLANK(M180),0,M180)+IF(ISBLANK(N180),0,N180),"")))</f>
        <v/>
      </c>
      <c r="Y180" s="97" t="str">
        <f aca="false">IF(ISBLANK($C180),"",IF(O180=Constants!$B$2, TRUE(), IF(O180=Constants!$B$3, FALSE(), FALSE())))</f>
        <v/>
      </c>
      <c r="Z180" s="97" t="str">
        <f aca="false">IF(ISBLANK($C180),"",IF(Y180,Constants!$B$4,IF(COUNTA(E180:N180)=0,Constants!$B$5,IF(COUNTA(J180:K180,M180:N180)=0,Constants!$B$6,Constants!$B$7))))</f>
        <v/>
      </c>
      <c r="AA180" s="97" t="str">
        <f aca="false">IF(ISBLANK($C180),"",IF($Z180&lt;&gt;Constants!$B$7,$Z180,IF(OR(NOT(T180),AND(NOT(Q180),COUNTIFS(U180:W180,Constants!$B$18,V180:X180,"&gt;=0")&gt;0),AND(NOT(R180),COUNTIFS(U180:W180,Constants!$B$19,V180:X180,"&gt;=0")&gt;0)),Constants!$B$12,Constants!$B$11)))</f>
        <v/>
      </c>
      <c r="AB180" s="97" t="str">
        <f aca="false">IF($Z180=Constants!$B$7,IF(V180="",Constants!$B$13,V180),"")</f>
        <v/>
      </c>
      <c r="AC180" s="97" t="str">
        <f aca="false">IF($Z180=Constants!$B$7,IF(X180="",Constants!$B$13,X180),"")</f>
        <v/>
      </c>
      <c r="AD180" s="97" t="str">
        <f aca="false">IF($Z180=Constants!$B$7,IF($AB180&gt;=$AC180,1,2),"")</f>
        <v/>
      </c>
      <c r="AE180" s="97" t="str">
        <f aca="false">IF($Z180=Constants!$B$7,LARGE(AB180:AC180,1),"")</f>
        <v/>
      </c>
      <c r="AF180" s="97" t="str">
        <f aca="false">IF(ISBLANK($C180),"",IF($Z180&lt;&gt;Constants!$B$7,$Z180,AE180*S180))</f>
        <v/>
      </c>
      <c r="AG180" s="97" t="str">
        <f aca="false">IF(ISBLANK($C180),"",IF($Z180=Constants!$B$7,IF(ISNUMBER(AF180),RANK(AF180,$AF$8:$AF$507),Constants!$B$14),$Z180))</f>
        <v/>
      </c>
      <c r="AH180" s="97" t="str">
        <f aca="false">IF(ISBLANK($C180),"",IF($Z180=Constants!$B$7,IF(ISNUMBER(AG180),COUNTIFS($AA$8:$AA$507,"&lt;"&amp;$AA180)+COUNTIFS($AA$8:$AA$507,$AA180,$AG$8:$AG$507,"&lt;"&amp;$AG180)+1,Constants!$B$14),$Z180))</f>
        <v/>
      </c>
      <c r="AI180" s="97" t="str">
        <f aca="false">IF(ISBLANK($C180),"",IF($Z180=Constants!$B$7,LARGE(AB180:AC180,2)*S180,""))</f>
        <v/>
      </c>
      <c r="AJ180" s="97" t="str">
        <f aca="false">IF(ISBLANK($C180),"",IF($Z180=Constants!$B$7,RANK(AI180,$AI$8:$AI$507),$Z180))</f>
        <v/>
      </c>
      <c r="AK180" s="97" t="str">
        <f aca="false">IF(ISBLANK($C180),"",IF($Z180=Constants!$B$7,IF(ISNUMBER(AG180),COUNTIFS($AA$8:$AA$507,"&lt;"&amp;$AA180)+COUNTIFS($AA$8:$AA$507,$AA180,$AG$8:$AG$507,"&lt;"&amp;$AG180)+COUNTIFS($AA$8:$AA$507,$AA180,$AG$8:$AG$507,$AG180,$AJ$8:$AJ$507,"&lt;"&amp;$AJ180)+1,Constants!$B$14),$Z180))</f>
        <v/>
      </c>
      <c r="AL180" s="97" t="str">
        <f aca="false">IF(ISBLANK($C180),"",IF($Z180=Constants!$B$7,IF(ISNUMBER(AH180),AH180-AK180,Constants!$B$14),$Z180))</f>
        <v/>
      </c>
      <c r="AM180" s="98"/>
      <c r="AN180" s="99" t="str">
        <f aca="false">IF(ISBLANK($C180),"",IF($Z180&lt;&gt;Constants!$B$7,$Z180,AD180))</f>
        <v/>
      </c>
      <c r="AO180" s="100" t="str">
        <f aca="false">IF(ISBLANK($C180),"",IF($Z180&lt;&gt;Constants!$B$7,$Z180,S180))</f>
        <v/>
      </c>
      <c r="AP180" s="101" t="str">
        <f aca="false">IF(ISBLANK($C180),"",IF($Z180&lt;&gt;Constants!$B$7,$Z180,AF180))</f>
        <v/>
      </c>
      <c r="AQ180" s="102" t="str">
        <f aca="false">IF(ISBLANK($C180),"",IF($Z180&lt;&gt;Constants!$B$7,$Z180,AA180))</f>
        <v/>
      </c>
      <c r="AR180" s="100" t="str">
        <f aca="false">IF(ISBLANK($C180),"",AL180)</f>
        <v/>
      </c>
      <c r="AS180" s="100" t="str">
        <f aca="false">IF(ISBLANK($C180),"",AK180)</f>
        <v/>
      </c>
      <c r="AT180" s="103" t="str">
        <f aca="false">IF(ISBLANK($C180),"",IF(AS180=Constants!$B$4,COUNTA($C$8:$C$507)+2,IF(AS180=Constants!$B$5,COUNTA($C$8:$C$507)+1,IF(AS180=Constants!$B$6,COUNTA($C$8:$C$507),AS180))))</f>
        <v/>
      </c>
      <c r="AU180" s="5"/>
      <c r="AV180" s="104" t="n">
        <f aca="false">IF(OR(ISNUMBER(AS180),AS180=Constants!$B$4,AS180=Constants!$B$6,AS180=Constants!$B$5),1,0)</f>
        <v>0</v>
      </c>
      <c r="AW180" s="104" t="n">
        <v>173</v>
      </c>
      <c r="AX180" s="104" t="str">
        <f aca="false">IF(ISBLANK($C180),"",IF(ISNUMBER(AT180),AT180+ROW($B180)/1000,""))</f>
        <v/>
      </c>
      <c r="AY180" s="104" t="str">
        <f aca="false">IF(ISNUMBER(AX180),RANK(AX180,$AX$8:$AX$507,1),"")</f>
        <v/>
      </c>
      <c r="AZ180" s="104" t="str">
        <f aca="false">IF(ISBLANK($C180),"",$B180)</f>
        <v/>
      </c>
      <c r="BA180" s="104" t="str">
        <f aca="false">IF(ISBLANK($C180),"",$C180)</f>
        <v/>
      </c>
      <c r="BB180" s="104" t="str">
        <f aca="false">IF(ISBLANK($C180),"",$D180)</f>
        <v/>
      </c>
      <c r="BC180" s="105" t="str">
        <f aca="false">AQ180</f>
        <v/>
      </c>
      <c r="BD180" s="106" t="str">
        <f aca="false">AP180</f>
        <v/>
      </c>
      <c r="BE180" s="104" t="str">
        <f aca="false">IF(ISBLANK($C180),"",AS180)</f>
        <v/>
      </c>
      <c r="BF180" s="107" t="str">
        <f aca="false">IF($AW180&gt;$AV$7,"",VLOOKUP($AW180,$AY$8:$BE$507,7,FALSE()))</f>
        <v/>
      </c>
      <c r="BG180" s="108" t="str">
        <f aca="false">IF($AW180&gt;$AV$7,"",VLOOKUP($AW180,$AY$8:$BE$507,2,FALSE()))</f>
        <v/>
      </c>
      <c r="BH180" s="108" t="str">
        <f aca="false">IF($AW180&gt;$AV$7,"",VLOOKUP($AW180,$AY$8:$BE$507,3,FALSE()))</f>
        <v/>
      </c>
      <c r="BI180" s="108" t="str">
        <f aca="false">IF($AW180&gt;$AV$7,"",VLOOKUP($AW180,$AY$8:$BE$507,4,FALSE()))</f>
        <v/>
      </c>
      <c r="BJ180" s="108" t="str">
        <f aca="false">IF($AW180&gt;$AV$7,"",VLOOKUP($AW180,$AY$8:$BE$507,5,FALSE()))</f>
        <v/>
      </c>
      <c r="BK180" s="109" t="str">
        <f aca="false">IF($AW180&gt;$AV$7,"",VLOOKUP($AW180,$AY$8:$BE$507,6,FALSE()))</f>
        <v/>
      </c>
      <c r="BL180" s="50"/>
    </row>
    <row r="181" customFormat="false" ht="15.75" hidden="false" customHeight="false" outlineLevel="0" collapsed="false">
      <c r="A181" s="5"/>
      <c r="B181" s="124"/>
      <c r="C181" s="125"/>
      <c r="D181" s="110"/>
      <c r="E181" s="130"/>
      <c r="F181" s="135"/>
      <c r="G181" s="88"/>
      <c r="H181" s="136"/>
      <c r="I181" s="137"/>
      <c r="J181" s="91"/>
      <c r="K181" s="92"/>
      <c r="L181" s="137"/>
      <c r="M181" s="93"/>
      <c r="N181" s="94"/>
      <c r="O181" s="130"/>
      <c r="P181" s="96"/>
      <c r="Q181" s="97" t="str">
        <f aca="false">IF(ISBLANK($C181),"",IF(E181=Constants!$B$2, TRUE(), IF(E181=Constants!$B$3, FALSE(), TRUE())))</f>
        <v/>
      </c>
      <c r="R181" s="97" t="str">
        <f aca="false">IF(ISBLANK($C181),"",IF(F181=Constants!$B$2, TRUE(), IF(F181=Constants!$B$3, FALSE(), TRUE())))</f>
        <v/>
      </c>
      <c r="S181" s="97" t="str">
        <f aca="false">IF(ISBLANK($C181),"",IF(G181=Constants!$B$15,Constants!$B$8,IF(G181=Constants!$B$16,Constants!$B$9,Constants!$B$10)))</f>
        <v/>
      </c>
      <c r="T181" s="97" t="str">
        <f aca="false">IF(ISBLANK($C181),"",IF(H181=Constants!$B$2, TRUE(), IF(H181=Constants!$B$3, FALSE(), TRUE())))</f>
        <v/>
      </c>
      <c r="U181" s="97" t="str">
        <f aca="false">IF(ISBLANK($C181),"",IF(I181=Constants!$B$19,Constants!$B$19,Constants!$B$18))</f>
        <v/>
      </c>
      <c r="V181" s="97" t="str">
        <f aca="false">IF(ISBLANK($C181),"",IF(COUNTA(J181:K181)=0,"",IF(AND(OR(ISBLANK(J181),AND(ISNUMBER(J181),J181&gt;=0)),OR(ISBLANK(K181),AND(ISNUMBER(K181),K181&gt;=0))),60*IF(ISBLANK(J181),0,J181)+IF(ISBLANK(K181),0,K181),"")))</f>
        <v/>
      </c>
      <c r="W181" s="97" t="str">
        <f aca="false">IF(ISBLANK($C181),"",IF(L181=Constants!$B$19,Constants!$B$19,Constants!$B$18))</f>
        <v/>
      </c>
      <c r="X181" s="97" t="str">
        <f aca="false">IF(ISBLANK($C181),"",IF(COUNTA(M181:N181)=0,"",IF(AND(OR(ISBLANK(M181),AND(ISNUMBER(M181),M181&gt;=0)),OR(ISBLANK(N181),AND(ISNUMBER(N181),N181&gt;=0))),60*IF(ISBLANK(M181),0,M181)+IF(ISBLANK(N181),0,N181),"")))</f>
        <v/>
      </c>
      <c r="Y181" s="97" t="str">
        <f aca="false">IF(ISBLANK($C181),"",IF(O181=Constants!$B$2, TRUE(), IF(O181=Constants!$B$3, FALSE(), FALSE())))</f>
        <v/>
      </c>
      <c r="Z181" s="97" t="str">
        <f aca="false">IF(ISBLANK($C181),"",IF(Y181,Constants!$B$4,IF(COUNTA(E181:N181)=0,Constants!$B$5,IF(COUNTA(J181:K181,M181:N181)=0,Constants!$B$6,Constants!$B$7))))</f>
        <v/>
      </c>
      <c r="AA181" s="97" t="str">
        <f aca="false">IF(ISBLANK($C181),"",IF($Z181&lt;&gt;Constants!$B$7,$Z181,IF(OR(NOT(T181),AND(NOT(Q181),COUNTIFS(U181:W181,Constants!$B$18,V181:X181,"&gt;=0")&gt;0),AND(NOT(R181),COUNTIFS(U181:W181,Constants!$B$19,V181:X181,"&gt;=0")&gt;0)),Constants!$B$12,Constants!$B$11)))</f>
        <v/>
      </c>
      <c r="AB181" s="97" t="str">
        <f aca="false">IF($Z181=Constants!$B$7,IF(V181="",Constants!$B$13,V181),"")</f>
        <v/>
      </c>
      <c r="AC181" s="97" t="str">
        <f aca="false">IF($Z181=Constants!$B$7,IF(X181="",Constants!$B$13,X181),"")</f>
        <v/>
      </c>
      <c r="AD181" s="97" t="str">
        <f aca="false">IF($Z181=Constants!$B$7,IF($AB181&gt;=$AC181,1,2),"")</f>
        <v/>
      </c>
      <c r="AE181" s="97" t="str">
        <f aca="false">IF($Z181=Constants!$B$7,LARGE(AB181:AC181,1),"")</f>
        <v/>
      </c>
      <c r="AF181" s="97" t="str">
        <f aca="false">IF(ISBLANK($C181),"",IF($Z181&lt;&gt;Constants!$B$7,$Z181,AE181*S181))</f>
        <v/>
      </c>
      <c r="AG181" s="97" t="str">
        <f aca="false">IF(ISBLANK($C181),"",IF($Z181=Constants!$B$7,IF(ISNUMBER(AF181),RANK(AF181,$AF$8:$AF$507),Constants!$B$14),$Z181))</f>
        <v/>
      </c>
      <c r="AH181" s="97" t="str">
        <f aca="false">IF(ISBLANK($C181),"",IF($Z181=Constants!$B$7,IF(ISNUMBER(AG181),COUNTIFS($AA$8:$AA$507,"&lt;"&amp;$AA181)+COUNTIFS($AA$8:$AA$507,$AA181,$AG$8:$AG$507,"&lt;"&amp;$AG181)+1,Constants!$B$14),$Z181))</f>
        <v/>
      </c>
      <c r="AI181" s="97" t="str">
        <f aca="false">IF(ISBLANK($C181),"",IF($Z181=Constants!$B$7,LARGE(AB181:AC181,2)*S181,""))</f>
        <v/>
      </c>
      <c r="AJ181" s="97" t="str">
        <f aca="false">IF(ISBLANK($C181),"",IF($Z181=Constants!$B$7,RANK(AI181,$AI$8:$AI$507),$Z181))</f>
        <v/>
      </c>
      <c r="AK181" s="97" t="str">
        <f aca="false">IF(ISBLANK($C181),"",IF($Z181=Constants!$B$7,IF(ISNUMBER(AG181),COUNTIFS($AA$8:$AA$507,"&lt;"&amp;$AA181)+COUNTIFS($AA$8:$AA$507,$AA181,$AG$8:$AG$507,"&lt;"&amp;$AG181)+COUNTIFS($AA$8:$AA$507,$AA181,$AG$8:$AG$507,$AG181,$AJ$8:$AJ$507,"&lt;"&amp;$AJ181)+1,Constants!$B$14),$Z181))</f>
        <v/>
      </c>
      <c r="AL181" s="97" t="str">
        <f aca="false">IF(ISBLANK($C181),"",IF($Z181=Constants!$B$7,IF(ISNUMBER(AH181),AH181-AK181,Constants!$B$14),$Z181))</f>
        <v/>
      </c>
      <c r="AM181" s="98"/>
      <c r="AN181" s="99" t="str">
        <f aca="false">IF(ISBLANK($C181),"",IF($Z181&lt;&gt;Constants!$B$7,$Z181,AD181))</f>
        <v/>
      </c>
      <c r="AO181" s="100" t="str">
        <f aca="false">IF(ISBLANK($C181),"",IF($Z181&lt;&gt;Constants!$B$7,$Z181,S181))</f>
        <v/>
      </c>
      <c r="AP181" s="101" t="str">
        <f aca="false">IF(ISBLANK($C181),"",IF($Z181&lt;&gt;Constants!$B$7,$Z181,AF181))</f>
        <v/>
      </c>
      <c r="AQ181" s="102" t="str">
        <f aca="false">IF(ISBLANK($C181),"",IF($Z181&lt;&gt;Constants!$B$7,$Z181,AA181))</f>
        <v/>
      </c>
      <c r="AR181" s="100" t="str">
        <f aca="false">IF(ISBLANK($C181),"",AL181)</f>
        <v/>
      </c>
      <c r="AS181" s="100" t="str">
        <f aca="false">IF(ISBLANK($C181),"",AK181)</f>
        <v/>
      </c>
      <c r="AT181" s="103" t="str">
        <f aca="false">IF(ISBLANK($C181),"",IF(AS181=Constants!$B$4,COUNTA($C$8:$C$507)+2,IF(AS181=Constants!$B$5,COUNTA($C$8:$C$507)+1,IF(AS181=Constants!$B$6,COUNTA($C$8:$C$507),AS181))))</f>
        <v/>
      </c>
      <c r="AU181" s="5"/>
      <c r="AV181" s="104" t="n">
        <f aca="false">IF(OR(ISNUMBER(AS181),AS181=Constants!$B$4,AS181=Constants!$B$6,AS181=Constants!$B$5),1,0)</f>
        <v>0</v>
      </c>
      <c r="AW181" s="104" t="n">
        <v>174</v>
      </c>
      <c r="AX181" s="104" t="str">
        <f aca="false">IF(ISBLANK($C181),"",IF(ISNUMBER(AT181),AT181+ROW($B181)/1000,""))</f>
        <v/>
      </c>
      <c r="AY181" s="104" t="str">
        <f aca="false">IF(ISNUMBER(AX181),RANK(AX181,$AX$8:$AX$507,1),"")</f>
        <v/>
      </c>
      <c r="AZ181" s="104" t="str">
        <f aca="false">IF(ISBLANK($C181),"",$B181)</f>
        <v/>
      </c>
      <c r="BA181" s="104" t="str">
        <f aca="false">IF(ISBLANK($C181),"",$C181)</f>
        <v/>
      </c>
      <c r="BB181" s="104" t="str">
        <f aca="false">IF(ISBLANK($C181),"",$D181)</f>
        <v/>
      </c>
      <c r="BC181" s="105" t="str">
        <f aca="false">AQ181</f>
        <v/>
      </c>
      <c r="BD181" s="106" t="str">
        <f aca="false">AP181</f>
        <v/>
      </c>
      <c r="BE181" s="104" t="str">
        <f aca="false">IF(ISBLANK($C181),"",AS181)</f>
        <v/>
      </c>
      <c r="BF181" s="107" t="str">
        <f aca="false">IF($AW181&gt;$AV$7,"",VLOOKUP($AW181,$AY$8:$BE$507,7,FALSE()))</f>
        <v/>
      </c>
      <c r="BG181" s="108" t="str">
        <f aca="false">IF($AW181&gt;$AV$7,"",VLOOKUP($AW181,$AY$8:$BE$507,2,FALSE()))</f>
        <v/>
      </c>
      <c r="BH181" s="108" t="str">
        <f aca="false">IF($AW181&gt;$AV$7,"",VLOOKUP($AW181,$AY$8:$BE$507,3,FALSE()))</f>
        <v/>
      </c>
      <c r="BI181" s="108" t="str">
        <f aca="false">IF($AW181&gt;$AV$7,"",VLOOKUP($AW181,$AY$8:$BE$507,4,FALSE()))</f>
        <v/>
      </c>
      <c r="BJ181" s="108" t="str">
        <f aca="false">IF($AW181&gt;$AV$7,"",VLOOKUP($AW181,$AY$8:$BE$507,5,FALSE()))</f>
        <v/>
      </c>
      <c r="BK181" s="109" t="str">
        <f aca="false">IF($AW181&gt;$AV$7,"",VLOOKUP($AW181,$AY$8:$BE$507,6,FALSE()))</f>
        <v/>
      </c>
      <c r="BL181" s="50"/>
    </row>
    <row r="182" customFormat="false" ht="15.75" hidden="false" customHeight="false" outlineLevel="0" collapsed="false">
      <c r="A182" s="5"/>
      <c r="B182" s="131"/>
      <c r="C182" s="52"/>
      <c r="D182" s="53"/>
      <c r="E182" s="80"/>
      <c r="F182" s="132"/>
      <c r="G182" s="56"/>
      <c r="H182" s="133"/>
      <c r="I182" s="134"/>
      <c r="J182" s="59"/>
      <c r="K182" s="60"/>
      <c r="L182" s="134"/>
      <c r="M182" s="61"/>
      <c r="N182" s="62"/>
      <c r="O182" s="80"/>
      <c r="P182" s="64"/>
      <c r="Q182" s="65" t="str">
        <f aca="false">IF(ISBLANK($C182),"",IF(E182=Constants!$B$2, TRUE(), IF(E182=Constants!$B$3, FALSE(), TRUE())))</f>
        <v/>
      </c>
      <c r="R182" s="65" t="str">
        <f aca="false">IF(ISBLANK($C182),"",IF(F182=Constants!$B$2, TRUE(), IF(F182=Constants!$B$3, FALSE(), TRUE())))</f>
        <v/>
      </c>
      <c r="S182" s="65" t="str">
        <f aca="false">IF(ISBLANK($C182),"",IF(G182=Constants!$B$15,Constants!$B$8,IF(G182=Constants!$B$16,Constants!$B$9,Constants!$B$10)))</f>
        <v/>
      </c>
      <c r="T182" s="65" t="str">
        <f aca="false">IF(ISBLANK($C182),"",IF(H182=Constants!$B$2, TRUE(), IF(H182=Constants!$B$3, FALSE(), TRUE())))</f>
        <v/>
      </c>
      <c r="U182" s="65" t="str">
        <f aca="false">IF(ISBLANK($C182),"",IF(I182=Constants!$B$19,Constants!$B$19,Constants!$B$18))</f>
        <v/>
      </c>
      <c r="V182" s="65" t="str">
        <f aca="false">IF(ISBLANK($C182),"",IF(COUNTA(J182:K182)=0,"",IF(AND(OR(ISBLANK(J182),AND(ISNUMBER(J182),J182&gt;=0)),OR(ISBLANK(K182),AND(ISNUMBER(K182),K182&gt;=0))),60*IF(ISBLANK(J182),0,J182)+IF(ISBLANK(K182),0,K182),"")))</f>
        <v/>
      </c>
      <c r="W182" s="65" t="str">
        <f aca="false">IF(ISBLANK($C182),"",IF(L182=Constants!$B$19,Constants!$B$19,Constants!$B$18))</f>
        <v/>
      </c>
      <c r="X182" s="65" t="str">
        <f aca="false">IF(ISBLANK($C182),"",IF(COUNTA(M182:N182)=0,"",IF(AND(OR(ISBLANK(M182),AND(ISNUMBER(M182),M182&gt;=0)),OR(ISBLANK(N182),AND(ISNUMBER(N182),N182&gt;=0))),60*IF(ISBLANK(M182),0,M182)+IF(ISBLANK(N182),0,N182),"")))</f>
        <v/>
      </c>
      <c r="Y182" s="65" t="str">
        <f aca="false">IF(ISBLANK($C182),"",IF(O182=Constants!$B$2, TRUE(), IF(O182=Constants!$B$3, FALSE(), FALSE())))</f>
        <v/>
      </c>
      <c r="Z182" s="65" t="str">
        <f aca="false">IF(ISBLANK($C182),"",IF(Y182,Constants!$B$4,IF(COUNTA(E182:N182)=0,Constants!$B$5,IF(COUNTA(J182:K182,M182:N182)=0,Constants!$B$6,Constants!$B$7))))</f>
        <v/>
      </c>
      <c r="AA182" s="65" t="str">
        <f aca="false">IF(ISBLANK($C182),"",IF($Z182&lt;&gt;Constants!$B$7,$Z182,IF(OR(NOT(T182),AND(NOT(Q182),COUNTIFS(U182:W182,Constants!$B$18,V182:X182,"&gt;=0")&gt;0),AND(NOT(R182),COUNTIFS(U182:W182,Constants!$B$19,V182:X182,"&gt;=0")&gt;0)),Constants!$B$12,Constants!$B$11)))</f>
        <v/>
      </c>
      <c r="AB182" s="65" t="str">
        <f aca="false">IF($Z182=Constants!$B$7,IF(V182="",Constants!$B$13,V182),"")</f>
        <v/>
      </c>
      <c r="AC182" s="65" t="str">
        <f aca="false">IF($Z182=Constants!$B$7,IF(X182="",Constants!$B$13,X182),"")</f>
        <v/>
      </c>
      <c r="AD182" s="65" t="str">
        <f aca="false">IF($Z182=Constants!$B$7,IF($AB182&gt;=$AC182,1,2),"")</f>
        <v/>
      </c>
      <c r="AE182" s="65" t="str">
        <f aca="false">IF($Z182=Constants!$B$7,LARGE(AB182:AC182,1),"")</f>
        <v/>
      </c>
      <c r="AF182" s="65" t="str">
        <f aca="false">IF(ISBLANK($C182),"",IF($Z182&lt;&gt;Constants!$B$7,$Z182,AE182*S182))</f>
        <v/>
      </c>
      <c r="AG182" s="65" t="str">
        <f aca="false">IF(ISBLANK($C182),"",IF($Z182=Constants!$B$7,IF(ISNUMBER(AF182),RANK(AF182,$AF$8:$AF$507),Constants!$B$14),$Z182))</f>
        <v/>
      </c>
      <c r="AH182" s="65" t="str">
        <f aca="false">IF(ISBLANK($C182),"",IF($Z182=Constants!$B$7,IF(ISNUMBER(AG182),COUNTIFS($AA$8:$AA$507,"&lt;"&amp;$AA182)+COUNTIFS($AA$8:$AA$507,$AA182,$AG$8:$AG$507,"&lt;"&amp;$AG182)+1,Constants!$B$14),$Z182))</f>
        <v/>
      </c>
      <c r="AI182" s="65" t="str">
        <f aca="false">IF(ISBLANK($C182),"",IF($Z182=Constants!$B$7,LARGE(AB182:AC182,2)*S182,""))</f>
        <v/>
      </c>
      <c r="AJ182" s="65" t="str">
        <f aca="false">IF(ISBLANK($C182),"",IF($Z182=Constants!$B$7,RANK(AI182,$AI$8:$AI$507),$Z182))</f>
        <v/>
      </c>
      <c r="AK182" s="65" t="str">
        <f aca="false">IF(ISBLANK($C182),"",IF($Z182=Constants!$B$7,IF(ISNUMBER(AG182),COUNTIFS($AA$8:$AA$507,"&lt;"&amp;$AA182)+COUNTIFS($AA$8:$AA$507,$AA182,$AG$8:$AG$507,"&lt;"&amp;$AG182)+COUNTIFS($AA$8:$AA$507,$AA182,$AG$8:$AG$507,$AG182,$AJ$8:$AJ$507,"&lt;"&amp;$AJ182)+1,Constants!$B$14),$Z182))</f>
        <v/>
      </c>
      <c r="AL182" s="65" t="str">
        <f aca="false">IF(ISBLANK($C182),"",IF($Z182=Constants!$B$7,IF(ISNUMBER(AH182),AH182-AK182,Constants!$B$14),$Z182))</f>
        <v/>
      </c>
      <c r="AM182" s="67"/>
      <c r="AN182" s="68" t="str">
        <f aca="false">IF(ISBLANK($C182),"",IF($Z182&lt;&gt;Constants!$B$7,$Z182,AD182))</f>
        <v/>
      </c>
      <c r="AO182" s="69" t="str">
        <f aca="false">IF(ISBLANK($C182),"",IF($Z182&lt;&gt;Constants!$B$7,$Z182,S182))</f>
        <v/>
      </c>
      <c r="AP182" s="70" t="str">
        <f aca="false">IF(ISBLANK($C182),"",IF($Z182&lt;&gt;Constants!$B$7,$Z182,AF182))</f>
        <v/>
      </c>
      <c r="AQ182" s="71" t="str">
        <f aca="false">IF(ISBLANK($C182),"",IF($Z182&lt;&gt;Constants!$B$7,$Z182,AA182))</f>
        <v/>
      </c>
      <c r="AR182" s="69" t="str">
        <f aca="false">IF(ISBLANK($C182),"",AL182)</f>
        <v/>
      </c>
      <c r="AS182" s="69" t="str">
        <f aca="false">IF(ISBLANK($C182),"",AK182)</f>
        <v/>
      </c>
      <c r="AT182" s="72" t="str">
        <f aca="false">IF(ISBLANK($C182),"",IF(AS182=Constants!$B$4,COUNTA($C$8:$C$507)+2,IF(AS182=Constants!$B$5,COUNTA($C$8:$C$507)+1,IF(AS182=Constants!$B$6,COUNTA($C$8:$C$507),AS182))))</f>
        <v/>
      </c>
      <c r="AU182" s="5"/>
      <c r="AV182" s="73" t="n">
        <f aca="false">IF(OR(ISNUMBER(AS182),AS182=Constants!$B$4,AS182=Constants!$B$6,AS182=Constants!$B$5),1,0)</f>
        <v>0</v>
      </c>
      <c r="AW182" s="73" t="n">
        <v>175</v>
      </c>
      <c r="AX182" s="73" t="str">
        <f aca="false">IF(ISBLANK($C182),"",IF(ISNUMBER(AT182),AT182+ROW($B182)/1000,""))</f>
        <v/>
      </c>
      <c r="AY182" s="73" t="str">
        <f aca="false">IF(ISNUMBER(AX182),RANK(AX182,$AX$8:$AX$507,1),"")</f>
        <v/>
      </c>
      <c r="AZ182" s="73" t="str">
        <f aca="false">IF(ISBLANK($C182),"",$B182)</f>
        <v/>
      </c>
      <c r="BA182" s="73" t="str">
        <f aca="false">IF(ISBLANK($C182),"",$C182)</f>
        <v/>
      </c>
      <c r="BB182" s="73" t="str">
        <f aca="false">IF(ISBLANK($C182),"",$D182)</f>
        <v/>
      </c>
      <c r="BC182" s="74" t="str">
        <f aca="false">AQ182</f>
        <v/>
      </c>
      <c r="BD182" s="75" t="str">
        <f aca="false">AP182</f>
        <v/>
      </c>
      <c r="BE182" s="73" t="str">
        <f aca="false">IF(ISBLANK($C182),"",AS182)</f>
        <v/>
      </c>
      <c r="BF182" s="76" t="str">
        <f aca="false">IF($AW182&gt;$AV$7,"",VLOOKUP($AW182,$AY$8:$BE$507,7,FALSE()))</f>
        <v/>
      </c>
      <c r="BG182" s="77" t="str">
        <f aca="false">IF($AW182&gt;$AV$7,"",VLOOKUP($AW182,$AY$8:$BE$507,2,FALSE()))</f>
        <v/>
      </c>
      <c r="BH182" s="77" t="str">
        <f aca="false">IF($AW182&gt;$AV$7,"",VLOOKUP($AW182,$AY$8:$BE$507,3,FALSE()))</f>
        <v/>
      </c>
      <c r="BI182" s="77" t="str">
        <f aca="false">IF($AW182&gt;$AV$7,"",VLOOKUP($AW182,$AY$8:$BE$507,4,FALSE()))</f>
        <v/>
      </c>
      <c r="BJ182" s="77" t="str">
        <f aca="false">IF($AW182&gt;$AV$7,"",VLOOKUP($AW182,$AY$8:$BE$507,5,FALSE()))</f>
        <v/>
      </c>
      <c r="BK182" s="78" t="str">
        <f aca="false">IF($AW182&gt;$AV$7,"",VLOOKUP($AW182,$AY$8:$BE$507,6,FALSE()))</f>
        <v/>
      </c>
      <c r="BL182" s="50"/>
    </row>
    <row r="183" customFormat="false" ht="15.75" hidden="false" customHeight="false" outlineLevel="0" collapsed="false">
      <c r="A183" s="5"/>
      <c r="B183" s="131"/>
      <c r="C183" s="52"/>
      <c r="D183" s="53"/>
      <c r="E183" s="80"/>
      <c r="F183" s="132"/>
      <c r="G183" s="56"/>
      <c r="H183" s="133"/>
      <c r="I183" s="134"/>
      <c r="J183" s="59"/>
      <c r="K183" s="60"/>
      <c r="L183" s="134"/>
      <c r="M183" s="61"/>
      <c r="N183" s="62"/>
      <c r="O183" s="80"/>
      <c r="P183" s="64"/>
      <c r="Q183" s="65" t="str">
        <f aca="false">IF(ISBLANK($C183),"",IF(E183=Constants!$B$2, TRUE(), IF(E183=Constants!$B$3, FALSE(), TRUE())))</f>
        <v/>
      </c>
      <c r="R183" s="65" t="str">
        <f aca="false">IF(ISBLANK($C183),"",IF(F183=Constants!$B$2, TRUE(), IF(F183=Constants!$B$3, FALSE(), TRUE())))</f>
        <v/>
      </c>
      <c r="S183" s="65" t="str">
        <f aca="false">IF(ISBLANK($C183),"",IF(G183=Constants!$B$15,Constants!$B$8,IF(G183=Constants!$B$16,Constants!$B$9,Constants!$B$10)))</f>
        <v/>
      </c>
      <c r="T183" s="65" t="str">
        <f aca="false">IF(ISBLANK($C183),"",IF(H183=Constants!$B$2, TRUE(), IF(H183=Constants!$B$3, FALSE(), TRUE())))</f>
        <v/>
      </c>
      <c r="U183" s="65" t="str">
        <f aca="false">IF(ISBLANK($C183),"",IF(I183=Constants!$B$19,Constants!$B$19,Constants!$B$18))</f>
        <v/>
      </c>
      <c r="V183" s="65" t="str">
        <f aca="false">IF(ISBLANK($C183),"",IF(COUNTA(J183:K183)=0,"",IF(AND(OR(ISBLANK(J183),AND(ISNUMBER(J183),J183&gt;=0)),OR(ISBLANK(K183),AND(ISNUMBER(K183),K183&gt;=0))),60*IF(ISBLANK(J183),0,J183)+IF(ISBLANK(K183),0,K183),"")))</f>
        <v/>
      </c>
      <c r="W183" s="65" t="str">
        <f aca="false">IF(ISBLANK($C183),"",IF(L183=Constants!$B$19,Constants!$B$19,Constants!$B$18))</f>
        <v/>
      </c>
      <c r="X183" s="65" t="str">
        <f aca="false">IF(ISBLANK($C183),"",IF(COUNTA(M183:N183)=0,"",IF(AND(OR(ISBLANK(M183),AND(ISNUMBER(M183),M183&gt;=0)),OR(ISBLANK(N183),AND(ISNUMBER(N183),N183&gt;=0))),60*IF(ISBLANK(M183),0,M183)+IF(ISBLANK(N183),0,N183),"")))</f>
        <v/>
      </c>
      <c r="Y183" s="65" t="str">
        <f aca="false">IF(ISBLANK($C183),"",IF(O183=Constants!$B$2, TRUE(), IF(O183=Constants!$B$3, FALSE(), FALSE())))</f>
        <v/>
      </c>
      <c r="Z183" s="65" t="str">
        <f aca="false">IF(ISBLANK($C183),"",IF(Y183,Constants!$B$4,IF(COUNTA(E183:N183)=0,Constants!$B$5,IF(COUNTA(J183:K183,M183:N183)=0,Constants!$B$6,Constants!$B$7))))</f>
        <v/>
      </c>
      <c r="AA183" s="65" t="str">
        <f aca="false">IF(ISBLANK($C183),"",IF($Z183&lt;&gt;Constants!$B$7,$Z183,IF(OR(NOT(T183),AND(NOT(Q183),COUNTIFS(U183:W183,Constants!$B$18,V183:X183,"&gt;=0")&gt;0),AND(NOT(R183),COUNTIFS(U183:W183,Constants!$B$19,V183:X183,"&gt;=0")&gt;0)),Constants!$B$12,Constants!$B$11)))</f>
        <v/>
      </c>
      <c r="AB183" s="65" t="str">
        <f aca="false">IF($Z183=Constants!$B$7,IF(V183="",Constants!$B$13,V183),"")</f>
        <v/>
      </c>
      <c r="AC183" s="65" t="str">
        <f aca="false">IF($Z183=Constants!$B$7,IF(X183="",Constants!$B$13,X183),"")</f>
        <v/>
      </c>
      <c r="AD183" s="65" t="str">
        <f aca="false">IF($Z183=Constants!$B$7,IF($AB183&gt;=$AC183,1,2),"")</f>
        <v/>
      </c>
      <c r="AE183" s="65" t="str">
        <f aca="false">IF($Z183=Constants!$B$7,LARGE(AB183:AC183,1),"")</f>
        <v/>
      </c>
      <c r="AF183" s="65" t="str">
        <f aca="false">IF(ISBLANK($C183),"",IF($Z183&lt;&gt;Constants!$B$7,$Z183,AE183*S183))</f>
        <v/>
      </c>
      <c r="AG183" s="65" t="str">
        <f aca="false">IF(ISBLANK($C183),"",IF($Z183=Constants!$B$7,IF(ISNUMBER(AF183),RANK(AF183,$AF$8:$AF$507),Constants!$B$14),$Z183))</f>
        <v/>
      </c>
      <c r="AH183" s="65" t="str">
        <f aca="false">IF(ISBLANK($C183),"",IF($Z183=Constants!$B$7,IF(ISNUMBER(AG183),COUNTIFS($AA$8:$AA$507,"&lt;"&amp;$AA183)+COUNTIFS($AA$8:$AA$507,$AA183,$AG$8:$AG$507,"&lt;"&amp;$AG183)+1,Constants!$B$14),$Z183))</f>
        <v/>
      </c>
      <c r="AI183" s="65" t="str">
        <f aca="false">IF(ISBLANK($C183),"",IF($Z183=Constants!$B$7,LARGE(AB183:AC183,2)*S183,""))</f>
        <v/>
      </c>
      <c r="AJ183" s="65" t="str">
        <f aca="false">IF(ISBLANK($C183),"",IF($Z183=Constants!$B$7,RANK(AI183,$AI$8:$AI$507),$Z183))</f>
        <v/>
      </c>
      <c r="AK183" s="65" t="str">
        <f aca="false">IF(ISBLANK($C183),"",IF($Z183=Constants!$B$7,IF(ISNUMBER(AG183),COUNTIFS($AA$8:$AA$507,"&lt;"&amp;$AA183)+COUNTIFS($AA$8:$AA$507,$AA183,$AG$8:$AG$507,"&lt;"&amp;$AG183)+COUNTIFS($AA$8:$AA$507,$AA183,$AG$8:$AG$507,$AG183,$AJ$8:$AJ$507,"&lt;"&amp;$AJ183)+1,Constants!$B$14),$Z183))</f>
        <v/>
      </c>
      <c r="AL183" s="65" t="str">
        <f aca="false">IF(ISBLANK($C183),"",IF($Z183=Constants!$B$7,IF(ISNUMBER(AH183),AH183-AK183,Constants!$B$14),$Z183))</f>
        <v/>
      </c>
      <c r="AM183" s="67"/>
      <c r="AN183" s="68" t="str">
        <f aca="false">IF(ISBLANK($C183),"",IF($Z183&lt;&gt;Constants!$B$7,$Z183,AD183))</f>
        <v/>
      </c>
      <c r="AO183" s="69" t="str">
        <f aca="false">IF(ISBLANK($C183),"",IF($Z183&lt;&gt;Constants!$B$7,$Z183,S183))</f>
        <v/>
      </c>
      <c r="AP183" s="70" t="str">
        <f aca="false">IF(ISBLANK($C183),"",IF($Z183&lt;&gt;Constants!$B$7,$Z183,AF183))</f>
        <v/>
      </c>
      <c r="AQ183" s="71" t="str">
        <f aca="false">IF(ISBLANK($C183),"",IF($Z183&lt;&gt;Constants!$B$7,$Z183,AA183))</f>
        <v/>
      </c>
      <c r="AR183" s="69" t="str">
        <f aca="false">IF(ISBLANK($C183),"",AL183)</f>
        <v/>
      </c>
      <c r="AS183" s="69" t="str">
        <f aca="false">IF(ISBLANK($C183),"",AK183)</f>
        <v/>
      </c>
      <c r="AT183" s="72" t="str">
        <f aca="false">IF(ISBLANK($C183),"",IF(AS183=Constants!$B$4,COUNTA($C$8:$C$507)+2,IF(AS183=Constants!$B$5,COUNTA($C$8:$C$507)+1,IF(AS183=Constants!$B$6,COUNTA($C$8:$C$507),AS183))))</f>
        <v/>
      </c>
      <c r="AU183" s="5"/>
      <c r="AV183" s="73" t="n">
        <f aca="false">IF(OR(ISNUMBER(AS183),AS183=Constants!$B$4,AS183=Constants!$B$6,AS183=Constants!$B$5),1,0)</f>
        <v>0</v>
      </c>
      <c r="AW183" s="73" t="n">
        <v>176</v>
      </c>
      <c r="AX183" s="73" t="str">
        <f aca="false">IF(ISBLANK($C183),"",IF(ISNUMBER(AT183),AT183+ROW($B183)/1000,""))</f>
        <v/>
      </c>
      <c r="AY183" s="73" t="str">
        <f aca="false">IF(ISNUMBER(AX183),RANK(AX183,$AX$8:$AX$507,1),"")</f>
        <v/>
      </c>
      <c r="AZ183" s="73" t="str">
        <f aca="false">IF(ISBLANK($C183),"",$B183)</f>
        <v/>
      </c>
      <c r="BA183" s="73" t="str">
        <f aca="false">IF(ISBLANK($C183),"",$C183)</f>
        <v/>
      </c>
      <c r="BB183" s="73" t="str">
        <f aca="false">IF(ISBLANK($C183),"",$D183)</f>
        <v/>
      </c>
      <c r="BC183" s="74" t="str">
        <f aca="false">AQ183</f>
        <v/>
      </c>
      <c r="BD183" s="75" t="str">
        <f aca="false">AP183</f>
        <v/>
      </c>
      <c r="BE183" s="73" t="str">
        <f aca="false">IF(ISBLANK($C183),"",AS183)</f>
        <v/>
      </c>
      <c r="BF183" s="76" t="str">
        <f aca="false">IF($AW183&gt;$AV$7,"",VLOOKUP($AW183,$AY$8:$BE$507,7,FALSE()))</f>
        <v/>
      </c>
      <c r="BG183" s="77" t="str">
        <f aca="false">IF($AW183&gt;$AV$7,"",VLOOKUP($AW183,$AY$8:$BE$507,2,FALSE()))</f>
        <v/>
      </c>
      <c r="BH183" s="77" t="str">
        <f aca="false">IF($AW183&gt;$AV$7,"",VLOOKUP($AW183,$AY$8:$BE$507,3,FALSE()))</f>
        <v/>
      </c>
      <c r="BI183" s="77" t="str">
        <f aca="false">IF($AW183&gt;$AV$7,"",VLOOKUP($AW183,$AY$8:$BE$507,4,FALSE()))</f>
        <v/>
      </c>
      <c r="BJ183" s="77" t="str">
        <f aca="false">IF($AW183&gt;$AV$7,"",VLOOKUP($AW183,$AY$8:$BE$507,5,FALSE()))</f>
        <v/>
      </c>
      <c r="BK183" s="78" t="str">
        <f aca="false">IF($AW183&gt;$AV$7,"",VLOOKUP($AW183,$AY$8:$BE$507,6,FALSE()))</f>
        <v/>
      </c>
      <c r="BL183" s="50"/>
    </row>
    <row r="184" customFormat="false" ht="15.75" hidden="false" customHeight="false" outlineLevel="0" collapsed="false">
      <c r="A184" s="5"/>
      <c r="B184" s="131"/>
      <c r="C184" s="52"/>
      <c r="D184" s="53"/>
      <c r="E184" s="80"/>
      <c r="F184" s="132"/>
      <c r="G184" s="56"/>
      <c r="H184" s="133"/>
      <c r="I184" s="134"/>
      <c r="J184" s="59"/>
      <c r="K184" s="60"/>
      <c r="L184" s="134"/>
      <c r="M184" s="61"/>
      <c r="N184" s="62"/>
      <c r="O184" s="80"/>
      <c r="P184" s="64"/>
      <c r="Q184" s="65" t="str">
        <f aca="false">IF(ISBLANK($C184),"",IF(E184=Constants!$B$2, TRUE(), IF(E184=Constants!$B$3, FALSE(), TRUE())))</f>
        <v/>
      </c>
      <c r="R184" s="65" t="str">
        <f aca="false">IF(ISBLANK($C184),"",IF(F184=Constants!$B$2, TRUE(), IF(F184=Constants!$B$3, FALSE(), TRUE())))</f>
        <v/>
      </c>
      <c r="S184" s="65" t="str">
        <f aca="false">IF(ISBLANK($C184),"",IF(G184=Constants!$B$15,Constants!$B$8,IF(G184=Constants!$B$16,Constants!$B$9,Constants!$B$10)))</f>
        <v/>
      </c>
      <c r="T184" s="65" t="str">
        <f aca="false">IF(ISBLANK($C184),"",IF(H184=Constants!$B$2, TRUE(), IF(H184=Constants!$B$3, FALSE(), TRUE())))</f>
        <v/>
      </c>
      <c r="U184" s="65" t="str">
        <f aca="false">IF(ISBLANK($C184),"",IF(I184=Constants!$B$19,Constants!$B$19,Constants!$B$18))</f>
        <v/>
      </c>
      <c r="V184" s="65" t="str">
        <f aca="false">IF(ISBLANK($C184),"",IF(COUNTA(J184:K184)=0,"",IF(AND(OR(ISBLANK(J184),AND(ISNUMBER(J184),J184&gt;=0)),OR(ISBLANK(K184),AND(ISNUMBER(K184),K184&gt;=0))),60*IF(ISBLANK(J184),0,J184)+IF(ISBLANK(K184),0,K184),"")))</f>
        <v/>
      </c>
      <c r="W184" s="65" t="str">
        <f aca="false">IF(ISBLANK($C184),"",IF(L184=Constants!$B$19,Constants!$B$19,Constants!$B$18))</f>
        <v/>
      </c>
      <c r="X184" s="65" t="str">
        <f aca="false">IF(ISBLANK($C184),"",IF(COUNTA(M184:N184)=0,"",IF(AND(OR(ISBLANK(M184),AND(ISNUMBER(M184),M184&gt;=0)),OR(ISBLANK(N184),AND(ISNUMBER(N184),N184&gt;=0))),60*IF(ISBLANK(M184),0,M184)+IF(ISBLANK(N184),0,N184),"")))</f>
        <v/>
      </c>
      <c r="Y184" s="65" t="str">
        <f aca="false">IF(ISBLANK($C184),"",IF(O184=Constants!$B$2, TRUE(), IF(O184=Constants!$B$3, FALSE(), FALSE())))</f>
        <v/>
      </c>
      <c r="Z184" s="65" t="str">
        <f aca="false">IF(ISBLANK($C184),"",IF(Y184,Constants!$B$4,IF(COUNTA(E184:N184)=0,Constants!$B$5,IF(COUNTA(J184:K184,M184:N184)=0,Constants!$B$6,Constants!$B$7))))</f>
        <v/>
      </c>
      <c r="AA184" s="65" t="str">
        <f aca="false">IF(ISBLANK($C184),"",IF($Z184&lt;&gt;Constants!$B$7,$Z184,IF(OR(NOT(T184),AND(NOT(Q184),COUNTIFS(U184:W184,Constants!$B$18,V184:X184,"&gt;=0")&gt;0),AND(NOT(R184),COUNTIFS(U184:W184,Constants!$B$19,V184:X184,"&gt;=0")&gt;0)),Constants!$B$12,Constants!$B$11)))</f>
        <v/>
      </c>
      <c r="AB184" s="65" t="str">
        <f aca="false">IF($Z184=Constants!$B$7,IF(V184="",Constants!$B$13,V184),"")</f>
        <v/>
      </c>
      <c r="AC184" s="65" t="str">
        <f aca="false">IF($Z184=Constants!$B$7,IF(X184="",Constants!$B$13,X184),"")</f>
        <v/>
      </c>
      <c r="AD184" s="65" t="str">
        <f aca="false">IF($Z184=Constants!$B$7,IF($AB184&gt;=$AC184,1,2),"")</f>
        <v/>
      </c>
      <c r="AE184" s="65" t="str">
        <f aca="false">IF($Z184=Constants!$B$7,LARGE(AB184:AC184,1),"")</f>
        <v/>
      </c>
      <c r="AF184" s="65" t="str">
        <f aca="false">IF(ISBLANK($C184),"",IF($Z184&lt;&gt;Constants!$B$7,$Z184,AE184*S184))</f>
        <v/>
      </c>
      <c r="AG184" s="65" t="str">
        <f aca="false">IF(ISBLANK($C184),"",IF($Z184=Constants!$B$7,IF(ISNUMBER(AF184),RANK(AF184,$AF$8:$AF$507),Constants!$B$14),$Z184))</f>
        <v/>
      </c>
      <c r="AH184" s="65" t="str">
        <f aca="false">IF(ISBLANK($C184),"",IF($Z184=Constants!$B$7,IF(ISNUMBER(AG184),COUNTIFS($AA$8:$AA$507,"&lt;"&amp;$AA184)+COUNTIFS($AA$8:$AA$507,$AA184,$AG$8:$AG$507,"&lt;"&amp;$AG184)+1,Constants!$B$14),$Z184))</f>
        <v/>
      </c>
      <c r="AI184" s="65" t="str">
        <f aca="false">IF(ISBLANK($C184),"",IF($Z184=Constants!$B$7,LARGE(AB184:AC184,2)*S184,""))</f>
        <v/>
      </c>
      <c r="AJ184" s="65" t="str">
        <f aca="false">IF(ISBLANK($C184),"",IF($Z184=Constants!$B$7,RANK(AI184,$AI$8:$AI$507),$Z184))</f>
        <v/>
      </c>
      <c r="AK184" s="65" t="str">
        <f aca="false">IF(ISBLANK($C184),"",IF($Z184=Constants!$B$7,IF(ISNUMBER(AG184),COUNTIFS($AA$8:$AA$507,"&lt;"&amp;$AA184)+COUNTIFS($AA$8:$AA$507,$AA184,$AG$8:$AG$507,"&lt;"&amp;$AG184)+COUNTIFS($AA$8:$AA$507,$AA184,$AG$8:$AG$507,$AG184,$AJ$8:$AJ$507,"&lt;"&amp;$AJ184)+1,Constants!$B$14),$Z184))</f>
        <v/>
      </c>
      <c r="AL184" s="65" t="str">
        <f aca="false">IF(ISBLANK($C184),"",IF($Z184=Constants!$B$7,IF(ISNUMBER(AH184),AH184-AK184,Constants!$B$14),$Z184))</f>
        <v/>
      </c>
      <c r="AM184" s="67"/>
      <c r="AN184" s="68" t="str">
        <f aca="false">IF(ISBLANK($C184),"",IF($Z184&lt;&gt;Constants!$B$7,$Z184,AD184))</f>
        <v/>
      </c>
      <c r="AO184" s="69" t="str">
        <f aca="false">IF(ISBLANK($C184),"",IF($Z184&lt;&gt;Constants!$B$7,$Z184,S184))</f>
        <v/>
      </c>
      <c r="AP184" s="70" t="str">
        <f aca="false">IF(ISBLANK($C184),"",IF($Z184&lt;&gt;Constants!$B$7,$Z184,AF184))</f>
        <v/>
      </c>
      <c r="AQ184" s="71" t="str">
        <f aca="false">IF(ISBLANK($C184),"",IF($Z184&lt;&gt;Constants!$B$7,$Z184,AA184))</f>
        <v/>
      </c>
      <c r="AR184" s="69" t="str">
        <f aca="false">IF(ISBLANK($C184),"",AL184)</f>
        <v/>
      </c>
      <c r="AS184" s="69" t="str">
        <f aca="false">IF(ISBLANK($C184),"",AK184)</f>
        <v/>
      </c>
      <c r="AT184" s="72" t="str">
        <f aca="false">IF(ISBLANK($C184),"",IF(AS184=Constants!$B$4,COUNTA($C$8:$C$507)+2,IF(AS184=Constants!$B$5,COUNTA($C$8:$C$507)+1,IF(AS184=Constants!$B$6,COUNTA($C$8:$C$507),AS184))))</f>
        <v/>
      </c>
      <c r="AU184" s="5"/>
      <c r="AV184" s="73" t="n">
        <f aca="false">IF(OR(ISNUMBER(AS184),AS184=Constants!$B$4,AS184=Constants!$B$6,AS184=Constants!$B$5),1,0)</f>
        <v>0</v>
      </c>
      <c r="AW184" s="73" t="n">
        <v>177</v>
      </c>
      <c r="AX184" s="73" t="str">
        <f aca="false">IF(ISBLANK($C184),"",IF(ISNUMBER(AT184),AT184+ROW($B184)/1000,""))</f>
        <v/>
      </c>
      <c r="AY184" s="73" t="str">
        <f aca="false">IF(ISNUMBER(AX184),RANK(AX184,$AX$8:$AX$507,1),"")</f>
        <v/>
      </c>
      <c r="AZ184" s="73" t="str">
        <f aca="false">IF(ISBLANK($C184),"",$B184)</f>
        <v/>
      </c>
      <c r="BA184" s="73" t="str">
        <f aca="false">IF(ISBLANK($C184),"",$C184)</f>
        <v/>
      </c>
      <c r="BB184" s="73" t="str">
        <f aca="false">IF(ISBLANK($C184),"",$D184)</f>
        <v/>
      </c>
      <c r="BC184" s="74" t="str">
        <f aca="false">AQ184</f>
        <v/>
      </c>
      <c r="BD184" s="75" t="str">
        <f aca="false">AP184</f>
        <v/>
      </c>
      <c r="BE184" s="73" t="str">
        <f aca="false">IF(ISBLANK($C184),"",AS184)</f>
        <v/>
      </c>
      <c r="BF184" s="76" t="str">
        <f aca="false">IF($AW184&gt;$AV$7,"",VLOOKUP($AW184,$AY$8:$BE$507,7,FALSE()))</f>
        <v/>
      </c>
      <c r="BG184" s="77" t="str">
        <f aca="false">IF($AW184&gt;$AV$7,"",VLOOKUP($AW184,$AY$8:$BE$507,2,FALSE()))</f>
        <v/>
      </c>
      <c r="BH184" s="77" t="str">
        <f aca="false">IF($AW184&gt;$AV$7,"",VLOOKUP($AW184,$AY$8:$BE$507,3,FALSE()))</f>
        <v/>
      </c>
      <c r="BI184" s="77" t="str">
        <f aca="false">IF($AW184&gt;$AV$7,"",VLOOKUP($AW184,$AY$8:$BE$507,4,FALSE()))</f>
        <v/>
      </c>
      <c r="BJ184" s="77" t="str">
        <f aca="false">IF($AW184&gt;$AV$7,"",VLOOKUP($AW184,$AY$8:$BE$507,5,FALSE()))</f>
        <v/>
      </c>
      <c r="BK184" s="78" t="str">
        <f aca="false">IF($AW184&gt;$AV$7,"",VLOOKUP($AW184,$AY$8:$BE$507,6,FALSE()))</f>
        <v/>
      </c>
      <c r="BL184" s="50"/>
    </row>
    <row r="185" customFormat="false" ht="15.75" hidden="false" customHeight="false" outlineLevel="0" collapsed="false">
      <c r="A185" s="5"/>
      <c r="B185" s="124"/>
      <c r="C185" s="125"/>
      <c r="D185" s="110"/>
      <c r="E185" s="130"/>
      <c r="F185" s="135"/>
      <c r="G185" s="88"/>
      <c r="H185" s="136"/>
      <c r="I185" s="137"/>
      <c r="J185" s="91"/>
      <c r="K185" s="92"/>
      <c r="L185" s="137"/>
      <c r="M185" s="93"/>
      <c r="N185" s="94"/>
      <c r="O185" s="130"/>
      <c r="P185" s="96"/>
      <c r="Q185" s="97" t="str">
        <f aca="false">IF(ISBLANK($C185),"",IF(E185=Constants!$B$2, TRUE(), IF(E185=Constants!$B$3, FALSE(), TRUE())))</f>
        <v/>
      </c>
      <c r="R185" s="97" t="str">
        <f aca="false">IF(ISBLANK($C185),"",IF(F185=Constants!$B$2, TRUE(), IF(F185=Constants!$B$3, FALSE(), TRUE())))</f>
        <v/>
      </c>
      <c r="S185" s="97" t="str">
        <f aca="false">IF(ISBLANK($C185),"",IF(G185=Constants!$B$15,Constants!$B$8,IF(G185=Constants!$B$16,Constants!$B$9,Constants!$B$10)))</f>
        <v/>
      </c>
      <c r="T185" s="97" t="str">
        <f aca="false">IF(ISBLANK($C185),"",IF(H185=Constants!$B$2, TRUE(), IF(H185=Constants!$B$3, FALSE(), TRUE())))</f>
        <v/>
      </c>
      <c r="U185" s="97" t="str">
        <f aca="false">IF(ISBLANK($C185),"",IF(I185=Constants!$B$19,Constants!$B$19,Constants!$B$18))</f>
        <v/>
      </c>
      <c r="V185" s="97" t="str">
        <f aca="false">IF(ISBLANK($C185),"",IF(COUNTA(J185:K185)=0,"",IF(AND(OR(ISBLANK(J185),AND(ISNUMBER(J185),J185&gt;=0)),OR(ISBLANK(K185),AND(ISNUMBER(K185),K185&gt;=0))),60*IF(ISBLANK(J185),0,J185)+IF(ISBLANK(K185),0,K185),"")))</f>
        <v/>
      </c>
      <c r="W185" s="97" t="str">
        <f aca="false">IF(ISBLANK($C185),"",IF(L185=Constants!$B$19,Constants!$B$19,Constants!$B$18))</f>
        <v/>
      </c>
      <c r="X185" s="97" t="str">
        <f aca="false">IF(ISBLANK($C185),"",IF(COUNTA(M185:N185)=0,"",IF(AND(OR(ISBLANK(M185),AND(ISNUMBER(M185),M185&gt;=0)),OR(ISBLANK(N185),AND(ISNUMBER(N185),N185&gt;=0))),60*IF(ISBLANK(M185),0,M185)+IF(ISBLANK(N185),0,N185),"")))</f>
        <v/>
      </c>
      <c r="Y185" s="97" t="str">
        <f aca="false">IF(ISBLANK($C185),"",IF(O185=Constants!$B$2, TRUE(), IF(O185=Constants!$B$3, FALSE(), FALSE())))</f>
        <v/>
      </c>
      <c r="Z185" s="97" t="str">
        <f aca="false">IF(ISBLANK($C185),"",IF(Y185,Constants!$B$4,IF(COUNTA(E185:N185)=0,Constants!$B$5,IF(COUNTA(J185:K185,M185:N185)=0,Constants!$B$6,Constants!$B$7))))</f>
        <v/>
      </c>
      <c r="AA185" s="97" t="str">
        <f aca="false">IF(ISBLANK($C185),"",IF($Z185&lt;&gt;Constants!$B$7,$Z185,IF(OR(NOT(T185),AND(NOT(Q185),COUNTIFS(U185:W185,Constants!$B$18,V185:X185,"&gt;=0")&gt;0),AND(NOT(R185),COUNTIFS(U185:W185,Constants!$B$19,V185:X185,"&gt;=0")&gt;0)),Constants!$B$12,Constants!$B$11)))</f>
        <v/>
      </c>
      <c r="AB185" s="97" t="str">
        <f aca="false">IF($Z185=Constants!$B$7,IF(V185="",Constants!$B$13,V185),"")</f>
        <v/>
      </c>
      <c r="AC185" s="97" t="str">
        <f aca="false">IF($Z185=Constants!$B$7,IF(X185="",Constants!$B$13,X185),"")</f>
        <v/>
      </c>
      <c r="AD185" s="97" t="str">
        <f aca="false">IF($Z185=Constants!$B$7,IF($AB185&gt;=$AC185,1,2),"")</f>
        <v/>
      </c>
      <c r="AE185" s="97" t="str">
        <f aca="false">IF($Z185=Constants!$B$7,LARGE(AB185:AC185,1),"")</f>
        <v/>
      </c>
      <c r="AF185" s="97" t="str">
        <f aca="false">IF(ISBLANK($C185),"",IF($Z185&lt;&gt;Constants!$B$7,$Z185,AE185*S185))</f>
        <v/>
      </c>
      <c r="AG185" s="97" t="str">
        <f aca="false">IF(ISBLANK($C185),"",IF($Z185=Constants!$B$7,IF(ISNUMBER(AF185),RANK(AF185,$AF$8:$AF$507),Constants!$B$14),$Z185))</f>
        <v/>
      </c>
      <c r="AH185" s="97" t="str">
        <f aca="false">IF(ISBLANK($C185),"",IF($Z185=Constants!$B$7,IF(ISNUMBER(AG185),COUNTIFS($AA$8:$AA$507,"&lt;"&amp;$AA185)+COUNTIFS($AA$8:$AA$507,$AA185,$AG$8:$AG$507,"&lt;"&amp;$AG185)+1,Constants!$B$14),$Z185))</f>
        <v/>
      </c>
      <c r="AI185" s="97" t="str">
        <f aca="false">IF(ISBLANK($C185),"",IF($Z185=Constants!$B$7,LARGE(AB185:AC185,2)*S185,""))</f>
        <v/>
      </c>
      <c r="AJ185" s="97" t="str">
        <f aca="false">IF(ISBLANK($C185),"",IF($Z185=Constants!$B$7,RANK(AI185,$AI$8:$AI$507),$Z185))</f>
        <v/>
      </c>
      <c r="AK185" s="97" t="str">
        <f aca="false">IF(ISBLANK($C185),"",IF($Z185=Constants!$B$7,IF(ISNUMBER(AG185),COUNTIFS($AA$8:$AA$507,"&lt;"&amp;$AA185)+COUNTIFS($AA$8:$AA$507,$AA185,$AG$8:$AG$507,"&lt;"&amp;$AG185)+COUNTIFS($AA$8:$AA$507,$AA185,$AG$8:$AG$507,$AG185,$AJ$8:$AJ$507,"&lt;"&amp;$AJ185)+1,Constants!$B$14),$Z185))</f>
        <v/>
      </c>
      <c r="AL185" s="97" t="str">
        <f aca="false">IF(ISBLANK($C185),"",IF($Z185=Constants!$B$7,IF(ISNUMBER(AH185),AH185-AK185,Constants!$B$14),$Z185))</f>
        <v/>
      </c>
      <c r="AM185" s="98"/>
      <c r="AN185" s="99" t="str">
        <f aca="false">IF(ISBLANK($C185),"",IF($Z185&lt;&gt;Constants!$B$7,$Z185,AD185))</f>
        <v/>
      </c>
      <c r="AO185" s="100" t="str">
        <f aca="false">IF(ISBLANK($C185),"",IF($Z185&lt;&gt;Constants!$B$7,$Z185,S185))</f>
        <v/>
      </c>
      <c r="AP185" s="101" t="str">
        <f aca="false">IF(ISBLANK($C185),"",IF($Z185&lt;&gt;Constants!$B$7,$Z185,AF185))</f>
        <v/>
      </c>
      <c r="AQ185" s="102" t="str">
        <f aca="false">IF(ISBLANK($C185),"",IF($Z185&lt;&gt;Constants!$B$7,$Z185,AA185))</f>
        <v/>
      </c>
      <c r="AR185" s="100" t="str">
        <f aca="false">IF(ISBLANK($C185),"",AL185)</f>
        <v/>
      </c>
      <c r="AS185" s="100" t="str">
        <f aca="false">IF(ISBLANK($C185),"",AK185)</f>
        <v/>
      </c>
      <c r="AT185" s="103" t="str">
        <f aca="false">IF(ISBLANK($C185),"",IF(AS185=Constants!$B$4,COUNTA($C$8:$C$507)+2,IF(AS185=Constants!$B$5,COUNTA($C$8:$C$507)+1,IF(AS185=Constants!$B$6,COUNTA($C$8:$C$507),AS185))))</f>
        <v/>
      </c>
      <c r="AU185" s="5"/>
      <c r="AV185" s="104" t="n">
        <f aca="false">IF(OR(ISNUMBER(AS185),AS185=Constants!$B$4,AS185=Constants!$B$6,AS185=Constants!$B$5),1,0)</f>
        <v>0</v>
      </c>
      <c r="AW185" s="104" t="n">
        <v>178</v>
      </c>
      <c r="AX185" s="104" t="str">
        <f aca="false">IF(ISBLANK($C185),"",IF(ISNUMBER(AT185),AT185+ROW($B185)/1000,""))</f>
        <v/>
      </c>
      <c r="AY185" s="104" t="str">
        <f aca="false">IF(ISNUMBER(AX185),RANK(AX185,$AX$8:$AX$507,1),"")</f>
        <v/>
      </c>
      <c r="AZ185" s="104" t="str">
        <f aca="false">IF(ISBLANK($C185),"",$B185)</f>
        <v/>
      </c>
      <c r="BA185" s="104" t="str">
        <f aca="false">IF(ISBLANK($C185),"",$C185)</f>
        <v/>
      </c>
      <c r="BB185" s="104" t="str">
        <f aca="false">IF(ISBLANK($C185),"",$D185)</f>
        <v/>
      </c>
      <c r="BC185" s="105" t="str">
        <f aca="false">AQ185</f>
        <v/>
      </c>
      <c r="BD185" s="106" t="str">
        <f aca="false">AP185</f>
        <v/>
      </c>
      <c r="BE185" s="104" t="str">
        <f aca="false">IF(ISBLANK($C185),"",AS185)</f>
        <v/>
      </c>
      <c r="BF185" s="107" t="str">
        <f aca="false">IF($AW185&gt;$AV$7,"",VLOOKUP($AW185,$AY$8:$BE$507,7,FALSE()))</f>
        <v/>
      </c>
      <c r="BG185" s="108" t="str">
        <f aca="false">IF($AW185&gt;$AV$7,"",VLOOKUP($AW185,$AY$8:$BE$507,2,FALSE()))</f>
        <v/>
      </c>
      <c r="BH185" s="108" t="str">
        <f aca="false">IF($AW185&gt;$AV$7,"",VLOOKUP($AW185,$AY$8:$BE$507,3,FALSE()))</f>
        <v/>
      </c>
      <c r="BI185" s="108" t="str">
        <f aca="false">IF($AW185&gt;$AV$7,"",VLOOKUP($AW185,$AY$8:$BE$507,4,FALSE()))</f>
        <v/>
      </c>
      <c r="BJ185" s="108" t="str">
        <f aca="false">IF($AW185&gt;$AV$7,"",VLOOKUP($AW185,$AY$8:$BE$507,5,FALSE()))</f>
        <v/>
      </c>
      <c r="BK185" s="109" t="str">
        <f aca="false">IF($AW185&gt;$AV$7,"",VLOOKUP($AW185,$AY$8:$BE$507,6,FALSE()))</f>
        <v/>
      </c>
      <c r="BL185" s="50"/>
    </row>
    <row r="186" customFormat="false" ht="15.75" hidden="false" customHeight="false" outlineLevel="0" collapsed="false">
      <c r="A186" s="5"/>
      <c r="B186" s="124"/>
      <c r="C186" s="125"/>
      <c r="D186" s="110"/>
      <c r="E186" s="130"/>
      <c r="F186" s="135"/>
      <c r="G186" s="88"/>
      <c r="H186" s="136"/>
      <c r="I186" s="137"/>
      <c r="J186" s="91"/>
      <c r="K186" s="92"/>
      <c r="L186" s="137"/>
      <c r="M186" s="93"/>
      <c r="N186" s="94"/>
      <c r="O186" s="130"/>
      <c r="P186" s="96"/>
      <c r="Q186" s="97" t="str">
        <f aca="false">IF(ISBLANK($C186),"",IF(E186=Constants!$B$2, TRUE(), IF(E186=Constants!$B$3, FALSE(), TRUE())))</f>
        <v/>
      </c>
      <c r="R186" s="97" t="str">
        <f aca="false">IF(ISBLANK($C186),"",IF(F186=Constants!$B$2, TRUE(), IF(F186=Constants!$B$3, FALSE(), TRUE())))</f>
        <v/>
      </c>
      <c r="S186" s="97" t="str">
        <f aca="false">IF(ISBLANK($C186),"",IF(G186=Constants!$B$15,Constants!$B$8,IF(G186=Constants!$B$16,Constants!$B$9,Constants!$B$10)))</f>
        <v/>
      </c>
      <c r="T186" s="97" t="str">
        <f aca="false">IF(ISBLANK($C186),"",IF(H186=Constants!$B$2, TRUE(), IF(H186=Constants!$B$3, FALSE(), TRUE())))</f>
        <v/>
      </c>
      <c r="U186" s="97" t="str">
        <f aca="false">IF(ISBLANK($C186),"",IF(I186=Constants!$B$19,Constants!$B$19,Constants!$B$18))</f>
        <v/>
      </c>
      <c r="V186" s="97" t="str">
        <f aca="false">IF(ISBLANK($C186),"",IF(COUNTA(J186:K186)=0,"",IF(AND(OR(ISBLANK(J186),AND(ISNUMBER(J186),J186&gt;=0)),OR(ISBLANK(K186),AND(ISNUMBER(K186),K186&gt;=0))),60*IF(ISBLANK(J186),0,J186)+IF(ISBLANK(K186),0,K186),"")))</f>
        <v/>
      </c>
      <c r="W186" s="97" t="str">
        <f aca="false">IF(ISBLANK($C186),"",IF(L186=Constants!$B$19,Constants!$B$19,Constants!$B$18))</f>
        <v/>
      </c>
      <c r="X186" s="97" t="str">
        <f aca="false">IF(ISBLANK($C186),"",IF(COUNTA(M186:N186)=0,"",IF(AND(OR(ISBLANK(M186),AND(ISNUMBER(M186),M186&gt;=0)),OR(ISBLANK(N186),AND(ISNUMBER(N186),N186&gt;=0))),60*IF(ISBLANK(M186),0,M186)+IF(ISBLANK(N186),0,N186),"")))</f>
        <v/>
      </c>
      <c r="Y186" s="97" t="str">
        <f aca="false">IF(ISBLANK($C186),"",IF(O186=Constants!$B$2, TRUE(), IF(O186=Constants!$B$3, FALSE(), FALSE())))</f>
        <v/>
      </c>
      <c r="Z186" s="97" t="str">
        <f aca="false">IF(ISBLANK($C186),"",IF(Y186,Constants!$B$4,IF(COUNTA(E186:N186)=0,Constants!$B$5,IF(COUNTA(J186:K186,M186:N186)=0,Constants!$B$6,Constants!$B$7))))</f>
        <v/>
      </c>
      <c r="AA186" s="97" t="str">
        <f aca="false">IF(ISBLANK($C186),"",IF($Z186&lt;&gt;Constants!$B$7,$Z186,IF(OR(NOT(T186),AND(NOT(Q186),COUNTIFS(U186:W186,Constants!$B$18,V186:X186,"&gt;=0")&gt;0),AND(NOT(R186),COUNTIFS(U186:W186,Constants!$B$19,V186:X186,"&gt;=0")&gt;0)),Constants!$B$12,Constants!$B$11)))</f>
        <v/>
      </c>
      <c r="AB186" s="97" t="str">
        <f aca="false">IF($Z186=Constants!$B$7,IF(V186="",Constants!$B$13,V186),"")</f>
        <v/>
      </c>
      <c r="AC186" s="97" t="str">
        <f aca="false">IF($Z186=Constants!$B$7,IF(X186="",Constants!$B$13,X186),"")</f>
        <v/>
      </c>
      <c r="AD186" s="97" t="str">
        <f aca="false">IF($Z186=Constants!$B$7,IF($AB186&gt;=$AC186,1,2),"")</f>
        <v/>
      </c>
      <c r="AE186" s="97" t="str">
        <f aca="false">IF($Z186=Constants!$B$7,LARGE(AB186:AC186,1),"")</f>
        <v/>
      </c>
      <c r="AF186" s="97" t="str">
        <f aca="false">IF(ISBLANK($C186),"",IF($Z186&lt;&gt;Constants!$B$7,$Z186,AE186*S186))</f>
        <v/>
      </c>
      <c r="AG186" s="97" t="str">
        <f aca="false">IF(ISBLANK($C186),"",IF($Z186=Constants!$B$7,IF(ISNUMBER(AF186),RANK(AF186,$AF$8:$AF$507),Constants!$B$14),$Z186))</f>
        <v/>
      </c>
      <c r="AH186" s="97" t="str">
        <f aca="false">IF(ISBLANK($C186),"",IF($Z186=Constants!$B$7,IF(ISNUMBER(AG186),COUNTIFS($AA$8:$AA$507,"&lt;"&amp;$AA186)+COUNTIFS($AA$8:$AA$507,$AA186,$AG$8:$AG$507,"&lt;"&amp;$AG186)+1,Constants!$B$14),$Z186))</f>
        <v/>
      </c>
      <c r="AI186" s="97" t="str">
        <f aca="false">IF(ISBLANK($C186),"",IF($Z186=Constants!$B$7,LARGE(AB186:AC186,2)*S186,""))</f>
        <v/>
      </c>
      <c r="AJ186" s="97" t="str">
        <f aca="false">IF(ISBLANK($C186),"",IF($Z186=Constants!$B$7,RANK(AI186,$AI$8:$AI$507),$Z186))</f>
        <v/>
      </c>
      <c r="AK186" s="97" t="str">
        <f aca="false">IF(ISBLANK($C186),"",IF($Z186=Constants!$B$7,IF(ISNUMBER(AG186),COUNTIFS($AA$8:$AA$507,"&lt;"&amp;$AA186)+COUNTIFS($AA$8:$AA$507,$AA186,$AG$8:$AG$507,"&lt;"&amp;$AG186)+COUNTIFS($AA$8:$AA$507,$AA186,$AG$8:$AG$507,$AG186,$AJ$8:$AJ$507,"&lt;"&amp;$AJ186)+1,Constants!$B$14),$Z186))</f>
        <v/>
      </c>
      <c r="AL186" s="97" t="str">
        <f aca="false">IF(ISBLANK($C186),"",IF($Z186=Constants!$B$7,IF(ISNUMBER(AH186),AH186-AK186,Constants!$B$14),$Z186))</f>
        <v/>
      </c>
      <c r="AM186" s="98"/>
      <c r="AN186" s="99" t="str">
        <f aca="false">IF(ISBLANK($C186),"",IF($Z186&lt;&gt;Constants!$B$7,$Z186,AD186))</f>
        <v/>
      </c>
      <c r="AO186" s="100" t="str">
        <f aca="false">IF(ISBLANK($C186),"",IF($Z186&lt;&gt;Constants!$B$7,$Z186,S186))</f>
        <v/>
      </c>
      <c r="AP186" s="101" t="str">
        <f aca="false">IF(ISBLANK($C186),"",IF($Z186&lt;&gt;Constants!$B$7,$Z186,AF186))</f>
        <v/>
      </c>
      <c r="AQ186" s="102" t="str">
        <f aca="false">IF(ISBLANK($C186),"",IF($Z186&lt;&gt;Constants!$B$7,$Z186,AA186))</f>
        <v/>
      </c>
      <c r="AR186" s="100" t="str">
        <f aca="false">IF(ISBLANK($C186),"",AL186)</f>
        <v/>
      </c>
      <c r="AS186" s="100" t="str">
        <f aca="false">IF(ISBLANK($C186),"",AK186)</f>
        <v/>
      </c>
      <c r="AT186" s="103" t="str">
        <f aca="false">IF(ISBLANK($C186),"",IF(AS186=Constants!$B$4,COUNTA($C$8:$C$507)+2,IF(AS186=Constants!$B$5,COUNTA($C$8:$C$507)+1,IF(AS186=Constants!$B$6,COUNTA($C$8:$C$507),AS186))))</f>
        <v/>
      </c>
      <c r="AU186" s="5"/>
      <c r="AV186" s="104" t="n">
        <f aca="false">IF(OR(ISNUMBER(AS186),AS186=Constants!$B$4,AS186=Constants!$B$6,AS186=Constants!$B$5),1,0)</f>
        <v>0</v>
      </c>
      <c r="AW186" s="104" t="n">
        <v>179</v>
      </c>
      <c r="AX186" s="104" t="str">
        <f aca="false">IF(ISBLANK($C186),"",IF(ISNUMBER(AT186),AT186+ROW($B186)/1000,""))</f>
        <v/>
      </c>
      <c r="AY186" s="104" t="str">
        <f aca="false">IF(ISNUMBER(AX186),RANK(AX186,$AX$8:$AX$507,1),"")</f>
        <v/>
      </c>
      <c r="AZ186" s="104" t="str">
        <f aca="false">IF(ISBLANK($C186),"",$B186)</f>
        <v/>
      </c>
      <c r="BA186" s="104" t="str">
        <f aca="false">IF(ISBLANK($C186),"",$C186)</f>
        <v/>
      </c>
      <c r="BB186" s="104" t="str">
        <f aca="false">IF(ISBLANK($C186),"",$D186)</f>
        <v/>
      </c>
      <c r="BC186" s="105" t="str">
        <f aca="false">AQ186</f>
        <v/>
      </c>
      <c r="BD186" s="106" t="str">
        <f aca="false">AP186</f>
        <v/>
      </c>
      <c r="BE186" s="104" t="str">
        <f aca="false">IF(ISBLANK($C186),"",AS186)</f>
        <v/>
      </c>
      <c r="BF186" s="107" t="str">
        <f aca="false">IF($AW186&gt;$AV$7,"",VLOOKUP($AW186,$AY$8:$BE$507,7,FALSE()))</f>
        <v/>
      </c>
      <c r="BG186" s="108" t="str">
        <f aca="false">IF($AW186&gt;$AV$7,"",VLOOKUP($AW186,$AY$8:$BE$507,2,FALSE()))</f>
        <v/>
      </c>
      <c r="BH186" s="108" t="str">
        <f aca="false">IF($AW186&gt;$AV$7,"",VLOOKUP($AW186,$AY$8:$BE$507,3,FALSE()))</f>
        <v/>
      </c>
      <c r="BI186" s="108" t="str">
        <f aca="false">IF($AW186&gt;$AV$7,"",VLOOKUP($AW186,$AY$8:$BE$507,4,FALSE()))</f>
        <v/>
      </c>
      <c r="BJ186" s="108" t="str">
        <f aca="false">IF($AW186&gt;$AV$7,"",VLOOKUP($AW186,$AY$8:$BE$507,5,FALSE()))</f>
        <v/>
      </c>
      <c r="BK186" s="109" t="str">
        <f aca="false">IF($AW186&gt;$AV$7,"",VLOOKUP($AW186,$AY$8:$BE$507,6,FALSE()))</f>
        <v/>
      </c>
      <c r="BL186" s="50"/>
    </row>
    <row r="187" customFormat="false" ht="15.75" hidden="false" customHeight="false" outlineLevel="0" collapsed="false">
      <c r="A187" s="5"/>
      <c r="B187" s="124"/>
      <c r="C187" s="125"/>
      <c r="D187" s="110"/>
      <c r="E187" s="130"/>
      <c r="F187" s="135"/>
      <c r="G187" s="88"/>
      <c r="H187" s="136"/>
      <c r="I187" s="137"/>
      <c r="J187" s="91"/>
      <c r="K187" s="92"/>
      <c r="L187" s="137"/>
      <c r="M187" s="93"/>
      <c r="N187" s="94"/>
      <c r="O187" s="130"/>
      <c r="P187" s="96"/>
      <c r="Q187" s="97" t="str">
        <f aca="false">IF(ISBLANK($C187),"",IF(E187=Constants!$B$2, TRUE(), IF(E187=Constants!$B$3, FALSE(), TRUE())))</f>
        <v/>
      </c>
      <c r="R187" s="97" t="str">
        <f aca="false">IF(ISBLANK($C187),"",IF(F187=Constants!$B$2, TRUE(), IF(F187=Constants!$B$3, FALSE(), TRUE())))</f>
        <v/>
      </c>
      <c r="S187" s="97" t="str">
        <f aca="false">IF(ISBLANK($C187),"",IF(G187=Constants!$B$15,Constants!$B$8,IF(G187=Constants!$B$16,Constants!$B$9,Constants!$B$10)))</f>
        <v/>
      </c>
      <c r="T187" s="97" t="str">
        <f aca="false">IF(ISBLANK($C187),"",IF(H187=Constants!$B$2, TRUE(), IF(H187=Constants!$B$3, FALSE(), TRUE())))</f>
        <v/>
      </c>
      <c r="U187" s="97" t="str">
        <f aca="false">IF(ISBLANK($C187),"",IF(I187=Constants!$B$19,Constants!$B$19,Constants!$B$18))</f>
        <v/>
      </c>
      <c r="V187" s="97" t="str">
        <f aca="false">IF(ISBLANK($C187),"",IF(COUNTA(J187:K187)=0,"",IF(AND(OR(ISBLANK(J187),AND(ISNUMBER(J187),J187&gt;=0)),OR(ISBLANK(K187),AND(ISNUMBER(K187),K187&gt;=0))),60*IF(ISBLANK(J187),0,J187)+IF(ISBLANK(K187),0,K187),"")))</f>
        <v/>
      </c>
      <c r="W187" s="97" t="str">
        <f aca="false">IF(ISBLANK($C187),"",IF(L187=Constants!$B$19,Constants!$B$19,Constants!$B$18))</f>
        <v/>
      </c>
      <c r="X187" s="97" t="str">
        <f aca="false">IF(ISBLANK($C187),"",IF(COUNTA(M187:N187)=0,"",IF(AND(OR(ISBLANK(M187),AND(ISNUMBER(M187),M187&gt;=0)),OR(ISBLANK(N187),AND(ISNUMBER(N187),N187&gt;=0))),60*IF(ISBLANK(M187),0,M187)+IF(ISBLANK(N187),0,N187),"")))</f>
        <v/>
      </c>
      <c r="Y187" s="97" t="str">
        <f aca="false">IF(ISBLANK($C187),"",IF(O187=Constants!$B$2, TRUE(), IF(O187=Constants!$B$3, FALSE(), FALSE())))</f>
        <v/>
      </c>
      <c r="Z187" s="97" t="str">
        <f aca="false">IF(ISBLANK($C187),"",IF(Y187,Constants!$B$4,IF(COUNTA(E187:N187)=0,Constants!$B$5,IF(COUNTA(J187:K187,M187:N187)=0,Constants!$B$6,Constants!$B$7))))</f>
        <v/>
      </c>
      <c r="AA187" s="97" t="str">
        <f aca="false">IF(ISBLANK($C187),"",IF($Z187&lt;&gt;Constants!$B$7,$Z187,IF(OR(NOT(T187),AND(NOT(Q187),COUNTIFS(U187:W187,Constants!$B$18,V187:X187,"&gt;=0")&gt;0),AND(NOT(R187),COUNTIFS(U187:W187,Constants!$B$19,V187:X187,"&gt;=0")&gt;0)),Constants!$B$12,Constants!$B$11)))</f>
        <v/>
      </c>
      <c r="AB187" s="97" t="str">
        <f aca="false">IF($Z187=Constants!$B$7,IF(V187="",Constants!$B$13,V187),"")</f>
        <v/>
      </c>
      <c r="AC187" s="97" t="str">
        <f aca="false">IF($Z187=Constants!$B$7,IF(X187="",Constants!$B$13,X187),"")</f>
        <v/>
      </c>
      <c r="AD187" s="97" t="str">
        <f aca="false">IF($Z187=Constants!$B$7,IF($AB187&gt;=$AC187,1,2),"")</f>
        <v/>
      </c>
      <c r="AE187" s="97" t="str">
        <f aca="false">IF($Z187=Constants!$B$7,LARGE(AB187:AC187,1),"")</f>
        <v/>
      </c>
      <c r="AF187" s="97" t="str">
        <f aca="false">IF(ISBLANK($C187),"",IF($Z187&lt;&gt;Constants!$B$7,$Z187,AE187*S187))</f>
        <v/>
      </c>
      <c r="AG187" s="97" t="str">
        <f aca="false">IF(ISBLANK($C187),"",IF($Z187=Constants!$B$7,IF(ISNUMBER(AF187),RANK(AF187,$AF$8:$AF$507),Constants!$B$14),$Z187))</f>
        <v/>
      </c>
      <c r="AH187" s="97" t="str">
        <f aca="false">IF(ISBLANK($C187),"",IF($Z187=Constants!$B$7,IF(ISNUMBER(AG187),COUNTIFS($AA$8:$AA$507,"&lt;"&amp;$AA187)+COUNTIFS($AA$8:$AA$507,$AA187,$AG$8:$AG$507,"&lt;"&amp;$AG187)+1,Constants!$B$14),$Z187))</f>
        <v/>
      </c>
      <c r="AI187" s="97" t="str">
        <f aca="false">IF(ISBLANK($C187),"",IF($Z187=Constants!$B$7,LARGE(AB187:AC187,2)*S187,""))</f>
        <v/>
      </c>
      <c r="AJ187" s="97" t="str">
        <f aca="false">IF(ISBLANK($C187),"",IF($Z187=Constants!$B$7,RANK(AI187,$AI$8:$AI$507),$Z187))</f>
        <v/>
      </c>
      <c r="AK187" s="97" t="str">
        <f aca="false">IF(ISBLANK($C187),"",IF($Z187=Constants!$B$7,IF(ISNUMBER(AG187),COUNTIFS($AA$8:$AA$507,"&lt;"&amp;$AA187)+COUNTIFS($AA$8:$AA$507,$AA187,$AG$8:$AG$507,"&lt;"&amp;$AG187)+COUNTIFS($AA$8:$AA$507,$AA187,$AG$8:$AG$507,$AG187,$AJ$8:$AJ$507,"&lt;"&amp;$AJ187)+1,Constants!$B$14),$Z187))</f>
        <v/>
      </c>
      <c r="AL187" s="97" t="str">
        <f aca="false">IF(ISBLANK($C187),"",IF($Z187=Constants!$B$7,IF(ISNUMBER(AH187),AH187-AK187,Constants!$B$14),$Z187))</f>
        <v/>
      </c>
      <c r="AM187" s="98"/>
      <c r="AN187" s="99" t="str">
        <f aca="false">IF(ISBLANK($C187),"",IF($Z187&lt;&gt;Constants!$B$7,$Z187,AD187))</f>
        <v/>
      </c>
      <c r="AO187" s="100" t="str">
        <f aca="false">IF(ISBLANK($C187),"",IF($Z187&lt;&gt;Constants!$B$7,$Z187,S187))</f>
        <v/>
      </c>
      <c r="AP187" s="101" t="str">
        <f aca="false">IF(ISBLANK($C187),"",IF($Z187&lt;&gt;Constants!$B$7,$Z187,AF187))</f>
        <v/>
      </c>
      <c r="AQ187" s="102" t="str">
        <f aca="false">IF(ISBLANK($C187),"",IF($Z187&lt;&gt;Constants!$B$7,$Z187,AA187))</f>
        <v/>
      </c>
      <c r="AR187" s="100" t="str">
        <f aca="false">IF(ISBLANK($C187),"",AL187)</f>
        <v/>
      </c>
      <c r="AS187" s="100" t="str">
        <f aca="false">IF(ISBLANK($C187),"",AK187)</f>
        <v/>
      </c>
      <c r="AT187" s="103" t="str">
        <f aca="false">IF(ISBLANK($C187),"",IF(AS187=Constants!$B$4,COUNTA($C$8:$C$507)+2,IF(AS187=Constants!$B$5,COUNTA($C$8:$C$507)+1,IF(AS187=Constants!$B$6,COUNTA($C$8:$C$507),AS187))))</f>
        <v/>
      </c>
      <c r="AU187" s="5"/>
      <c r="AV187" s="104" t="n">
        <f aca="false">IF(OR(ISNUMBER(AS187),AS187=Constants!$B$4,AS187=Constants!$B$6,AS187=Constants!$B$5),1,0)</f>
        <v>0</v>
      </c>
      <c r="AW187" s="104" t="n">
        <v>180</v>
      </c>
      <c r="AX187" s="104" t="str">
        <f aca="false">IF(ISBLANK($C187),"",IF(ISNUMBER(AT187),AT187+ROW($B187)/1000,""))</f>
        <v/>
      </c>
      <c r="AY187" s="104" t="str">
        <f aca="false">IF(ISNUMBER(AX187),RANK(AX187,$AX$8:$AX$507,1),"")</f>
        <v/>
      </c>
      <c r="AZ187" s="104" t="str">
        <f aca="false">IF(ISBLANK($C187),"",$B187)</f>
        <v/>
      </c>
      <c r="BA187" s="104" t="str">
        <f aca="false">IF(ISBLANK($C187),"",$C187)</f>
        <v/>
      </c>
      <c r="BB187" s="104" t="str">
        <f aca="false">IF(ISBLANK($C187),"",$D187)</f>
        <v/>
      </c>
      <c r="BC187" s="105" t="str">
        <f aca="false">AQ187</f>
        <v/>
      </c>
      <c r="BD187" s="106" t="str">
        <f aca="false">AP187</f>
        <v/>
      </c>
      <c r="BE187" s="104" t="str">
        <f aca="false">IF(ISBLANK($C187),"",AS187)</f>
        <v/>
      </c>
      <c r="BF187" s="107" t="str">
        <f aca="false">IF($AW187&gt;$AV$7,"",VLOOKUP($AW187,$AY$8:$BE$507,7,FALSE()))</f>
        <v/>
      </c>
      <c r="BG187" s="108" t="str">
        <f aca="false">IF($AW187&gt;$AV$7,"",VLOOKUP($AW187,$AY$8:$BE$507,2,FALSE()))</f>
        <v/>
      </c>
      <c r="BH187" s="108" t="str">
        <f aca="false">IF($AW187&gt;$AV$7,"",VLOOKUP($AW187,$AY$8:$BE$507,3,FALSE()))</f>
        <v/>
      </c>
      <c r="BI187" s="108" t="str">
        <f aca="false">IF($AW187&gt;$AV$7,"",VLOOKUP($AW187,$AY$8:$BE$507,4,FALSE()))</f>
        <v/>
      </c>
      <c r="BJ187" s="108" t="str">
        <f aca="false">IF($AW187&gt;$AV$7,"",VLOOKUP($AW187,$AY$8:$BE$507,5,FALSE()))</f>
        <v/>
      </c>
      <c r="BK187" s="109" t="str">
        <f aca="false">IF($AW187&gt;$AV$7,"",VLOOKUP($AW187,$AY$8:$BE$507,6,FALSE()))</f>
        <v/>
      </c>
      <c r="BL187" s="50"/>
    </row>
    <row r="188" customFormat="false" ht="15.75" hidden="false" customHeight="false" outlineLevel="0" collapsed="false">
      <c r="A188" s="5"/>
      <c r="B188" s="131"/>
      <c r="C188" s="52"/>
      <c r="D188" s="53"/>
      <c r="E188" s="80"/>
      <c r="F188" s="132"/>
      <c r="G188" s="56"/>
      <c r="H188" s="133"/>
      <c r="I188" s="134"/>
      <c r="J188" s="59"/>
      <c r="K188" s="60"/>
      <c r="L188" s="134"/>
      <c r="M188" s="61"/>
      <c r="N188" s="62"/>
      <c r="O188" s="80"/>
      <c r="P188" s="64"/>
      <c r="Q188" s="65" t="str">
        <f aca="false">IF(ISBLANK($C188),"",IF(E188=Constants!$B$2, TRUE(), IF(E188=Constants!$B$3, FALSE(), TRUE())))</f>
        <v/>
      </c>
      <c r="R188" s="65" t="str">
        <f aca="false">IF(ISBLANK($C188),"",IF(F188=Constants!$B$2, TRUE(), IF(F188=Constants!$B$3, FALSE(), TRUE())))</f>
        <v/>
      </c>
      <c r="S188" s="65" t="str">
        <f aca="false">IF(ISBLANK($C188),"",IF(G188=Constants!$B$15,Constants!$B$8,IF(G188=Constants!$B$16,Constants!$B$9,Constants!$B$10)))</f>
        <v/>
      </c>
      <c r="T188" s="65" t="str">
        <f aca="false">IF(ISBLANK($C188),"",IF(H188=Constants!$B$2, TRUE(), IF(H188=Constants!$B$3, FALSE(), TRUE())))</f>
        <v/>
      </c>
      <c r="U188" s="65" t="str">
        <f aca="false">IF(ISBLANK($C188),"",IF(I188=Constants!$B$19,Constants!$B$19,Constants!$B$18))</f>
        <v/>
      </c>
      <c r="V188" s="65" t="str">
        <f aca="false">IF(ISBLANK($C188),"",IF(COUNTA(J188:K188)=0,"",IF(AND(OR(ISBLANK(J188),AND(ISNUMBER(J188),J188&gt;=0)),OR(ISBLANK(K188),AND(ISNUMBER(K188),K188&gt;=0))),60*IF(ISBLANK(J188),0,J188)+IF(ISBLANK(K188),0,K188),"")))</f>
        <v/>
      </c>
      <c r="W188" s="65" t="str">
        <f aca="false">IF(ISBLANK($C188),"",IF(L188=Constants!$B$19,Constants!$B$19,Constants!$B$18))</f>
        <v/>
      </c>
      <c r="X188" s="65" t="str">
        <f aca="false">IF(ISBLANK($C188),"",IF(COUNTA(M188:N188)=0,"",IF(AND(OR(ISBLANK(M188),AND(ISNUMBER(M188),M188&gt;=0)),OR(ISBLANK(N188),AND(ISNUMBER(N188),N188&gt;=0))),60*IF(ISBLANK(M188),0,M188)+IF(ISBLANK(N188),0,N188),"")))</f>
        <v/>
      </c>
      <c r="Y188" s="65" t="str">
        <f aca="false">IF(ISBLANK($C188),"",IF(O188=Constants!$B$2, TRUE(), IF(O188=Constants!$B$3, FALSE(), FALSE())))</f>
        <v/>
      </c>
      <c r="Z188" s="65" t="str">
        <f aca="false">IF(ISBLANK($C188),"",IF(Y188,Constants!$B$4,IF(COUNTA(E188:N188)=0,Constants!$B$5,IF(COUNTA(J188:K188,M188:N188)=0,Constants!$B$6,Constants!$B$7))))</f>
        <v/>
      </c>
      <c r="AA188" s="65" t="str">
        <f aca="false">IF(ISBLANK($C188),"",IF($Z188&lt;&gt;Constants!$B$7,$Z188,IF(OR(NOT(T188),AND(NOT(Q188),COUNTIFS(U188:W188,Constants!$B$18,V188:X188,"&gt;=0")&gt;0),AND(NOT(R188),COUNTIFS(U188:W188,Constants!$B$19,V188:X188,"&gt;=0")&gt;0)),Constants!$B$12,Constants!$B$11)))</f>
        <v/>
      </c>
      <c r="AB188" s="65" t="str">
        <f aca="false">IF($Z188=Constants!$B$7,IF(V188="",Constants!$B$13,V188),"")</f>
        <v/>
      </c>
      <c r="AC188" s="65" t="str">
        <f aca="false">IF($Z188=Constants!$B$7,IF(X188="",Constants!$B$13,X188),"")</f>
        <v/>
      </c>
      <c r="AD188" s="65" t="str">
        <f aca="false">IF($Z188=Constants!$B$7,IF($AB188&gt;=$AC188,1,2),"")</f>
        <v/>
      </c>
      <c r="AE188" s="65" t="str">
        <f aca="false">IF($Z188=Constants!$B$7,LARGE(AB188:AC188,1),"")</f>
        <v/>
      </c>
      <c r="AF188" s="65" t="str">
        <f aca="false">IF(ISBLANK($C188),"",IF($Z188&lt;&gt;Constants!$B$7,$Z188,AE188*S188))</f>
        <v/>
      </c>
      <c r="AG188" s="65" t="str">
        <f aca="false">IF(ISBLANK($C188),"",IF($Z188=Constants!$B$7,IF(ISNUMBER(AF188),RANK(AF188,$AF$8:$AF$507),Constants!$B$14),$Z188))</f>
        <v/>
      </c>
      <c r="AH188" s="65" t="str">
        <f aca="false">IF(ISBLANK($C188),"",IF($Z188=Constants!$B$7,IF(ISNUMBER(AG188),COUNTIFS($AA$8:$AA$507,"&lt;"&amp;$AA188)+COUNTIFS($AA$8:$AA$507,$AA188,$AG$8:$AG$507,"&lt;"&amp;$AG188)+1,Constants!$B$14),$Z188))</f>
        <v/>
      </c>
      <c r="AI188" s="65" t="str">
        <f aca="false">IF(ISBLANK($C188),"",IF($Z188=Constants!$B$7,LARGE(AB188:AC188,2)*S188,""))</f>
        <v/>
      </c>
      <c r="AJ188" s="65" t="str">
        <f aca="false">IF(ISBLANK($C188),"",IF($Z188=Constants!$B$7,RANK(AI188,$AI$8:$AI$507),$Z188))</f>
        <v/>
      </c>
      <c r="AK188" s="65" t="str">
        <f aca="false">IF(ISBLANK($C188),"",IF($Z188=Constants!$B$7,IF(ISNUMBER(AG188),COUNTIFS($AA$8:$AA$507,"&lt;"&amp;$AA188)+COUNTIFS($AA$8:$AA$507,$AA188,$AG$8:$AG$507,"&lt;"&amp;$AG188)+COUNTIFS($AA$8:$AA$507,$AA188,$AG$8:$AG$507,$AG188,$AJ$8:$AJ$507,"&lt;"&amp;$AJ188)+1,Constants!$B$14),$Z188))</f>
        <v/>
      </c>
      <c r="AL188" s="65" t="str">
        <f aca="false">IF(ISBLANK($C188),"",IF($Z188=Constants!$B$7,IF(ISNUMBER(AH188),AH188-AK188,Constants!$B$14),$Z188))</f>
        <v/>
      </c>
      <c r="AM188" s="67"/>
      <c r="AN188" s="68" t="str">
        <f aca="false">IF(ISBLANK($C188),"",IF($Z188&lt;&gt;Constants!$B$7,$Z188,AD188))</f>
        <v/>
      </c>
      <c r="AO188" s="69" t="str">
        <f aca="false">IF(ISBLANK($C188),"",IF($Z188&lt;&gt;Constants!$B$7,$Z188,S188))</f>
        <v/>
      </c>
      <c r="AP188" s="70" t="str">
        <f aca="false">IF(ISBLANK($C188),"",IF($Z188&lt;&gt;Constants!$B$7,$Z188,AF188))</f>
        <v/>
      </c>
      <c r="AQ188" s="71" t="str">
        <f aca="false">IF(ISBLANK($C188),"",IF($Z188&lt;&gt;Constants!$B$7,$Z188,AA188))</f>
        <v/>
      </c>
      <c r="AR188" s="69" t="str">
        <f aca="false">IF(ISBLANK($C188),"",AL188)</f>
        <v/>
      </c>
      <c r="AS188" s="69" t="str">
        <f aca="false">IF(ISBLANK($C188),"",AK188)</f>
        <v/>
      </c>
      <c r="AT188" s="72" t="str">
        <f aca="false">IF(ISBLANK($C188),"",IF(AS188=Constants!$B$4,COUNTA($C$8:$C$507)+2,IF(AS188=Constants!$B$5,COUNTA($C$8:$C$507)+1,IF(AS188=Constants!$B$6,COUNTA($C$8:$C$507),AS188))))</f>
        <v/>
      </c>
      <c r="AU188" s="5"/>
      <c r="AV188" s="73" t="n">
        <f aca="false">IF(OR(ISNUMBER(AS188),AS188=Constants!$B$4,AS188=Constants!$B$6,AS188=Constants!$B$5),1,0)</f>
        <v>0</v>
      </c>
      <c r="AW188" s="73" t="n">
        <v>181</v>
      </c>
      <c r="AX188" s="73" t="str">
        <f aca="false">IF(ISBLANK($C188),"",IF(ISNUMBER(AT188),AT188+ROW($B188)/1000,""))</f>
        <v/>
      </c>
      <c r="AY188" s="73" t="str">
        <f aca="false">IF(ISNUMBER(AX188),RANK(AX188,$AX$8:$AX$507,1),"")</f>
        <v/>
      </c>
      <c r="AZ188" s="73" t="str">
        <f aca="false">IF(ISBLANK($C188),"",$B188)</f>
        <v/>
      </c>
      <c r="BA188" s="73" t="str">
        <f aca="false">IF(ISBLANK($C188),"",$C188)</f>
        <v/>
      </c>
      <c r="BB188" s="73" t="str">
        <f aca="false">IF(ISBLANK($C188),"",$D188)</f>
        <v/>
      </c>
      <c r="BC188" s="74" t="str">
        <f aca="false">AQ188</f>
        <v/>
      </c>
      <c r="BD188" s="75" t="str">
        <f aca="false">AP188</f>
        <v/>
      </c>
      <c r="BE188" s="73" t="str">
        <f aca="false">IF(ISBLANK($C188),"",AS188)</f>
        <v/>
      </c>
      <c r="BF188" s="76" t="str">
        <f aca="false">IF($AW188&gt;$AV$7,"",VLOOKUP($AW188,$AY$8:$BE$507,7,FALSE()))</f>
        <v/>
      </c>
      <c r="BG188" s="77" t="str">
        <f aca="false">IF($AW188&gt;$AV$7,"",VLOOKUP($AW188,$AY$8:$BE$507,2,FALSE()))</f>
        <v/>
      </c>
      <c r="BH188" s="77" t="str">
        <f aca="false">IF($AW188&gt;$AV$7,"",VLOOKUP($AW188,$AY$8:$BE$507,3,FALSE()))</f>
        <v/>
      </c>
      <c r="BI188" s="77" t="str">
        <f aca="false">IF($AW188&gt;$AV$7,"",VLOOKUP($AW188,$AY$8:$BE$507,4,FALSE()))</f>
        <v/>
      </c>
      <c r="BJ188" s="77" t="str">
        <f aca="false">IF($AW188&gt;$AV$7,"",VLOOKUP($AW188,$AY$8:$BE$507,5,FALSE()))</f>
        <v/>
      </c>
      <c r="BK188" s="78" t="str">
        <f aca="false">IF($AW188&gt;$AV$7,"",VLOOKUP($AW188,$AY$8:$BE$507,6,FALSE()))</f>
        <v/>
      </c>
      <c r="BL188" s="50"/>
    </row>
    <row r="189" customFormat="false" ht="15.75" hidden="false" customHeight="false" outlineLevel="0" collapsed="false">
      <c r="A189" s="5"/>
      <c r="B189" s="131"/>
      <c r="C189" s="52"/>
      <c r="D189" s="53"/>
      <c r="E189" s="80"/>
      <c r="F189" s="132"/>
      <c r="G189" s="56"/>
      <c r="H189" s="133"/>
      <c r="I189" s="134"/>
      <c r="J189" s="59"/>
      <c r="K189" s="60"/>
      <c r="L189" s="134"/>
      <c r="M189" s="61"/>
      <c r="N189" s="62"/>
      <c r="O189" s="80"/>
      <c r="P189" s="64"/>
      <c r="Q189" s="65" t="str">
        <f aca="false">IF(ISBLANK($C189),"",IF(E189=Constants!$B$2, TRUE(), IF(E189=Constants!$B$3, FALSE(), TRUE())))</f>
        <v/>
      </c>
      <c r="R189" s="65" t="str">
        <f aca="false">IF(ISBLANK($C189),"",IF(F189=Constants!$B$2, TRUE(), IF(F189=Constants!$B$3, FALSE(), TRUE())))</f>
        <v/>
      </c>
      <c r="S189" s="65" t="str">
        <f aca="false">IF(ISBLANK($C189),"",IF(G189=Constants!$B$15,Constants!$B$8,IF(G189=Constants!$B$16,Constants!$B$9,Constants!$B$10)))</f>
        <v/>
      </c>
      <c r="T189" s="65" t="str">
        <f aca="false">IF(ISBLANK($C189),"",IF(H189=Constants!$B$2, TRUE(), IF(H189=Constants!$B$3, FALSE(), TRUE())))</f>
        <v/>
      </c>
      <c r="U189" s="65" t="str">
        <f aca="false">IF(ISBLANK($C189),"",IF(I189=Constants!$B$19,Constants!$B$19,Constants!$B$18))</f>
        <v/>
      </c>
      <c r="V189" s="65" t="str">
        <f aca="false">IF(ISBLANK($C189),"",IF(COUNTA(J189:K189)=0,"",IF(AND(OR(ISBLANK(J189),AND(ISNUMBER(J189),J189&gt;=0)),OR(ISBLANK(K189),AND(ISNUMBER(K189),K189&gt;=0))),60*IF(ISBLANK(J189),0,J189)+IF(ISBLANK(K189),0,K189),"")))</f>
        <v/>
      </c>
      <c r="W189" s="65" t="str">
        <f aca="false">IF(ISBLANK($C189),"",IF(L189=Constants!$B$19,Constants!$B$19,Constants!$B$18))</f>
        <v/>
      </c>
      <c r="X189" s="65" t="str">
        <f aca="false">IF(ISBLANK($C189),"",IF(COUNTA(M189:N189)=0,"",IF(AND(OR(ISBLANK(M189),AND(ISNUMBER(M189),M189&gt;=0)),OR(ISBLANK(N189),AND(ISNUMBER(N189),N189&gt;=0))),60*IF(ISBLANK(M189),0,M189)+IF(ISBLANK(N189),0,N189),"")))</f>
        <v/>
      </c>
      <c r="Y189" s="65" t="str">
        <f aca="false">IF(ISBLANK($C189),"",IF(O189=Constants!$B$2, TRUE(), IF(O189=Constants!$B$3, FALSE(), FALSE())))</f>
        <v/>
      </c>
      <c r="Z189" s="65" t="str">
        <f aca="false">IF(ISBLANK($C189),"",IF(Y189,Constants!$B$4,IF(COUNTA(E189:N189)=0,Constants!$B$5,IF(COUNTA(J189:K189,M189:N189)=0,Constants!$B$6,Constants!$B$7))))</f>
        <v/>
      </c>
      <c r="AA189" s="65" t="str">
        <f aca="false">IF(ISBLANK($C189),"",IF($Z189&lt;&gt;Constants!$B$7,$Z189,IF(OR(NOT(T189),AND(NOT(Q189),COUNTIFS(U189:W189,Constants!$B$18,V189:X189,"&gt;=0")&gt;0),AND(NOT(R189),COUNTIFS(U189:W189,Constants!$B$19,V189:X189,"&gt;=0")&gt;0)),Constants!$B$12,Constants!$B$11)))</f>
        <v/>
      </c>
      <c r="AB189" s="65" t="str">
        <f aca="false">IF($Z189=Constants!$B$7,IF(V189="",Constants!$B$13,V189),"")</f>
        <v/>
      </c>
      <c r="AC189" s="65" t="str">
        <f aca="false">IF($Z189=Constants!$B$7,IF(X189="",Constants!$B$13,X189),"")</f>
        <v/>
      </c>
      <c r="AD189" s="65" t="str">
        <f aca="false">IF($Z189=Constants!$B$7,IF($AB189&gt;=$AC189,1,2),"")</f>
        <v/>
      </c>
      <c r="AE189" s="65" t="str">
        <f aca="false">IF($Z189=Constants!$B$7,LARGE(AB189:AC189,1),"")</f>
        <v/>
      </c>
      <c r="AF189" s="65" t="str">
        <f aca="false">IF(ISBLANK($C189),"",IF($Z189&lt;&gt;Constants!$B$7,$Z189,AE189*S189))</f>
        <v/>
      </c>
      <c r="AG189" s="65" t="str">
        <f aca="false">IF(ISBLANK($C189),"",IF($Z189=Constants!$B$7,IF(ISNUMBER(AF189),RANK(AF189,$AF$8:$AF$507),Constants!$B$14),$Z189))</f>
        <v/>
      </c>
      <c r="AH189" s="65" t="str">
        <f aca="false">IF(ISBLANK($C189),"",IF($Z189=Constants!$B$7,IF(ISNUMBER(AG189),COUNTIFS($AA$8:$AA$507,"&lt;"&amp;$AA189)+COUNTIFS($AA$8:$AA$507,$AA189,$AG$8:$AG$507,"&lt;"&amp;$AG189)+1,Constants!$B$14),$Z189))</f>
        <v/>
      </c>
      <c r="AI189" s="65" t="str">
        <f aca="false">IF(ISBLANK($C189),"",IF($Z189=Constants!$B$7,LARGE(AB189:AC189,2)*S189,""))</f>
        <v/>
      </c>
      <c r="AJ189" s="65" t="str">
        <f aca="false">IF(ISBLANK($C189),"",IF($Z189=Constants!$B$7,RANK(AI189,$AI$8:$AI$507),$Z189))</f>
        <v/>
      </c>
      <c r="AK189" s="65" t="str">
        <f aca="false">IF(ISBLANK($C189),"",IF($Z189=Constants!$B$7,IF(ISNUMBER(AG189),COUNTIFS($AA$8:$AA$507,"&lt;"&amp;$AA189)+COUNTIFS($AA$8:$AA$507,$AA189,$AG$8:$AG$507,"&lt;"&amp;$AG189)+COUNTIFS($AA$8:$AA$507,$AA189,$AG$8:$AG$507,$AG189,$AJ$8:$AJ$507,"&lt;"&amp;$AJ189)+1,Constants!$B$14),$Z189))</f>
        <v/>
      </c>
      <c r="AL189" s="65" t="str">
        <f aca="false">IF(ISBLANK($C189),"",IF($Z189=Constants!$B$7,IF(ISNUMBER(AH189),AH189-AK189,Constants!$B$14),$Z189))</f>
        <v/>
      </c>
      <c r="AM189" s="67"/>
      <c r="AN189" s="68" t="str">
        <f aca="false">IF(ISBLANK($C189),"",IF($Z189&lt;&gt;Constants!$B$7,$Z189,AD189))</f>
        <v/>
      </c>
      <c r="AO189" s="69" t="str">
        <f aca="false">IF(ISBLANK($C189),"",IF($Z189&lt;&gt;Constants!$B$7,$Z189,S189))</f>
        <v/>
      </c>
      <c r="AP189" s="70" t="str">
        <f aca="false">IF(ISBLANK($C189),"",IF($Z189&lt;&gt;Constants!$B$7,$Z189,AF189))</f>
        <v/>
      </c>
      <c r="AQ189" s="71" t="str">
        <f aca="false">IF(ISBLANK($C189),"",IF($Z189&lt;&gt;Constants!$B$7,$Z189,AA189))</f>
        <v/>
      </c>
      <c r="AR189" s="69" t="str">
        <f aca="false">IF(ISBLANK($C189),"",AL189)</f>
        <v/>
      </c>
      <c r="AS189" s="69" t="str">
        <f aca="false">IF(ISBLANK($C189),"",AK189)</f>
        <v/>
      </c>
      <c r="AT189" s="72" t="str">
        <f aca="false">IF(ISBLANK($C189),"",IF(AS189=Constants!$B$4,COUNTA($C$8:$C$507)+2,IF(AS189=Constants!$B$5,COUNTA($C$8:$C$507)+1,IF(AS189=Constants!$B$6,COUNTA($C$8:$C$507),AS189))))</f>
        <v/>
      </c>
      <c r="AU189" s="5"/>
      <c r="AV189" s="73" t="n">
        <f aca="false">IF(OR(ISNUMBER(AS189),AS189=Constants!$B$4,AS189=Constants!$B$6,AS189=Constants!$B$5),1,0)</f>
        <v>0</v>
      </c>
      <c r="AW189" s="73" t="n">
        <v>182</v>
      </c>
      <c r="AX189" s="73" t="str">
        <f aca="false">IF(ISBLANK($C189),"",IF(ISNUMBER(AT189),AT189+ROW($B189)/1000,""))</f>
        <v/>
      </c>
      <c r="AY189" s="73" t="str">
        <f aca="false">IF(ISNUMBER(AX189),RANK(AX189,$AX$8:$AX$507,1),"")</f>
        <v/>
      </c>
      <c r="AZ189" s="73" t="str">
        <f aca="false">IF(ISBLANK($C189),"",$B189)</f>
        <v/>
      </c>
      <c r="BA189" s="73" t="str">
        <f aca="false">IF(ISBLANK($C189),"",$C189)</f>
        <v/>
      </c>
      <c r="BB189" s="73" t="str">
        <f aca="false">IF(ISBLANK($C189),"",$D189)</f>
        <v/>
      </c>
      <c r="BC189" s="74" t="str">
        <f aca="false">AQ189</f>
        <v/>
      </c>
      <c r="BD189" s="75" t="str">
        <f aca="false">AP189</f>
        <v/>
      </c>
      <c r="BE189" s="73" t="str">
        <f aca="false">IF(ISBLANK($C189),"",AS189)</f>
        <v/>
      </c>
      <c r="BF189" s="76" t="str">
        <f aca="false">IF($AW189&gt;$AV$7,"",VLOOKUP($AW189,$AY$8:$BE$507,7,FALSE()))</f>
        <v/>
      </c>
      <c r="BG189" s="77" t="str">
        <f aca="false">IF($AW189&gt;$AV$7,"",VLOOKUP($AW189,$AY$8:$BE$507,2,FALSE()))</f>
        <v/>
      </c>
      <c r="BH189" s="77" t="str">
        <f aca="false">IF($AW189&gt;$AV$7,"",VLOOKUP($AW189,$AY$8:$BE$507,3,FALSE()))</f>
        <v/>
      </c>
      <c r="BI189" s="77" t="str">
        <f aca="false">IF($AW189&gt;$AV$7,"",VLOOKUP($AW189,$AY$8:$BE$507,4,FALSE()))</f>
        <v/>
      </c>
      <c r="BJ189" s="77" t="str">
        <f aca="false">IF($AW189&gt;$AV$7,"",VLOOKUP($AW189,$AY$8:$BE$507,5,FALSE()))</f>
        <v/>
      </c>
      <c r="BK189" s="78" t="str">
        <f aca="false">IF($AW189&gt;$AV$7,"",VLOOKUP($AW189,$AY$8:$BE$507,6,FALSE()))</f>
        <v/>
      </c>
      <c r="BL189" s="50"/>
    </row>
    <row r="190" customFormat="false" ht="15.75" hidden="false" customHeight="false" outlineLevel="0" collapsed="false">
      <c r="A190" s="5"/>
      <c r="B190" s="131"/>
      <c r="C190" s="52"/>
      <c r="D190" s="53"/>
      <c r="E190" s="80"/>
      <c r="F190" s="132"/>
      <c r="G190" s="56"/>
      <c r="H190" s="133"/>
      <c r="I190" s="134"/>
      <c r="J190" s="59"/>
      <c r="K190" s="60"/>
      <c r="L190" s="134"/>
      <c r="M190" s="61"/>
      <c r="N190" s="62"/>
      <c r="O190" s="80"/>
      <c r="P190" s="64"/>
      <c r="Q190" s="65" t="str">
        <f aca="false">IF(ISBLANK($C190),"",IF(E190=Constants!$B$2, TRUE(), IF(E190=Constants!$B$3, FALSE(), TRUE())))</f>
        <v/>
      </c>
      <c r="R190" s="65" t="str">
        <f aca="false">IF(ISBLANK($C190),"",IF(F190=Constants!$B$2, TRUE(), IF(F190=Constants!$B$3, FALSE(), TRUE())))</f>
        <v/>
      </c>
      <c r="S190" s="65" t="str">
        <f aca="false">IF(ISBLANK($C190),"",IF(G190=Constants!$B$15,Constants!$B$8,IF(G190=Constants!$B$16,Constants!$B$9,Constants!$B$10)))</f>
        <v/>
      </c>
      <c r="T190" s="65" t="str">
        <f aca="false">IF(ISBLANK($C190),"",IF(H190=Constants!$B$2, TRUE(), IF(H190=Constants!$B$3, FALSE(), TRUE())))</f>
        <v/>
      </c>
      <c r="U190" s="65" t="str">
        <f aca="false">IF(ISBLANK($C190),"",IF(I190=Constants!$B$19,Constants!$B$19,Constants!$B$18))</f>
        <v/>
      </c>
      <c r="V190" s="65" t="str">
        <f aca="false">IF(ISBLANK($C190),"",IF(COUNTA(J190:K190)=0,"",IF(AND(OR(ISBLANK(J190),AND(ISNUMBER(J190),J190&gt;=0)),OR(ISBLANK(K190),AND(ISNUMBER(K190),K190&gt;=0))),60*IF(ISBLANK(J190),0,J190)+IF(ISBLANK(K190),0,K190),"")))</f>
        <v/>
      </c>
      <c r="W190" s="65" t="str">
        <f aca="false">IF(ISBLANK($C190),"",IF(L190=Constants!$B$19,Constants!$B$19,Constants!$B$18))</f>
        <v/>
      </c>
      <c r="X190" s="65" t="str">
        <f aca="false">IF(ISBLANK($C190),"",IF(COUNTA(M190:N190)=0,"",IF(AND(OR(ISBLANK(M190),AND(ISNUMBER(M190),M190&gt;=0)),OR(ISBLANK(N190),AND(ISNUMBER(N190),N190&gt;=0))),60*IF(ISBLANK(M190),0,M190)+IF(ISBLANK(N190),0,N190),"")))</f>
        <v/>
      </c>
      <c r="Y190" s="65" t="str">
        <f aca="false">IF(ISBLANK($C190),"",IF(O190=Constants!$B$2, TRUE(), IF(O190=Constants!$B$3, FALSE(), FALSE())))</f>
        <v/>
      </c>
      <c r="Z190" s="65" t="str">
        <f aca="false">IF(ISBLANK($C190),"",IF(Y190,Constants!$B$4,IF(COUNTA(E190:N190)=0,Constants!$B$5,IF(COUNTA(J190:K190,M190:N190)=0,Constants!$B$6,Constants!$B$7))))</f>
        <v/>
      </c>
      <c r="AA190" s="65" t="str">
        <f aca="false">IF(ISBLANK($C190),"",IF($Z190&lt;&gt;Constants!$B$7,$Z190,IF(OR(NOT(T190),AND(NOT(Q190),COUNTIFS(U190:W190,Constants!$B$18,V190:X190,"&gt;=0")&gt;0),AND(NOT(R190),COUNTIFS(U190:W190,Constants!$B$19,V190:X190,"&gt;=0")&gt;0)),Constants!$B$12,Constants!$B$11)))</f>
        <v/>
      </c>
      <c r="AB190" s="65" t="str">
        <f aca="false">IF($Z190=Constants!$B$7,IF(V190="",Constants!$B$13,V190),"")</f>
        <v/>
      </c>
      <c r="AC190" s="65" t="str">
        <f aca="false">IF($Z190=Constants!$B$7,IF(X190="",Constants!$B$13,X190),"")</f>
        <v/>
      </c>
      <c r="AD190" s="65" t="str">
        <f aca="false">IF($Z190=Constants!$B$7,IF($AB190&gt;=$AC190,1,2),"")</f>
        <v/>
      </c>
      <c r="AE190" s="65" t="str">
        <f aca="false">IF($Z190=Constants!$B$7,LARGE(AB190:AC190,1),"")</f>
        <v/>
      </c>
      <c r="AF190" s="65" t="str">
        <f aca="false">IF(ISBLANK($C190),"",IF($Z190&lt;&gt;Constants!$B$7,$Z190,AE190*S190))</f>
        <v/>
      </c>
      <c r="AG190" s="65" t="str">
        <f aca="false">IF(ISBLANK($C190),"",IF($Z190=Constants!$B$7,IF(ISNUMBER(AF190),RANK(AF190,$AF$8:$AF$507),Constants!$B$14),$Z190))</f>
        <v/>
      </c>
      <c r="AH190" s="65" t="str">
        <f aca="false">IF(ISBLANK($C190),"",IF($Z190=Constants!$B$7,IF(ISNUMBER(AG190),COUNTIFS($AA$8:$AA$507,"&lt;"&amp;$AA190)+COUNTIFS($AA$8:$AA$507,$AA190,$AG$8:$AG$507,"&lt;"&amp;$AG190)+1,Constants!$B$14),$Z190))</f>
        <v/>
      </c>
      <c r="AI190" s="65" t="str">
        <f aca="false">IF(ISBLANK($C190),"",IF($Z190=Constants!$B$7,LARGE(AB190:AC190,2)*S190,""))</f>
        <v/>
      </c>
      <c r="AJ190" s="65" t="str">
        <f aca="false">IF(ISBLANK($C190),"",IF($Z190=Constants!$B$7,RANK(AI190,$AI$8:$AI$507),$Z190))</f>
        <v/>
      </c>
      <c r="AK190" s="65" t="str">
        <f aca="false">IF(ISBLANK($C190),"",IF($Z190=Constants!$B$7,IF(ISNUMBER(AG190),COUNTIFS($AA$8:$AA$507,"&lt;"&amp;$AA190)+COUNTIFS($AA$8:$AA$507,$AA190,$AG$8:$AG$507,"&lt;"&amp;$AG190)+COUNTIFS($AA$8:$AA$507,$AA190,$AG$8:$AG$507,$AG190,$AJ$8:$AJ$507,"&lt;"&amp;$AJ190)+1,Constants!$B$14),$Z190))</f>
        <v/>
      </c>
      <c r="AL190" s="65" t="str">
        <f aca="false">IF(ISBLANK($C190),"",IF($Z190=Constants!$B$7,IF(ISNUMBER(AH190),AH190-AK190,Constants!$B$14),$Z190))</f>
        <v/>
      </c>
      <c r="AM190" s="67"/>
      <c r="AN190" s="68" t="str">
        <f aca="false">IF(ISBLANK($C190),"",IF($Z190&lt;&gt;Constants!$B$7,$Z190,AD190))</f>
        <v/>
      </c>
      <c r="AO190" s="69" t="str">
        <f aca="false">IF(ISBLANK($C190),"",IF($Z190&lt;&gt;Constants!$B$7,$Z190,S190))</f>
        <v/>
      </c>
      <c r="AP190" s="70" t="str">
        <f aca="false">IF(ISBLANK($C190),"",IF($Z190&lt;&gt;Constants!$B$7,$Z190,AF190))</f>
        <v/>
      </c>
      <c r="AQ190" s="71" t="str">
        <f aca="false">IF(ISBLANK($C190),"",IF($Z190&lt;&gt;Constants!$B$7,$Z190,AA190))</f>
        <v/>
      </c>
      <c r="AR190" s="69" t="str">
        <f aca="false">IF(ISBLANK($C190),"",AL190)</f>
        <v/>
      </c>
      <c r="AS190" s="69" t="str">
        <f aca="false">IF(ISBLANK($C190),"",AK190)</f>
        <v/>
      </c>
      <c r="AT190" s="72" t="str">
        <f aca="false">IF(ISBLANK($C190),"",IF(AS190=Constants!$B$4,COUNTA($C$8:$C$507)+2,IF(AS190=Constants!$B$5,COUNTA($C$8:$C$507)+1,IF(AS190=Constants!$B$6,COUNTA($C$8:$C$507),AS190))))</f>
        <v/>
      </c>
      <c r="AU190" s="5"/>
      <c r="AV190" s="73" t="n">
        <f aca="false">IF(OR(ISNUMBER(AS190),AS190=Constants!$B$4,AS190=Constants!$B$6,AS190=Constants!$B$5),1,0)</f>
        <v>0</v>
      </c>
      <c r="AW190" s="73" t="n">
        <v>183</v>
      </c>
      <c r="AX190" s="73" t="str">
        <f aca="false">IF(ISBLANK($C190),"",IF(ISNUMBER(AT190),AT190+ROW($B190)/1000,""))</f>
        <v/>
      </c>
      <c r="AY190" s="73" t="str">
        <f aca="false">IF(ISNUMBER(AX190),RANK(AX190,$AX$8:$AX$507,1),"")</f>
        <v/>
      </c>
      <c r="AZ190" s="73" t="str">
        <f aca="false">IF(ISBLANK($C190),"",$B190)</f>
        <v/>
      </c>
      <c r="BA190" s="73" t="str">
        <f aca="false">IF(ISBLANK($C190),"",$C190)</f>
        <v/>
      </c>
      <c r="BB190" s="73" t="str">
        <f aca="false">IF(ISBLANK($C190),"",$D190)</f>
        <v/>
      </c>
      <c r="BC190" s="74" t="str">
        <f aca="false">AQ190</f>
        <v/>
      </c>
      <c r="BD190" s="75" t="str">
        <f aca="false">AP190</f>
        <v/>
      </c>
      <c r="BE190" s="73" t="str">
        <f aca="false">IF(ISBLANK($C190),"",AS190)</f>
        <v/>
      </c>
      <c r="BF190" s="76" t="str">
        <f aca="false">IF($AW190&gt;$AV$7,"",VLOOKUP($AW190,$AY$8:$BE$507,7,FALSE()))</f>
        <v/>
      </c>
      <c r="BG190" s="77" t="str">
        <f aca="false">IF($AW190&gt;$AV$7,"",VLOOKUP($AW190,$AY$8:$BE$507,2,FALSE()))</f>
        <v/>
      </c>
      <c r="BH190" s="77" t="str">
        <f aca="false">IF($AW190&gt;$AV$7,"",VLOOKUP($AW190,$AY$8:$BE$507,3,FALSE()))</f>
        <v/>
      </c>
      <c r="BI190" s="77" t="str">
        <f aca="false">IF($AW190&gt;$AV$7,"",VLOOKUP($AW190,$AY$8:$BE$507,4,FALSE()))</f>
        <v/>
      </c>
      <c r="BJ190" s="77" t="str">
        <f aca="false">IF($AW190&gt;$AV$7,"",VLOOKUP($AW190,$AY$8:$BE$507,5,FALSE()))</f>
        <v/>
      </c>
      <c r="BK190" s="78" t="str">
        <f aca="false">IF($AW190&gt;$AV$7,"",VLOOKUP($AW190,$AY$8:$BE$507,6,FALSE()))</f>
        <v/>
      </c>
      <c r="BL190" s="50"/>
    </row>
    <row r="191" customFormat="false" ht="15.75" hidden="false" customHeight="false" outlineLevel="0" collapsed="false">
      <c r="A191" s="5"/>
      <c r="B191" s="124"/>
      <c r="C191" s="125"/>
      <c r="D191" s="110"/>
      <c r="E191" s="130"/>
      <c r="F191" s="135"/>
      <c r="G191" s="88"/>
      <c r="H191" s="136"/>
      <c r="I191" s="137"/>
      <c r="J191" s="91"/>
      <c r="K191" s="92"/>
      <c r="L191" s="137"/>
      <c r="M191" s="93"/>
      <c r="N191" s="94"/>
      <c r="O191" s="130"/>
      <c r="P191" s="96"/>
      <c r="Q191" s="97" t="str">
        <f aca="false">IF(ISBLANK($C191),"",IF(E191=Constants!$B$2, TRUE(), IF(E191=Constants!$B$3, FALSE(), TRUE())))</f>
        <v/>
      </c>
      <c r="R191" s="97" t="str">
        <f aca="false">IF(ISBLANK($C191),"",IF(F191=Constants!$B$2, TRUE(), IF(F191=Constants!$B$3, FALSE(), TRUE())))</f>
        <v/>
      </c>
      <c r="S191" s="97" t="str">
        <f aca="false">IF(ISBLANK($C191),"",IF(G191=Constants!$B$15,Constants!$B$8,IF(G191=Constants!$B$16,Constants!$B$9,Constants!$B$10)))</f>
        <v/>
      </c>
      <c r="T191" s="97" t="str">
        <f aca="false">IF(ISBLANK($C191),"",IF(H191=Constants!$B$2, TRUE(), IF(H191=Constants!$B$3, FALSE(), TRUE())))</f>
        <v/>
      </c>
      <c r="U191" s="97" t="str">
        <f aca="false">IF(ISBLANK($C191),"",IF(I191=Constants!$B$19,Constants!$B$19,Constants!$B$18))</f>
        <v/>
      </c>
      <c r="V191" s="97" t="str">
        <f aca="false">IF(ISBLANK($C191),"",IF(COUNTA(J191:K191)=0,"",IF(AND(OR(ISBLANK(J191),AND(ISNUMBER(J191),J191&gt;=0)),OR(ISBLANK(K191),AND(ISNUMBER(K191),K191&gt;=0))),60*IF(ISBLANK(J191),0,J191)+IF(ISBLANK(K191),0,K191),"")))</f>
        <v/>
      </c>
      <c r="W191" s="97" t="str">
        <f aca="false">IF(ISBLANK($C191),"",IF(L191=Constants!$B$19,Constants!$B$19,Constants!$B$18))</f>
        <v/>
      </c>
      <c r="X191" s="97" t="str">
        <f aca="false">IF(ISBLANK($C191),"",IF(COUNTA(M191:N191)=0,"",IF(AND(OR(ISBLANK(M191),AND(ISNUMBER(M191),M191&gt;=0)),OR(ISBLANK(N191),AND(ISNUMBER(N191),N191&gt;=0))),60*IF(ISBLANK(M191),0,M191)+IF(ISBLANK(N191),0,N191),"")))</f>
        <v/>
      </c>
      <c r="Y191" s="97" t="str">
        <f aca="false">IF(ISBLANK($C191),"",IF(O191=Constants!$B$2, TRUE(), IF(O191=Constants!$B$3, FALSE(), FALSE())))</f>
        <v/>
      </c>
      <c r="Z191" s="97" t="str">
        <f aca="false">IF(ISBLANK($C191),"",IF(Y191,Constants!$B$4,IF(COUNTA(E191:N191)=0,Constants!$B$5,IF(COUNTA(J191:K191,M191:N191)=0,Constants!$B$6,Constants!$B$7))))</f>
        <v/>
      </c>
      <c r="AA191" s="97" t="str">
        <f aca="false">IF(ISBLANK($C191),"",IF($Z191&lt;&gt;Constants!$B$7,$Z191,IF(OR(NOT(T191),AND(NOT(Q191),COUNTIFS(U191:W191,Constants!$B$18,V191:X191,"&gt;=0")&gt;0),AND(NOT(R191),COUNTIFS(U191:W191,Constants!$B$19,V191:X191,"&gt;=0")&gt;0)),Constants!$B$12,Constants!$B$11)))</f>
        <v/>
      </c>
      <c r="AB191" s="97" t="str">
        <f aca="false">IF($Z191=Constants!$B$7,IF(V191="",Constants!$B$13,V191),"")</f>
        <v/>
      </c>
      <c r="AC191" s="97" t="str">
        <f aca="false">IF($Z191=Constants!$B$7,IF(X191="",Constants!$B$13,X191),"")</f>
        <v/>
      </c>
      <c r="AD191" s="97" t="str">
        <f aca="false">IF($Z191=Constants!$B$7,IF($AB191&gt;=$AC191,1,2),"")</f>
        <v/>
      </c>
      <c r="AE191" s="97" t="str">
        <f aca="false">IF($Z191=Constants!$B$7,LARGE(AB191:AC191,1),"")</f>
        <v/>
      </c>
      <c r="AF191" s="97" t="str">
        <f aca="false">IF(ISBLANK($C191),"",IF($Z191&lt;&gt;Constants!$B$7,$Z191,AE191*S191))</f>
        <v/>
      </c>
      <c r="AG191" s="97" t="str">
        <f aca="false">IF(ISBLANK($C191),"",IF($Z191=Constants!$B$7,IF(ISNUMBER(AF191),RANK(AF191,$AF$8:$AF$507),Constants!$B$14),$Z191))</f>
        <v/>
      </c>
      <c r="AH191" s="97" t="str">
        <f aca="false">IF(ISBLANK($C191),"",IF($Z191=Constants!$B$7,IF(ISNUMBER(AG191),COUNTIFS($AA$8:$AA$507,"&lt;"&amp;$AA191)+COUNTIFS($AA$8:$AA$507,$AA191,$AG$8:$AG$507,"&lt;"&amp;$AG191)+1,Constants!$B$14),$Z191))</f>
        <v/>
      </c>
      <c r="AI191" s="97" t="str">
        <f aca="false">IF(ISBLANK($C191),"",IF($Z191=Constants!$B$7,LARGE(AB191:AC191,2)*S191,""))</f>
        <v/>
      </c>
      <c r="AJ191" s="97" t="str">
        <f aca="false">IF(ISBLANK($C191),"",IF($Z191=Constants!$B$7,RANK(AI191,$AI$8:$AI$507),$Z191))</f>
        <v/>
      </c>
      <c r="AK191" s="97" t="str">
        <f aca="false">IF(ISBLANK($C191),"",IF($Z191=Constants!$B$7,IF(ISNUMBER(AG191),COUNTIFS($AA$8:$AA$507,"&lt;"&amp;$AA191)+COUNTIFS($AA$8:$AA$507,$AA191,$AG$8:$AG$507,"&lt;"&amp;$AG191)+COUNTIFS($AA$8:$AA$507,$AA191,$AG$8:$AG$507,$AG191,$AJ$8:$AJ$507,"&lt;"&amp;$AJ191)+1,Constants!$B$14),$Z191))</f>
        <v/>
      </c>
      <c r="AL191" s="97" t="str">
        <f aca="false">IF(ISBLANK($C191),"",IF($Z191=Constants!$B$7,IF(ISNUMBER(AH191),AH191-AK191,Constants!$B$14),$Z191))</f>
        <v/>
      </c>
      <c r="AM191" s="98"/>
      <c r="AN191" s="99" t="str">
        <f aca="false">IF(ISBLANK($C191),"",IF($Z191&lt;&gt;Constants!$B$7,$Z191,AD191))</f>
        <v/>
      </c>
      <c r="AO191" s="100" t="str">
        <f aca="false">IF(ISBLANK($C191),"",IF($Z191&lt;&gt;Constants!$B$7,$Z191,S191))</f>
        <v/>
      </c>
      <c r="AP191" s="101" t="str">
        <f aca="false">IF(ISBLANK($C191),"",IF($Z191&lt;&gt;Constants!$B$7,$Z191,AF191))</f>
        <v/>
      </c>
      <c r="AQ191" s="102" t="str">
        <f aca="false">IF(ISBLANK($C191),"",IF($Z191&lt;&gt;Constants!$B$7,$Z191,AA191))</f>
        <v/>
      </c>
      <c r="AR191" s="100" t="str">
        <f aca="false">IF(ISBLANK($C191),"",AL191)</f>
        <v/>
      </c>
      <c r="AS191" s="100" t="str">
        <f aca="false">IF(ISBLANK($C191),"",AK191)</f>
        <v/>
      </c>
      <c r="AT191" s="103" t="str">
        <f aca="false">IF(ISBLANK($C191),"",IF(AS191=Constants!$B$4,COUNTA($C$8:$C$507)+2,IF(AS191=Constants!$B$5,COUNTA($C$8:$C$507)+1,IF(AS191=Constants!$B$6,COUNTA($C$8:$C$507),AS191))))</f>
        <v/>
      </c>
      <c r="AU191" s="5"/>
      <c r="AV191" s="104" t="n">
        <f aca="false">IF(OR(ISNUMBER(AS191),AS191=Constants!$B$4,AS191=Constants!$B$6,AS191=Constants!$B$5),1,0)</f>
        <v>0</v>
      </c>
      <c r="AW191" s="104" t="n">
        <v>184</v>
      </c>
      <c r="AX191" s="104" t="str">
        <f aca="false">IF(ISBLANK($C191),"",IF(ISNUMBER(AT191),AT191+ROW($B191)/1000,""))</f>
        <v/>
      </c>
      <c r="AY191" s="104" t="str">
        <f aca="false">IF(ISNUMBER(AX191),RANK(AX191,$AX$8:$AX$507,1),"")</f>
        <v/>
      </c>
      <c r="AZ191" s="104" t="str">
        <f aca="false">IF(ISBLANK($C191),"",$B191)</f>
        <v/>
      </c>
      <c r="BA191" s="104" t="str">
        <f aca="false">IF(ISBLANK($C191),"",$C191)</f>
        <v/>
      </c>
      <c r="BB191" s="104" t="str">
        <f aca="false">IF(ISBLANK($C191),"",$D191)</f>
        <v/>
      </c>
      <c r="BC191" s="105" t="str">
        <f aca="false">AQ191</f>
        <v/>
      </c>
      <c r="BD191" s="106" t="str">
        <f aca="false">AP191</f>
        <v/>
      </c>
      <c r="BE191" s="104" t="str">
        <f aca="false">IF(ISBLANK($C191),"",AS191)</f>
        <v/>
      </c>
      <c r="BF191" s="107" t="str">
        <f aca="false">IF($AW191&gt;$AV$7,"",VLOOKUP($AW191,$AY$8:$BE$507,7,FALSE()))</f>
        <v/>
      </c>
      <c r="BG191" s="108" t="str">
        <f aca="false">IF($AW191&gt;$AV$7,"",VLOOKUP($AW191,$AY$8:$BE$507,2,FALSE()))</f>
        <v/>
      </c>
      <c r="BH191" s="108" t="str">
        <f aca="false">IF($AW191&gt;$AV$7,"",VLOOKUP($AW191,$AY$8:$BE$507,3,FALSE()))</f>
        <v/>
      </c>
      <c r="BI191" s="108" t="str">
        <f aca="false">IF($AW191&gt;$AV$7,"",VLOOKUP($AW191,$AY$8:$BE$507,4,FALSE()))</f>
        <v/>
      </c>
      <c r="BJ191" s="108" t="str">
        <f aca="false">IF($AW191&gt;$AV$7,"",VLOOKUP($AW191,$AY$8:$BE$507,5,FALSE()))</f>
        <v/>
      </c>
      <c r="BK191" s="109" t="str">
        <f aca="false">IF($AW191&gt;$AV$7,"",VLOOKUP($AW191,$AY$8:$BE$507,6,FALSE()))</f>
        <v/>
      </c>
      <c r="BL191" s="50"/>
    </row>
    <row r="192" customFormat="false" ht="15.75" hidden="false" customHeight="false" outlineLevel="0" collapsed="false">
      <c r="A192" s="5"/>
      <c r="B192" s="124"/>
      <c r="C192" s="125"/>
      <c r="D192" s="110"/>
      <c r="E192" s="130"/>
      <c r="F192" s="135"/>
      <c r="G192" s="88"/>
      <c r="H192" s="136"/>
      <c r="I192" s="137"/>
      <c r="J192" s="91"/>
      <c r="K192" s="92"/>
      <c r="L192" s="137"/>
      <c r="M192" s="93"/>
      <c r="N192" s="94"/>
      <c r="O192" s="130"/>
      <c r="P192" s="96"/>
      <c r="Q192" s="97" t="str">
        <f aca="false">IF(ISBLANK($C192),"",IF(E192=Constants!$B$2, TRUE(), IF(E192=Constants!$B$3, FALSE(), TRUE())))</f>
        <v/>
      </c>
      <c r="R192" s="97" t="str">
        <f aca="false">IF(ISBLANK($C192),"",IF(F192=Constants!$B$2, TRUE(), IF(F192=Constants!$B$3, FALSE(), TRUE())))</f>
        <v/>
      </c>
      <c r="S192" s="97" t="str">
        <f aca="false">IF(ISBLANK($C192),"",IF(G192=Constants!$B$15,Constants!$B$8,IF(G192=Constants!$B$16,Constants!$B$9,Constants!$B$10)))</f>
        <v/>
      </c>
      <c r="T192" s="97" t="str">
        <f aca="false">IF(ISBLANK($C192),"",IF(H192=Constants!$B$2, TRUE(), IF(H192=Constants!$B$3, FALSE(), TRUE())))</f>
        <v/>
      </c>
      <c r="U192" s="97" t="str">
        <f aca="false">IF(ISBLANK($C192),"",IF(I192=Constants!$B$19,Constants!$B$19,Constants!$B$18))</f>
        <v/>
      </c>
      <c r="V192" s="97" t="str">
        <f aca="false">IF(ISBLANK($C192),"",IF(COUNTA(J192:K192)=0,"",IF(AND(OR(ISBLANK(J192),AND(ISNUMBER(J192),J192&gt;=0)),OR(ISBLANK(K192),AND(ISNUMBER(K192),K192&gt;=0))),60*IF(ISBLANK(J192),0,J192)+IF(ISBLANK(K192),0,K192),"")))</f>
        <v/>
      </c>
      <c r="W192" s="97" t="str">
        <f aca="false">IF(ISBLANK($C192),"",IF(L192=Constants!$B$19,Constants!$B$19,Constants!$B$18))</f>
        <v/>
      </c>
      <c r="X192" s="97" t="str">
        <f aca="false">IF(ISBLANK($C192),"",IF(COUNTA(M192:N192)=0,"",IF(AND(OR(ISBLANK(M192),AND(ISNUMBER(M192),M192&gt;=0)),OR(ISBLANK(N192),AND(ISNUMBER(N192),N192&gt;=0))),60*IF(ISBLANK(M192),0,M192)+IF(ISBLANK(N192),0,N192),"")))</f>
        <v/>
      </c>
      <c r="Y192" s="97" t="str">
        <f aca="false">IF(ISBLANK($C192),"",IF(O192=Constants!$B$2, TRUE(), IF(O192=Constants!$B$3, FALSE(), FALSE())))</f>
        <v/>
      </c>
      <c r="Z192" s="97" t="str">
        <f aca="false">IF(ISBLANK($C192),"",IF(Y192,Constants!$B$4,IF(COUNTA(E192:N192)=0,Constants!$B$5,IF(COUNTA(J192:K192,M192:N192)=0,Constants!$B$6,Constants!$B$7))))</f>
        <v/>
      </c>
      <c r="AA192" s="97" t="str">
        <f aca="false">IF(ISBLANK($C192),"",IF($Z192&lt;&gt;Constants!$B$7,$Z192,IF(OR(NOT(T192),AND(NOT(Q192),COUNTIFS(U192:W192,Constants!$B$18,V192:X192,"&gt;=0")&gt;0),AND(NOT(R192),COUNTIFS(U192:W192,Constants!$B$19,V192:X192,"&gt;=0")&gt;0)),Constants!$B$12,Constants!$B$11)))</f>
        <v/>
      </c>
      <c r="AB192" s="97" t="str">
        <f aca="false">IF($Z192=Constants!$B$7,IF(V192="",Constants!$B$13,V192),"")</f>
        <v/>
      </c>
      <c r="AC192" s="97" t="str">
        <f aca="false">IF($Z192=Constants!$B$7,IF(X192="",Constants!$B$13,X192),"")</f>
        <v/>
      </c>
      <c r="AD192" s="97" t="str">
        <f aca="false">IF($Z192=Constants!$B$7,IF($AB192&gt;=$AC192,1,2),"")</f>
        <v/>
      </c>
      <c r="AE192" s="97" t="str">
        <f aca="false">IF($Z192=Constants!$B$7,LARGE(AB192:AC192,1),"")</f>
        <v/>
      </c>
      <c r="AF192" s="97" t="str">
        <f aca="false">IF(ISBLANK($C192),"",IF($Z192&lt;&gt;Constants!$B$7,$Z192,AE192*S192))</f>
        <v/>
      </c>
      <c r="AG192" s="97" t="str">
        <f aca="false">IF(ISBLANK($C192),"",IF($Z192=Constants!$B$7,IF(ISNUMBER(AF192),RANK(AF192,$AF$8:$AF$507),Constants!$B$14),$Z192))</f>
        <v/>
      </c>
      <c r="AH192" s="97" t="str">
        <f aca="false">IF(ISBLANK($C192),"",IF($Z192=Constants!$B$7,IF(ISNUMBER(AG192),COUNTIFS($AA$8:$AA$507,"&lt;"&amp;$AA192)+COUNTIFS($AA$8:$AA$507,$AA192,$AG$8:$AG$507,"&lt;"&amp;$AG192)+1,Constants!$B$14),$Z192))</f>
        <v/>
      </c>
      <c r="AI192" s="97" t="str">
        <f aca="false">IF(ISBLANK($C192),"",IF($Z192=Constants!$B$7,LARGE(AB192:AC192,2)*S192,""))</f>
        <v/>
      </c>
      <c r="AJ192" s="97" t="str">
        <f aca="false">IF(ISBLANK($C192),"",IF($Z192=Constants!$B$7,RANK(AI192,$AI$8:$AI$507),$Z192))</f>
        <v/>
      </c>
      <c r="AK192" s="97" t="str">
        <f aca="false">IF(ISBLANK($C192),"",IF($Z192=Constants!$B$7,IF(ISNUMBER(AG192),COUNTIFS($AA$8:$AA$507,"&lt;"&amp;$AA192)+COUNTIFS($AA$8:$AA$507,$AA192,$AG$8:$AG$507,"&lt;"&amp;$AG192)+COUNTIFS($AA$8:$AA$507,$AA192,$AG$8:$AG$507,$AG192,$AJ$8:$AJ$507,"&lt;"&amp;$AJ192)+1,Constants!$B$14),$Z192))</f>
        <v/>
      </c>
      <c r="AL192" s="97" t="str">
        <f aca="false">IF(ISBLANK($C192),"",IF($Z192=Constants!$B$7,IF(ISNUMBER(AH192),AH192-AK192,Constants!$B$14),$Z192))</f>
        <v/>
      </c>
      <c r="AM192" s="98"/>
      <c r="AN192" s="99" t="str">
        <f aca="false">IF(ISBLANK($C192),"",IF($Z192&lt;&gt;Constants!$B$7,$Z192,AD192))</f>
        <v/>
      </c>
      <c r="AO192" s="100" t="str">
        <f aca="false">IF(ISBLANK($C192),"",IF($Z192&lt;&gt;Constants!$B$7,$Z192,S192))</f>
        <v/>
      </c>
      <c r="AP192" s="101" t="str">
        <f aca="false">IF(ISBLANK($C192),"",IF($Z192&lt;&gt;Constants!$B$7,$Z192,AF192))</f>
        <v/>
      </c>
      <c r="AQ192" s="102" t="str">
        <f aca="false">IF(ISBLANK($C192),"",IF($Z192&lt;&gt;Constants!$B$7,$Z192,AA192))</f>
        <v/>
      </c>
      <c r="AR192" s="100" t="str">
        <f aca="false">IF(ISBLANK($C192),"",AL192)</f>
        <v/>
      </c>
      <c r="AS192" s="100" t="str">
        <f aca="false">IF(ISBLANK($C192),"",AK192)</f>
        <v/>
      </c>
      <c r="AT192" s="103" t="str">
        <f aca="false">IF(ISBLANK($C192),"",IF(AS192=Constants!$B$4,COUNTA($C$8:$C$507)+2,IF(AS192=Constants!$B$5,COUNTA($C$8:$C$507)+1,IF(AS192=Constants!$B$6,COUNTA($C$8:$C$507),AS192))))</f>
        <v/>
      </c>
      <c r="AU192" s="5"/>
      <c r="AV192" s="104" t="n">
        <f aca="false">IF(OR(ISNUMBER(AS192),AS192=Constants!$B$4,AS192=Constants!$B$6,AS192=Constants!$B$5),1,0)</f>
        <v>0</v>
      </c>
      <c r="AW192" s="104" t="n">
        <v>185</v>
      </c>
      <c r="AX192" s="104" t="str">
        <f aca="false">IF(ISBLANK($C192),"",IF(ISNUMBER(AT192),AT192+ROW($B192)/1000,""))</f>
        <v/>
      </c>
      <c r="AY192" s="104" t="str">
        <f aca="false">IF(ISNUMBER(AX192),RANK(AX192,$AX$8:$AX$507,1),"")</f>
        <v/>
      </c>
      <c r="AZ192" s="104" t="str">
        <f aca="false">IF(ISBLANK($C192),"",$B192)</f>
        <v/>
      </c>
      <c r="BA192" s="104" t="str">
        <f aca="false">IF(ISBLANK($C192),"",$C192)</f>
        <v/>
      </c>
      <c r="BB192" s="104" t="str">
        <f aca="false">IF(ISBLANK($C192),"",$D192)</f>
        <v/>
      </c>
      <c r="BC192" s="105" t="str">
        <f aca="false">AQ192</f>
        <v/>
      </c>
      <c r="BD192" s="106" t="str">
        <f aca="false">AP192</f>
        <v/>
      </c>
      <c r="BE192" s="104" t="str">
        <f aca="false">IF(ISBLANK($C192),"",AS192)</f>
        <v/>
      </c>
      <c r="BF192" s="107" t="str">
        <f aca="false">IF($AW192&gt;$AV$7,"",VLOOKUP($AW192,$AY$8:$BE$507,7,FALSE()))</f>
        <v/>
      </c>
      <c r="BG192" s="108" t="str">
        <f aca="false">IF($AW192&gt;$AV$7,"",VLOOKUP($AW192,$AY$8:$BE$507,2,FALSE()))</f>
        <v/>
      </c>
      <c r="BH192" s="108" t="str">
        <f aca="false">IF($AW192&gt;$AV$7,"",VLOOKUP($AW192,$AY$8:$BE$507,3,FALSE()))</f>
        <v/>
      </c>
      <c r="BI192" s="108" t="str">
        <f aca="false">IF($AW192&gt;$AV$7,"",VLOOKUP($AW192,$AY$8:$BE$507,4,FALSE()))</f>
        <v/>
      </c>
      <c r="BJ192" s="108" t="str">
        <f aca="false">IF($AW192&gt;$AV$7,"",VLOOKUP($AW192,$AY$8:$BE$507,5,FALSE()))</f>
        <v/>
      </c>
      <c r="BK192" s="109" t="str">
        <f aca="false">IF($AW192&gt;$AV$7,"",VLOOKUP($AW192,$AY$8:$BE$507,6,FALSE()))</f>
        <v/>
      </c>
      <c r="BL192" s="50"/>
    </row>
    <row r="193" customFormat="false" ht="15.75" hidden="false" customHeight="false" outlineLevel="0" collapsed="false">
      <c r="A193" s="5"/>
      <c r="B193" s="124"/>
      <c r="C193" s="125"/>
      <c r="D193" s="110"/>
      <c r="E193" s="130"/>
      <c r="F193" s="135"/>
      <c r="G193" s="88"/>
      <c r="H193" s="136"/>
      <c r="I193" s="137"/>
      <c r="J193" s="91"/>
      <c r="K193" s="92"/>
      <c r="L193" s="137"/>
      <c r="M193" s="93"/>
      <c r="N193" s="94"/>
      <c r="O193" s="130"/>
      <c r="P193" s="96"/>
      <c r="Q193" s="97" t="str">
        <f aca="false">IF(ISBLANK($C193),"",IF(E193=Constants!$B$2, TRUE(), IF(E193=Constants!$B$3, FALSE(), TRUE())))</f>
        <v/>
      </c>
      <c r="R193" s="97" t="str">
        <f aca="false">IF(ISBLANK($C193),"",IF(F193=Constants!$B$2, TRUE(), IF(F193=Constants!$B$3, FALSE(), TRUE())))</f>
        <v/>
      </c>
      <c r="S193" s="97" t="str">
        <f aca="false">IF(ISBLANK($C193),"",IF(G193=Constants!$B$15,Constants!$B$8,IF(G193=Constants!$B$16,Constants!$B$9,Constants!$B$10)))</f>
        <v/>
      </c>
      <c r="T193" s="97" t="str">
        <f aca="false">IF(ISBLANK($C193),"",IF(H193=Constants!$B$2, TRUE(), IF(H193=Constants!$B$3, FALSE(), TRUE())))</f>
        <v/>
      </c>
      <c r="U193" s="97" t="str">
        <f aca="false">IF(ISBLANK($C193),"",IF(I193=Constants!$B$19,Constants!$B$19,Constants!$B$18))</f>
        <v/>
      </c>
      <c r="V193" s="97" t="str">
        <f aca="false">IF(ISBLANK($C193),"",IF(COUNTA(J193:K193)=0,"",IF(AND(OR(ISBLANK(J193),AND(ISNUMBER(J193),J193&gt;=0)),OR(ISBLANK(K193),AND(ISNUMBER(K193),K193&gt;=0))),60*IF(ISBLANK(J193),0,J193)+IF(ISBLANK(K193),0,K193),"")))</f>
        <v/>
      </c>
      <c r="W193" s="97" t="str">
        <f aca="false">IF(ISBLANK($C193),"",IF(L193=Constants!$B$19,Constants!$B$19,Constants!$B$18))</f>
        <v/>
      </c>
      <c r="X193" s="97" t="str">
        <f aca="false">IF(ISBLANK($C193),"",IF(COUNTA(M193:N193)=0,"",IF(AND(OR(ISBLANK(M193),AND(ISNUMBER(M193),M193&gt;=0)),OR(ISBLANK(N193),AND(ISNUMBER(N193),N193&gt;=0))),60*IF(ISBLANK(M193),0,M193)+IF(ISBLANK(N193),0,N193),"")))</f>
        <v/>
      </c>
      <c r="Y193" s="97" t="str">
        <f aca="false">IF(ISBLANK($C193),"",IF(O193=Constants!$B$2, TRUE(), IF(O193=Constants!$B$3, FALSE(), FALSE())))</f>
        <v/>
      </c>
      <c r="Z193" s="97" t="str">
        <f aca="false">IF(ISBLANK($C193),"",IF(Y193,Constants!$B$4,IF(COUNTA(E193:N193)=0,Constants!$B$5,IF(COUNTA(J193:K193,M193:N193)=0,Constants!$B$6,Constants!$B$7))))</f>
        <v/>
      </c>
      <c r="AA193" s="97" t="str">
        <f aca="false">IF(ISBLANK($C193),"",IF($Z193&lt;&gt;Constants!$B$7,$Z193,IF(OR(NOT(T193),AND(NOT(Q193),COUNTIFS(U193:W193,Constants!$B$18,V193:X193,"&gt;=0")&gt;0),AND(NOT(R193),COUNTIFS(U193:W193,Constants!$B$19,V193:X193,"&gt;=0")&gt;0)),Constants!$B$12,Constants!$B$11)))</f>
        <v/>
      </c>
      <c r="AB193" s="97" t="str">
        <f aca="false">IF($Z193=Constants!$B$7,IF(V193="",Constants!$B$13,V193),"")</f>
        <v/>
      </c>
      <c r="AC193" s="97" t="str">
        <f aca="false">IF($Z193=Constants!$B$7,IF(X193="",Constants!$B$13,X193),"")</f>
        <v/>
      </c>
      <c r="AD193" s="97" t="str">
        <f aca="false">IF($Z193=Constants!$B$7,IF($AB193&gt;=$AC193,1,2),"")</f>
        <v/>
      </c>
      <c r="AE193" s="97" t="str">
        <f aca="false">IF($Z193=Constants!$B$7,LARGE(AB193:AC193,1),"")</f>
        <v/>
      </c>
      <c r="AF193" s="97" t="str">
        <f aca="false">IF(ISBLANK($C193),"",IF($Z193&lt;&gt;Constants!$B$7,$Z193,AE193*S193))</f>
        <v/>
      </c>
      <c r="AG193" s="97" t="str">
        <f aca="false">IF(ISBLANK($C193),"",IF($Z193=Constants!$B$7,IF(ISNUMBER(AF193),RANK(AF193,$AF$8:$AF$507),Constants!$B$14),$Z193))</f>
        <v/>
      </c>
      <c r="AH193" s="97" t="str">
        <f aca="false">IF(ISBLANK($C193),"",IF($Z193=Constants!$B$7,IF(ISNUMBER(AG193),COUNTIFS($AA$8:$AA$507,"&lt;"&amp;$AA193)+COUNTIFS($AA$8:$AA$507,$AA193,$AG$8:$AG$507,"&lt;"&amp;$AG193)+1,Constants!$B$14),$Z193))</f>
        <v/>
      </c>
      <c r="AI193" s="97" t="str">
        <f aca="false">IF(ISBLANK($C193),"",IF($Z193=Constants!$B$7,LARGE(AB193:AC193,2)*S193,""))</f>
        <v/>
      </c>
      <c r="AJ193" s="97" t="str">
        <f aca="false">IF(ISBLANK($C193),"",IF($Z193=Constants!$B$7,RANK(AI193,$AI$8:$AI$507),$Z193))</f>
        <v/>
      </c>
      <c r="AK193" s="97" t="str">
        <f aca="false">IF(ISBLANK($C193),"",IF($Z193=Constants!$B$7,IF(ISNUMBER(AG193),COUNTIFS($AA$8:$AA$507,"&lt;"&amp;$AA193)+COUNTIFS($AA$8:$AA$507,$AA193,$AG$8:$AG$507,"&lt;"&amp;$AG193)+COUNTIFS($AA$8:$AA$507,$AA193,$AG$8:$AG$507,$AG193,$AJ$8:$AJ$507,"&lt;"&amp;$AJ193)+1,Constants!$B$14),$Z193))</f>
        <v/>
      </c>
      <c r="AL193" s="97" t="str">
        <f aca="false">IF(ISBLANK($C193),"",IF($Z193=Constants!$B$7,IF(ISNUMBER(AH193),AH193-AK193,Constants!$B$14),$Z193))</f>
        <v/>
      </c>
      <c r="AM193" s="98"/>
      <c r="AN193" s="99" t="str">
        <f aca="false">IF(ISBLANK($C193),"",IF($Z193&lt;&gt;Constants!$B$7,$Z193,AD193))</f>
        <v/>
      </c>
      <c r="AO193" s="100" t="str">
        <f aca="false">IF(ISBLANK($C193),"",IF($Z193&lt;&gt;Constants!$B$7,$Z193,S193))</f>
        <v/>
      </c>
      <c r="AP193" s="101" t="str">
        <f aca="false">IF(ISBLANK($C193),"",IF($Z193&lt;&gt;Constants!$B$7,$Z193,AF193))</f>
        <v/>
      </c>
      <c r="AQ193" s="102" t="str">
        <f aca="false">IF(ISBLANK($C193),"",IF($Z193&lt;&gt;Constants!$B$7,$Z193,AA193))</f>
        <v/>
      </c>
      <c r="AR193" s="100" t="str">
        <f aca="false">IF(ISBLANK($C193),"",AL193)</f>
        <v/>
      </c>
      <c r="AS193" s="100" t="str">
        <f aca="false">IF(ISBLANK($C193),"",AK193)</f>
        <v/>
      </c>
      <c r="AT193" s="103" t="str">
        <f aca="false">IF(ISBLANK($C193),"",IF(AS193=Constants!$B$4,COUNTA($C$8:$C$507)+2,IF(AS193=Constants!$B$5,COUNTA($C$8:$C$507)+1,IF(AS193=Constants!$B$6,COUNTA($C$8:$C$507),AS193))))</f>
        <v/>
      </c>
      <c r="AU193" s="5"/>
      <c r="AV193" s="104" t="n">
        <f aca="false">IF(OR(ISNUMBER(AS193),AS193=Constants!$B$4,AS193=Constants!$B$6,AS193=Constants!$B$5),1,0)</f>
        <v>0</v>
      </c>
      <c r="AW193" s="104" t="n">
        <v>186</v>
      </c>
      <c r="AX193" s="104" t="str">
        <f aca="false">IF(ISBLANK($C193),"",IF(ISNUMBER(AT193),AT193+ROW($B193)/1000,""))</f>
        <v/>
      </c>
      <c r="AY193" s="104" t="str">
        <f aca="false">IF(ISNUMBER(AX193),RANK(AX193,$AX$8:$AX$507,1),"")</f>
        <v/>
      </c>
      <c r="AZ193" s="104" t="str">
        <f aca="false">IF(ISBLANK($C193),"",$B193)</f>
        <v/>
      </c>
      <c r="BA193" s="104" t="str">
        <f aca="false">IF(ISBLANK($C193),"",$C193)</f>
        <v/>
      </c>
      <c r="BB193" s="104" t="str">
        <f aca="false">IF(ISBLANK($C193),"",$D193)</f>
        <v/>
      </c>
      <c r="BC193" s="105" t="str">
        <f aca="false">AQ193</f>
        <v/>
      </c>
      <c r="BD193" s="106" t="str">
        <f aca="false">AP193</f>
        <v/>
      </c>
      <c r="BE193" s="104" t="str">
        <f aca="false">IF(ISBLANK($C193),"",AS193)</f>
        <v/>
      </c>
      <c r="BF193" s="107" t="str">
        <f aca="false">IF($AW193&gt;$AV$7,"",VLOOKUP($AW193,$AY$8:$BE$507,7,FALSE()))</f>
        <v/>
      </c>
      <c r="BG193" s="108" t="str">
        <f aca="false">IF($AW193&gt;$AV$7,"",VLOOKUP($AW193,$AY$8:$BE$507,2,FALSE()))</f>
        <v/>
      </c>
      <c r="BH193" s="108" t="str">
        <f aca="false">IF($AW193&gt;$AV$7,"",VLOOKUP($AW193,$AY$8:$BE$507,3,FALSE()))</f>
        <v/>
      </c>
      <c r="BI193" s="108" t="str">
        <f aca="false">IF($AW193&gt;$AV$7,"",VLOOKUP($AW193,$AY$8:$BE$507,4,FALSE()))</f>
        <v/>
      </c>
      <c r="BJ193" s="108" t="str">
        <f aca="false">IF($AW193&gt;$AV$7,"",VLOOKUP($AW193,$AY$8:$BE$507,5,FALSE()))</f>
        <v/>
      </c>
      <c r="BK193" s="109" t="str">
        <f aca="false">IF($AW193&gt;$AV$7,"",VLOOKUP($AW193,$AY$8:$BE$507,6,FALSE()))</f>
        <v/>
      </c>
      <c r="BL193" s="50"/>
    </row>
    <row r="194" customFormat="false" ht="15.75" hidden="false" customHeight="false" outlineLevel="0" collapsed="false">
      <c r="A194" s="5"/>
      <c r="B194" s="131"/>
      <c r="C194" s="52"/>
      <c r="D194" s="53"/>
      <c r="E194" s="80"/>
      <c r="F194" s="132"/>
      <c r="G194" s="56"/>
      <c r="H194" s="133"/>
      <c r="I194" s="134"/>
      <c r="J194" s="59"/>
      <c r="K194" s="60"/>
      <c r="L194" s="134"/>
      <c r="M194" s="61"/>
      <c r="N194" s="62"/>
      <c r="O194" s="80"/>
      <c r="P194" s="64"/>
      <c r="Q194" s="65" t="str">
        <f aca="false">IF(ISBLANK($C194),"",IF(E194=Constants!$B$2, TRUE(), IF(E194=Constants!$B$3, FALSE(), TRUE())))</f>
        <v/>
      </c>
      <c r="R194" s="65" t="str">
        <f aca="false">IF(ISBLANK($C194),"",IF(F194=Constants!$B$2, TRUE(), IF(F194=Constants!$B$3, FALSE(), TRUE())))</f>
        <v/>
      </c>
      <c r="S194" s="65" t="str">
        <f aca="false">IF(ISBLANK($C194),"",IF(G194=Constants!$B$15,Constants!$B$8,IF(G194=Constants!$B$16,Constants!$B$9,Constants!$B$10)))</f>
        <v/>
      </c>
      <c r="T194" s="65" t="str">
        <f aca="false">IF(ISBLANK($C194),"",IF(H194=Constants!$B$2, TRUE(), IF(H194=Constants!$B$3, FALSE(), TRUE())))</f>
        <v/>
      </c>
      <c r="U194" s="65" t="str">
        <f aca="false">IF(ISBLANK($C194),"",IF(I194=Constants!$B$19,Constants!$B$19,Constants!$B$18))</f>
        <v/>
      </c>
      <c r="V194" s="65" t="str">
        <f aca="false">IF(ISBLANK($C194),"",IF(COUNTA(J194:K194)=0,"",IF(AND(OR(ISBLANK(J194),AND(ISNUMBER(J194),J194&gt;=0)),OR(ISBLANK(K194),AND(ISNUMBER(K194),K194&gt;=0))),60*IF(ISBLANK(J194),0,J194)+IF(ISBLANK(K194),0,K194),"")))</f>
        <v/>
      </c>
      <c r="W194" s="65" t="str">
        <f aca="false">IF(ISBLANK($C194),"",IF(L194=Constants!$B$19,Constants!$B$19,Constants!$B$18))</f>
        <v/>
      </c>
      <c r="X194" s="65" t="str">
        <f aca="false">IF(ISBLANK($C194),"",IF(COUNTA(M194:N194)=0,"",IF(AND(OR(ISBLANK(M194),AND(ISNUMBER(M194),M194&gt;=0)),OR(ISBLANK(N194),AND(ISNUMBER(N194),N194&gt;=0))),60*IF(ISBLANK(M194),0,M194)+IF(ISBLANK(N194),0,N194),"")))</f>
        <v/>
      </c>
      <c r="Y194" s="65" t="str">
        <f aca="false">IF(ISBLANK($C194),"",IF(O194=Constants!$B$2, TRUE(), IF(O194=Constants!$B$3, FALSE(), FALSE())))</f>
        <v/>
      </c>
      <c r="Z194" s="65" t="str">
        <f aca="false">IF(ISBLANK($C194),"",IF(Y194,Constants!$B$4,IF(COUNTA(E194:N194)=0,Constants!$B$5,IF(COUNTA(J194:K194,M194:N194)=0,Constants!$B$6,Constants!$B$7))))</f>
        <v/>
      </c>
      <c r="AA194" s="65" t="str">
        <f aca="false">IF(ISBLANK($C194),"",IF($Z194&lt;&gt;Constants!$B$7,$Z194,IF(OR(NOT(T194),AND(NOT(Q194),COUNTIFS(U194:W194,Constants!$B$18,V194:X194,"&gt;=0")&gt;0),AND(NOT(R194),COUNTIFS(U194:W194,Constants!$B$19,V194:X194,"&gt;=0")&gt;0)),Constants!$B$12,Constants!$B$11)))</f>
        <v/>
      </c>
      <c r="AB194" s="65" t="str">
        <f aca="false">IF($Z194=Constants!$B$7,IF(V194="",Constants!$B$13,V194),"")</f>
        <v/>
      </c>
      <c r="AC194" s="65" t="str">
        <f aca="false">IF($Z194=Constants!$B$7,IF(X194="",Constants!$B$13,X194),"")</f>
        <v/>
      </c>
      <c r="AD194" s="65" t="str">
        <f aca="false">IF($Z194=Constants!$B$7,IF($AB194&gt;=$AC194,1,2),"")</f>
        <v/>
      </c>
      <c r="AE194" s="65" t="str">
        <f aca="false">IF($Z194=Constants!$B$7,LARGE(AB194:AC194,1),"")</f>
        <v/>
      </c>
      <c r="AF194" s="65" t="str">
        <f aca="false">IF(ISBLANK($C194),"",IF($Z194&lt;&gt;Constants!$B$7,$Z194,AE194*S194))</f>
        <v/>
      </c>
      <c r="AG194" s="65" t="str">
        <f aca="false">IF(ISBLANK($C194),"",IF($Z194=Constants!$B$7,IF(ISNUMBER(AF194),RANK(AF194,$AF$8:$AF$507),Constants!$B$14),$Z194))</f>
        <v/>
      </c>
      <c r="AH194" s="65" t="str">
        <f aca="false">IF(ISBLANK($C194),"",IF($Z194=Constants!$B$7,IF(ISNUMBER(AG194),COUNTIFS($AA$8:$AA$507,"&lt;"&amp;$AA194)+COUNTIFS($AA$8:$AA$507,$AA194,$AG$8:$AG$507,"&lt;"&amp;$AG194)+1,Constants!$B$14),$Z194))</f>
        <v/>
      </c>
      <c r="AI194" s="65" t="str">
        <f aca="false">IF(ISBLANK($C194),"",IF($Z194=Constants!$B$7,LARGE(AB194:AC194,2)*S194,""))</f>
        <v/>
      </c>
      <c r="AJ194" s="65" t="str">
        <f aca="false">IF(ISBLANK($C194),"",IF($Z194=Constants!$B$7,RANK(AI194,$AI$8:$AI$507),$Z194))</f>
        <v/>
      </c>
      <c r="AK194" s="65" t="str">
        <f aca="false">IF(ISBLANK($C194),"",IF($Z194=Constants!$B$7,IF(ISNUMBER(AG194),COUNTIFS($AA$8:$AA$507,"&lt;"&amp;$AA194)+COUNTIFS($AA$8:$AA$507,$AA194,$AG$8:$AG$507,"&lt;"&amp;$AG194)+COUNTIFS($AA$8:$AA$507,$AA194,$AG$8:$AG$507,$AG194,$AJ$8:$AJ$507,"&lt;"&amp;$AJ194)+1,Constants!$B$14),$Z194))</f>
        <v/>
      </c>
      <c r="AL194" s="65" t="str">
        <f aca="false">IF(ISBLANK($C194),"",IF($Z194=Constants!$B$7,IF(ISNUMBER(AH194),AH194-AK194,Constants!$B$14),$Z194))</f>
        <v/>
      </c>
      <c r="AM194" s="67"/>
      <c r="AN194" s="68" t="str">
        <f aca="false">IF(ISBLANK($C194),"",IF($Z194&lt;&gt;Constants!$B$7,$Z194,AD194))</f>
        <v/>
      </c>
      <c r="AO194" s="69" t="str">
        <f aca="false">IF(ISBLANK($C194),"",IF($Z194&lt;&gt;Constants!$B$7,$Z194,S194))</f>
        <v/>
      </c>
      <c r="AP194" s="70" t="str">
        <f aca="false">IF(ISBLANK($C194),"",IF($Z194&lt;&gt;Constants!$B$7,$Z194,AF194))</f>
        <v/>
      </c>
      <c r="AQ194" s="71" t="str">
        <f aca="false">IF(ISBLANK($C194),"",IF($Z194&lt;&gt;Constants!$B$7,$Z194,AA194))</f>
        <v/>
      </c>
      <c r="AR194" s="69" t="str">
        <f aca="false">IF(ISBLANK($C194),"",AL194)</f>
        <v/>
      </c>
      <c r="AS194" s="69" t="str">
        <f aca="false">IF(ISBLANK($C194),"",AK194)</f>
        <v/>
      </c>
      <c r="AT194" s="72" t="str">
        <f aca="false">IF(ISBLANK($C194),"",IF(AS194=Constants!$B$4,COUNTA($C$8:$C$507)+2,IF(AS194=Constants!$B$5,COUNTA($C$8:$C$507)+1,IF(AS194=Constants!$B$6,COUNTA($C$8:$C$507),AS194))))</f>
        <v/>
      </c>
      <c r="AU194" s="5"/>
      <c r="AV194" s="73" t="n">
        <f aca="false">IF(OR(ISNUMBER(AS194),AS194=Constants!$B$4,AS194=Constants!$B$6,AS194=Constants!$B$5),1,0)</f>
        <v>0</v>
      </c>
      <c r="AW194" s="73" t="n">
        <v>187</v>
      </c>
      <c r="AX194" s="73" t="str">
        <f aca="false">IF(ISBLANK($C194),"",IF(ISNUMBER(AT194),AT194+ROW($B194)/1000,""))</f>
        <v/>
      </c>
      <c r="AY194" s="73" t="str">
        <f aca="false">IF(ISNUMBER(AX194),RANK(AX194,$AX$8:$AX$507,1),"")</f>
        <v/>
      </c>
      <c r="AZ194" s="73" t="str">
        <f aca="false">IF(ISBLANK($C194),"",$B194)</f>
        <v/>
      </c>
      <c r="BA194" s="73" t="str">
        <f aca="false">IF(ISBLANK($C194),"",$C194)</f>
        <v/>
      </c>
      <c r="BB194" s="73" t="str">
        <f aca="false">IF(ISBLANK($C194),"",$D194)</f>
        <v/>
      </c>
      <c r="BC194" s="74" t="str">
        <f aca="false">AQ194</f>
        <v/>
      </c>
      <c r="BD194" s="75" t="str">
        <f aca="false">AP194</f>
        <v/>
      </c>
      <c r="BE194" s="73" t="str">
        <f aca="false">IF(ISBLANK($C194),"",AS194)</f>
        <v/>
      </c>
      <c r="BF194" s="76" t="str">
        <f aca="false">IF($AW194&gt;$AV$7,"",VLOOKUP($AW194,$AY$8:$BE$507,7,FALSE()))</f>
        <v/>
      </c>
      <c r="BG194" s="77" t="str">
        <f aca="false">IF($AW194&gt;$AV$7,"",VLOOKUP($AW194,$AY$8:$BE$507,2,FALSE()))</f>
        <v/>
      </c>
      <c r="BH194" s="77" t="str">
        <f aca="false">IF($AW194&gt;$AV$7,"",VLOOKUP($AW194,$AY$8:$BE$507,3,FALSE()))</f>
        <v/>
      </c>
      <c r="BI194" s="77" t="str">
        <f aca="false">IF($AW194&gt;$AV$7,"",VLOOKUP($AW194,$AY$8:$BE$507,4,FALSE()))</f>
        <v/>
      </c>
      <c r="BJ194" s="77" t="str">
        <f aca="false">IF($AW194&gt;$AV$7,"",VLOOKUP($AW194,$AY$8:$BE$507,5,FALSE()))</f>
        <v/>
      </c>
      <c r="BK194" s="78" t="str">
        <f aca="false">IF($AW194&gt;$AV$7,"",VLOOKUP($AW194,$AY$8:$BE$507,6,FALSE()))</f>
        <v/>
      </c>
      <c r="BL194" s="50"/>
    </row>
    <row r="195" customFormat="false" ht="15.75" hidden="false" customHeight="false" outlineLevel="0" collapsed="false">
      <c r="A195" s="5"/>
      <c r="B195" s="131"/>
      <c r="C195" s="52"/>
      <c r="D195" s="53"/>
      <c r="E195" s="80"/>
      <c r="F195" s="132"/>
      <c r="G195" s="56"/>
      <c r="H195" s="133"/>
      <c r="I195" s="134"/>
      <c r="J195" s="59"/>
      <c r="K195" s="60"/>
      <c r="L195" s="134"/>
      <c r="M195" s="61"/>
      <c r="N195" s="62"/>
      <c r="O195" s="80"/>
      <c r="P195" s="64"/>
      <c r="Q195" s="65" t="str">
        <f aca="false">IF(ISBLANK($C195),"",IF(E195=Constants!$B$2, TRUE(), IF(E195=Constants!$B$3, FALSE(), TRUE())))</f>
        <v/>
      </c>
      <c r="R195" s="65" t="str">
        <f aca="false">IF(ISBLANK($C195),"",IF(F195=Constants!$B$2, TRUE(), IF(F195=Constants!$B$3, FALSE(), TRUE())))</f>
        <v/>
      </c>
      <c r="S195" s="65" t="str">
        <f aca="false">IF(ISBLANK($C195),"",IF(G195=Constants!$B$15,Constants!$B$8,IF(G195=Constants!$B$16,Constants!$B$9,Constants!$B$10)))</f>
        <v/>
      </c>
      <c r="T195" s="65" t="str">
        <f aca="false">IF(ISBLANK($C195),"",IF(H195=Constants!$B$2, TRUE(), IF(H195=Constants!$B$3, FALSE(), TRUE())))</f>
        <v/>
      </c>
      <c r="U195" s="65" t="str">
        <f aca="false">IF(ISBLANK($C195),"",IF(I195=Constants!$B$19,Constants!$B$19,Constants!$B$18))</f>
        <v/>
      </c>
      <c r="V195" s="65" t="str">
        <f aca="false">IF(ISBLANK($C195),"",IF(COUNTA(J195:K195)=0,"",IF(AND(OR(ISBLANK(J195),AND(ISNUMBER(J195),J195&gt;=0)),OR(ISBLANK(K195),AND(ISNUMBER(K195),K195&gt;=0))),60*IF(ISBLANK(J195),0,J195)+IF(ISBLANK(K195),0,K195),"")))</f>
        <v/>
      </c>
      <c r="W195" s="65" t="str">
        <f aca="false">IF(ISBLANK($C195),"",IF(L195=Constants!$B$19,Constants!$B$19,Constants!$B$18))</f>
        <v/>
      </c>
      <c r="X195" s="65" t="str">
        <f aca="false">IF(ISBLANK($C195),"",IF(COUNTA(M195:N195)=0,"",IF(AND(OR(ISBLANK(M195),AND(ISNUMBER(M195),M195&gt;=0)),OR(ISBLANK(N195),AND(ISNUMBER(N195),N195&gt;=0))),60*IF(ISBLANK(M195),0,M195)+IF(ISBLANK(N195),0,N195),"")))</f>
        <v/>
      </c>
      <c r="Y195" s="65" t="str">
        <f aca="false">IF(ISBLANK($C195),"",IF(O195=Constants!$B$2, TRUE(), IF(O195=Constants!$B$3, FALSE(), FALSE())))</f>
        <v/>
      </c>
      <c r="Z195" s="65" t="str">
        <f aca="false">IF(ISBLANK($C195),"",IF(Y195,Constants!$B$4,IF(COUNTA(E195:N195)=0,Constants!$B$5,IF(COUNTA(J195:K195,M195:N195)=0,Constants!$B$6,Constants!$B$7))))</f>
        <v/>
      </c>
      <c r="AA195" s="65" t="str">
        <f aca="false">IF(ISBLANK($C195),"",IF($Z195&lt;&gt;Constants!$B$7,$Z195,IF(OR(NOT(T195),AND(NOT(Q195),COUNTIFS(U195:W195,Constants!$B$18,V195:X195,"&gt;=0")&gt;0),AND(NOT(R195),COUNTIFS(U195:W195,Constants!$B$19,V195:X195,"&gt;=0")&gt;0)),Constants!$B$12,Constants!$B$11)))</f>
        <v/>
      </c>
      <c r="AB195" s="65" t="str">
        <f aca="false">IF($Z195=Constants!$B$7,IF(V195="",Constants!$B$13,V195),"")</f>
        <v/>
      </c>
      <c r="AC195" s="65" t="str">
        <f aca="false">IF($Z195=Constants!$B$7,IF(X195="",Constants!$B$13,X195),"")</f>
        <v/>
      </c>
      <c r="AD195" s="65" t="str">
        <f aca="false">IF($Z195=Constants!$B$7,IF($AB195&gt;=$AC195,1,2),"")</f>
        <v/>
      </c>
      <c r="AE195" s="65" t="str">
        <f aca="false">IF($Z195=Constants!$B$7,LARGE(AB195:AC195,1),"")</f>
        <v/>
      </c>
      <c r="AF195" s="65" t="str">
        <f aca="false">IF(ISBLANK($C195),"",IF($Z195&lt;&gt;Constants!$B$7,$Z195,AE195*S195))</f>
        <v/>
      </c>
      <c r="AG195" s="65" t="str">
        <f aca="false">IF(ISBLANK($C195),"",IF($Z195=Constants!$B$7,IF(ISNUMBER(AF195),RANK(AF195,$AF$8:$AF$507),Constants!$B$14),$Z195))</f>
        <v/>
      </c>
      <c r="AH195" s="65" t="str">
        <f aca="false">IF(ISBLANK($C195),"",IF($Z195=Constants!$B$7,IF(ISNUMBER(AG195),COUNTIFS($AA$8:$AA$507,"&lt;"&amp;$AA195)+COUNTIFS($AA$8:$AA$507,$AA195,$AG$8:$AG$507,"&lt;"&amp;$AG195)+1,Constants!$B$14),$Z195))</f>
        <v/>
      </c>
      <c r="AI195" s="65" t="str">
        <f aca="false">IF(ISBLANK($C195),"",IF($Z195=Constants!$B$7,LARGE(AB195:AC195,2)*S195,""))</f>
        <v/>
      </c>
      <c r="AJ195" s="65" t="str">
        <f aca="false">IF(ISBLANK($C195),"",IF($Z195=Constants!$B$7,RANK(AI195,$AI$8:$AI$507),$Z195))</f>
        <v/>
      </c>
      <c r="AK195" s="65" t="str">
        <f aca="false">IF(ISBLANK($C195),"",IF($Z195=Constants!$B$7,IF(ISNUMBER(AG195),COUNTIFS($AA$8:$AA$507,"&lt;"&amp;$AA195)+COUNTIFS($AA$8:$AA$507,$AA195,$AG$8:$AG$507,"&lt;"&amp;$AG195)+COUNTIFS($AA$8:$AA$507,$AA195,$AG$8:$AG$507,$AG195,$AJ$8:$AJ$507,"&lt;"&amp;$AJ195)+1,Constants!$B$14),$Z195))</f>
        <v/>
      </c>
      <c r="AL195" s="65" t="str">
        <f aca="false">IF(ISBLANK($C195),"",IF($Z195=Constants!$B$7,IF(ISNUMBER(AH195),AH195-AK195,Constants!$B$14),$Z195))</f>
        <v/>
      </c>
      <c r="AM195" s="67"/>
      <c r="AN195" s="68" t="str">
        <f aca="false">IF(ISBLANK($C195),"",IF($Z195&lt;&gt;Constants!$B$7,$Z195,AD195))</f>
        <v/>
      </c>
      <c r="AO195" s="69" t="str">
        <f aca="false">IF(ISBLANK($C195),"",IF($Z195&lt;&gt;Constants!$B$7,$Z195,S195))</f>
        <v/>
      </c>
      <c r="AP195" s="70" t="str">
        <f aca="false">IF(ISBLANK($C195),"",IF($Z195&lt;&gt;Constants!$B$7,$Z195,AF195))</f>
        <v/>
      </c>
      <c r="AQ195" s="71" t="str">
        <f aca="false">IF(ISBLANK($C195),"",IF($Z195&lt;&gt;Constants!$B$7,$Z195,AA195))</f>
        <v/>
      </c>
      <c r="AR195" s="69" t="str">
        <f aca="false">IF(ISBLANK($C195),"",AL195)</f>
        <v/>
      </c>
      <c r="AS195" s="69" t="str">
        <f aca="false">IF(ISBLANK($C195),"",AK195)</f>
        <v/>
      </c>
      <c r="AT195" s="72" t="str">
        <f aca="false">IF(ISBLANK($C195),"",IF(AS195=Constants!$B$4,COUNTA($C$8:$C$507)+2,IF(AS195=Constants!$B$5,COUNTA($C$8:$C$507)+1,IF(AS195=Constants!$B$6,COUNTA($C$8:$C$507),AS195))))</f>
        <v/>
      </c>
      <c r="AU195" s="5"/>
      <c r="AV195" s="73" t="n">
        <f aca="false">IF(OR(ISNUMBER(AS195),AS195=Constants!$B$4,AS195=Constants!$B$6,AS195=Constants!$B$5),1,0)</f>
        <v>0</v>
      </c>
      <c r="AW195" s="73" t="n">
        <v>188</v>
      </c>
      <c r="AX195" s="73" t="str">
        <f aca="false">IF(ISBLANK($C195),"",IF(ISNUMBER(AT195),AT195+ROW($B195)/1000,""))</f>
        <v/>
      </c>
      <c r="AY195" s="73" t="str">
        <f aca="false">IF(ISNUMBER(AX195),RANK(AX195,$AX$8:$AX$507,1),"")</f>
        <v/>
      </c>
      <c r="AZ195" s="73" t="str">
        <f aca="false">IF(ISBLANK($C195),"",$B195)</f>
        <v/>
      </c>
      <c r="BA195" s="73" t="str">
        <f aca="false">IF(ISBLANK($C195),"",$C195)</f>
        <v/>
      </c>
      <c r="BB195" s="73" t="str">
        <f aca="false">IF(ISBLANK($C195),"",$D195)</f>
        <v/>
      </c>
      <c r="BC195" s="74" t="str">
        <f aca="false">AQ195</f>
        <v/>
      </c>
      <c r="BD195" s="75" t="str">
        <f aca="false">AP195</f>
        <v/>
      </c>
      <c r="BE195" s="73" t="str">
        <f aca="false">IF(ISBLANK($C195),"",AS195)</f>
        <v/>
      </c>
      <c r="BF195" s="76" t="str">
        <f aca="false">IF($AW195&gt;$AV$7,"",VLOOKUP($AW195,$AY$8:$BE$507,7,FALSE()))</f>
        <v/>
      </c>
      <c r="BG195" s="77" t="str">
        <f aca="false">IF($AW195&gt;$AV$7,"",VLOOKUP($AW195,$AY$8:$BE$507,2,FALSE()))</f>
        <v/>
      </c>
      <c r="BH195" s="77" t="str">
        <f aca="false">IF($AW195&gt;$AV$7,"",VLOOKUP($AW195,$AY$8:$BE$507,3,FALSE()))</f>
        <v/>
      </c>
      <c r="BI195" s="77" t="str">
        <f aca="false">IF($AW195&gt;$AV$7,"",VLOOKUP($AW195,$AY$8:$BE$507,4,FALSE()))</f>
        <v/>
      </c>
      <c r="BJ195" s="77" t="str">
        <f aca="false">IF($AW195&gt;$AV$7,"",VLOOKUP($AW195,$AY$8:$BE$507,5,FALSE()))</f>
        <v/>
      </c>
      <c r="BK195" s="78" t="str">
        <f aca="false">IF($AW195&gt;$AV$7,"",VLOOKUP($AW195,$AY$8:$BE$507,6,FALSE()))</f>
        <v/>
      </c>
      <c r="BL195" s="50"/>
    </row>
    <row r="196" customFormat="false" ht="15.75" hidden="false" customHeight="false" outlineLevel="0" collapsed="false">
      <c r="A196" s="5"/>
      <c r="B196" s="131"/>
      <c r="C196" s="52"/>
      <c r="D196" s="53"/>
      <c r="E196" s="80"/>
      <c r="F196" s="132"/>
      <c r="G196" s="56"/>
      <c r="H196" s="133"/>
      <c r="I196" s="134"/>
      <c r="J196" s="59"/>
      <c r="K196" s="60"/>
      <c r="L196" s="134"/>
      <c r="M196" s="61"/>
      <c r="N196" s="62"/>
      <c r="O196" s="80"/>
      <c r="P196" s="64"/>
      <c r="Q196" s="65" t="str">
        <f aca="false">IF(ISBLANK($C196),"",IF(E196=Constants!$B$2, TRUE(), IF(E196=Constants!$B$3, FALSE(), TRUE())))</f>
        <v/>
      </c>
      <c r="R196" s="65" t="str">
        <f aca="false">IF(ISBLANK($C196),"",IF(F196=Constants!$B$2, TRUE(), IF(F196=Constants!$B$3, FALSE(), TRUE())))</f>
        <v/>
      </c>
      <c r="S196" s="65" t="str">
        <f aca="false">IF(ISBLANK($C196),"",IF(G196=Constants!$B$15,Constants!$B$8,IF(G196=Constants!$B$16,Constants!$B$9,Constants!$B$10)))</f>
        <v/>
      </c>
      <c r="T196" s="65" t="str">
        <f aca="false">IF(ISBLANK($C196),"",IF(H196=Constants!$B$2, TRUE(), IF(H196=Constants!$B$3, FALSE(), TRUE())))</f>
        <v/>
      </c>
      <c r="U196" s="65" t="str">
        <f aca="false">IF(ISBLANK($C196),"",IF(I196=Constants!$B$19,Constants!$B$19,Constants!$B$18))</f>
        <v/>
      </c>
      <c r="V196" s="65" t="str">
        <f aca="false">IF(ISBLANK($C196),"",IF(COUNTA(J196:K196)=0,"",IF(AND(OR(ISBLANK(J196),AND(ISNUMBER(J196),J196&gt;=0)),OR(ISBLANK(K196),AND(ISNUMBER(K196),K196&gt;=0))),60*IF(ISBLANK(J196),0,J196)+IF(ISBLANK(K196),0,K196),"")))</f>
        <v/>
      </c>
      <c r="W196" s="65" t="str">
        <f aca="false">IF(ISBLANK($C196),"",IF(L196=Constants!$B$19,Constants!$B$19,Constants!$B$18))</f>
        <v/>
      </c>
      <c r="X196" s="65" t="str">
        <f aca="false">IF(ISBLANK($C196),"",IF(COUNTA(M196:N196)=0,"",IF(AND(OR(ISBLANK(M196),AND(ISNUMBER(M196),M196&gt;=0)),OR(ISBLANK(N196),AND(ISNUMBER(N196),N196&gt;=0))),60*IF(ISBLANK(M196),0,M196)+IF(ISBLANK(N196),0,N196),"")))</f>
        <v/>
      </c>
      <c r="Y196" s="65" t="str">
        <f aca="false">IF(ISBLANK($C196),"",IF(O196=Constants!$B$2, TRUE(), IF(O196=Constants!$B$3, FALSE(), FALSE())))</f>
        <v/>
      </c>
      <c r="Z196" s="65" t="str">
        <f aca="false">IF(ISBLANK($C196),"",IF(Y196,Constants!$B$4,IF(COUNTA(E196:N196)=0,Constants!$B$5,IF(COUNTA(J196:K196,M196:N196)=0,Constants!$B$6,Constants!$B$7))))</f>
        <v/>
      </c>
      <c r="AA196" s="65" t="str">
        <f aca="false">IF(ISBLANK($C196),"",IF($Z196&lt;&gt;Constants!$B$7,$Z196,IF(OR(NOT(T196),AND(NOT(Q196),COUNTIFS(U196:W196,Constants!$B$18,V196:X196,"&gt;=0")&gt;0),AND(NOT(R196),COUNTIFS(U196:W196,Constants!$B$19,V196:X196,"&gt;=0")&gt;0)),Constants!$B$12,Constants!$B$11)))</f>
        <v/>
      </c>
      <c r="AB196" s="65" t="str">
        <f aca="false">IF($Z196=Constants!$B$7,IF(V196="",Constants!$B$13,V196),"")</f>
        <v/>
      </c>
      <c r="AC196" s="65" t="str">
        <f aca="false">IF($Z196=Constants!$B$7,IF(X196="",Constants!$B$13,X196),"")</f>
        <v/>
      </c>
      <c r="AD196" s="65" t="str">
        <f aca="false">IF($Z196=Constants!$B$7,IF($AB196&gt;=$AC196,1,2),"")</f>
        <v/>
      </c>
      <c r="AE196" s="65" t="str">
        <f aca="false">IF($Z196=Constants!$B$7,LARGE(AB196:AC196,1),"")</f>
        <v/>
      </c>
      <c r="AF196" s="65" t="str">
        <f aca="false">IF(ISBLANK($C196),"",IF($Z196&lt;&gt;Constants!$B$7,$Z196,AE196*S196))</f>
        <v/>
      </c>
      <c r="AG196" s="65" t="str">
        <f aca="false">IF(ISBLANK($C196),"",IF($Z196=Constants!$B$7,IF(ISNUMBER(AF196),RANK(AF196,$AF$8:$AF$507),Constants!$B$14),$Z196))</f>
        <v/>
      </c>
      <c r="AH196" s="65" t="str">
        <f aca="false">IF(ISBLANK($C196),"",IF($Z196=Constants!$B$7,IF(ISNUMBER(AG196),COUNTIFS($AA$8:$AA$507,"&lt;"&amp;$AA196)+COUNTIFS($AA$8:$AA$507,$AA196,$AG$8:$AG$507,"&lt;"&amp;$AG196)+1,Constants!$B$14),$Z196))</f>
        <v/>
      </c>
      <c r="AI196" s="65" t="str">
        <f aca="false">IF(ISBLANK($C196),"",IF($Z196=Constants!$B$7,LARGE(AB196:AC196,2)*S196,""))</f>
        <v/>
      </c>
      <c r="AJ196" s="65" t="str">
        <f aca="false">IF(ISBLANK($C196),"",IF($Z196=Constants!$B$7,RANK(AI196,$AI$8:$AI$507),$Z196))</f>
        <v/>
      </c>
      <c r="AK196" s="65" t="str">
        <f aca="false">IF(ISBLANK($C196),"",IF($Z196=Constants!$B$7,IF(ISNUMBER(AG196),COUNTIFS($AA$8:$AA$507,"&lt;"&amp;$AA196)+COUNTIFS($AA$8:$AA$507,$AA196,$AG$8:$AG$507,"&lt;"&amp;$AG196)+COUNTIFS($AA$8:$AA$507,$AA196,$AG$8:$AG$507,$AG196,$AJ$8:$AJ$507,"&lt;"&amp;$AJ196)+1,Constants!$B$14),$Z196))</f>
        <v/>
      </c>
      <c r="AL196" s="65" t="str">
        <f aca="false">IF(ISBLANK($C196),"",IF($Z196=Constants!$B$7,IF(ISNUMBER(AH196),AH196-AK196,Constants!$B$14),$Z196))</f>
        <v/>
      </c>
      <c r="AM196" s="67"/>
      <c r="AN196" s="68" t="str">
        <f aca="false">IF(ISBLANK($C196),"",IF($Z196&lt;&gt;Constants!$B$7,$Z196,AD196))</f>
        <v/>
      </c>
      <c r="AO196" s="69" t="str">
        <f aca="false">IF(ISBLANK($C196),"",IF($Z196&lt;&gt;Constants!$B$7,$Z196,S196))</f>
        <v/>
      </c>
      <c r="AP196" s="70" t="str">
        <f aca="false">IF(ISBLANK($C196),"",IF($Z196&lt;&gt;Constants!$B$7,$Z196,AF196))</f>
        <v/>
      </c>
      <c r="AQ196" s="71" t="str">
        <f aca="false">IF(ISBLANK($C196),"",IF($Z196&lt;&gt;Constants!$B$7,$Z196,AA196))</f>
        <v/>
      </c>
      <c r="AR196" s="69" t="str">
        <f aca="false">IF(ISBLANK($C196),"",AL196)</f>
        <v/>
      </c>
      <c r="AS196" s="69" t="str">
        <f aca="false">IF(ISBLANK($C196),"",AK196)</f>
        <v/>
      </c>
      <c r="AT196" s="72" t="str">
        <f aca="false">IF(ISBLANK($C196),"",IF(AS196=Constants!$B$4,COUNTA($C$8:$C$507)+2,IF(AS196=Constants!$B$5,COUNTA($C$8:$C$507)+1,IF(AS196=Constants!$B$6,COUNTA($C$8:$C$507),AS196))))</f>
        <v/>
      </c>
      <c r="AU196" s="5"/>
      <c r="AV196" s="73" t="n">
        <f aca="false">IF(OR(ISNUMBER(AS196),AS196=Constants!$B$4,AS196=Constants!$B$6,AS196=Constants!$B$5),1,0)</f>
        <v>0</v>
      </c>
      <c r="AW196" s="73" t="n">
        <v>189</v>
      </c>
      <c r="AX196" s="73" t="str">
        <f aca="false">IF(ISBLANK($C196),"",IF(ISNUMBER(AT196),AT196+ROW($B196)/1000,""))</f>
        <v/>
      </c>
      <c r="AY196" s="73" t="str">
        <f aca="false">IF(ISNUMBER(AX196),RANK(AX196,$AX$8:$AX$507,1),"")</f>
        <v/>
      </c>
      <c r="AZ196" s="73" t="str">
        <f aca="false">IF(ISBLANK($C196),"",$B196)</f>
        <v/>
      </c>
      <c r="BA196" s="73" t="str">
        <f aca="false">IF(ISBLANK($C196),"",$C196)</f>
        <v/>
      </c>
      <c r="BB196" s="73" t="str">
        <f aca="false">IF(ISBLANK($C196),"",$D196)</f>
        <v/>
      </c>
      <c r="BC196" s="74" t="str">
        <f aca="false">AQ196</f>
        <v/>
      </c>
      <c r="BD196" s="75" t="str">
        <f aca="false">AP196</f>
        <v/>
      </c>
      <c r="BE196" s="73" t="str">
        <f aca="false">IF(ISBLANK($C196),"",AS196)</f>
        <v/>
      </c>
      <c r="BF196" s="76" t="str">
        <f aca="false">IF($AW196&gt;$AV$7,"",VLOOKUP($AW196,$AY$8:$BE$507,7,FALSE()))</f>
        <v/>
      </c>
      <c r="BG196" s="77" t="str">
        <f aca="false">IF($AW196&gt;$AV$7,"",VLOOKUP($AW196,$AY$8:$BE$507,2,FALSE()))</f>
        <v/>
      </c>
      <c r="BH196" s="77" t="str">
        <f aca="false">IF($AW196&gt;$AV$7,"",VLOOKUP($AW196,$AY$8:$BE$507,3,FALSE()))</f>
        <v/>
      </c>
      <c r="BI196" s="77" t="str">
        <f aca="false">IF($AW196&gt;$AV$7,"",VLOOKUP($AW196,$AY$8:$BE$507,4,FALSE()))</f>
        <v/>
      </c>
      <c r="BJ196" s="77" t="str">
        <f aca="false">IF($AW196&gt;$AV$7,"",VLOOKUP($AW196,$AY$8:$BE$507,5,FALSE()))</f>
        <v/>
      </c>
      <c r="BK196" s="78" t="str">
        <f aca="false">IF($AW196&gt;$AV$7,"",VLOOKUP($AW196,$AY$8:$BE$507,6,FALSE()))</f>
        <v/>
      </c>
      <c r="BL196" s="50"/>
    </row>
    <row r="197" customFormat="false" ht="15.75" hidden="false" customHeight="false" outlineLevel="0" collapsed="false">
      <c r="A197" s="5"/>
      <c r="B197" s="124"/>
      <c r="C197" s="125"/>
      <c r="D197" s="110"/>
      <c r="E197" s="130"/>
      <c r="F197" s="135"/>
      <c r="G197" s="88"/>
      <c r="H197" s="136"/>
      <c r="I197" s="137"/>
      <c r="J197" s="91"/>
      <c r="K197" s="92"/>
      <c r="L197" s="137"/>
      <c r="M197" s="93"/>
      <c r="N197" s="94"/>
      <c r="O197" s="130"/>
      <c r="P197" s="96"/>
      <c r="Q197" s="97" t="str">
        <f aca="false">IF(ISBLANK($C197),"",IF(E197=Constants!$B$2, TRUE(), IF(E197=Constants!$B$3, FALSE(), TRUE())))</f>
        <v/>
      </c>
      <c r="R197" s="97" t="str">
        <f aca="false">IF(ISBLANK($C197),"",IF(F197=Constants!$B$2, TRUE(), IF(F197=Constants!$B$3, FALSE(), TRUE())))</f>
        <v/>
      </c>
      <c r="S197" s="97" t="str">
        <f aca="false">IF(ISBLANK($C197),"",IF(G197=Constants!$B$15,Constants!$B$8,IF(G197=Constants!$B$16,Constants!$B$9,Constants!$B$10)))</f>
        <v/>
      </c>
      <c r="T197" s="97" t="str">
        <f aca="false">IF(ISBLANK($C197),"",IF(H197=Constants!$B$2, TRUE(), IF(H197=Constants!$B$3, FALSE(), TRUE())))</f>
        <v/>
      </c>
      <c r="U197" s="97" t="str">
        <f aca="false">IF(ISBLANK($C197),"",IF(I197=Constants!$B$19,Constants!$B$19,Constants!$B$18))</f>
        <v/>
      </c>
      <c r="V197" s="97" t="str">
        <f aca="false">IF(ISBLANK($C197),"",IF(COUNTA(J197:K197)=0,"",IF(AND(OR(ISBLANK(J197),AND(ISNUMBER(J197),J197&gt;=0)),OR(ISBLANK(K197),AND(ISNUMBER(K197),K197&gt;=0))),60*IF(ISBLANK(J197),0,J197)+IF(ISBLANK(K197),0,K197),"")))</f>
        <v/>
      </c>
      <c r="W197" s="97" t="str">
        <f aca="false">IF(ISBLANK($C197),"",IF(L197=Constants!$B$19,Constants!$B$19,Constants!$B$18))</f>
        <v/>
      </c>
      <c r="X197" s="97" t="str">
        <f aca="false">IF(ISBLANK($C197),"",IF(COUNTA(M197:N197)=0,"",IF(AND(OR(ISBLANK(M197),AND(ISNUMBER(M197),M197&gt;=0)),OR(ISBLANK(N197),AND(ISNUMBER(N197),N197&gt;=0))),60*IF(ISBLANK(M197),0,M197)+IF(ISBLANK(N197),0,N197),"")))</f>
        <v/>
      </c>
      <c r="Y197" s="97" t="str">
        <f aca="false">IF(ISBLANK($C197),"",IF(O197=Constants!$B$2, TRUE(), IF(O197=Constants!$B$3, FALSE(), FALSE())))</f>
        <v/>
      </c>
      <c r="Z197" s="97" t="str">
        <f aca="false">IF(ISBLANK($C197),"",IF(Y197,Constants!$B$4,IF(COUNTA(E197:N197)=0,Constants!$B$5,IF(COUNTA(J197:K197,M197:N197)=0,Constants!$B$6,Constants!$B$7))))</f>
        <v/>
      </c>
      <c r="AA197" s="97" t="str">
        <f aca="false">IF(ISBLANK($C197),"",IF($Z197&lt;&gt;Constants!$B$7,$Z197,IF(OR(NOT(T197),AND(NOT(Q197),COUNTIFS(U197:W197,Constants!$B$18,V197:X197,"&gt;=0")&gt;0),AND(NOT(R197),COUNTIFS(U197:W197,Constants!$B$19,V197:X197,"&gt;=0")&gt;0)),Constants!$B$12,Constants!$B$11)))</f>
        <v/>
      </c>
      <c r="AB197" s="97" t="str">
        <f aca="false">IF($Z197=Constants!$B$7,IF(V197="",Constants!$B$13,V197),"")</f>
        <v/>
      </c>
      <c r="AC197" s="97" t="str">
        <f aca="false">IF($Z197=Constants!$B$7,IF(X197="",Constants!$B$13,X197),"")</f>
        <v/>
      </c>
      <c r="AD197" s="97" t="str">
        <f aca="false">IF($Z197=Constants!$B$7,IF($AB197&gt;=$AC197,1,2),"")</f>
        <v/>
      </c>
      <c r="AE197" s="97" t="str">
        <f aca="false">IF($Z197=Constants!$B$7,LARGE(AB197:AC197,1),"")</f>
        <v/>
      </c>
      <c r="AF197" s="97" t="str">
        <f aca="false">IF(ISBLANK($C197),"",IF($Z197&lt;&gt;Constants!$B$7,$Z197,AE197*S197))</f>
        <v/>
      </c>
      <c r="AG197" s="97" t="str">
        <f aca="false">IF(ISBLANK($C197),"",IF($Z197=Constants!$B$7,IF(ISNUMBER(AF197),RANK(AF197,$AF$8:$AF$507),Constants!$B$14),$Z197))</f>
        <v/>
      </c>
      <c r="AH197" s="97" t="str">
        <f aca="false">IF(ISBLANK($C197),"",IF($Z197=Constants!$B$7,IF(ISNUMBER(AG197),COUNTIFS($AA$8:$AA$507,"&lt;"&amp;$AA197)+COUNTIFS($AA$8:$AA$507,$AA197,$AG$8:$AG$507,"&lt;"&amp;$AG197)+1,Constants!$B$14),$Z197))</f>
        <v/>
      </c>
      <c r="AI197" s="97" t="str">
        <f aca="false">IF(ISBLANK($C197),"",IF($Z197=Constants!$B$7,LARGE(AB197:AC197,2)*S197,""))</f>
        <v/>
      </c>
      <c r="AJ197" s="97" t="str">
        <f aca="false">IF(ISBLANK($C197),"",IF($Z197=Constants!$B$7,RANK(AI197,$AI$8:$AI$507),$Z197))</f>
        <v/>
      </c>
      <c r="AK197" s="97" t="str">
        <f aca="false">IF(ISBLANK($C197),"",IF($Z197=Constants!$B$7,IF(ISNUMBER(AG197),COUNTIFS($AA$8:$AA$507,"&lt;"&amp;$AA197)+COUNTIFS($AA$8:$AA$507,$AA197,$AG$8:$AG$507,"&lt;"&amp;$AG197)+COUNTIFS($AA$8:$AA$507,$AA197,$AG$8:$AG$507,$AG197,$AJ$8:$AJ$507,"&lt;"&amp;$AJ197)+1,Constants!$B$14),$Z197))</f>
        <v/>
      </c>
      <c r="AL197" s="97" t="str">
        <f aca="false">IF(ISBLANK($C197),"",IF($Z197=Constants!$B$7,IF(ISNUMBER(AH197),AH197-AK197,Constants!$B$14),$Z197))</f>
        <v/>
      </c>
      <c r="AM197" s="98"/>
      <c r="AN197" s="99" t="str">
        <f aca="false">IF(ISBLANK($C197),"",IF($Z197&lt;&gt;Constants!$B$7,$Z197,AD197))</f>
        <v/>
      </c>
      <c r="AO197" s="100" t="str">
        <f aca="false">IF(ISBLANK($C197),"",IF($Z197&lt;&gt;Constants!$B$7,$Z197,S197))</f>
        <v/>
      </c>
      <c r="AP197" s="101" t="str">
        <f aca="false">IF(ISBLANK($C197),"",IF($Z197&lt;&gt;Constants!$B$7,$Z197,AF197))</f>
        <v/>
      </c>
      <c r="AQ197" s="102" t="str">
        <f aca="false">IF(ISBLANK($C197),"",IF($Z197&lt;&gt;Constants!$B$7,$Z197,AA197))</f>
        <v/>
      </c>
      <c r="AR197" s="100" t="str">
        <f aca="false">IF(ISBLANK($C197),"",AL197)</f>
        <v/>
      </c>
      <c r="AS197" s="100" t="str">
        <f aca="false">IF(ISBLANK($C197),"",AK197)</f>
        <v/>
      </c>
      <c r="AT197" s="103" t="str">
        <f aca="false">IF(ISBLANK($C197),"",IF(AS197=Constants!$B$4,COUNTA($C$8:$C$507)+2,IF(AS197=Constants!$B$5,COUNTA($C$8:$C$507)+1,IF(AS197=Constants!$B$6,COUNTA($C$8:$C$507),AS197))))</f>
        <v/>
      </c>
      <c r="AU197" s="5"/>
      <c r="AV197" s="104" t="n">
        <f aca="false">IF(OR(ISNUMBER(AS197),AS197=Constants!$B$4,AS197=Constants!$B$6,AS197=Constants!$B$5),1,0)</f>
        <v>0</v>
      </c>
      <c r="AW197" s="104" t="n">
        <v>190</v>
      </c>
      <c r="AX197" s="104" t="str">
        <f aca="false">IF(ISBLANK($C197),"",IF(ISNUMBER(AT197),AT197+ROW($B197)/1000,""))</f>
        <v/>
      </c>
      <c r="AY197" s="104" t="str">
        <f aca="false">IF(ISNUMBER(AX197),RANK(AX197,$AX$8:$AX$507,1),"")</f>
        <v/>
      </c>
      <c r="AZ197" s="104" t="str">
        <f aca="false">IF(ISBLANK($C197),"",$B197)</f>
        <v/>
      </c>
      <c r="BA197" s="104" t="str">
        <f aca="false">IF(ISBLANK($C197),"",$C197)</f>
        <v/>
      </c>
      <c r="BB197" s="104" t="str">
        <f aca="false">IF(ISBLANK($C197),"",$D197)</f>
        <v/>
      </c>
      <c r="BC197" s="105" t="str">
        <f aca="false">AQ197</f>
        <v/>
      </c>
      <c r="BD197" s="106" t="str">
        <f aca="false">AP197</f>
        <v/>
      </c>
      <c r="BE197" s="104" t="str">
        <f aca="false">IF(ISBLANK($C197),"",AS197)</f>
        <v/>
      </c>
      <c r="BF197" s="107" t="str">
        <f aca="false">IF($AW197&gt;$AV$7,"",VLOOKUP($AW197,$AY$8:$BE$507,7,FALSE()))</f>
        <v/>
      </c>
      <c r="BG197" s="108" t="str">
        <f aca="false">IF($AW197&gt;$AV$7,"",VLOOKUP($AW197,$AY$8:$BE$507,2,FALSE()))</f>
        <v/>
      </c>
      <c r="BH197" s="108" t="str">
        <f aca="false">IF($AW197&gt;$AV$7,"",VLOOKUP($AW197,$AY$8:$BE$507,3,FALSE()))</f>
        <v/>
      </c>
      <c r="BI197" s="108" t="str">
        <f aca="false">IF($AW197&gt;$AV$7,"",VLOOKUP($AW197,$AY$8:$BE$507,4,FALSE()))</f>
        <v/>
      </c>
      <c r="BJ197" s="108" t="str">
        <f aca="false">IF($AW197&gt;$AV$7,"",VLOOKUP($AW197,$AY$8:$BE$507,5,FALSE()))</f>
        <v/>
      </c>
      <c r="BK197" s="109" t="str">
        <f aca="false">IF($AW197&gt;$AV$7,"",VLOOKUP($AW197,$AY$8:$BE$507,6,FALSE()))</f>
        <v/>
      </c>
      <c r="BL197" s="50"/>
    </row>
    <row r="198" customFormat="false" ht="15.75" hidden="false" customHeight="false" outlineLevel="0" collapsed="false">
      <c r="A198" s="5"/>
      <c r="B198" s="124"/>
      <c r="C198" s="125"/>
      <c r="D198" s="110"/>
      <c r="E198" s="130"/>
      <c r="F198" s="135"/>
      <c r="G198" s="88"/>
      <c r="H198" s="136"/>
      <c r="I198" s="137"/>
      <c r="J198" s="91"/>
      <c r="K198" s="92"/>
      <c r="L198" s="137"/>
      <c r="M198" s="93"/>
      <c r="N198" s="94"/>
      <c r="O198" s="130"/>
      <c r="P198" s="96"/>
      <c r="Q198" s="97" t="str">
        <f aca="false">IF(ISBLANK($C198),"",IF(E198=Constants!$B$2, TRUE(), IF(E198=Constants!$B$3, FALSE(), TRUE())))</f>
        <v/>
      </c>
      <c r="R198" s="97" t="str">
        <f aca="false">IF(ISBLANK($C198),"",IF(F198=Constants!$B$2, TRUE(), IF(F198=Constants!$B$3, FALSE(), TRUE())))</f>
        <v/>
      </c>
      <c r="S198" s="97" t="str">
        <f aca="false">IF(ISBLANK($C198),"",IF(G198=Constants!$B$15,Constants!$B$8,IF(G198=Constants!$B$16,Constants!$B$9,Constants!$B$10)))</f>
        <v/>
      </c>
      <c r="T198" s="97" t="str">
        <f aca="false">IF(ISBLANK($C198),"",IF(H198=Constants!$B$2, TRUE(), IF(H198=Constants!$B$3, FALSE(), TRUE())))</f>
        <v/>
      </c>
      <c r="U198" s="97" t="str">
        <f aca="false">IF(ISBLANK($C198),"",IF(I198=Constants!$B$19,Constants!$B$19,Constants!$B$18))</f>
        <v/>
      </c>
      <c r="V198" s="97" t="str">
        <f aca="false">IF(ISBLANK($C198),"",IF(COUNTA(J198:K198)=0,"",IF(AND(OR(ISBLANK(J198),AND(ISNUMBER(J198),J198&gt;=0)),OR(ISBLANK(K198),AND(ISNUMBER(K198),K198&gt;=0))),60*IF(ISBLANK(J198),0,J198)+IF(ISBLANK(K198),0,K198),"")))</f>
        <v/>
      </c>
      <c r="W198" s="97" t="str">
        <f aca="false">IF(ISBLANK($C198),"",IF(L198=Constants!$B$19,Constants!$B$19,Constants!$B$18))</f>
        <v/>
      </c>
      <c r="X198" s="97" t="str">
        <f aca="false">IF(ISBLANK($C198),"",IF(COUNTA(M198:N198)=0,"",IF(AND(OR(ISBLANK(M198),AND(ISNUMBER(M198),M198&gt;=0)),OR(ISBLANK(N198),AND(ISNUMBER(N198),N198&gt;=0))),60*IF(ISBLANK(M198),0,M198)+IF(ISBLANK(N198),0,N198),"")))</f>
        <v/>
      </c>
      <c r="Y198" s="97" t="str">
        <f aca="false">IF(ISBLANK($C198),"",IF(O198=Constants!$B$2, TRUE(), IF(O198=Constants!$B$3, FALSE(), FALSE())))</f>
        <v/>
      </c>
      <c r="Z198" s="97" t="str">
        <f aca="false">IF(ISBLANK($C198),"",IF(Y198,Constants!$B$4,IF(COUNTA(E198:N198)=0,Constants!$B$5,IF(COUNTA(J198:K198,M198:N198)=0,Constants!$B$6,Constants!$B$7))))</f>
        <v/>
      </c>
      <c r="AA198" s="97" t="str">
        <f aca="false">IF(ISBLANK($C198),"",IF($Z198&lt;&gt;Constants!$B$7,$Z198,IF(OR(NOT(T198),AND(NOT(Q198),COUNTIFS(U198:W198,Constants!$B$18,V198:X198,"&gt;=0")&gt;0),AND(NOT(R198),COUNTIFS(U198:W198,Constants!$B$19,V198:X198,"&gt;=0")&gt;0)),Constants!$B$12,Constants!$B$11)))</f>
        <v/>
      </c>
      <c r="AB198" s="97" t="str">
        <f aca="false">IF($Z198=Constants!$B$7,IF(V198="",Constants!$B$13,V198),"")</f>
        <v/>
      </c>
      <c r="AC198" s="97" t="str">
        <f aca="false">IF($Z198=Constants!$B$7,IF(X198="",Constants!$B$13,X198),"")</f>
        <v/>
      </c>
      <c r="AD198" s="97" t="str">
        <f aca="false">IF($Z198=Constants!$B$7,IF($AB198&gt;=$AC198,1,2),"")</f>
        <v/>
      </c>
      <c r="AE198" s="97" t="str">
        <f aca="false">IF($Z198=Constants!$B$7,LARGE(AB198:AC198,1),"")</f>
        <v/>
      </c>
      <c r="AF198" s="97" t="str">
        <f aca="false">IF(ISBLANK($C198),"",IF($Z198&lt;&gt;Constants!$B$7,$Z198,AE198*S198))</f>
        <v/>
      </c>
      <c r="AG198" s="97" t="str">
        <f aca="false">IF(ISBLANK($C198),"",IF($Z198=Constants!$B$7,IF(ISNUMBER(AF198),RANK(AF198,$AF$8:$AF$507),Constants!$B$14),$Z198))</f>
        <v/>
      </c>
      <c r="AH198" s="97" t="str">
        <f aca="false">IF(ISBLANK($C198),"",IF($Z198=Constants!$B$7,IF(ISNUMBER(AG198),COUNTIFS($AA$8:$AA$507,"&lt;"&amp;$AA198)+COUNTIFS($AA$8:$AA$507,$AA198,$AG$8:$AG$507,"&lt;"&amp;$AG198)+1,Constants!$B$14),$Z198))</f>
        <v/>
      </c>
      <c r="AI198" s="97" t="str">
        <f aca="false">IF(ISBLANK($C198),"",IF($Z198=Constants!$B$7,LARGE(AB198:AC198,2)*S198,""))</f>
        <v/>
      </c>
      <c r="AJ198" s="97" t="str">
        <f aca="false">IF(ISBLANK($C198),"",IF($Z198=Constants!$B$7,RANK(AI198,$AI$8:$AI$507),$Z198))</f>
        <v/>
      </c>
      <c r="AK198" s="97" t="str">
        <f aca="false">IF(ISBLANK($C198),"",IF($Z198=Constants!$B$7,IF(ISNUMBER(AG198),COUNTIFS($AA$8:$AA$507,"&lt;"&amp;$AA198)+COUNTIFS($AA$8:$AA$507,$AA198,$AG$8:$AG$507,"&lt;"&amp;$AG198)+COUNTIFS($AA$8:$AA$507,$AA198,$AG$8:$AG$507,$AG198,$AJ$8:$AJ$507,"&lt;"&amp;$AJ198)+1,Constants!$B$14),$Z198))</f>
        <v/>
      </c>
      <c r="AL198" s="97" t="str">
        <f aca="false">IF(ISBLANK($C198),"",IF($Z198=Constants!$B$7,IF(ISNUMBER(AH198),AH198-AK198,Constants!$B$14),$Z198))</f>
        <v/>
      </c>
      <c r="AM198" s="98"/>
      <c r="AN198" s="99" t="str">
        <f aca="false">IF(ISBLANK($C198),"",IF($Z198&lt;&gt;Constants!$B$7,$Z198,AD198))</f>
        <v/>
      </c>
      <c r="AO198" s="100" t="str">
        <f aca="false">IF(ISBLANK($C198),"",IF($Z198&lt;&gt;Constants!$B$7,$Z198,S198))</f>
        <v/>
      </c>
      <c r="AP198" s="101" t="str">
        <f aca="false">IF(ISBLANK($C198),"",IF($Z198&lt;&gt;Constants!$B$7,$Z198,AF198))</f>
        <v/>
      </c>
      <c r="AQ198" s="102" t="str">
        <f aca="false">IF(ISBLANK($C198),"",IF($Z198&lt;&gt;Constants!$B$7,$Z198,AA198))</f>
        <v/>
      </c>
      <c r="AR198" s="100" t="str">
        <f aca="false">IF(ISBLANK($C198),"",AL198)</f>
        <v/>
      </c>
      <c r="AS198" s="100" t="str">
        <f aca="false">IF(ISBLANK($C198),"",AK198)</f>
        <v/>
      </c>
      <c r="AT198" s="103" t="str">
        <f aca="false">IF(ISBLANK($C198),"",IF(AS198=Constants!$B$4,COUNTA($C$8:$C$507)+2,IF(AS198=Constants!$B$5,COUNTA($C$8:$C$507)+1,IF(AS198=Constants!$B$6,COUNTA($C$8:$C$507),AS198))))</f>
        <v/>
      </c>
      <c r="AU198" s="5"/>
      <c r="AV198" s="104" t="n">
        <f aca="false">IF(OR(ISNUMBER(AS198),AS198=Constants!$B$4,AS198=Constants!$B$6,AS198=Constants!$B$5),1,0)</f>
        <v>0</v>
      </c>
      <c r="AW198" s="104" t="n">
        <v>191</v>
      </c>
      <c r="AX198" s="104" t="str">
        <f aca="false">IF(ISBLANK($C198),"",IF(ISNUMBER(AT198),AT198+ROW($B198)/1000,""))</f>
        <v/>
      </c>
      <c r="AY198" s="104" t="str">
        <f aca="false">IF(ISNUMBER(AX198),RANK(AX198,$AX$8:$AX$507,1),"")</f>
        <v/>
      </c>
      <c r="AZ198" s="104" t="str">
        <f aca="false">IF(ISBLANK($C198),"",$B198)</f>
        <v/>
      </c>
      <c r="BA198" s="104" t="str">
        <f aca="false">IF(ISBLANK($C198),"",$C198)</f>
        <v/>
      </c>
      <c r="BB198" s="104" t="str">
        <f aca="false">IF(ISBLANK($C198),"",$D198)</f>
        <v/>
      </c>
      <c r="BC198" s="105" t="str">
        <f aca="false">AQ198</f>
        <v/>
      </c>
      <c r="BD198" s="106" t="str">
        <f aca="false">AP198</f>
        <v/>
      </c>
      <c r="BE198" s="104" t="str">
        <f aca="false">IF(ISBLANK($C198),"",AS198)</f>
        <v/>
      </c>
      <c r="BF198" s="107" t="str">
        <f aca="false">IF($AW198&gt;$AV$7,"",VLOOKUP($AW198,$AY$8:$BE$507,7,FALSE()))</f>
        <v/>
      </c>
      <c r="BG198" s="108" t="str">
        <f aca="false">IF($AW198&gt;$AV$7,"",VLOOKUP($AW198,$AY$8:$BE$507,2,FALSE()))</f>
        <v/>
      </c>
      <c r="BH198" s="108" t="str">
        <f aca="false">IF($AW198&gt;$AV$7,"",VLOOKUP($AW198,$AY$8:$BE$507,3,FALSE()))</f>
        <v/>
      </c>
      <c r="BI198" s="108" t="str">
        <f aca="false">IF($AW198&gt;$AV$7,"",VLOOKUP($AW198,$AY$8:$BE$507,4,FALSE()))</f>
        <v/>
      </c>
      <c r="BJ198" s="108" t="str">
        <f aca="false">IF($AW198&gt;$AV$7,"",VLOOKUP($AW198,$AY$8:$BE$507,5,FALSE()))</f>
        <v/>
      </c>
      <c r="BK198" s="109" t="str">
        <f aca="false">IF($AW198&gt;$AV$7,"",VLOOKUP($AW198,$AY$8:$BE$507,6,FALSE()))</f>
        <v/>
      </c>
      <c r="BL198" s="50"/>
    </row>
    <row r="199" customFormat="false" ht="15.75" hidden="false" customHeight="false" outlineLevel="0" collapsed="false">
      <c r="A199" s="5"/>
      <c r="B199" s="124"/>
      <c r="C199" s="125"/>
      <c r="D199" s="110"/>
      <c r="E199" s="130"/>
      <c r="F199" s="135"/>
      <c r="G199" s="88"/>
      <c r="H199" s="136"/>
      <c r="I199" s="137"/>
      <c r="J199" s="91"/>
      <c r="K199" s="92"/>
      <c r="L199" s="137"/>
      <c r="M199" s="93"/>
      <c r="N199" s="94"/>
      <c r="O199" s="130"/>
      <c r="P199" s="96"/>
      <c r="Q199" s="97" t="str">
        <f aca="false">IF(ISBLANK($C199),"",IF(E199=Constants!$B$2, TRUE(), IF(E199=Constants!$B$3, FALSE(), TRUE())))</f>
        <v/>
      </c>
      <c r="R199" s="97" t="str">
        <f aca="false">IF(ISBLANK($C199),"",IF(F199=Constants!$B$2, TRUE(), IF(F199=Constants!$B$3, FALSE(), TRUE())))</f>
        <v/>
      </c>
      <c r="S199" s="97" t="str">
        <f aca="false">IF(ISBLANK($C199),"",IF(G199=Constants!$B$15,Constants!$B$8,IF(G199=Constants!$B$16,Constants!$B$9,Constants!$B$10)))</f>
        <v/>
      </c>
      <c r="T199" s="97" t="str">
        <f aca="false">IF(ISBLANK($C199),"",IF(H199=Constants!$B$2, TRUE(), IF(H199=Constants!$B$3, FALSE(), TRUE())))</f>
        <v/>
      </c>
      <c r="U199" s="97" t="str">
        <f aca="false">IF(ISBLANK($C199),"",IF(I199=Constants!$B$19,Constants!$B$19,Constants!$B$18))</f>
        <v/>
      </c>
      <c r="V199" s="97" t="str">
        <f aca="false">IF(ISBLANK($C199),"",IF(COUNTA(J199:K199)=0,"",IF(AND(OR(ISBLANK(J199),AND(ISNUMBER(J199),J199&gt;=0)),OR(ISBLANK(K199),AND(ISNUMBER(K199),K199&gt;=0))),60*IF(ISBLANK(J199),0,J199)+IF(ISBLANK(K199),0,K199),"")))</f>
        <v/>
      </c>
      <c r="W199" s="97" t="str">
        <f aca="false">IF(ISBLANK($C199),"",IF(L199=Constants!$B$19,Constants!$B$19,Constants!$B$18))</f>
        <v/>
      </c>
      <c r="X199" s="97" t="str">
        <f aca="false">IF(ISBLANK($C199),"",IF(COUNTA(M199:N199)=0,"",IF(AND(OR(ISBLANK(M199),AND(ISNUMBER(M199),M199&gt;=0)),OR(ISBLANK(N199),AND(ISNUMBER(N199),N199&gt;=0))),60*IF(ISBLANK(M199),0,M199)+IF(ISBLANK(N199),0,N199),"")))</f>
        <v/>
      </c>
      <c r="Y199" s="97" t="str">
        <f aca="false">IF(ISBLANK($C199),"",IF(O199=Constants!$B$2, TRUE(), IF(O199=Constants!$B$3, FALSE(), FALSE())))</f>
        <v/>
      </c>
      <c r="Z199" s="97" t="str">
        <f aca="false">IF(ISBLANK($C199),"",IF(Y199,Constants!$B$4,IF(COUNTA(E199:N199)=0,Constants!$B$5,IF(COUNTA(J199:K199,M199:N199)=0,Constants!$B$6,Constants!$B$7))))</f>
        <v/>
      </c>
      <c r="AA199" s="97" t="str">
        <f aca="false">IF(ISBLANK($C199),"",IF($Z199&lt;&gt;Constants!$B$7,$Z199,IF(OR(NOT(T199),AND(NOT(Q199),COUNTIFS(U199:W199,Constants!$B$18,V199:X199,"&gt;=0")&gt;0),AND(NOT(R199),COUNTIFS(U199:W199,Constants!$B$19,V199:X199,"&gt;=0")&gt;0)),Constants!$B$12,Constants!$B$11)))</f>
        <v/>
      </c>
      <c r="AB199" s="97" t="str">
        <f aca="false">IF($Z199=Constants!$B$7,IF(V199="",Constants!$B$13,V199),"")</f>
        <v/>
      </c>
      <c r="AC199" s="97" t="str">
        <f aca="false">IF($Z199=Constants!$B$7,IF(X199="",Constants!$B$13,X199),"")</f>
        <v/>
      </c>
      <c r="AD199" s="97" t="str">
        <f aca="false">IF($Z199=Constants!$B$7,IF($AB199&gt;=$AC199,1,2),"")</f>
        <v/>
      </c>
      <c r="AE199" s="97" t="str">
        <f aca="false">IF($Z199=Constants!$B$7,LARGE(AB199:AC199,1),"")</f>
        <v/>
      </c>
      <c r="AF199" s="97" t="str">
        <f aca="false">IF(ISBLANK($C199),"",IF($Z199&lt;&gt;Constants!$B$7,$Z199,AE199*S199))</f>
        <v/>
      </c>
      <c r="AG199" s="97" t="str">
        <f aca="false">IF(ISBLANK($C199),"",IF($Z199=Constants!$B$7,IF(ISNUMBER(AF199),RANK(AF199,$AF$8:$AF$507),Constants!$B$14),$Z199))</f>
        <v/>
      </c>
      <c r="AH199" s="97" t="str">
        <f aca="false">IF(ISBLANK($C199),"",IF($Z199=Constants!$B$7,IF(ISNUMBER(AG199),COUNTIFS($AA$8:$AA$507,"&lt;"&amp;$AA199)+COUNTIFS($AA$8:$AA$507,$AA199,$AG$8:$AG$507,"&lt;"&amp;$AG199)+1,Constants!$B$14),$Z199))</f>
        <v/>
      </c>
      <c r="AI199" s="97" t="str">
        <f aca="false">IF(ISBLANK($C199),"",IF($Z199=Constants!$B$7,LARGE(AB199:AC199,2)*S199,""))</f>
        <v/>
      </c>
      <c r="AJ199" s="97" t="str">
        <f aca="false">IF(ISBLANK($C199),"",IF($Z199=Constants!$B$7,RANK(AI199,$AI$8:$AI$507),$Z199))</f>
        <v/>
      </c>
      <c r="AK199" s="97" t="str">
        <f aca="false">IF(ISBLANK($C199),"",IF($Z199=Constants!$B$7,IF(ISNUMBER(AG199),COUNTIFS($AA$8:$AA$507,"&lt;"&amp;$AA199)+COUNTIFS($AA$8:$AA$507,$AA199,$AG$8:$AG$507,"&lt;"&amp;$AG199)+COUNTIFS($AA$8:$AA$507,$AA199,$AG$8:$AG$507,$AG199,$AJ$8:$AJ$507,"&lt;"&amp;$AJ199)+1,Constants!$B$14),$Z199))</f>
        <v/>
      </c>
      <c r="AL199" s="97" t="str">
        <f aca="false">IF(ISBLANK($C199),"",IF($Z199=Constants!$B$7,IF(ISNUMBER(AH199),AH199-AK199,Constants!$B$14),$Z199))</f>
        <v/>
      </c>
      <c r="AM199" s="98"/>
      <c r="AN199" s="99" t="str">
        <f aca="false">IF(ISBLANK($C199),"",IF($Z199&lt;&gt;Constants!$B$7,$Z199,AD199))</f>
        <v/>
      </c>
      <c r="AO199" s="100" t="str">
        <f aca="false">IF(ISBLANK($C199),"",IF($Z199&lt;&gt;Constants!$B$7,$Z199,S199))</f>
        <v/>
      </c>
      <c r="AP199" s="101" t="str">
        <f aca="false">IF(ISBLANK($C199),"",IF($Z199&lt;&gt;Constants!$B$7,$Z199,AF199))</f>
        <v/>
      </c>
      <c r="AQ199" s="102" t="str">
        <f aca="false">IF(ISBLANK($C199),"",IF($Z199&lt;&gt;Constants!$B$7,$Z199,AA199))</f>
        <v/>
      </c>
      <c r="AR199" s="100" t="str">
        <f aca="false">IF(ISBLANK($C199),"",AL199)</f>
        <v/>
      </c>
      <c r="AS199" s="100" t="str">
        <f aca="false">IF(ISBLANK($C199),"",AK199)</f>
        <v/>
      </c>
      <c r="AT199" s="103" t="str">
        <f aca="false">IF(ISBLANK($C199),"",IF(AS199=Constants!$B$4,COUNTA($C$8:$C$507)+2,IF(AS199=Constants!$B$5,COUNTA($C$8:$C$507)+1,IF(AS199=Constants!$B$6,COUNTA($C$8:$C$507),AS199))))</f>
        <v/>
      </c>
      <c r="AU199" s="5"/>
      <c r="AV199" s="104" t="n">
        <f aca="false">IF(OR(ISNUMBER(AS199),AS199=Constants!$B$4,AS199=Constants!$B$6,AS199=Constants!$B$5),1,0)</f>
        <v>0</v>
      </c>
      <c r="AW199" s="104" t="n">
        <v>192</v>
      </c>
      <c r="AX199" s="104" t="str">
        <f aca="false">IF(ISBLANK($C199),"",IF(ISNUMBER(AT199),AT199+ROW($B199)/1000,""))</f>
        <v/>
      </c>
      <c r="AY199" s="104" t="str">
        <f aca="false">IF(ISNUMBER(AX199),RANK(AX199,$AX$8:$AX$507,1),"")</f>
        <v/>
      </c>
      <c r="AZ199" s="104" t="str">
        <f aca="false">IF(ISBLANK($C199),"",$B199)</f>
        <v/>
      </c>
      <c r="BA199" s="104" t="str">
        <f aca="false">IF(ISBLANK($C199),"",$C199)</f>
        <v/>
      </c>
      <c r="BB199" s="104" t="str">
        <f aca="false">IF(ISBLANK($C199),"",$D199)</f>
        <v/>
      </c>
      <c r="BC199" s="105" t="str">
        <f aca="false">AQ199</f>
        <v/>
      </c>
      <c r="BD199" s="106" t="str">
        <f aca="false">AP199</f>
        <v/>
      </c>
      <c r="BE199" s="104" t="str">
        <f aca="false">IF(ISBLANK($C199),"",AS199)</f>
        <v/>
      </c>
      <c r="BF199" s="107" t="str">
        <f aca="false">IF($AW199&gt;$AV$7,"",VLOOKUP($AW199,$AY$8:$BE$507,7,FALSE()))</f>
        <v/>
      </c>
      <c r="BG199" s="108" t="str">
        <f aca="false">IF($AW199&gt;$AV$7,"",VLOOKUP($AW199,$AY$8:$BE$507,2,FALSE()))</f>
        <v/>
      </c>
      <c r="BH199" s="108" t="str">
        <f aca="false">IF($AW199&gt;$AV$7,"",VLOOKUP($AW199,$AY$8:$BE$507,3,FALSE()))</f>
        <v/>
      </c>
      <c r="BI199" s="108" t="str">
        <f aca="false">IF($AW199&gt;$AV$7,"",VLOOKUP($AW199,$AY$8:$BE$507,4,FALSE()))</f>
        <v/>
      </c>
      <c r="BJ199" s="108" t="str">
        <f aca="false">IF($AW199&gt;$AV$7,"",VLOOKUP($AW199,$AY$8:$BE$507,5,FALSE()))</f>
        <v/>
      </c>
      <c r="BK199" s="109" t="str">
        <f aca="false">IF($AW199&gt;$AV$7,"",VLOOKUP($AW199,$AY$8:$BE$507,6,FALSE()))</f>
        <v/>
      </c>
      <c r="BL199" s="50"/>
    </row>
    <row r="200" customFormat="false" ht="15.75" hidden="false" customHeight="false" outlineLevel="0" collapsed="false">
      <c r="A200" s="5"/>
      <c r="B200" s="131"/>
      <c r="C200" s="52"/>
      <c r="D200" s="53"/>
      <c r="E200" s="80"/>
      <c r="F200" s="132"/>
      <c r="G200" s="56"/>
      <c r="H200" s="133"/>
      <c r="I200" s="134"/>
      <c r="J200" s="59"/>
      <c r="K200" s="60"/>
      <c r="L200" s="134"/>
      <c r="M200" s="61"/>
      <c r="N200" s="62"/>
      <c r="O200" s="80"/>
      <c r="P200" s="64"/>
      <c r="Q200" s="65" t="str">
        <f aca="false">IF(ISBLANK($C200),"",IF(E200=Constants!$B$2, TRUE(), IF(E200=Constants!$B$3, FALSE(), TRUE())))</f>
        <v/>
      </c>
      <c r="R200" s="65" t="str">
        <f aca="false">IF(ISBLANK($C200),"",IF(F200=Constants!$B$2, TRUE(), IF(F200=Constants!$B$3, FALSE(), TRUE())))</f>
        <v/>
      </c>
      <c r="S200" s="65" t="str">
        <f aca="false">IF(ISBLANK($C200),"",IF(G200=Constants!$B$15,Constants!$B$8,IF(G200=Constants!$B$16,Constants!$B$9,Constants!$B$10)))</f>
        <v/>
      </c>
      <c r="T200" s="65" t="str">
        <f aca="false">IF(ISBLANK($C200),"",IF(H200=Constants!$B$2, TRUE(), IF(H200=Constants!$B$3, FALSE(), TRUE())))</f>
        <v/>
      </c>
      <c r="U200" s="65" t="str">
        <f aca="false">IF(ISBLANK($C200),"",IF(I200=Constants!$B$19,Constants!$B$19,Constants!$B$18))</f>
        <v/>
      </c>
      <c r="V200" s="65" t="str">
        <f aca="false">IF(ISBLANK($C200),"",IF(COUNTA(J200:K200)=0,"",IF(AND(OR(ISBLANK(J200),AND(ISNUMBER(J200),J200&gt;=0)),OR(ISBLANK(K200),AND(ISNUMBER(K200),K200&gt;=0))),60*IF(ISBLANK(J200),0,J200)+IF(ISBLANK(K200),0,K200),"")))</f>
        <v/>
      </c>
      <c r="W200" s="65" t="str">
        <f aca="false">IF(ISBLANK($C200),"",IF(L200=Constants!$B$19,Constants!$B$19,Constants!$B$18))</f>
        <v/>
      </c>
      <c r="X200" s="65" t="str">
        <f aca="false">IF(ISBLANK($C200),"",IF(COUNTA(M200:N200)=0,"",IF(AND(OR(ISBLANK(M200),AND(ISNUMBER(M200),M200&gt;=0)),OR(ISBLANK(N200),AND(ISNUMBER(N200),N200&gt;=0))),60*IF(ISBLANK(M200),0,M200)+IF(ISBLANK(N200),0,N200),"")))</f>
        <v/>
      </c>
      <c r="Y200" s="65" t="str">
        <f aca="false">IF(ISBLANK($C200),"",IF(O200=Constants!$B$2, TRUE(), IF(O200=Constants!$B$3, FALSE(), FALSE())))</f>
        <v/>
      </c>
      <c r="Z200" s="65" t="str">
        <f aca="false">IF(ISBLANK($C200),"",IF(Y200,Constants!$B$4,IF(COUNTA(E200:N200)=0,Constants!$B$5,IF(COUNTA(J200:K200,M200:N200)=0,Constants!$B$6,Constants!$B$7))))</f>
        <v/>
      </c>
      <c r="AA200" s="65" t="str">
        <f aca="false">IF(ISBLANK($C200),"",IF($Z200&lt;&gt;Constants!$B$7,$Z200,IF(OR(NOT(T200),AND(NOT(Q200),COUNTIFS(U200:W200,Constants!$B$18,V200:X200,"&gt;=0")&gt;0),AND(NOT(R200),COUNTIFS(U200:W200,Constants!$B$19,V200:X200,"&gt;=0")&gt;0)),Constants!$B$12,Constants!$B$11)))</f>
        <v/>
      </c>
      <c r="AB200" s="65" t="str">
        <f aca="false">IF($Z200=Constants!$B$7,IF(V200="",Constants!$B$13,V200),"")</f>
        <v/>
      </c>
      <c r="AC200" s="65" t="str">
        <f aca="false">IF($Z200=Constants!$B$7,IF(X200="",Constants!$B$13,X200),"")</f>
        <v/>
      </c>
      <c r="AD200" s="65" t="str">
        <f aca="false">IF($Z200=Constants!$B$7,IF($AB200&gt;=$AC200,1,2),"")</f>
        <v/>
      </c>
      <c r="AE200" s="65" t="str">
        <f aca="false">IF($Z200=Constants!$B$7,LARGE(AB200:AC200,1),"")</f>
        <v/>
      </c>
      <c r="AF200" s="65" t="str">
        <f aca="false">IF(ISBLANK($C200),"",IF($Z200&lt;&gt;Constants!$B$7,$Z200,AE200*S200))</f>
        <v/>
      </c>
      <c r="AG200" s="65" t="str">
        <f aca="false">IF(ISBLANK($C200),"",IF($Z200=Constants!$B$7,IF(ISNUMBER(AF200),RANK(AF200,$AF$8:$AF$507),Constants!$B$14),$Z200))</f>
        <v/>
      </c>
      <c r="AH200" s="65" t="str">
        <f aca="false">IF(ISBLANK($C200),"",IF($Z200=Constants!$B$7,IF(ISNUMBER(AG200),COUNTIFS($AA$8:$AA$507,"&lt;"&amp;$AA200)+COUNTIFS($AA$8:$AA$507,$AA200,$AG$8:$AG$507,"&lt;"&amp;$AG200)+1,Constants!$B$14),$Z200))</f>
        <v/>
      </c>
      <c r="AI200" s="65" t="str">
        <f aca="false">IF(ISBLANK($C200),"",IF($Z200=Constants!$B$7,LARGE(AB200:AC200,2)*S200,""))</f>
        <v/>
      </c>
      <c r="AJ200" s="65" t="str">
        <f aca="false">IF(ISBLANK($C200),"",IF($Z200=Constants!$B$7,RANK(AI200,$AI$8:$AI$507),$Z200))</f>
        <v/>
      </c>
      <c r="AK200" s="65" t="str">
        <f aca="false">IF(ISBLANK($C200),"",IF($Z200=Constants!$B$7,IF(ISNUMBER(AG200),COUNTIFS($AA$8:$AA$507,"&lt;"&amp;$AA200)+COUNTIFS($AA$8:$AA$507,$AA200,$AG$8:$AG$507,"&lt;"&amp;$AG200)+COUNTIFS($AA$8:$AA$507,$AA200,$AG$8:$AG$507,$AG200,$AJ$8:$AJ$507,"&lt;"&amp;$AJ200)+1,Constants!$B$14),$Z200))</f>
        <v/>
      </c>
      <c r="AL200" s="65" t="str">
        <f aca="false">IF(ISBLANK($C200),"",IF($Z200=Constants!$B$7,IF(ISNUMBER(AH200),AH200-AK200,Constants!$B$14),$Z200))</f>
        <v/>
      </c>
      <c r="AM200" s="67"/>
      <c r="AN200" s="68" t="str">
        <f aca="false">IF(ISBLANK($C200),"",IF($Z200&lt;&gt;Constants!$B$7,$Z200,AD200))</f>
        <v/>
      </c>
      <c r="AO200" s="69" t="str">
        <f aca="false">IF(ISBLANK($C200),"",IF($Z200&lt;&gt;Constants!$B$7,$Z200,S200))</f>
        <v/>
      </c>
      <c r="AP200" s="70" t="str">
        <f aca="false">IF(ISBLANK($C200),"",IF($Z200&lt;&gt;Constants!$B$7,$Z200,AF200))</f>
        <v/>
      </c>
      <c r="AQ200" s="71" t="str">
        <f aca="false">IF(ISBLANK($C200),"",IF($Z200&lt;&gt;Constants!$B$7,$Z200,AA200))</f>
        <v/>
      </c>
      <c r="AR200" s="69" t="str">
        <f aca="false">IF(ISBLANK($C200),"",AL200)</f>
        <v/>
      </c>
      <c r="AS200" s="69" t="str">
        <f aca="false">IF(ISBLANK($C200),"",AK200)</f>
        <v/>
      </c>
      <c r="AT200" s="72" t="str">
        <f aca="false">IF(ISBLANK($C200),"",IF(AS200=Constants!$B$4,COUNTA($C$8:$C$507)+2,IF(AS200=Constants!$B$5,COUNTA($C$8:$C$507)+1,IF(AS200=Constants!$B$6,COUNTA($C$8:$C$507),AS200))))</f>
        <v/>
      </c>
      <c r="AU200" s="5"/>
      <c r="AV200" s="73" t="n">
        <f aca="false">IF(OR(ISNUMBER(AS200),AS200=Constants!$B$4,AS200=Constants!$B$6,AS200=Constants!$B$5),1,0)</f>
        <v>0</v>
      </c>
      <c r="AW200" s="73" t="n">
        <v>193</v>
      </c>
      <c r="AX200" s="73" t="str">
        <f aca="false">IF(ISBLANK($C200),"",IF(ISNUMBER(AT200),AT200+ROW($B200)/1000,""))</f>
        <v/>
      </c>
      <c r="AY200" s="73" t="str">
        <f aca="false">IF(ISNUMBER(AX200),RANK(AX200,$AX$8:$AX$507,1),"")</f>
        <v/>
      </c>
      <c r="AZ200" s="73" t="str">
        <f aca="false">IF(ISBLANK($C200),"",$B200)</f>
        <v/>
      </c>
      <c r="BA200" s="73" t="str">
        <f aca="false">IF(ISBLANK($C200),"",$C200)</f>
        <v/>
      </c>
      <c r="BB200" s="73" t="str">
        <f aca="false">IF(ISBLANK($C200),"",$D200)</f>
        <v/>
      </c>
      <c r="BC200" s="74" t="str">
        <f aca="false">AQ200</f>
        <v/>
      </c>
      <c r="BD200" s="75" t="str">
        <f aca="false">AP200</f>
        <v/>
      </c>
      <c r="BE200" s="73" t="str">
        <f aca="false">IF(ISBLANK($C200),"",AS200)</f>
        <v/>
      </c>
      <c r="BF200" s="76" t="str">
        <f aca="false">IF($AW200&gt;$AV$7,"",VLOOKUP($AW200,$AY$8:$BE$507,7,FALSE()))</f>
        <v/>
      </c>
      <c r="BG200" s="77" t="str">
        <f aca="false">IF($AW200&gt;$AV$7,"",VLOOKUP($AW200,$AY$8:$BE$507,2,FALSE()))</f>
        <v/>
      </c>
      <c r="BH200" s="77" t="str">
        <f aca="false">IF($AW200&gt;$AV$7,"",VLOOKUP($AW200,$AY$8:$BE$507,3,FALSE()))</f>
        <v/>
      </c>
      <c r="BI200" s="77" t="str">
        <f aca="false">IF($AW200&gt;$AV$7,"",VLOOKUP($AW200,$AY$8:$BE$507,4,FALSE()))</f>
        <v/>
      </c>
      <c r="BJ200" s="77" t="str">
        <f aca="false">IF($AW200&gt;$AV$7,"",VLOOKUP($AW200,$AY$8:$BE$507,5,FALSE()))</f>
        <v/>
      </c>
      <c r="BK200" s="78" t="str">
        <f aca="false">IF($AW200&gt;$AV$7,"",VLOOKUP($AW200,$AY$8:$BE$507,6,FALSE()))</f>
        <v/>
      </c>
      <c r="BL200" s="50"/>
    </row>
    <row r="201" customFormat="false" ht="15.75" hidden="false" customHeight="false" outlineLevel="0" collapsed="false">
      <c r="A201" s="5"/>
      <c r="B201" s="131"/>
      <c r="C201" s="52"/>
      <c r="D201" s="53"/>
      <c r="E201" s="80"/>
      <c r="F201" s="132"/>
      <c r="G201" s="56"/>
      <c r="H201" s="133"/>
      <c r="I201" s="134"/>
      <c r="J201" s="59"/>
      <c r="K201" s="60"/>
      <c r="L201" s="134"/>
      <c r="M201" s="61"/>
      <c r="N201" s="62"/>
      <c r="O201" s="80"/>
      <c r="P201" s="64"/>
      <c r="Q201" s="65" t="str">
        <f aca="false">IF(ISBLANK($C201),"",IF(E201=Constants!$B$2, TRUE(), IF(E201=Constants!$B$3, FALSE(), TRUE())))</f>
        <v/>
      </c>
      <c r="R201" s="65" t="str">
        <f aca="false">IF(ISBLANK($C201),"",IF(F201=Constants!$B$2, TRUE(), IF(F201=Constants!$B$3, FALSE(), TRUE())))</f>
        <v/>
      </c>
      <c r="S201" s="65" t="str">
        <f aca="false">IF(ISBLANK($C201),"",IF(G201=Constants!$B$15,Constants!$B$8,IF(G201=Constants!$B$16,Constants!$B$9,Constants!$B$10)))</f>
        <v/>
      </c>
      <c r="T201" s="65" t="str">
        <f aca="false">IF(ISBLANK($C201),"",IF(H201=Constants!$B$2, TRUE(), IF(H201=Constants!$B$3, FALSE(), TRUE())))</f>
        <v/>
      </c>
      <c r="U201" s="65" t="str">
        <f aca="false">IF(ISBLANK($C201),"",IF(I201=Constants!$B$19,Constants!$B$19,Constants!$B$18))</f>
        <v/>
      </c>
      <c r="V201" s="65" t="str">
        <f aca="false">IF(ISBLANK($C201),"",IF(COUNTA(J201:K201)=0,"",IF(AND(OR(ISBLANK(J201),AND(ISNUMBER(J201),J201&gt;=0)),OR(ISBLANK(K201),AND(ISNUMBER(K201),K201&gt;=0))),60*IF(ISBLANK(J201),0,J201)+IF(ISBLANK(K201),0,K201),"")))</f>
        <v/>
      </c>
      <c r="W201" s="65" t="str">
        <f aca="false">IF(ISBLANK($C201),"",IF(L201=Constants!$B$19,Constants!$B$19,Constants!$B$18))</f>
        <v/>
      </c>
      <c r="X201" s="65" t="str">
        <f aca="false">IF(ISBLANK($C201),"",IF(COUNTA(M201:N201)=0,"",IF(AND(OR(ISBLANK(M201),AND(ISNUMBER(M201),M201&gt;=0)),OR(ISBLANK(N201),AND(ISNUMBER(N201),N201&gt;=0))),60*IF(ISBLANK(M201),0,M201)+IF(ISBLANK(N201),0,N201),"")))</f>
        <v/>
      </c>
      <c r="Y201" s="65" t="str">
        <f aca="false">IF(ISBLANK($C201),"",IF(O201=Constants!$B$2, TRUE(), IF(O201=Constants!$B$3, FALSE(), FALSE())))</f>
        <v/>
      </c>
      <c r="Z201" s="65" t="str">
        <f aca="false">IF(ISBLANK($C201),"",IF(Y201,Constants!$B$4,IF(COUNTA(E201:N201)=0,Constants!$B$5,IF(COUNTA(J201:K201,M201:N201)=0,Constants!$B$6,Constants!$B$7))))</f>
        <v/>
      </c>
      <c r="AA201" s="65" t="str">
        <f aca="false">IF(ISBLANK($C201),"",IF($Z201&lt;&gt;Constants!$B$7,$Z201,IF(OR(NOT(T201),AND(NOT(Q201),COUNTIFS(U201:W201,Constants!$B$18,V201:X201,"&gt;=0")&gt;0),AND(NOT(R201),COUNTIFS(U201:W201,Constants!$B$19,V201:X201,"&gt;=0")&gt;0)),Constants!$B$12,Constants!$B$11)))</f>
        <v/>
      </c>
      <c r="AB201" s="65" t="str">
        <f aca="false">IF($Z201=Constants!$B$7,IF(V201="",Constants!$B$13,V201),"")</f>
        <v/>
      </c>
      <c r="AC201" s="65" t="str">
        <f aca="false">IF($Z201=Constants!$B$7,IF(X201="",Constants!$B$13,X201),"")</f>
        <v/>
      </c>
      <c r="AD201" s="65" t="str">
        <f aca="false">IF($Z201=Constants!$B$7,IF($AB201&gt;=$AC201,1,2),"")</f>
        <v/>
      </c>
      <c r="AE201" s="65" t="str">
        <f aca="false">IF($Z201=Constants!$B$7,LARGE(AB201:AC201,1),"")</f>
        <v/>
      </c>
      <c r="AF201" s="65" t="str">
        <f aca="false">IF(ISBLANK($C201),"",IF($Z201&lt;&gt;Constants!$B$7,$Z201,AE201*S201))</f>
        <v/>
      </c>
      <c r="AG201" s="65" t="str">
        <f aca="false">IF(ISBLANK($C201),"",IF($Z201=Constants!$B$7,IF(ISNUMBER(AF201),RANK(AF201,$AF$8:$AF$507),Constants!$B$14),$Z201))</f>
        <v/>
      </c>
      <c r="AH201" s="65" t="str">
        <f aca="false">IF(ISBLANK($C201),"",IF($Z201=Constants!$B$7,IF(ISNUMBER(AG201),COUNTIFS($AA$8:$AA$507,"&lt;"&amp;$AA201)+COUNTIFS($AA$8:$AA$507,$AA201,$AG$8:$AG$507,"&lt;"&amp;$AG201)+1,Constants!$B$14),$Z201))</f>
        <v/>
      </c>
      <c r="AI201" s="65" t="str">
        <f aca="false">IF(ISBLANK($C201),"",IF($Z201=Constants!$B$7,LARGE(AB201:AC201,2)*S201,""))</f>
        <v/>
      </c>
      <c r="AJ201" s="65" t="str">
        <f aca="false">IF(ISBLANK($C201),"",IF($Z201=Constants!$B$7,RANK(AI201,$AI$8:$AI$507),$Z201))</f>
        <v/>
      </c>
      <c r="AK201" s="65" t="str">
        <f aca="false">IF(ISBLANK($C201),"",IF($Z201=Constants!$B$7,IF(ISNUMBER(AG201),COUNTIFS($AA$8:$AA$507,"&lt;"&amp;$AA201)+COUNTIFS($AA$8:$AA$507,$AA201,$AG$8:$AG$507,"&lt;"&amp;$AG201)+COUNTIFS($AA$8:$AA$507,$AA201,$AG$8:$AG$507,$AG201,$AJ$8:$AJ$507,"&lt;"&amp;$AJ201)+1,Constants!$B$14),$Z201))</f>
        <v/>
      </c>
      <c r="AL201" s="65" t="str">
        <f aca="false">IF(ISBLANK($C201),"",IF($Z201=Constants!$B$7,IF(ISNUMBER(AH201),AH201-AK201,Constants!$B$14),$Z201))</f>
        <v/>
      </c>
      <c r="AM201" s="67"/>
      <c r="AN201" s="68" t="str">
        <f aca="false">IF(ISBLANK($C201),"",IF($Z201&lt;&gt;Constants!$B$7,$Z201,AD201))</f>
        <v/>
      </c>
      <c r="AO201" s="69" t="str">
        <f aca="false">IF(ISBLANK($C201),"",IF($Z201&lt;&gt;Constants!$B$7,$Z201,S201))</f>
        <v/>
      </c>
      <c r="AP201" s="70" t="str">
        <f aca="false">IF(ISBLANK($C201),"",IF($Z201&lt;&gt;Constants!$B$7,$Z201,AF201))</f>
        <v/>
      </c>
      <c r="AQ201" s="71" t="str">
        <f aca="false">IF(ISBLANK($C201),"",IF($Z201&lt;&gt;Constants!$B$7,$Z201,AA201))</f>
        <v/>
      </c>
      <c r="AR201" s="69" t="str">
        <f aca="false">IF(ISBLANK($C201),"",AL201)</f>
        <v/>
      </c>
      <c r="AS201" s="69" t="str">
        <f aca="false">IF(ISBLANK($C201),"",AK201)</f>
        <v/>
      </c>
      <c r="AT201" s="72" t="str">
        <f aca="false">IF(ISBLANK($C201),"",IF(AS201=Constants!$B$4,COUNTA($C$8:$C$507)+2,IF(AS201=Constants!$B$5,COUNTA($C$8:$C$507)+1,IF(AS201=Constants!$B$6,COUNTA($C$8:$C$507),AS201))))</f>
        <v/>
      </c>
      <c r="AU201" s="5"/>
      <c r="AV201" s="73" t="n">
        <f aca="false">IF(OR(ISNUMBER(AS201),AS201=Constants!$B$4,AS201=Constants!$B$6,AS201=Constants!$B$5),1,0)</f>
        <v>0</v>
      </c>
      <c r="AW201" s="73" t="n">
        <v>194</v>
      </c>
      <c r="AX201" s="73" t="str">
        <f aca="false">IF(ISBLANK($C201),"",IF(ISNUMBER(AT201),AT201+ROW($B201)/1000,""))</f>
        <v/>
      </c>
      <c r="AY201" s="73" t="str">
        <f aca="false">IF(ISNUMBER(AX201),RANK(AX201,$AX$8:$AX$507,1),"")</f>
        <v/>
      </c>
      <c r="AZ201" s="73" t="str">
        <f aca="false">IF(ISBLANK($C201),"",$B201)</f>
        <v/>
      </c>
      <c r="BA201" s="73" t="str">
        <f aca="false">IF(ISBLANK($C201),"",$C201)</f>
        <v/>
      </c>
      <c r="BB201" s="73" t="str">
        <f aca="false">IF(ISBLANK($C201),"",$D201)</f>
        <v/>
      </c>
      <c r="BC201" s="74" t="str">
        <f aca="false">AQ201</f>
        <v/>
      </c>
      <c r="BD201" s="75" t="str">
        <f aca="false">AP201</f>
        <v/>
      </c>
      <c r="BE201" s="73" t="str">
        <f aca="false">IF(ISBLANK($C201),"",AS201)</f>
        <v/>
      </c>
      <c r="BF201" s="76" t="str">
        <f aca="false">IF($AW201&gt;$AV$7,"",VLOOKUP($AW201,$AY$8:$BE$507,7,FALSE()))</f>
        <v/>
      </c>
      <c r="BG201" s="77" t="str">
        <f aca="false">IF($AW201&gt;$AV$7,"",VLOOKUP($AW201,$AY$8:$BE$507,2,FALSE()))</f>
        <v/>
      </c>
      <c r="BH201" s="77" t="str">
        <f aca="false">IF($AW201&gt;$AV$7,"",VLOOKUP($AW201,$AY$8:$BE$507,3,FALSE()))</f>
        <v/>
      </c>
      <c r="BI201" s="77" t="str">
        <f aca="false">IF($AW201&gt;$AV$7,"",VLOOKUP($AW201,$AY$8:$BE$507,4,FALSE()))</f>
        <v/>
      </c>
      <c r="BJ201" s="77" t="str">
        <f aca="false">IF($AW201&gt;$AV$7,"",VLOOKUP($AW201,$AY$8:$BE$507,5,FALSE()))</f>
        <v/>
      </c>
      <c r="BK201" s="78" t="str">
        <f aca="false">IF($AW201&gt;$AV$7,"",VLOOKUP($AW201,$AY$8:$BE$507,6,FALSE()))</f>
        <v/>
      </c>
      <c r="BL201" s="50"/>
    </row>
    <row r="202" customFormat="false" ht="15.75" hidden="false" customHeight="false" outlineLevel="0" collapsed="false">
      <c r="A202" s="5"/>
      <c r="B202" s="131"/>
      <c r="C202" s="52"/>
      <c r="D202" s="53"/>
      <c r="E202" s="80"/>
      <c r="F202" s="132"/>
      <c r="G202" s="56"/>
      <c r="H202" s="133"/>
      <c r="I202" s="134"/>
      <c r="J202" s="59"/>
      <c r="K202" s="60"/>
      <c r="L202" s="134"/>
      <c r="M202" s="61"/>
      <c r="N202" s="62"/>
      <c r="O202" s="80"/>
      <c r="P202" s="64"/>
      <c r="Q202" s="65" t="str">
        <f aca="false">IF(ISBLANK($C202),"",IF(E202=Constants!$B$2, TRUE(), IF(E202=Constants!$B$3, FALSE(), TRUE())))</f>
        <v/>
      </c>
      <c r="R202" s="65" t="str">
        <f aca="false">IF(ISBLANK($C202),"",IF(F202=Constants!$B$2, TRUE(), IF(F202=Constants!$B$3, FALSE(), TRUE())))</f>
        <v/>
      </c>
      <c r="S202" s="65" t="str">
        <f aca="false">IF(ISBLANK($C202),"",IF(G202=Constants!$B$15,Constants!$B$8,IF(G202=Constants!$B$16,Constants!$B$9,Constants!$B$10)))</f>
        <v/>
      </c>
      <c r="T202" s="65" t="str">
        <f aca="false">IF(ISBLANK($C202),"",IF(H202=Constants!$B$2, TRUE(), IF(H202=Constants!$B$3, FALSE(), TRUE())))</f>
        <v/>
      </c>
      <c r="U202" s="65" t="str">
        <f aca="false">IF(ISBLANK($C202),"",IF(I202=Constants!$B$19,Constants!$B$19,Constants!$B$18))</f>
        <v/>
      </c>
      <c r="V202" s="65" t="str">
        <f aca="false">IF(ISBLANK($C202),"",IF(COUNTA(J202:K202)=0,"",IF(AND(OR(ISBLANK(J202),AND(ISNUMBER(J202),J202&gt;=0)),OR(ISBLANK(K202),AND(ISNUMBER(K202),K202&gt;=0))),60*IF(ISBLANK(J202),0,J202)+IF(ISBLANK(K202),0,K202),"")))</f>
        <v/>
      </c>
      <c r="W202" s="65" t="str">
        <f aca="false">IF(ISBLANK($C202),"",IF(L202=Constants!$B$19,Constants!$B$19,Constants!$B$18))</f>
        <v/>
      </c>
      <c r="X202" s="65" t="str">
        <f aca="false">IF(ISBLANK($C202),"",IF(COUNTA(M202:N202)=0,"",IF(AND(OR(ISBLANK(M202),AND(ISNUMBER(M202),M202&gt;=0)),OR(ISBLANK(N202),AND(ISNUMBER(N202),N202&gt;=0))),60*IF(ISBLANK(M202),0,M202)+IF(ISBLANK(N202),0,N202),"")))</f>
        <v/>
      </c>
      <c r="Y202" s="65" t="str">
        <f aca="false">IF(ISBLANK($C202),"",IF(O202=Constants!$B$2, TRUE(), IF(O202=Constants!$B$3, FALSE(), FALSE())))</f>
        <v/>
      </c>
      <c r="Z202" s="65" t="str">
        <f aca="false">IF(ISBLANK($C202),"",IF(Y202,Constants!$B$4,IF(COUNTA(E202:N202)=0,Constants!$B$5,IF(COUNTA(J202:K202,M202:N202)=0,Constants!$B$6,Constants!$B$7))))</f>
        <v/>
      </c>
      <c r="AA202" s="65" t="str">
        <f aca="false">IF(ISBLANK($C202),"",IF($Z202&lt;&gt;Constants!$B$7,$Z202,IF(OR(NOT(T202),AND(NOT(Q202),COUNTIFS(U202:W202,Constants!$B$18,V202:X202,"&gt;=0")&gt;0),AND(NOT(R202),COUNTIFS(U202:W202,Constants!$B$19,V202:X202,"&gt;=0")&gt;0)),Constants!$B$12,Constants!$B$11)))</f>
        <v/>
      </c>
      <c r="AB202" s="65" t="str">
        <f aca="false">IF($Z202=Constants!$B$7,IF(V202="",Constants!$B$13,V202),"")</f>
        <v/>
      </c>
      <c r="AC202" s="65" t="str">
        <f aca="false">IF($Z202=Constants!$B$7,IF(X202="",Constants!$B$13,X202),"")</f>
        <v/>
      </c>
      <c r="AD202" s="65" t="str">
        <f aca="false">IF($Z202=Constants!$B$7,IF($AB202&gt;=$AC202,1,2),"")</f>
        <v/>
      </c>
      <c r="AE202" s="65" t="str">
        <f aca="false">IF($Z202=Constants!$B$7,LARGE(AB202:AC202,1),"")</f>
        <v/>
      </c>
      <c r="AF202" s="65" t="str">
        <f aca="false">IF(ISBLANK($C202),"",IF($Z202&lt;&gt;Constants!$B$7,$Z202,AE202*S202))</f>
        <v/>
      </c>
      <c r="AG202" s="65" t="str">
        <f aca="false">IF(ISBLANK($C202),"",IF($Z202=Constants!$B$7,IF(ISNUMBER(AF202),RANK(AF202,$AF$8:$AF$507),Constants!$B$14),$Z202))</f>
        <v/>
      </c>
      <c r="AH202" s="65" t="str">
        <f aca="false">IF(ISBLANK($C202),"",IF($Z202=Constants!$B$7,IF(ISNUMBER(AG202),COUNTIFS($AA$8:$AA$507,"&lt;"&amp;$AA202)+COUNTIFS($AA$8:$AA$507,$AA202,$AG$8:$AG$507,"&lt;"&amp;$AG202)+1,Constants!$B$14),$Z202))</f>
        <v/>
      </c>
      <c r="AI202" s="65" t="str">
        <f aca="false">IF(ISBLANK($C202),"",IF($Z202=Constants!$B$7,LARGE(AB202:AC202,2)*S202,""))</f>
        <v/>
      </c>
      <c r="AJ202" s="65" t="str">
        <f aca="false">IF(ISBLANK($C202),"",IF($Z202=Constants!$B$7,RANK(AI202,$AI$8:$AI$507),$Z202))</f>
        <v/>
      </c>
      <c r="AK202" s="65" t="str">
        <f aca="false">IF(ISBLANK($C202),"",IF($Z202=Constants!$B$7,IF(ISNUMBER(AG202),COUNTIFS($AA$8:$AA$507,"&lt;"&amp;$AA202)+COUNTIFS($AA$8:$AA$507,$AA202,$AG$8:$AG$507,"&lt;"&amp;$AG202)+COUNTIFS($AA$8:$AA$507,$AA202,$AG$8:$AG$507,$AG202,$AJ$8:$AJ$507,"&lt;"&amp;$AJ202)+1,Constants!$B$14),$Z202))</f>
        <v/>
      </c>
      <c r="AL202" s="65" t="str">
        <f aca="false">IF(ISBLANK($C202),"",IF($Z202=Constants!$B$7,IF(ISNUMBER(AH202),AH202-AK202,Constants!$B$14),$Z202))</f>
        <v/>
      </c>
      <c r="AM202" s="67"/>
      <c r="AN202" s="68" t="str">
        <f aca="false">IF(ISBLANK($C202),"",IF($Z202&lt;&gt;Constants!$B$7,$Z202,AD202))</f>
        <v/>
      </c>
      <c r="AO202" s="69" t="str">
        <f aca="false">IF(ISBLANK($C202),"",IF($Z202&lt;&gt;Constants!$B$7,$Z202,S202))</f>
        <v/>
      </c>
      <c r="AP202" s="70" t="str">
        <f aca="false">IF(ISBLANK($C202),"",IF($Z202&lt;&gt;Constants!$B$7,$Z202,AF202))</f>
        <v/>
      </c>
      <c r="AQ202" s="71" t="str">
        <f aca="false">IF(ISBLANK($C202),"",IF($Z202&lt;&gt;Constants!$B$7,$Z202,AA202))</f>
        <v/>
      </c>
      <c r="AR202" s="69" t="str">
        <f aca="false">IF(ISBLANK($C202),"",AL202)</f>
        <v/>
      </c>
      <c r="AS202" s="69" t="str">
        <f aca="false">IF(ISBLANK($C202),"",AK202)</f>
        <v/>
      </c>
      <c r="AT202" s="72" t="str">
        <f aca="false">IF(ISBLANK($C202),"",IF(AS202=Constants!$B$4,COUNTA($C$8:$C$507)+2,IF(AS202=Constants!$B$5,COUNTA($C$8:$C$507)+1,IF(AS202=Constants!$B$6,COUNTA($C$8:$C$507),AS202))))</f>
        <v/>
      </c>
      <c r="AU202" s="5"/>
      <c r="AV202" s="73" t="n">
        <f aca="false">IF(OR(ISNUMBER(AS202),AS202=Constants!$B$4,AS202=Constants!$B$6,AS202=Constants!$B$5),1,0)</f>
        <v>0</v>
      </c>
      <c r="AW202" s="73" t="n">
        <v>195</v>
      </c>
      <c r="AX202" s="73" t="str">
        <f aca="false">IF(ISBLANK($C202),"",IF(ISNUMBER(AT202),AT202+ROW($B202)/1000,""))</f>
        <v/>
      </c>
      <c r="AY202" s="73" t="str">
        <f aca="false">IF(ISNUMBER(AX202),RANK(AX202,$AX$8:$AX$507,1),"")</f>
        <v/>
      </c>
      <c r="AZ202" s="73" t="str">
        <f aca="false">IF(ISBLANK($C202),"",$B202)</f>
        <v/>
      </c>
      <c r="BA202" s="73" t="str">
        <f aca="false">IF(ISBLANK($C202),"",$C202)</f>
        <v/>
      </c>
      <c r="BB202" s="73" t="str">
        <f aca="false">IF(ISBLANK($C202),"",$D202)</f>
        <v/>
      </c>
      <c r="BC202" s="74" t="str">
        <f aca="false">AQ202</f>
        <v/>
      </c>
      <c r="BD202" s="75" t="str">
        <f aca="false">AP202</f>
        <v/>
      </c>
      <c r="BE202" s="73" t="str">
        <f aca="false">IF(ISBLANK($C202),"",AS202)</f>
        <v/>
      </c>
      <c r="BF202" s="76" t="str">
        <f aca="false">IF($AW202&gt;$AV$7,"",VLOOKUP($AW202,$AY$8:$BE$507,7,FALSE()))</f>
        <v/>
      </c>
      <c r="BG202" s="77" t="str">
        <f aca="false">IF($AW202&gt;$AV$7,"",VLOOKUP($AW202,$AY$8:$BE$507,2,FALSE()))</f>
        <v/>
      </c>
      <c r="BH202" s="77" t="str">
        <f aca="false">IF($AW202&gt;$AV$7,"",VLOOKUP($AW202,$AY$8:$BE$507,3,FALSE()))</f>
        <v/>
      </c>
      <c r="BI202" s="77" t="str">
        <f aca="false">IF($AW202&gt;$AV$7,"",VLOOKUP($AW202,$AY$8:$BE$507,4,FALSE()))</f>
        <v/>
      </c>
      <c r="BJ202" s="77" t="str">
        <f aca="false">IF($AW202&gt;$AV$7,"",VLOOKUP($AW202,$AY$8:$BE$507,5,FALSE()))</f>
        <v/>
      </c>
      <c r="BK202" s="78" t="str">
        <f aca="false">IF($AW202&gt;$AV$7,"",VLOOKUP($AW202,$AY$8:$BE$507,6,FALSE()))</f>
        <v/>
      </c>
      <c r="BL202" s="50"/>
    </row>
    <row r="203" customFormat="false" ht="15.75" hidden="false" customHeight="false" outlineLevel="0" collapsed="false">
      <c r="A203" s="5"/>
      <c r="B203" s="124"/>
      <c r="C203" s="125"/>
      <c r="D203" s="110"/>
      <c r="E203" s="130"/>
      <c r="F203" s="135"/>
      <c r="G203" s="88"/>
      <c r="H203" s="136"/>
      <c r="I203" s="137"/>
      <c r="J203" s="91"/>
      <c r="K203" s="92"/>
      <c r="L203" s="137"/>
      <c r="M203" s="93"/>
      <c r="N203" s="94"/>
      <c r="O203" s="130"/>
      <c r="P203" s="96"/>
      <c r="Q203" s="97" t="str">
        <f aca="false">IF(ISBLANK($C203),"",IF(E203=Constants!$B$2, TRUE(), IF(E203=Constants!$B$3, FALSE(), TRUE())))</f>
        <v/>
      </c>
      <c r="R203" s="97" t="str">
        <f aca="false">IF(ISBLANK($C203),"",IF(F203=Constants!$B$2, TRUE(), IF(F203=Constants!$B$3, FALSE(), TRUE())))</f>
        <v/>
      </c>
      <c r="S203" s="97" t="str">
        <f aca="false">IF(ISBLANK($C203),"",IF(G203=Constants!$B$15,Constants!$B$8,IF(G203=Constants!$B$16,Constants!$B$9,Constants!$B$10)))</f>
        <v/>
      </c>
      <c r="T203" s="97" t="str">
        <f aca="false">IF(ISBLANK($C203),"",IF(H203=Constants!$B$2, TRUE(), IF(H203=Constants!$B$3, FALSE(), TRUE())))</f>
        <v/>
      </c>
      <c r="U203" s="97" t="str">
        <f aca="false">IF(ISBLANK($C203),"",IF(I203=Constants!$B$19,Constants!$B$19,Constants!$B$18))</f>
        <v/>
      </c>
      <c r="V203" s="97" t="str">
        <f aca="false">IF(ISBLANK($C203),"",IF(COUNTA(J203:K203)=0,"",IF(AND(OR(ISBLANK(J203),AND(ISNUMBER(J203),J203&gt;=0)),OR(ISBLANK(K203),AND(ISNUMBER(K203),K203&gt;=0))),60*IF(ISBLANK(J203),0,J203)+IF(ISBLANK(K203),0,K203),"")))</f>
        <v/>
      </c>
      <c r="W203" s="97" t="str">
        <f aca="false">IF(ISBLANK($C203),"",IF(L203=Constants!$B$19,Constants!$B$19,Constants!$B$18))</f>
        <v/>
      </c>
      <c r="X203" s="97" t="str">
        <f aca="false">IF(ISBLANK($C203),"",IF(COUNTA(M203:N203)=0,"",IF(AND(OR(ISBLANK(M203),AND(ISNUMBER(M203),M203&gt;=0)),OR(ISBLANK(N203),AND(ISNUMBER(N203),N203&gt;=0))),60*IF(ISBLANK(M203),0,M203)+IF(ISBLANK(N203),0,N203),"")))</f>
        <v/>
      </c>
      <c r="Y203" s="97" t="str">
        <f aca="false">IF(ISBLANK($C203),"",IF(O203=Constants!$B$2, TRUE(), IF(O203=Constants!$B$3, FALSE(), FALSE())))</f>
        <v/>
      </c>
      <c r="Z203" s="97" t="str">
        <f aca="false">IF(ISBLANK($C203),"",IF(Y203,Constants!$B$4,IF(COUNTA(E203:N203)=0,Constants!$B$5,IF(COUNTA(J203:K203,M203:N203)=0,Constants!$B$6,Constants!$B$7))))</f>
        <v/>
      </c>
      <c r="AA203" s="97" t="str">
        <f aca="false">IF(ISBLANK($C203),"",IF($Z203&lt;&gt;Constants!$B$7,$Z203,IF(OR(NOT(T203),AND(NOT(Q203),COUNTIFS(U203:W203,Constants!$B$18,V203:X203,"&gt;=0")&gt;0),AND(NOT(R203),COUNTIFS(U203:W203,Constants!$B$19,V203:X203,"&gt;=0")&gt;0)),Constants!$B$12,Constants!$B$11)))</f>
        <v/>
      </c>
      <c r="AB203" s="97" t="str">
        <f aca="false">IF($Z203=Constants!$B$7,IF(V203="",Constants!$B$13,V203),"")</f>
        <v/>
      </c>
      <c r="AC203" s="97" t="str">
        <f aca="false">IF($Z203=Constants!$B$7,IF(X203="",Constants!$B$13,X203),"")</f>
        <v/>
      </c>
      <c r="AD203" s="97" t="str">
        <f aca="false">IF($Z203=Constants!$B$7,IF($AB203&gt;=$AC203,1,2),"")</f>
        <v/>
      </c>
      <c r="AE203" s="97" t="str">
        <f aca="false">IF($Z203=Constants!$B$7,LARGE(AB203:AC203,1),"")</f>
        <v/>
      </c>
      <c r="AF203" s="97" t="str">
        <f aca="false">IF(ISBLANK($C203),"",IF($Z203&lt;&gt;Constants!$B$7,$Z203,AE203*S203))</f>
        <v/>
      </c>
      <c r="AG203" s="97" t="str">
        <f aca="false">IF(ISBLANK($C203),"",IF($Z203=Constants!$B$7,IF(ISNUMBER(AF203),RANK(AF203,$AF$8:$AF$507),Constants!$B$14),$Z203))</f>
        <v/>
      </c>
      <c r="AH203" s="97" t="str">
        <f aca="false">IF(ISBLANK($C203),"",IF($Z203=Constants!$B$7,IF(ISNUMBER(AG203),COUNTIFS($AA$8:$AA$507,"&lt;"&amp;$AA203)+COUNTIFS($AA$8:$AA$507,$AA203,$AG$8:$AG$507,"&lt;"&amp;$AG203)+1,Constants!$B$14),$Z203))</f>
        <v/>
      </c>
      <c r="AI203" s="97" t="str">
        <f aca="false">IF(ISBLANK($C203),"",IF($Z203=Constants!$B$7,LARGE(AB203:AC203,2)*S203,""))</f>
        <v/>
      </c>
      <c r="AJ203" s="97" t="str">
        <f aca="false">IF(ISBLANK($C203),"",IF($Z203=Constants!$B$7,RANK(AI203,$AI$8:$AI$507),$Z203))</f>
        <v/>
      </c>
      <c r="AK203" s="97" t="str">
        <f aca="false">IF(ISBLANK($C203),"",IF($Z203=Constants!$B$7,IF(ISNUMBER(AG203),COUNTIFS($AA$8:$AA$507,"&lt;"&amp;$AA203)+COUNTIFS($AA$8:$AA$507,$AA203,$AG$8:$AG$507,"&lt;"&amp;$AG203)+COUNTIFS($AA$8:$AA$507,$AA203,$AG$8:$AG$507,$AG203,$AJ$8:$AJ$507,"&lt;"&amp;$AJ203)+1,Constants!$B$14),$Z203))</f>
        <v/>
      </c>
      <c r="AL203" s="97" t="str">
        <f aca="false">IF(ISBLANK($C203),"",IF($Z203=Constants!$B$7,IF(ISNUMBER(AH203),AH203-AK203,Constants!$B$14),$Z203))</f>
        <v/>
      </c>
      <c r="AM203" s="98"/>
      <c r="AN203" s="99" t="str">
        <f aca="false">IF(ISBLANK($C203),"",IF($Z203&lt;&gt;Constants!$B$7,$Z203,AD203))</f>
        <v/>
      </c>
      <c r="AO203" s="100" t="str">
        <f aca="false">IF(ISBLANK($C203),"",IF($Z203&lt;&gt;Constants!$B$7,$Z203,S203))</f>
        <v/>
      </c>
      <c r="AP203" s="101" t="str">
        <f aca="false">IF(ISBLANK($C203),"",IF($Z203&lt;&gt;Constants!$B$7,$Z203,AF203))</f>
        <v/>
      </c>
      <c r="AQ203" s="102" t="str">
        <f aca="false">IF(ISBLANK($C203),"",IF($Z203&lt;&gt;Constants!$B$7,$Z203,AA203))</f>
        <v/>
      </c>
      <c r="AR203" s="100" t="str">
        <f aca="false">IF(ISBLANK($C203),"",AL203)</f>
        <v/>
      </c>
      <c r="AS203" s="100" t="str">
        <f aca="false">IF(ISBLANK($C203),"",AK203)</f>
        <v/>
      </c>
      <c r="AT203" s="103" t="str">
        <f aca="false">IF(ISBLANK($C203),"",IF(AS203=Constants!$B$4,COUNTA($C$8:$C$507)+2,IF(AS203=Constants!$B$5,COUNTA($C$8:$C$507)+1,IF(AS203=Constants!$B$6,COUNTA($C$8:$C$507),AS203))))</f>
        <v/>
      </c>
      <c r="AU203" s="5"/>
      <c r="AV203" s="104" t="n">
        <f aca="false">IF(OR(ISNUMBER(AS203),AS203=Constants!$B$4,AS203=Constants!$B$6,AS203=Constants!$B$5),1,0)</f>
        <v>0</v>
      </c>
      <c r="AW203" s="104" t="n">
        <v>196</v>
      </c>
      <c r="AX203" s="104" t="str">
        <f aca="false">IF(ISBLANK($C203),"",IF(ISNUMBER(AT203),AT203+ROW($B203)/1000,""))</f>
        <v/>
      </c>
      <c r="AY203" s="104" t="str">
        <f aca="false">IF(ISNUMBER(AX203),RANK(AX203,$AX$8:$AX$507,1),"")</f>
        <v/>
      </c>
      <c r="AZ203" s="104" t="str">
        <f aca="false">IF(ISBLANK($C203),"",$B203)</f>
        <v/>
      </c>
      <c r="BA203" s="104" t="str">
        <f aca="false">IF(ISBLANK($C203),"",$C203)</f>
        <v/>
      </c>
      <c r="BB203" s="104" t="str">
        <f aca="false">IF(ISBLANK($C203),"",$D203)</f>
        <v/>
      </c>
      <c r="BC203" s="105" t="str">
        <f aca="false">AQ203</f>
        <v/>
      </c>
      <c r="BD203" s="106" t="str">
        <f aca="false">AP203</f>
        <v/>
      </c>
      <c r="BE203" s="104" t="str">
        <f aca="false">IF(ISBLANK($C203),"",AS203)</f>
        <v/>
      </c>
      <c r="BF203" s="107" t="str">
        <f aca="false">IF($AW203&gt;$AV$7,"",VLOOKUP($AW203,$AY$8:$BE$507,7,FALSE()))</f>
        <v/>
      </c>
      <c r="BG203" s="108" t="str">
        <f aca="false">IF($AW203&gt;$AV$7,"",VLOOKUP($AW203,$AY$8:$BE$507,2,FALSE()))</f>
        <v/>
      </c>
      <c r="BH203" s="108" t="str">
        <f aca="false">IF($AW203&gt;$AV$7,"",VLOOKUP($AW203,$AY$8:$BE$507,3,FALSE()))</f>
        <v/>
      </c>
      <c r="BI203" s="108" t="str">
        <f aca="false">IF($AW203&gt;$AV$7,"",VLOOKUP($AW203,$AY$8:$BE$507,4,FALSE()))</f>
        <v/>
      </c>
      <c r="BJ203" s="108" t="str">
        <f aca="false">IF($AW203&gt;$AV$7,"",VLOOKUP($AW203,$AY$8:$BE$507,5,FALSE()))</f>
        <v/>
      </c>
      <c r="BK203" s="109" t="str">
        <f aca="false">IF($AW203&gt;$AV$7,"",VLOOKUP($AW203,$AY$8:$BE$507,6,FALSE()))</f>
        <v/>
      </c>
      <c r="BL203" s="50"/>
    </row>
    <row r="204" customFormat="false" ht="15.75" hidden="false" customHeight="false" outlineLevel="0" collapsed="false">
      <c r="A204" s="5"/>
      <c r="B204" s="124"/>
      <c r="C204" s="125"/>
      <c r="D204" s="110"/>
      <c r="E204" s="130"/>
      <c r="F204" s="135"/>
      <c r="G204" s="88"/>
      <c r="H204" s="136"/>
      <c r="I204" s="137"/>
      <c r="J204" s="91"/>
      <c r="K204" s="92"/>
      <c r="L204" s="137"/>
      <c r="M204" s="93"/>
      <c r="N204" s="94"/>
      <c r="O204" s="130"/>
      <c r="P204" s="96"/>
      <c r="Q204" s="97" t="str">
        <f aca="false">IF(ISBLANK($C204),"",IF(E204=Constants!$B$2, TRUE(), IF(E204=Constants!$B$3, FALSE(), TRUE())))</f>
        <v/>
      </c>
      <c r="R204" s="97" t="str">
        <f aca="false">IF(ISBLANK($C204),"",IF(F204=Constants!$B$2, TRUE(), IF(F204=Constants!$B$3, FALSE(), TRUE())))</f>
        <v/>
      </c>
      <c r="S204" s="97" t="str">
        <f aca="false">IF(ISBLANK($C204),"",IF(G204=Constants!$B$15,Constants!$B$8,IF(G204=Constants!$B$16,Constants!$B$9,Constants!$B$10)))</f>
        <v/>
      </c>
      <c r="T204" s="97" t="str">
        <f aca="false">IF(ISBLANK($C204),"",IF(H204=Constants!$B$2, TRUE(), IF(H204=Constants!$B$3, FALSE(), TRUE())))</f>
        <v/>
      </c>
      <c r="U204" s="97" t="str">
        <f aca="false">IF(ISBLANK($C204),"",IF(I204=Constants!$B$19,Constants!$B$19,Constants!$B$18))</f>
        <v/>
      </c>
      <c r="V204" s="97" t="str">
        <f aca="false">IF(ISBLANK($C204),"",IF(COUNTA(J204:K204)=0,"",IF(AND(OR(ISBLANK(J204),AND(ISNUMBER(J204),J204&gt;=0)),OR(ISBLANK(K204),AND(ISNUMBER(K204),K204&gt;=0))),60*IF(ISBLANK(J204),0,J204)+IF(ISBLANK(K204),0,K204),"")))</f>
        <v/>
      </c>
      <c r="W204" s="97" t="str">
        <f aca="false">IF(ISBLANK($C204),"",IF(L204=Constants!$B$19,Constants!$B$19,Constants!$B$18))</f>
        <v/>
      </c>
      <c r="X204" s="97" t="str">
        <f aca="false">IF(ISBLANK($C204),"",IF(COUNTA(M204:N204)=0,"",IF(AND(OR(ISBLANK(M204),AND(ISNUMBER(M204),M204&gt;=0)),OR(ISBLANK(N204),AND(ISNUMBER(N204),N204&gt;=0))),60*IF(ISBLANK(M204),0,M204)+IF(ISBLANK(N204),0,N204),"")))</f>
        <v/>
      </c>
      <c r="Y204" s="97" t="str">
        <f aca="false">IF(ISBLANK($C204),"",IF(O204=Constants!$B$2, TRUE(), IF(O204=Constants!$B$3, FALSE(), FALSE())))</f>
        <v/>
      </c>
      <c r="Z204" s="97" t="str">
        <f aca="false">IF(ISBLANK($C204),"",IF(Y204,Constants!$B$4,IF(COUNTA(E204:N204)=0,Constants!$B$5,IF(COUNTA(J204:K204,M204:N204)=0,Constants!$B$6,Constants!$B$7))))</f>
        <v/>
      </c>
      <c r="AA204" s="97" t="str">
        <f aca="false">IF(ISBLANK($C204),"",IF($Z204&lt;&gt;Constants!$B$7,$Z204,IF(OR(NOT(T204),AND(NOT(Q204),COUNTIFS(U204:W204,Constants!$B$18,V204:X204,"&gt;=0")&gt;0),AND(NOT(R204),COUNTIFS(U204:W204,Constants!$B$19,V204:X204,"&gt;=0")&gt;0)),Constants!$B$12,Constants!$B$11)))</f>
        <v/>
      </c>
      <c r="AB204" s="97" t="str">
        <f aca="false">IF($Z204=Constants!$B$7,IF(V204="",Constants!$B$13,V204),"")</f>
        <v/>
      </c>
      <c r="AC204" s="97" t="str">
        <f aca="false">IF($Z204=Constants!$B$7,IF(X204="",Constants!$B$13,X204),"")</f>
        <v/>
      </c>
      <c r="AD204" s="97" t="str">
        <f aca="false">IF($Z204=Constants!$B$7,IF($AB204&gt;=$AC204,1,2),"")</f>
        <v/>
      </c>
      <c r="AE204" s="97" t="str">
        <f aca="false">IF($Z204=Constants!$B$7,LARGE(AB204:AC204,1),"")</f>
        <v/>
      </c>
      <c r="AF204" s="97" t="str">
        <f aca="false">IF(ISBLANK($C204),"",IF($Z204&lt;&gt;Constants!$B$7,$Z204,AE204*S204))</f>
        <v/>
      </c>
      <c r="AG204" s="97" t="str">
        <f aca="false">IF(ISBLANK($C204),"",IF($Z204=Constants!$B$7,IF(ISNUMBER(AF204),RANK(AF204,$AF$8:$AF$507),Constants!$B$14),$Z204))</f>
        <v/>
      </c>
      <c r="AH204" s="97" t="str">
        <f aca="false">IF(ISBLANK($C204),"",IF($Z204=Constants!$B$7,IF(ISNUMBER(AG204),COUNTIFS($AA$8:$AA$507,"&lt;"&amp;$AA204)+COUNTIFS($AA$8:$AA$507,$AA204,$AG$8:$AG$507,"&lt;"&amp;$AG204)+1,Constants!$B$14),$Z204))</f>
        <v/>
      </c>
      <c r="AI204" s="97" t="str">
        <f aca="false">IF(ISBLANK($C204),"",IF($Z204=Constants!$B$7,LARGE(AB204:AC204,2)*S204,""))</f>
        <v/>
      </c>
      <c r="AJ204" s="97" t="str">
        <f aca="false">IF(ISBLANK($C204),"",IF($Z204=Constants!$B$7,RANK(AI204,$AI$8:$AI$507),$Z204))</f>
        <v/>
      </c>
      <c r="AK204" s="97" t="str">
        <f aca="false">IF(ISBLANK($C204),"",IF($Z204=Constants!$B$7,IF(ISNUMBER(AG204),COUNTIFS($AA$8:$AA$507,"&lt;"&amp;$AA204)+COUNTIFS($AA$8:$AA$507,$AA204,$AG$8:$AG$507,"&lt;"&amp;$AG204)+COUNTIFS($AA$8:$AA$507,$AA204,$AG$8:$AG$507,$AG204,$AJ$8:$AJ$507,"&lt;"&amp;$AJ204)+1,Constants!$B$14),$Z204))</f>
        <v/>
      </c>
      <c r="AL204" s="97" t="str">
        <f aca="false">IF(ISBLANK($C204),"",IF($Z204=Constants!$B$7,IF(ISNUMBER(AH204),AH204-AK204,Constants!$B$14),$Z204))</f>
        <v/>
      </c>
      <c r="AM204" s="98"/>
      <c r="AN204" s="99" t="str">
        <f aca="false">IF(ISBLANK($C204),"",IF($Z204&lt;&gt;Constants!$B$7,$Z204,AD204))</f>
        <v/>
      </c>
      <c r="AO204" s="100" t="str">
        <f aca="false">IF(ISBLANK($C204),"",IF($Z204&lt;&gt;Constants!$B$7,$Z204,S204))</f>
        <v/>
      </c>
      <c r="AP204" s="101" t="str">
        <f aca="false">IF(ISBLANK($C204),"",IF($Z204&lt;&gt;Constants!$B$7,$Z204,AF204))</f>
        <v/>
      </c>
      <c r="AQ204" s="102" t="str">
        <f aca="false">IF(ISBLANK($C204),"",IF($Z204&lt;&gt;Constants!$B$7,$Z204,AA204))</f>
        <v/>
      </c>
      <c r="AR204" s="100" t="str">
        <f aca="false">IF(ISBLANK($C204),"",AL204)</f>
        <v/>
      </c>
      <c r="AS204" s="100" t="str">
        <f aca="false">IF(ISBLANK($C204),"",AK204)</f>
        <v/>
      </c>
      <c r="AT204" s="103" t="str">
        <f aca="false">IF(ISBLANK($C204),"",IF(AS204=Constants!$B$4,COUNTA($C$8:$C$507)+2,IF(AS204=Constants!$B$5,COUNTA($C$8:$C$507)+1,IF(AS204=Constants!$B$6,COUNTA($C$8:$C$507),AS204))))</f>
        <v/>
      </c>
      <c r="AU204" s="5"/>
      <c r="AV204" s="104" t="n">
        <f aca="false">IF(OR(ISNUMBER(AS204),AS204=Constants!$B$4,AS204=Constants!$B$6,AS204=Constants!$B$5),1,0)</f>
        <v>0</v>
      </c>
      <c r="AW204" s="104" t="n">
        <v>197</v>
      </c>
      <c r="AX204" s="104" t="str">
        <f aca="false">IF(ISBLANK($C204),"",IF(ISNUMBER(AT204),AT204+ROW($B204)/1000,""))</f>
        <v/>
      </c>
      <c r="AY204" s="104" t="str">
        <f aca="false">IF(ISNUMBER(AX204),RANK(AX204,$AX$8:$AX$507,1),"")</f>
        <v/>
      </c>
      <c r="AZ204" s="104" t="str">
        <f aca="false">IF(ISBLANK($C204),"",$B204)</f>
        <v/>
      </c>
      <c r="BA204" s="104" t="str">
        <f aca="false">IF(ISBLANK($C204),"",$C204)</f>
        <v/>
      </c>
      <c r="BB204" s="104" t="str">
        <f aca="false">IF(ISBLANK($C204),"",$D204)</f>
        <v/>
      </c>
      <c r="BC204" s="105" t="str">
        <f aca="false">AQ204</f>
        <v/>
      </c>
      <c r="BD204" s="106" t="str">
        <f aca="false">AP204</f>
        <v/>
      </c>
      <c r="BE204" s="104" t="str">
        <f aca="false">IF(ISBLANK($C204),"",AS204)</f>
        <v/>
      </c>
      <c r="BF204" s="107" t="str">
        <f aca="false">IF($AW204&gt;$AV$7,"",VLOOKUP($AW204,$AY$8:$BE$507,7,FALSE()))</f>
        <v/>
      </c>
      <c r="BG204" s="108" t="str">
        <f aca="false">IF($AW204&gt;$AV$7,"",VLOOKUP($AW204,$AY$8:$BE$507,2,FALSE()))</f>
        <v/>
      </c>
      <c r="BH204" s="108" t="str">
        <f aca="false">IF($AW204&gt;$AV$7,"",VLOOKUP($AW204,$AY$8:$BE$507,3,FALSE()))</f>
        <v/>
      </c>
      <c r="BI204" s="108" t="str">
        <f aca="false">IF($AW204&gt;$AV$7,"",VLOOKUP($AW204,$AY$8:$BE$507,4,FALSE()))</f>
        <v/>
      </c>
      <c r="BJ204" s="108" t="str">
        <f aca="false">IF($AW204&gt;$AV$7,"",VLOOKUP($AW204,$AY$8:$BE$507,5,FALSE()))</f>
        <v/>
      </c>
      <c r="BK204" s="109" t="str">
        <f aca="false">IF($AW204&gt;$AV$7,"",VLOOKUP($AW204,$AY$8:$BE$507,6,FALSE()))</f>
        <v/>
      </c>
      <c r="BL204" s="50"/>
    </row>
    <row r="205" customFormat="false" ht="15.75" hidden="false" customHeight="false" outlineLevel="0" collapsed="false">
      <c r="A205" s="5"/>
      <c r="B205" s="124"/>
      <c r="C205" s="125"/>
      <c r="D205" s="110"/>
      <c r="E205" s="130"/>
      <c r="F205" s="135"/>
      <c r="G205" s="88"/>
      <c r="H205" s="136"/>
      <c r="I205" s="137"/>
      <c r="J205" s="91"/>
      <c r="K205" s="92"/>
      <c r="L205" s="137"/>
      <c r="M205" s="93"/>
      <c r="N205" s="94"/>
      <c r="O205" s="130"/>
      <c r="P205" s="96"/>
      <c r="Q205" s="97" t="str">
        <f aca="false">IF(ISBLANK($C205),"",IF(E205=Constants!$B$2, TRUE(), IF(E205=Constants!$B$3, FALSE(), TRUE())))</f>
        <v/>
      </c>
      <c r="R205" s="97" t="str">
        <f aca="false">IF(ISBLANK($C205),"",IF(F205=Constants!$B$2, TRUE(), IF(F205=Constants!$B$3, FALSE(), TRUE())))</f>
        <v/>
      </c>
      <c r="S205" s="97" t="str">
        <f aca="false">IF(ISBLANK($C205),"",IF(G205=Constants!$B$15,Constants!$B$8,IF(G205=Constants!$B$16,Constants!$B$9,Constants!$B$10)))</f>
        <v/>
      </c>
      <c r="T205" s="97" t="str">
        <f aca="false">IF(ISBLANK($C205),"",IF(H205=Constants!$B$2, TRUE(), IF(H205=Constants!$B$3, FALSE(), TRUE())))</f>
        <v/>
      </c>
      <c r="U205" s="97" t="str">
        <f aca="false">IF(ISBLANK($C205),"",IF(I205=Constants!$B$19,Constants!$B$19,Constants!$B$18))</f>
        <v/>
      </c>
      <c r="V205" s="97" t="str">
        <f aca="false">IF(ISBLANK($C205),"",IF(COUNTA(J205:K205)=0,"",IF(AND(OR(ISBLANK(J205),AND(ISNUMBER(J205),J205&gt;=0)),OR(ISBLANK(K205),AND(ISNUMBER(K205),K205&gt;=0))),60*IF(ISBLANK(J205),0,J205)+IF(ISBLANK(K205),0,K205),"")))</f>
        <v/>
      </c>
      <c r="W205" s="97" t="str">
        <f aca="false">IF(ISBLANK($C205),"",IF(L205=Constants!$B$19,Constants!$B$19,Constants!$B$18))</f>
        <v/>
      </c>
      <c r="X205" s="97" t="str">
        <f aca="false">IF(ISBLANK($C205),"",IF(COUNTA(M205:N205)=0,"",IF(AND(OR(ISBLANK(M205),AND(ISNUMBER(M205),M205&gt;=0)),OR(ISBLANK(N205),AND(ISNUMBER(N205),N205&gt;=0))),60*IF(ISBLANK(M205),0,M205)+IF(ISBLANK(N205),0,N205),"")))</f>
        <v/>
      </c>
      <c r="Y205" s="97" t="str">
        <f aca="false">IF(ISBLANK($C205),"",IF(O205=Constants!$B$2, TRUE(), IF(O205=Constants!$B$3, FALSE(), FALSE())))</f>
        <v/>
      </c>
      <c r="Z205" s="97" t="str">
        <f aca="false">IF(ISBLANK($C205),"",IF(Y205,Constants!$B$4,IF(COUNTA(E205:N205)=0,Constants!$B$5,IF(COUNTA(J205:K205,M205:N205)=0,Constants!$B$6,Constants!$B$7))))</f>
        <v/>
      </c>
      <c r="AA205" s="97" t="str">
        <f aca="false">IF(ISBLANK($C205),"",IF($Z205&lt;&gt;Constants!$B$7,$Z205,IF(OR(NOT(T205),AND(NOT(Q205),COUNTIFS(U205:W205,Constants!$B$18,V205:X205,"&gt;=0")&gt;0),AND(NOT(R205),COUNTIFS(U205:W205,Constants!$B$19,V205:X205,"&gt;=0")&gt;0)),Constants!$B$12,Constants!$B$11)))</f>
        <v/>
      </c>
      <c r="AB205" s="97" t="str">
        <f aca="false">IF($Z205=Constants!$B$7,IF(V205="",Constants!$B$13,V205),"")</f>
        <v/>
      </c>
      <c r="AC205" s="97" t="str">
        <f aca="false">IF($Z205=Constants!$B$7,IF(X205="",Constants!$B$13,X205),"")</f>
        <v/>
      </c>
      <c r="AD205" s="97" t="str">
        <f aca="false">IF($Z205=Constants!$B$7,IF($AB205&gt;=$AC205,1,2),"")</f>
        <v/>
      </c>
      <c r="AE205" s="97" t="str">
        <f aca="false">IF($Z205=Constants!$B$7,LARGE(AB205:AC205,1),"")</f>
        <v/>
      </c>
      <c r="AF205" s="97" t="str">
        <f aca="false">IF(ISBLANK($C205),"",IF($Z205&lt;&gt;Constants!$B$7,$Z205,AE205*S205))</f>
        <v/>
      </c>
      <c r="AG205" s="97" t="str">
        <f aca="false">IF(ISBLANK($C205),"",IF($Z205=Constants!$B$7,IF(ISNUMBER(AF205),RANK(AF205,$AF$8:$AF$507),Constants!$B$14),$Z205))</f>
        <v/>
      </c>
      <c r="AH205" s="97" t="str">
        <f aca="false">IF(ISBLANK($C205),"",IF($Z205=Constants!$B$7,IF(ISNUMBER(AG205),COUNTIFS($AA$8:$AA$507,"&lt;"&amp;$AA205)+COUNTIFS($AA$8:$AA$507,$AA205,$AG$8:$AG$507,"&lt;"&amp;$AG205)+1,Constants!$B$14),$Z205))</f>
        <v/>
      </c>
      <c r="AI205" s="97" t="str">
        <f aca="false">IF(ISBLANK($C205),"",IF($Z205=Constants!$B$7,LARGE(AB205:AC205,2)*S205,""))</f>
        <v/>
      </c>
      <c r="AJ205" s="97" t="str">
        <f aca="false">IF(ISBLANK($C205),"",IF($Z205=Constants!$B$7,RANK(AI205,$AI$8:$AI$507),$Z205))</f>
        <v/>
      </c>
      <c r="AK205" s="97" t="str">
        <f aca="false">IF(ISBLANK($C205),"",IF($Z205=Constants!$B$7,IF(ISNUMBER(AG205),COUNTIFS($AA$8:$AA$507,"&lt;"&amp;$AA205)+COUNTIFS($AA$8:$AA$507,$AA205,$AG$8:$AG$507,"&lt;"&amp;$AG205)+COUNTIFS($AA$8:$AA$507,$AA205,$AG$8:$AG$507,$AG205,$AJ$8:$AJ$507,"&lt;"&amp;$AJ205)+1,Constants!$B$14),$Z205))</f>
        <v/>
      </c>
      <c r="AL205" s="97" t="str">
        <f aca="false">IF(ISBLANK($C205),"",IF($Z205=Constants!$B$7,IF(ISNUMBER(AH205),AH205-AK205,Constants!$B$14),$Z205))</f>
        <v/>
      </c>
      <c r="AM205" s="98"/>
      <c r="AN205" s="99" t="str">
        <f aca="false">IF(ISBLANK($C205),"",IF($Z205&lt;&gt;Constants!$B$7,$Z205,AD205))</f>
        <v/>
      </c>
      <c r="AO205" s="100" t="str">
        <f aca="false">IF(ISBLANK($C205),"",IF($Z205&lt;&gt;Constants!$B$7,$Z205,S205))</f>
        <v/>
      </c>
      <c r="AP205" s="101" t="str">
        <f aca="false">IF(ISBLANK($C205),"",IF($Z205&lt;&gt;Constants!$B$7,$Z205,AF205))</f>
        <v/>
      </c>
      <c r="AQ205" s="102" t="str">
        <f aca="false">IF(ISBLANK($C205),"",IF($Z205&lt;&gt;Constants!$B$7,$Z205,AA205))</f>
        <v/>
      </c>
      <c r="AR205" s="100" t="str">
        <f aca="false">IF(ISBLANK($C205),"",AL205)</f>
        <v/>
      </c>
      <c r="AS205" s="100" t="str">
        <f aca="false">IF(ISBLANK($C205),"",AK205)</f>
        <v/>
      </c>
      <c r="AT205" s="103" t="str">
        <f aca="false">IF(ISBLANK($C205),"",IF(AS205=Constants!$B$4,COUNTA($C$8:$C$507)+2,IF(AS205=Constants!$B$5,COUNTA($C$8:$C$507)+1,IF(AS205=Constants!$B$6,COUNTA($C$8:$C$507),AS205))))</f>
        <v/>
      </c>
      <c r="AU205" s="5"/>
      <c r="AV205" s="104" t="n">
        <f aca="false">IF(OR(ISNUMBER(AS205),AS205=Constants!$B$4,AS205=Constants!$B$6,AS205=Constants!$B$5),1,0)</f>
        <v>0</v>
      </c>
      <c r="AW205" s="104" t="n">
        <v>198</v>
      </c>
      <c r="AX205" s="104" t="str">
        <f aca="false">IF(ISBLANK($C205),"",IF(ISNUMBER(AT205),AT205+ROW($B205)/1000,""))</f>
        <v/>
      </c>
      <c r="AY205" s="104" t="str">
        <f aca="false">IF(ISNUMBER(AX205),RANK(AX205,$AX$8:$AX$507,1),"")</f>
        <v/>
      </c>
      <c r="AZ205" s="104" t="str">
        <f aca="false">IF(ISBLANK($C205),"",$B205)</f>
        <v/>
      </c>
      <c r="BA205" s="104" t="str">
        <f aca="false">IF(ISBLANK($C205),"",$C205)</f>
        <v/>
      </c>
      <c r="BB205" s="104" t="str">
        <f aca="false">IF(ISBLANK($C205),"",$D205)</f>
        <v/>
      </c>
      <c r="BC205" s="105" t="str">
        <f aca="false">AQ205</f>
        <v/>
      </c>
      <c r="BD205" s="106" t="str">
        <f aca="false">AP205</f>
        <v/>
      </c>
      <c r="BE205" s="104" t="str">
        <f aca="false">IF(ISBLANK($C205),"",AS205)</f>
        <v/>
      </c>
      <c r="BF205" s="107" t="str">
        <f aca="false">IF($AW205&gt;$AV$7,"",VLOOKUP($AW205,$AY$8:$BE$507,7,FALSE()))</f>
        <v/>
      </c>
      <c r="BG205" s="108" t="str">
        <f aca="false">IF($AW205&gt;$AV$7,"",VLOOKUP($AW205,$AY$8:$BE$507,2,FALSE()))</f>
        <v/>
      </c>
      <c r="BH205" s="108" t="str">
        <f aca="false">IF($AW205&gt;$AV$7,"",VLOOKUP($AW205,$AY$8:$BE$507,3,FALSE()))</f>
        <v/>
      </c>
      <c r="BI205" s="108" t="str">
        <f aca="false">IF($AW205&gt;$AV$7,"",VLOOKUP($AW205,$AY$8:$BE$507,4,FALSE()))</f>
        <v/>
      </c>
      <c r="BJ205" s="108" t="str">
        <f aca="false">IF($AW205&gt;$AV$7,"",VLOOKUP($AW205,$AY$8:$BE$507,5,FALSE()))</f>
        <v/>
      </c>
      <c r="BK205" s="109" t="str">
        <f aca="false">IF($AW205&gt;$AV$7,"",VLOOKUP($AW205,$AY$8:$BE$507,6,FALSE()))</f>
        <v/>
      </c>
      <c r="BL205" s="50"/>
    </row>
    <row r="206" customFormat="false" ht="15.75" hidden="false" customHeight="false" outlineLevel="0" collapsed="false">
      <c r="A206" s="5"/>
      <c r="B206" s="131"/>
      <c r="C206" s="52"/>
      <c r="D206" s="53"/>
      <c r="E206" s="80"/>
      <c r="F206" s="132"/>
      <c r="G206" s="56"/>
      <c r="H206" s="133"/>
      <c r="I206" s="134"/>
      <c r="J206" s="59"/>
      <c r="K206" s="60"/>
      <c r="L206" s="134"/>
      <c r="M206" s="61"/>
      <c r="N206" s="62"/>
      <c r="O206" s="80"/>
      <c r="P206" s="64"/>
      <c r="Q206" s="65" t="str">
        <f aca="false">IF(ISBLANK($C206),"",IF(E206=Constants!$B$2, TRUE(), IF(E206=Constants!$B$3, FALSE(), TRUE())))</f>
        <v/>
      </c>
      <c r="R206" s="65" t="str">
        <f aca="false">IF(ISBLANK($C206),"",IF(F206=Constants!$B$2, TRUE(), IF(F206=Constants!$B$3, FALSE(), TRUE())))</f>
        <v/>
      </c>
      <c r="S206" s="65" t="str">
        <f aca="false">IF(ISBLANK($C206),"",IF(G206=Constants!$B$15,Constants!$B$8,IF(G206=Constants!$B$16,Constants!$B$9,Constants!$B$10)))</f>
        <v/>
      </c>
      <c r="T206" s="65" t="str">
        <f aca="false">IF(ISBLANK($C206),"",IF(H206=Constants!$B$2, TRUE(), IF(H206=Constants!$B$3, FALSE(), TRUE())))</f>
        <v/>
      </c>
      <c r="U206" s="65" t="str">
        <f aca="false">IF(ISBLANK($C206),"",IF(I206=Constants!$B$19,Constants!$B$19,Constants!$B$18))</f>
        <v/>
      </c>
      <c r="V206" s="65" t="str">
        <f aca="false">IF(ISBLANK($C206),"",IF(COUNTA(J206:K206)=0,"",IF(AND(OR(ISBLANK(J206),AND(ISNUMBER(J206),J206&gt;=0)),OR(ISBLANK(K206),AND(ISNUMBER(K206),K206&gt;=0))),60*IF(ISBLANK(J206),0,J206)+IF(ISBLANK(K206),0,K206),"")))</f>
        <v/>
      </c>
      <c r="W206" s="65" t="str">
        <f aca="false">IF(ISBLANK($C206),"",IF(L206=Constants!$B$19,Constants!$B$19,Constants!$B$18))</f>
        <v/>
      </c>
      <c r="X206" s="65" t="str">
        <f aca="false">IF(ISBLANK($C206),"",IF(COUNTA(M206:N206)=0,"",IF(AND(OR(ISBLANK(M206),AND(ISNUMBER(M206),M206&gt;=0)),OR(ISBLANK(N206),AND(ISNUMBER(N206),N206&gt;=0))),60*IF(ISBLANK(M206),0,M206)+IF(ISBLANK(N206),0,N206),"")))</f>
        <v/>
      </c>
      <c r="Y206" s="65" t="str">
        <f aca="false">IF(ISBLANK($C206),"",IF(O206=Constants!$B$2, TRUE(), IF(O206=Constants!$B$3, FALSE(), FALSE())))</f>
        <v/>
      </c>
      <c r="Z206" s="65" t="str">
        <f aca="false">IF(ISBLANK($C206),"",IF(Y206,Constants!$B$4,IF(COUNTA(E206:N206)=0,Constants!$B$5,IF(COUNTA(J206:K206,M206:N206)=0,Constants!$B$6,Constants!$B$7))))</f>
        <v/>
      </c>
      <c r="AA206" s="65" t="str">
        <f aca="false">IF(ISBLANK($C206),"",IF($Z206&lt;&gt;Constants!$B$7,$Z206,IF(OR(NOT(T206),AND(NOT(Q206),COUNTIFS(U206:W206,Constants!$B$18,V206:X206,"&gt;=0")&gt;0),AND(NOT(R206),COUNTIFS(U206:W206,Constants!$B$19,V206:X206,"&gt;=0")&gt;0)),Constants!$B$12,Constants!$B$11)))</f>
        <v/>
      </c>
      <c r="AB206" s="65" t="str">
        <f aca="false">IF($Z206=Constants!$B$7,IF(V206="",Constants!$B$13,V206),"")</f>
        <v/>
      </c>
      <c r="AC206" s="65" t="str">
        <f aca="false">IF($Z206=Constants!$B$7,IF(X206="",Constants!$B$13,X206),"")</f>
        <v/>
      </c>
      <c r="AD206" s="65" t="str">
        <f aca="false">IF($Z206=Constants!$B$7,IF($AB206&gt;=$AC206,1,2),"")</f>
        <v/>
      </c>
      <c r="AE206" s="65" t="str">
        <f aca="false">IF($Z206=Constants!$B$7,LARGE(AB206:AC206,1),"")</f>
        <v/>
      </c>
      <c r="AF206" s="65" t="str">
        <f aca="false">IF(ISBLANK($C206),"",IF($Z206&lt;&gt;Constants!$B$7,$Z206,AE206*S206))</f>
        <v/>
      </c>
      <c r="AG206" s="65" t="str">
        <f aca="false">IF(ISBLANK($C206),"",IF($Z206=Constants!$B$7,IF(ISNUMBER(AF206),RANK(AF206,$AF$8:$AF$507),Constants!$B$14),$Z206))</f>
        <v/>
      </c>
      <c r="AH206" s="65" t="str">
        <f aca="false">IF(ISBLANK($C206),"",IF($Z206=Constants!$B$7,IF(ISNUMBER(AG206),COUNTIFS($AA$8:$AA$507,"&lt;"&amp;$AA206)+COUNTIFS($AA$8:$AA$507,$AA206,$AG$8:$AG$507,"&lt;"&amp;$AG206)+1,Constants!$B$14),$Z206))</f>
        <v/>
      </c>
      <c r="AI206" s="65" t="str">
        <f aca="false">IF(ISBLANK($C206),"",IF($Z206=Constants!$B$7,LARGE(AB206:AC206,2)*S206,""))</f>
        <v/>
      </c>
      <c r="AJ206" s="65" t="str">
        <f aca="false">IF(ISBLANK($C206),"",IF($Z206=Constants!$B$7,RANK(AI206,$AI$8:$AI$507),$Z206))</f>
        <v/>
      </c>
      <c r="AK206" s="65" t="str">
        <f aca="false">IF(ISBLANK($C206),"",IF($Z206=Constants!$B$7,IF(ISNUMBER(AG206),COUNTIFS($AA$8:$AA$507,"&lt;"&amp;$AA206)+COUNTIFS($AA$8:$AA$507,$AA206,$AG$8:$AG$507,"&lt;"&amp;$AG206)+COUNTIFS($AA$8:$AA$507,$AA206,$AG$8:$AG$507,$AG206,$AJ$8:$AJ$507,"&lt;"&amp;$AJ206)+1,Constants!$B$14),$Z206))</f>
        <v/>
      </c>
      <c r="AL206" s="65" t="str">
        <f aca="false">IF(ISBLANK($C206),"",IF($Z206=Constants!$B$7,IF(ISNUMBER(AH206),AH206-AK206,Constants!$B$14),$Z206))</f>
        <v/>
      </c>
      <c r="AM206" s="67"/>
      <c r="AN206" s="68" t="str">
        <f aca="false">IF(ISBLANK($C206),"",IF($Z206&lt;&gt;Constants!$B$7,$Z206,AD206))</f>
        <v/>
      </c>
      <c r="AO206" s="69" t="str">
        <f aca="false">IF(ISBLANK($C206),"",IF($Z206&lt;&gt;Constants!$B$7,$Z206,S206))</f>
        <v/>
      </c>
      <c r="AP206" s="70" t="str">
        <f aca="false">IF(ISBLANK($C206),"",IF($Z206&lt;&gt;Constants!$B$7,$Z206,AF206))</f>
        <v/>
      </c>
      <c r="AQ206" s="71" t="str">
        <f aca="false">IF(ISBLANK($C206),"",IF($Z206&lt;&gt;Constants!$B$7,$Z206,AA206))</f>
        <v/>
      </c>
      <c r="AR206" s="69" t="str">
        <f aca="false">IF(ISBLANK($C206),"",AL206)</f>
        <v/>
      </c>
      <c r="AS206" s="69" t="str">
        <f aca="false">IF(ISBLANK($C206),"",AK206)</f>
        <v/>
      </c>
      <c r="AT206" s="72" t="str">
        <f aca="false">IF(ISBLANK($C206),"",IF(AS206=Constants!$B$4,COUNTA($C$8:$C$507)+2,IF(AS206=Constants!$B$5,COUNTA($C$8:$C$507)+1,IF(AS206=Constants!$B$6,COUNTA($C$8:$C$507),AS206))))</f>
        <v/>
      </c>
      <c r="AU206" s="5"/>
      <c r="AV206" s="73" t="n">
        <f aca="false">IF(OR(ISNUMBER(AS206),AS206=Constants!$B$4,AS206=Constants!$B$6,AS206=Constants!$B$5),1,0)</f>
        <v>0</v>
      </c>
      <c r="AW206" s="73" t="n">
        <v>199</v>
      </c>
      <c r="AX206" s="73" t="str">
        <f aca="false">IF(ISBLANK($C206),"",IF(ISNUMBER(AT206),AT206+ROW($B206)/1000,""))</f>
        <v/>
      </c>
      <c r="AY206" s="73" t="str">
        <f aca="false">IF(ISNUMBER(AX206),RANK(AX206,$AX$8:$AX$507,1),"")</f>
        <v/>
      </c>
      <c r="AZ206" s="73" t="str">
        <f aca="false">IF(ISBLANK($C206),"",$B206)</f>
        <v/>
      </c>
      <c r="BA206" s="73" t="str">
        <f aca="false">IF(ISBLANK($C206),"",$C206)</f>
        <v/>
      </c>
      <c r="BB206" s="73" t="str">
        <f aca="false">IF(ISBLANK($C206),"",$D206)</f>
        <v/>
      </c>
      <c r="BC206" s="74" t="str">
        <f aca="false">AQ206</f>
        <v/>
      </c>
      <c r="BD206" s="75" t="str">
        <f aca="false">AP206</f>
        <v/>
      </c>
      <c r="BE206" s="73" t="str">
        <f aca="false">IF(ISBLANK($C206),"",AS206)</f>
        <v/>
      </c>
      <c r="BF206" s="76" t="str">
        <f aca="false">IF($AW206&gt;$AV$7,"",VLOOKUP($AW206,$AY$8:$BE$507,7,FALSE()))</f>
        <v/>
      </c>
      <c r="BG206" s="77" t="str">
        <f aca="false">IF($AW206&gt;$AV$7,"",VLOOKUP($AW206,$AY$8:$BE$507,2,FALSE()))</f>
        <v/>
      </c>
      <c r="BH206" s="77" t="str">
        <f aca="false">IF($AW206&gt;$AV$7,"",VLOOKUP($AW206,$AY$8:$BE$507,3,FALSE()))</f>
        <v/>
      </c>
      <c r="BI206" s="77" t="str">
        <f aca="false">IF($AW206&gt;$AV$7,"",VLOOKUP($AW206,$AY$8:$BE$507,4,FALSE()))</f>
        <v/>
      </c>
      <c r="BJ206" s="77" t="str">
        <f aca="false">IF($AW206&gt;$AV$7,"",VLOOKUP($AW206,$AY$8:$BE$507,5,FALSE()))</f>
        <v/>
      </c>
      <c r="BK206" s="78" t="str">
        <f aca="false">IF($AW206&gt;$AV$7,"",VLOOKUP($AW206,$AY$8:$BE$507,6,FALSE()))</f>
        <v/>
      </c>
      <c r="BL206" s="50"/>
    </row>
    <row r="207" customFormat="false" ht="15.75" hidden="false" customHeight="false" outlineLevel="0" collapsed="false">
      <c r="A207" s="5"/>
      <c r="B207" s="131"/>
      <c r="C207" s="52"/>
      <c r="D207" s="53"/>
      <c r="E207" s="80"/>
      <c r="F207" s="132"/>
      <c r="G207" s="56"/>
      <c r="H207" s="133"/>
      <c r="I207" s="134"/>
      <c r="J207" s="59"/>
      <c r="K207" s="60"/>
      <c r="L207" s="134"/>
      <c r="M207" s="61"/>
      <c r="N207" s="62"/>
      <c r="O207" s="80"/>
      <c r="P207" s="64"/>
      <c r="Q207" s="65" t="str">
        <f aca="false">IF(ISBLANK($C207),"",IF(E207=Constants!$B$2, TRUE(), IF(E207=Constants!$B$3, FALSE(), TRUE())))</f>
        <v/>
      </c>
      <c r="R207" s="65" t="str">
        <f aca="false">IF(ISBLANK($C207),"",IF(F207=Constants!$B$2, TRUE(), IF(F207=Constants!$B$3, FALSE(), TRUE())))</f>
        <v/>
      </c>
      <c r="S207" s="65" t="str">
        <f aca="false">IF(ISBLANK($C207),"",IF(G207=Constants!$B$15,Constants!$B$8,IF(G207=Constants!$B$16,Constants!$B$9,Constants!$B$10)))</f>
        <v/>
      </c>
      <c r="T207" s="65" t="str">
        <f aca="false">IF(ISBLANK($C207),"",IF(H207=Constants!$B$2, TRUE(), IF(H207=Constants!$B$3, FALSE(), TRUE())))</f>
        <v/>
      </c>
      <c r="U207" s="65" t="str">
        <f aca="false">IF(ISBLANK($C207),"",IF(I207=Constants!$B$19,Constants!$B$19,Constants!$B$18))</f>
        <v/>
      </c>
      <c r="V207" s="65" t="str">
        <f aca="false">IF(ISBLANK($C207),"",IF(COUNTA(J207:K207)=0,"",IF(AND(OR(ISBLANK(J207),AND(ISNUMBER(J207),J207&gt;=0)),OR(ISBLANK(K207),AND(ISNUMBER(K207),K207&gt;=0))),60*IF(ISBLANK(J207),0,J207)+IF(ISBLANK(K207),0,K207),"")))</f>
        <v/>
      </c>
      <c r="W207" s="65" t="str">
        <f aca="false">IF(ISBLANK($C207),"",IF(L207=Constants!$B$19,Constants!$B$19,Constants!$B$18))</f>
        <v/>
      </c>
      <c r="X207" s="65" t="str">
        <f aca="false">IF(ISBLANK($C207),"",IF(COUNTA(M207:N207)=0,"",IF(AND(OR(ISBLANK(M207),AND(ISNUMBER(M207),M207&gt;=0)),OR(ISBLANK(N207),AND(ISNUMBER(N207),N207&gt;=0))),60*IF(ISBLANK(M207),0,M207)+IF(ISBLANK(N207),0,N207),"")))</f>
        <v/>
      </c>
      <c r="Y207" s="65" t="str">
        <f aca="false">IF(ISBLANK($C207),"",IF(O207=Constants!$B$2, TRUE(), IF(O207=Constants!$B$3, FALSE(), FALSE())))</f>
        <v/>
      </c>
      <c r="Z207" s="65" t="str">
        <f aca="false">IF(ISBLANK($C207),"",IF(Y207,Constants!$B$4,IF(COUNTA(E207:N207)=0,Constants!$B$5,IF(COUNTA(J207:K207,M207:N207)=0,Constants!$B$6,Constants!$B$7))))</f>
        <v/>
      </c>
      <c r="AA207" s="65" t="str">
        <f aca="false">IF(ISBLANK($C207),"",IF($Z207&lt;&gt;Constants!$B$7,$Z207,IF(OR(NOT(T207),AND(NOT(Q207),COUNTIFS(U207:W207,Constants!$B$18,V207:X207,"&gt;=0")&gt;0),AND(NOT(R207),COUNTIFS(U207:W207,Constants!$B$19,V207:X207,"&gt;=0")&gt;0)),Constants!$B$12,Constants!$B$11)))</f>
        <v/>
      </c>
      <c r="AB207" s="65" t="str">
        <f aca="false">IF($Z207=Constants!$B$7,IF(V207="",Constants!$B$13,V207),"")</f>
        <v/>
      </c>
      <c r="AC207" s="65" t="str">
        <f aca="false">IF($Z207=Constants!$B$7,IF(X207="",Constants!$B$13,X207),"")</f>
        <v/>
      </c>
      <c r="AD207" s="65" t="str">
        <f aca="false">IF($Z207=Constants!$B$7,IF($AB207&gt;=$AC207,1,2),"")</f>
        <v/>
      </c>
      <c r="AE207" s="65" t="str">
        <f aca="false">IF($Z207=Constants!$B$7,LARGE(AB207:AC207,1),"")</f>
        <v/>
      </c>
      <c r="AF207" s="65" t="str">
        <f aca="false">IF(ISBLANK($C207),"",IF($Z207&lt;&gt;Constants!$B$7,$Z207,AE207*S207))</f>
        <v/>
      </c>
      <c r="AG207" s="65" t="str">
        <f aca="false">IF(ISBLANK($C207),"",IF($Z207=Constants!$B$7,IF(ISNUMBER(AF207),RANK(AF207,$AF$8:$AF$507),Constants!$B$14),$Z207))</f>
        <v/>
      </c>
      <c r="AH207" s="65" t="str">
        <f aca="false">IF(ISBLANK($C207),"",IF($Z207=Constants!$B$7,IF(ISNUMBER(AG207),COUNTIFS($AA$8:$AA$507,"&lt;"&amp;$AA207)+COUNTIFS($AA$8:$AA$507,$AA207,$AG$8:$AG$507,"&lt;"&amp;$AG207)+1,Constants!$B$14),$Z207))</f>
        <v/>
      </c>
      <c r="AI207" s="65" t="str">
        <f aca="false">IF(ISBLANK($C207),"",IF($Z207=Constants!$B$7,LARGE(AB207:AC207,2)*S207,""))</f>
        <v/>
      </c>
      <c r="AJ207" s="65" t="str">
        <f aca="false">IF(ISBLANK($C207),"",IF($Z207=Constants!$B$7,RANK(AI207,$AI$8:$AI$507),$Z207))</f>
        <v/>
      </c>
      <c r="AK207" s="65" t="str">
        <f aca="false">IF(ISBLANK($C207),"",IF($Z207=Constants!$B$7,IF(ISNUMBER(AG207),COUNTIFS($AA$8:$AA$507,"&lt;"&amp;$AA207)+COUNTIFS($AA$8:$AA$507,$AA207,$AG$8:$AG$507,"&lt;"&amp;$AG207)+COUNTIFS($AA$8:$AA$507,$AA207,$AG$8:$AG$507,$AG207,$AJ$8:$AJ$507,"&lt;"&amp;$AJ207)+1,Constants!$B$14),$Z207))</f>
        <v/>
      </c>
      <c r="AL207" s="65" t="str">
        <f aca="false">IF(ISBLANK($C207),"",IF($Z207=Constants!$B$7,IF(ISNUMBER(AH207),AH207-AK207,Constants!$B$14),$Z207))</f>
        <v/>
      </c>
      <c r="AM207" s="67"/>
      <c r="AN207" s="68" t="str">
        <f aca="false">IF(ISBLANK($C207),"",IF($Z207&lt;&gt;Constants!$B$7,$Z207,AD207))</f>
        <v/>
      </c>
      <c r="AO207" s="69" t="str">
        <f aca="false">IF(ISBLANK($C207),"",IF($Z207&lt;&gt;Constants!$B$7,$Z207,S207))</f>
        <v/>
      </c>
      <c r="AP207" s="70" t="str">
        <f aca="false">IF(ISBLANK($C207),"",IF($Z207&lt;&gt;Constants!$B$7,$Z207,AF207))</f>
        <v/>
      </c>
      <c r="AQ207" s="71" t="str">
        <f aca="false">IF(ISBLANK($C207),"",IF($Z207&lt;&gt;Constants!$B$7,$Z207,AA207))</f>
        <v/>
      </c>
      <c r="AR207" s="69" t="str">
        <f aca="false">IF(ISBLANK($C207),"",AL207)</f>
        <v/>
      </c>
      <c r="AS207" s="69" t="str">
        <f aca="false">IF(ISBLANK($C207),"",AK207)</f>
        <v/>
      </c>
      <c r="AT207" s="72" t="str">
        <f aca="false">IF(ISBLANK($C207),"",IF(AS207=Constants!$B$4,COUNTA($C$8:$C$507)+2,IF(AS207=Constants!$B$5,COUNTA($C$8:$C$507)+1,IF(AS207=Constants!$B$6,COUNTA($C$8:$C$507),AS207))))</f>
        <v/>
      </c>
      <c r="AU207" s="5"/>
      <c r="AV207" s="73" t="n">
        <f aca="false">IF(OR(ISNUMBER(AS207),AS207=Constants!$B$4,AS207=Constants!$B$6,AS207=Constants!$B$5),1,0)</f>
        <v>0</v>
      </c>
      <c r="AW207" s="73" t="n">
        <v>200</v>
      </c>
      <c r="AX207" s="73" t="str">
        <f aca="false">IF(ISBLANK($C207),"",IF(ISNUMBER(AT207),AT207+ROW($B207)/1000,""))</f>
        <v/>
      </c>
      <c r="AY207" s="73" t="str">
        <f aca="false">IF(ISNUMBER(AX207),RANK(AX207,$AX$8:$AX$507,1),"")</f>
        <v/>
      </c>
      <c r="AZ207" s="73" t="str">
        <f aca="false">IF(ISBLANK($C207),"",$B207)</f>
        <v/>
      </c>
      <c r="BA207" s="73" t="str">
        <f aca="false">IF(ISBLANK($C207),"",$C207)</f>
        <v/>
      </c>
      <c r="BB207" s="73" t="str">
        <f aca="false">IF(ISBLANK($C207),"",$D207)</f>
        <v/>
      </c>
      <c r="BC207" s="74" t="str">
        <f aca="false">AQ207</f>
        <v/>
      </c>
      <c r="BD207" s="75" t="str">
        <f aca="false">AP207</f>
        <v/>
      </c>
      <c r="BE207" s="73" t="str">
        <f aca="false">IF(ISBLANK($C207),"",AS207)</f>
        <v/>
      </c>
      <c r="BF207" s="76" t="str">
        <f aca="false">IF($AW207&gt;$AV$7,"",VLOOKUP($AW207,$AY$8:$BE$507,7,FALSE()))</f>
        <v/>
      </c>
      <c r="BG207" s="77" t="str">
        <f aca="false">IF($AW207&gt;$AV$7,"",VLOOKUP($AW207,$AY$8:$BE$507,2,FALSE()))</f>
        <v/>
      </c>
      <c r="BH207" s="77" t="str">
        <f aca="false">IF($AW207&gt;$AV$7,"",VLOOKUP($AW207,$AY$8:$BE$507,3,FALSE()))</f>
        <v/>
      </c>
      <c r="BI207" s="77" t="str">
        <f aca="false">IF($AW207&gt;$AV$7,"",VLOOKUP($AW207,$AY$8:$BE$507,4,FALSE()))</f>
        <v/>
      </c>
      <c r="BJ207" s="77" t="str">
        <f aca="false">IF($AW207&gt;$AV$7,"",VLOOKUP($AW207,$AY$8:$BE$507,5,FALSE()))</f>
        <v/>
      </c>
      <c r="BK207" s="78" t="str">
        <f aca="false">IF($AW207&gt;$AV$7,"",VLOOKUP($AW207,$AY$8:$BE$507,6,FALSE()))</f>
        <v/>
      </c>
      <c r="BL207" s="50"/>
    </row>
    <row r="208" customFormat="false" ht="15.75" hidden="false" customHeight="false" outlineLevel="0" collapsed="false">
      <c r="A208" s="5"/>
      <c r="B208" s="131"/>
      <c r="C208" s="52"/>
      <c r="D208" s="53"/>
      <c r="E208" s="80"/>
      <c r="F208" s="132"/>
      <c r="G208" s="56"/>
      <c r="H208" s="133"/>
      <c r="I208" s="134"/>
      <c r="J208" s="59"/>
      <c r="K208" s="60"/>
      <c r="L208" s="134"/>
      <c r="M208" s="61"/>
      <c r="N208" s="62"/>
      <c r="O208" s="80"/>
      <c r="P208" s="64"/>
      <c r="Q208" s="65" t="str">
        <f aca="false">IF(ISBLANK($C208),"",IF(E208=Constants!$B$2, TRUE(), IF(E208=Constants!$B$3, FALSE(), TRUE())))</f>
        <v/>
      </c>
      <c r="R208" s="65" t="str">
        <f aca="false">IF(ISBLANK($C208),"",IF(F208=Constants!$B$2, TRUE(), IF(F208=Constants!$B$3, FALSE(), TRUE())))</f>
        <v/>
      </c>
      <c r="S208" s="65" t="str">
        <f aca="false">IF(ISBLANK($C208),"",IF(G208=Constants!$B$15,Constants!$B$8,IF(G208=Constants!$B$16,Constants!$B$9,Constants!$B$10)))</f>
        <v/>
      </c>
      <c r="T208" s="65" t="str">
        <f aca="false">IF(ISBLANK($C208),"",IF(H208=Constants!$B$2, TRUE(), IF(H208=Constants!$B$3, FALSE(), TRUE())))</f>
        <v/>
      </c>
      <c r="U208" s="65" t="str">
        <f aca="false">IF(ISBLANK($C208),"",IF(I208=Constants!$B$19,Constants!$B$19,Constants!$B$18))</f>
        <v/>
      </c>
      <c r="V208" s="65" t="str">
        <f aca="false">IF(ISBLANK($C208),"",IF(COUNTA(J208:K208)=0,"",IF(AND(OR(ISBLANK(J208),AND(ISNUMBER(J208),J208&gt;=0)),OR(ISBLANK(K208),AND(ISNUMBER(K208),K208&gt;=0))),60*IF(ISBLANK(J208),0,J208)+IF(ISBLANK(K208),0,K208),"")))</f>
        <v/>
      </c>
      <c r="W208" s="65" t="str">
        <f aca="false">IF(ISBLANK($C208),"",IF(L208=Constants!$B$19,Constants!$B$19,Constants!$B$18))</f>
        <v/>
      </c>
      <c r="X208" s="65" t="str">
        <f aca="false">IF(ISBLANK($C208),"",IF(COUNTA(M208:N208)=0,"",IF(AND(OR(ISBLANK(M208),AND(ISNUMBER(M208),M208&gt;=0)),OR(ISBLANK(N208),AND(ISNUMBER(N208),N208&gt;=0))),60*IF(ISBLANK(M208),0,M208)+IF(ISBLANK(N208),0,N208),"")))</f>
        <v/>
      </c>
      <c r="Y208" s="65" t="str">
        <f aca="false">IF(ISBLANK($C208),"",IF(O208=Constants!$B$2, TRUE(), IF(O208=Constants!$B$3, FALSE(), FALSE())))</f>
        <v/>
      </c>
      <c r="Z208" s="65" t="str">
        <f aca="false">IF(ISBLANK($C208),"",IF(Y208,Constants!$B$4,IF(COUNTA(E208:N208)=0,Constants!$B$5,IF(COUNTA(J208:K208,M208:N208)=0,Constants!$B$6,Constants!$B$7))))</f>
        <v/>
      </c>
      <c r="AA208" s="65" t="str">
        <f aca="false">IF(ISBLANK($C208),"",IF($Z208&lt;&gt;Constants!$B$7,$Z208,IF(OR(NOT(T208),AND(NOT(Q208),COUNTIFS(U208:W208,Constants!$B$18,V208:X208,"&gt;=0")&gt;0),AND(NOT(R208),COUNTIFS(U208:W208,Constants!$B$19,V208:X208,"&gt;=0")&gt;0)),Constants!$B$12,Constants!$B$11)))</f>
        <v/>
      </c>
      <c r="AB208" s="65" t="str">
        <f aca="false">IF($Z208=Constants!$B$7,IF(V208="",Constants!$B$13,V208),"")</f>
        <v/>
      </c>
      <c r="AC208" s="65" t="str">
        <f aca="false">IF($Z208=Constants!$B$7,IF(X208="",Constants!$B$13,X208),"")</f>
        <v/>
      </c>
      <c r="AD208" s="65" t="str">
        <f aca="false">IF($Z208=Constants!$B$7,IF($AB208&gt;=$AC208,1,2),"")</f>
        <v/>
      </c>
      <c r="AE208" s="65" t="str">
        <f aca="false">IF($Z208=Constants!$B$7,LARGE(AB208:AC208,1),"")</f>
        <v/>
      </c>
      <c r="AF208" s="65" t="str">
        <f aca="false">IF(ISBLANK($C208),"",IF($Z208&lt;&gt;Constants!$B$7,$Z208,AE208*S208))</f>
        <v/>
      </c>
      <c r="AG208" s="65" t="str">
        <f aca="false">IF(ISBLANK($C208),"",IF($Z208=Constants!$B$7,IF(ISNUMBER(AF208),RANK(AF208,$AF$8:$AF$507),Constants!$B$14),$Z208))</f>
        <v/>
      </c>
      <c r="AH208" s="65" t="str">
        <f aca="false">IF(ISBLANK($C208),"",IF($Z208=Constants!$B$7,IF(ISNUMBER(AG208),COUNTIFS($AA$8:$AA$507,"&lt;"&amp;$AA208)+COUNTIFS($AA$8:$AA$507,$AA208,$AG$8:$AG$507,"&lt;"&amp;$AG208)+1,Constants!$B$14),$Z208))</f>
        <v/>
      </c>
      <c r="AI208" s="65" t="str">
        <f aca="false">IF(ISBLANK($C208),"",IF($Z208=Constants!$B$7,LARGE(AB208:AC208,2)*S208,""))</f>
        <v/>
      </c>
      <c r="AJ208" s="65" t="str">
        <f aca="false">IF(ISBLANK($C208),"",IF($Z208=Constants!$B$7,RANK(AI208,$AI$8:$AI$507),$Z208))</f>
        <v/>
      </c>
      <c r="AK208" s="65" t="str">
        <f aca="false">IF(ISBLANK($C208),"",IF($Z208=Constants!$B$7,IF(ISNUMBER(AG208),COUNTIFS($AA$8:$AA$507,"&lt;"&amp;$AA208)+COUNTIFS($AA$8:$AA$507,$AA208,$AG$8:$AG$507,"&lt;"&amp;$AG208)+COUNTIFS($AA$8:$AA$507,$AA208,$AG$8:$AG$507,$AG208,$AJ$8:$AJ$507,"&lt;"&amp;$AJ208)+1,Constants!$B$14),$Z208))</f>
        <v/>
      </c>
      <c r="AL208" s="65" t="str">
        <f aca="false">IF(ISBLANK($C208),"",IF($Z208=Constants!$B$7,IF(ISNUMBER(AH208),AH208-AK208,Constants!$B$14),$Z208))</f>
        <v/>
      </c>
      <c r="AM208" s="67"/>
      <c r="AN208" s="68" t="str">
        <f aca="false">IF(ISBLANK($C208),"",IF($Z208&lt;&gt;Constants!$B$7,$Z208,AD208))</f>
        <v/>
      </c>
      <c r="AO208" s="69" t="str">
        <f aca="false">IF(ISBLANK($C208),"",IF($Z208&lt;&gt;Constants!$B$7,$Z208,S208))</f>
        <v/>
      </c>
      <c r="AP208" s="70" t="str">
        <f aca="false">IF(ISBLANK($C208),"",IF($Z208&lt;&gt;Constants!$B$7,$Z208,AF208))</f>
        <v/>
      </c>
      <c r="AQ208" s="71" t="str">
        <f aca="false">IF(ISBLANK($C208),"",IF($Z208&lt;&gt;Constants!$B$7,$Z208,AA208))</f>
        <v/>
      </c>
      <c r="AR208" s="69" t="str">
        <f aca="false">IF(ISBLANK($C208),"",AL208)</f>
        <v/>
      </c>
      <c r="AS208" s="69" t="str">
        <f aca="false">IF(ISBLANK($C208),"",AK208)</f>
        <v/>
      </c>
      <c r="AT208" s="72" t="str">
        <f aca="false">IF(ISBLANK($C208),"",IF(AS208=Constants!$B$4,COUNTA($C$8:$C$507)+2,IF(AS208=Constants!$B$5,COUNTA($C$8:$C$507)+1,IF(AS208=Constants!$B$6,COUNTA($C$8:$C$507),AS208))))</f>
        <v/>
      </c>
      <c r="AU208" s="5"/>
      <c r="AV208" s="73" t="n">
        <f aca="false">IF(OR(ISNUMBER(AS208),AS208=Constants!$B$4,AS208=Constants!$B$6,AS208=Constants!$B$5),1,0)</f>
        <v>0</v>
      </c>
      <c r="AW208" s="73" t="n">
        <v>201</v>
      </c>
      <c r="AX208" s="73" t="str">
        <f aca="false">IF(ISBLANK($C208),"",IF(ISNUMBER(AT208),AT208+ROW($B208)/1000,""))</f>
        <v/>
      </c>
      <c r="AY208" s="73" t="str">
        <f aca="false">IF(ISNUMBER(AX208),RANK(AX208,$AX$8:$AX$507,1),"")</f>
        <v/>
      </c>
      <c r="AZ208" s="73" t="str">
        <f aca="false">IF(ISBLANK($C208),"",$B208)</f>
        <v/>
      </c>
      <c r="BA208" s="73" t="str">
        <f aca="false">IF(ISBLANK($C208),"",$C208)</f>
        <v/>
      </c>
      <c r="BB208" s="73" t="str">
        <f aca="false">IF(ISBLANK($C208),"",$D208)</f>
        <v/>
      </c>
      <c r="BC208" s="74" t="str">
        <f aca="false">AQ208</f>
        <v/>
      </c>
      <c r="BD208" s="75" t="str">
        <f aca="false">AP208</f>
        <v/>
      </c>
      <c r="BE208" s="73" t="str">
        <f aca="false">IF(ISBLANK($C208),"",AS208)</f>
        <v/>
      </c>
      <c r="BF208" s="76" t="str">
        <f aca="false">IF($AW208&gt;$AV$7,"",VLOOKUP($AW208,$AY$8:$BE$507,7,FALSE()))</f>
        <v/>
      </c>
      <c r="BG208" s="77" t="str">
        <f aca="false">IF($AW208&gt;$AV$7,"",VLOOKUP($AW208,$AY$8:$BE$507,2,FALSE()))</f>
        <v/>
      </c>
      <c r="BH208" s="77" t="str">
        <f aca="false">IF($AW208&gt;$AV$7,"",VLOOKUP($AW208,$AY$8:$BE$507,3,FALSE()))</f>
        <v/>
      </c>
      <c r="BI208" s="77" t="str">
        <f aca="false">IF($AW208&gt;$AV$7,"",VLOOKUP($AW208,$AY$8:$BE$507,4,FALSE()))</f>
        <v/>
      </c>
      <c r="BJ208" s="77" t="str">
        <f aca="false">IF($AW208&gt;$AV$7,"",VLOOKUP($AW208,$AY$8:$BE$507,5,FALSE()))</f>
        <v/>
      </c>
      <c r="BK208" s="78" t="str">
        <f aca="false">IF($AW208&gt;$AV$7,"",VLOOKUP($AW208,$AY$8:$BE$507,6,FALSE()))</f>
        <v/>
      </c>
      <c r="BL208" s="50"/>
    </row>
    <row r="209" customFormat="false" ht="15.75" hidden="false" customHeight="false" outlineLevel="0" collapsed="false">
      <c r="A209" s="5"/>
      <c r="B209" s="124"/>
      <c r="C209" s="125"/>
      <c r="D209" s="110"/>
      <c r="E209" s="130"/>
      <c r="F209" s="135"/>
      <c r="G209" s="88"/>
      <c r="H209" s="136"/>
      <c r="I209" s="137"/>
      <c r="J209" s="91"/>
      <c r="K209" s="92"/>
      <c r="L209" s="137"/>
      <c r="M209" s="93"/>
      <c r="N209" s="94"/>
      <c r="O209" s="130"/>
      <c r="P209" s="96"/>
      <c r="Q209" s="97" t="str">
        <f aca="false">IF(ISBLANK($C209),"",IF(E209=Constants!$B$2, TRUE(), IF(E209=Constants!$B$3, FALSE(), TRUE())))</f>
        <v/>
      </c>
      <c r="R209" s="97" t="str">
        <f aca="false">IF(ISBLANK($C209),"",IF(F209=Constants!$B$2, TRUE(), IF(F209=Constants!$B$3, FALSE(), TRUE())))</f>
        <v/>
      </c>
      <c r="S209" s="97" t="str">
        <f aca="false">IF(ISBLANK($C209),"",IF(G209=Constants!$B$15,Constants!$B$8,IF(G209=Constants!$B$16,Constants!$B$9,Constants!$B$10)))</f>
        <v/>
      </c>
      <c r="T209" s="97" t="str">
        <f aca="false">IF(ISBLANK($C209),"",IF(H209=Constants!$B$2, TRUE(), IF(H209=Constants!$B$3, FALSE(), TRUE())))</f>
        <v/>
      </c>
      <c r="U209" s="97" t="str">
        <f aca="false">IF(ISBLANK($C209),"",IF(I209=Constants!$B$19,Constants!$B$19,Constants!$B$18))</f>
        <v/>
      </c>
      <c r="V209" s="97" t="str">
        <f aca="false">IF(ISBLANK($C209),"",IF(COUNTA(J209:K209)=0,"",IF(AND(OR(ISBLANK(J209),AND(ISNUMBER(J209),J209&gt;=0)),OR(ISBLANK(K209),AND(ISNUMBER(K209),K209&gt;=0))),60*IF(ISBLANK(J209),0,J209)+IF(ISBLANK(K209),0,K209),"")))</f>
        <v/>
      </c>
      <c r="W209" s="97" t="str">
        <f aca="false">IF(ISBLANK($C209),"",IF(L209=Constants!$B$19,Constants!$B$19,Constants!$B$18))</f>
        <v/>
      </c>
      <c r="X209" s="97" t="str">
        <f aca="false">IF(ISBLANK($C209),"",IF(COUNTA(M209:N209)=0,"",IF(AND(OR(ISBLANK(M209),AND(ISNUMBER(M209),M209&gt;=0)),OR(ISBLANK(N209),AND(ISNUMBER(N209),N209&gt;=0))),60*IF(ISBLANK(M209),0,M209)+IF(ISBLANK(N209),0,N209),"")))</f>
        <v/>
      </c>
      <c r="Y209" s="97" t="str">
        <f aca="false">IF(ISBLANK($C209),"",IF(O209=Constants!$B$2, TRUE(), IF(O209=Constants!$B$3, FALSE(), FALSE())))</f>
        <v/>
      </c>
      <c r="Z209" s="97" t="str">
        <f aca="false">IF(ISBLANK($C209),"",IF(Y209,Constants!$B$4,IF(COUNTA(E209:N209)=0,Constants!$B$5,IF(COUNTA(J209:K209,M209:N209)=0,Constants!$B$6,Constants!$B$7))))</f>
        <v/>
      </c>
      <c r="AA209" s="97" t="str">
        <f aca="false">IF(ISBLANK($C209),"",IF($Z209&lt;&gt;Constants!$B$7,$Z209,IF(OR(NOT(T209),AND(NOT(Q209),COUNTIFS(U209:W209,Constants!$B$18,V209:X209,"&gt;=0")&gt;0),AND(NOT(R209),COUNTIFS(U209:W209,Constants!$B$19,V209:X209,"&gt;=0")&gt;0)),Constants!$B$12,Constants!$B$11)))</f>
        <v/>
      </c>
      <c r="AB209" s="97" t="str">
        <f aca="false">IF($Z209=Constants!$B$7,IF(V209="",Constants!$B$13,V209),"")</f>
        <v/>
      </c>
      <c r="AC209" s="97" t="str">
        <f aca="false">IF($Z209=Constants!$B$7,IF(X209="",Constants!$B$13,X209),"")</f>
        <v/>
      </c>
      <c r="AD209" s="97" t="str">
        <f aca="false">IF($Z209=Constants!$B$7,IF($AB209&gt;=$AC209,1,2),"")</f>
        <v/>
      </c>
      <c r="AE209" s="97" t="str">
        <f aca="false">IF($Z209=Constants!$B$7,LARGE(AB209:AC209,1),"")</f>
        <v/>
      </c>
      <c r="AF209" s="97" t="str">
        <f aca="false">IF(ISBLANK($C209),"",IF($Z209&lt;&gt;Constants!$B$7,$Z209,AE209*S209))</f>
        <v/>
      </c>
      <c r="AG209" s="97" t="str">
        <f aca="false">IF(ISBLANK($C209),"",IF($Z209=Constants!$B$7,IF(ISNUMBER(AF209),RANK(AF209,$AF$8:$AF$507),Constants!$B$14),$Z209))</f>
        <v/>
      </c>
      <c r="AH209" s="97" t="str">
        <f aca="false">IF(ISBLANK($C209),"",IF($Z209=Constants!$B$7,IF(ISNUMBER(AG209),COUNTIFS($AA$8:$AA$507,"&lt;"&amp;$AA209)+COUNTIFS($AA$8:$AA$507,$AA209,$AG$8:$AG$507,"&lt;"&amp;$AG209)+1,Constants!$B$14),$Z209))</f>
        <v/>
      </c>
      <c r="AI209" s="97" t="str">
        <f aca="false">IF(ISBLANK($C209),"",IF($Z209=Constants!$B$7,LARGE(AB209:AC209,2)*S209,""))</f>
        <v/>
      </c>
      <c r="AJ209" s="97" t="str">
        <f aca="false">IF(ISBLANK($C209),"",IF($Z209=Constants!$B$7,RANK(AI209,$AI$8:$AI$507),$Z209))</f>
        <v/>
      </c>
      <c r="AK209" s="97" t="str">
        <f aca="false">IF(ISBLANK($C209),"",IF($Z209=Constants!$B$7,IF(ISNUMBER(AG209),COUNTIFS($AA$8:$AA$507,"&lt;"&amp;$AA209)+COUNTIFS($AA$8:$AA$507,$AA209,$AG$8:$AG$507,"&lt;"&amp;$AG209)+COUNTIFS($AA$8:$AA$507,$AA209,$AG$8:$AG$507,$AG209,$AJ$8:$AJ$507,"&lt;"&amp;$AJ209)+1,Constants!$B$14),$Z209))</f>
        <v/>
      </c>
      <c r="AL209" s="97" t="str">
        <f aca="false">IF(ISBLANK($C209),"",IF($Z209=Constants!$B$7,IF(ISNUMBER(AH209),AH209-AK209,Constants!$B$14),$Z209))</f>
        <v/>
      </c>
      <c r="AM209" s="98"/>
      <c r="AN209" s="99" t="str">
        <f aca="false">IF(ISBLANK($C209),"",IF($Z209&lt;&gt;Constants!$B$7,$Z209,AD209))</f>
        <v/>
      </c>
      <c r="AO209" s="100" t="str">
        <f aca="false">IF(ISBLANK($C209),"",IF($Z209&lt;&gt;Constants!$B$7,$Z209,S209))</f>
        <v/>
      </c>
      <c r="AP209" s="101" t="str">
        <f aca="false">IF(ISBLANK($C209),"",IF($Z209&lt;&gt;Constants!$B$7,$Z209,AF209))</f>
        <v/>
      </c>
      <c r="AQ209" s="102" t="str">
        <f aca="false">IF(ISBLANK($C209),"",IF($Z209&lt;&gt;Constants!$B$7,$Z209,AA209))</f>
        <v/>
      </c>
      <c r="AR209" s="100" t="str">
        <f aca="false">IF(ISBLANK($C209),"",AL209)</f>
        <v/>
      </c>
      <c r="AS209" s="100" t="str">
        <f aca="false">IF(ISBLANK($C209),"",AK209)</f>
        <v/>
      </c>
      <c r="AT209" s="103" t="str">
        <f aca="false">IF(ISBLANK($C209),"",IF(AS209=Constants!$B$4,COUNTA($C$8:$C$507)+2,IF(AS209=Constants!$B$5,COUNTA($C$8:$C$507)+1,IF(AS209=Constants!$B$6,COUNTA($C$8:$C$507),AS209))))</f>
        <v/>
      </c>
      <c r="AU209" s="5"/>
      <c r="AV209" s="104" t="n">
        <f aca="false">IF(OR(ISNUMBER(AS209),AS209=Constants!$B$4,AS209=Constants!$B$6,AS209=Constants!$B$5),1,0)</f>
        <v>0</v>
      </c>
      <c r="AW209" s="104" t="n">
        <v>202</v>
      </c>
      <c r="AX209" s="104" t="str">
        <f aca="false">IF(ISBLANK($C209),"",IF(ISNUMBER(AT209),AT209+ROW($B209)/1000,""))</f>
        <v/>
      </c>
      <c r="AY209" s="104" t="str">
        <f aca="false">IF(ISNUMBER(AX209),RANK(AX209,$AX$8:$AX$507,1),"")</f>
        <v/>
      </c>
      <c r="AZ209" s="104" t="str">
        <f aca="false">IF(ISBLANK($C209),"",$B209)</f>
        <v/>
      </c>
      <c r="BA209" s="104" t="str">
        <f aca="false">IF(ISBLANK($C209),"",$C209)</f>
        <v/>
      </c>
      <c r="BB209" s="104" t="str">
        <f aca="false">IF(ISBLANK($C209),"",$D209)</f>
        <v/>
      </c>
      <c r="BC209" s="105" t="str">
        <f aca="false">AQ209</f>
        <v/>
      </c>
      <c r="BD209" s="106" t="str">
        <f aca="false">AP209</f>
        <v/>
      </c>
      <c r="BE209" s="104" t="str">
        <f aca="false">IF(ISBLANK($C209),"",AS209)</f>
        <v/>
      </c>
      <c r="BF209" s="107" t="str">
        <f aca="false">IF($AW209&gt;$AV$7,"",VLOOKUP($AW209,$AY$8:$BE$507,7,FALSE()))</f>
        <v/>
      </c>
      <c r="BG209" s="108" t="str">
        <f aca="false">IF($AW209&gt;$AV$7,"",VLOOKUP($AW209,$AY$8:$BE$507,2,FALSE()))</f>
        <v/>
      </c>
      <c r="BH209" s="108" t="str">
        <f aca="false">IF($AW209&gt;$AV$7,"",VLOOKUP($AW209,$AY$8:$BE$507,3,FALSE()))</f>
        <v/>
      </c>
      <c r="BI209" s="108" t="str">
        <f aca="false">IF($AW209&gt;$AV$7,"",VLOOKUP($AW209,$AY$8:$BE$507,4,FALSE()))</f>
        <v/>
      </c>
      <c r="BJ209" s="108" t="str">
        <f aca="false">IF($AW209&gt;$AV$7,"",VLOOKUP($AW209,$AY$8:$BE$507,5,FALSE()))</f>
        <v/>
      </c>
      <c r="BK209" s="109" t="str">
        <f aca="false">IF($AW209&gt;$AV$7,"",VLOOKUP($AW209,$AY$8:$BE$507,6,FALSE()))</f>
        <v/>
      </c>
      <c r="BL209" s="50"/>
    </row>
    <row r="210" customFormat="false" ht="15.75" hidden="false" customHeight="false" outlineLevel="0" collapsed="false">
      <c r="A210" s="5"/>
      <c r="B210" s="124"/>
      <c r="C210" s="125"/>
      <c r="D210" s="110"/>
      <c r="E210" s="130"/>
      <c r="F210" s="135"/>
      <c r="G210" s="88"/>
      <c r="H210" s="136"/>
      <c r="I210" s="137"/>
      <c r="J210" s="91"/>
      <c r="K210" s="92"/>
      <c r="L210" s="137"/>
      <c r="M210" s="93"/>
      <c r="N210" s="94"/>
      <c r="O210" s="130"/>
      <c r="P210" s="96"/>
      <c r="Q210" s="97" t="str">
        <f aca="false">IF(ISBLANK($C210),"",IF(E210=Constants!$B$2, TRUE(), IF(E210=Constants!$B$3, FALSE(), TRUE())))</f>
        <v/>
      </c>
      <c r="R210" s="97" t="str">
        <f aca="false">IF(ISBLANK($C210),"",IF(F210=Constants!$B$2, TRUE(), IF(F210=Constants!$B$3, FALSE(), TRUE())))</f>
        <v/>
      </c>
      <c r="S210" s="97" t="str">
        <f aca="false">IF(ISBLANK($C210),"",IF(G210=Constants!$B$15,Constants!$B$8,IF(G210=Constants!$B$16,Constants!$B$9,Constants!$B$10)))</f>
        <v/>
      </c>
      <c r="T210" s="97" t="str">
        <f aca="false">IF(ISBLANK($C210),"",IF(H210=Constants!$B$2, TRUE(), IF(H210=Constants!$B$3, FALSE(), TRUE())))</f>
        <v/>
      </c>
      <c r="U210" s="97" t="str">
        <f aca="false">IF(ISBLANK($C210),"",IF(I210=Constants!$B$19,Constants!$B$19,Constants!$B$18))</f>
        <v/>
      </c>
      <c r="V210" s="97" t="str">
        <f aca="false">IF(ISBLANK($C210),"",IF(COUNTA(J210:K210)=0,"",IF(AND(OR(ISBLANK(J210),AND(ISNUMBER(J210),J210&gt;=0)),OR(ISBLANK(K210),AND(ISNUMBER(K210),K210&gt;=0))),60*IF(ISBLANK(J210),0,J210)+IF(ISBLANK(K210),0,K210),"")))</f>
        <v/>
      </c>
      <c r="W210" s="97" t="str">
        <f aca="false">IF(ISBLANK($C210),"",IF(L210=Constants!$B$19,Constants!$B$19,Constants!$B$18))</f>
        <v/>
      </c>
      <c r="X210" s="97" t="str">
        <f aca="false">IF(ISBLANK($C210),"",IF(COUNTA(M210:N210)=0,"",IF(AND(OR(ISBLANK(M210),AND(ISNUMBER(M210),M210&gt;=0)),OR(ISBLANK(N210),AND(ISNUMBER(N210),N210&gt;=0))),60*IF(ISBLANK(M210),0,M210)+IF(ISBLANK(N210),0,N210),"")))</f>
        <v/>
      </c>
      <c r="Y210" s="97" t="str">
        <f aca="false">IF(ISBLANK($C210),"",IF(O210=Constants!$B$2, TRUE(), IF(O210=Constants!$B$3, FALSE(), FALSE())))</f>
        <v/>
      </c>
      <c r="Z210" s="97" t="str">
        <f aca="false">IF(ISBLANK($C210),"",IF(Y210,Constants!$B$4,IF(COUNTA(E210:N210)=0,Constants!$B$5,IF(COUNTA(J210:K210,M210:N210)=0,Constants!$B$6,Constants!$B$7))))</f>
        <v/>
      </c>
      <c r="AA210" s="97" t="str">
        <f aca="false">IF(ISBLANK($C210),"",IF($Z210&lt;&gt;Constants!$B$7,$Z210,IF(OR(NOT(T210),AND(NOT(Q210),COUNTIFS(U210:W210,Constants!$B$18,V210:X210,"&gt;=0")&gt;0),AND(NOT(R210),COUNTIFS(U210:W210,Constants!$B$19,V210:X210,"&gt;=0")&gt;0)),Constants!$B$12,Constants!$B$11)))</f>
        <v/>
      </c>
      <c r="AB210" s="97" t="str">
        <f aca="false">IF($Z210=Constants!$B$7,IF(V210="",Constants!$B$13,V210),"")</f>
        <v/>
      </c>
      <c r="AC210" s="97" t="str">
        <f aca="false">IF($Z210=Constants!$B$7,IF(X210="",Constants!$B$13,X210),"")</f>
        <v/>
      </c>
      <c r="AD210" s="97" t="str">
        <f aca="false">IF($Z210=Constants!$B$7,IF($AB210&gt;=$AC210,1,2),"")</f>
        <v/>
      </c>
      <c r="AE210" s="97" t="str">
        <f aca="false">IF($Z210=Constants!$B$7,LARGE(AB210:AC210,1),"")</f>
        <v/>
      </c>
      <c r="AF210" s="97" t="str">
        <f aca="false">IF(ISBLANK($C210),"",IF($Z210&lt;&gt;Constants!$B$7,$Z210,AE210*S210))</f>
        <v/>
      </c>
      <c r="AG210" s="97" t="str">
        <f aca="false">IF(ISBLANK($C210),"",IF($Z210=Constants!$B$7,IF(ISNUMBER(AF210),RANK(AF210,$AF$8:$AF$507),Constants!$B$14),$Z210))</f>
        <v/>
      </c>
      <c r="AH210" s="97" t="str">
        <f aca="false">IF(ISBLANK($C210),"",IF($Z210=Constants!$B$7,IF(ISNUMBER(AG210),COUNTIFS($AA$8:$AA$507,"&lt;"&amp;$AA210)+COUNTIFS($AA$8:$AA$507,$AA210,$AG$8:$AG$507,"&lt;"&amp;$AG210)+1,Constants!$B$14),$Z210))</f>
        <v/>
      </c>
      <c r="AI210" s="97" t="str">
        <f aca="false">IF(ISBLANK($C210),"",IF($Z210=Constants!$B$7,LARGE(AB210:AC210,2)*S210,""))</f>
        <v/>
      </c>
      <c r="AJ210" s="97" t="str">
        <f aca="false">IF(ISBLANK($C210),"",IF($Z210=Constants!$B$7,RANK(AI210,$AI$8:$AI$507),$Z210))</f>
        <v/>
      </c>
      <c r="AK210" s="97" t="str">
        <f aca="false">IF(ISBLANK($C210),"",IF($Z210=Constants!$B$7,IF(ISNUMBER(AG210),COUNTIFS($AA$8:$AA$507,"&lt;"&amp;$AA210)+COUNTIFS($AA$8:$AA$507,$AA210,$AG$8:$AG$507,"&lt;"&amp;$AG210)+COUNTIFS($AA$8:$AA$507,$AA210,$AG$8:$AG$507,$AG210,$AJ$8:$AJ$507,"&lt;"&amp;$AJ210)+1,Constants!$B$14),$Z210))</f>
        <v/>
      </c>
      <c r="AL210" s="97" t="str">
        <f aca="false">IF(ISBLANK($C210),"",IF($Z210=Constants!$B$7,IF(ISNUMBER(AH210),AH210-AK210,Constants!$B$14),$Z210))</f>
        <v/>
      </c>
      <c r="AM210" s="98"/>
      <c r="AN210" s="99" t="str">
        <f aca="false">IF(ISBLANK($C210),"",IF($Z210&lt;&gt;Constants!$B$7,$Z210,AD210))</f>
        <v/>
      </c>
      <c r="AO210" s="100" t="str">
        <f aca="false">IF(ISBLANK($C210),"",IF($Z210&lt;&gt;Constants!$B$7,$Z210,S210))</f>
        <v/>
      </c>
      <c r="AP210" s="101" t="str">
        <f aca="false">IF(ISBLANK($C210),"",IF($Z210&lt;&gt;Constants!$B$7,$Z210,AF210))</f>
        <v/>
      </c>
      <c r="AQ210" s="102" t="str">
        <f aca="false">IF(ISBLANK($C210),"",IF($Z210&lt;&gt;Constants!$B$7,$Z210,AA210))</f>
        <v/>
      </c>
      <c r="AR210" s="100" t="str">
        <f aca="false">IF(ISBLANK($C210),"",AL210)</f>
        <v/>
      </c>
      <c r="AS210" s="100" t="str">
        <f aca="false">IF(ISBLANK($C210),"",AK210)</f>
        <v/>
      </c>
      <c r="AT210" s="103" t="str">
        <f aca="false">IF(ISBLANK($C210),"",IF(AS210=Constants!$B$4,COUNTA($C$8:$C$507)+2,IF(AS210=Constants!$B$5,COUNTA($C$8:$C$507)+1,IF(AS210=Constants!$B$6,COUNTA($C$8:$C$507),AS210))))</f>
        <v/>
      </c>
      <c r="AU210" s="5"/>
      <c r="AV210" s="104" t="n">
        <f aca="false">IF(OR(ISNUMBER(AS210),AS210=Constants!$B$4,AS210=Constants!$B$6,AS210=Constants!$B$5),1,0)</f>
        <v>0</v>
      </c>
      <c r="AW210" s="104" t="n">
        <v>203</v>
      </c>
      <c r="AX210" s="104" t="str">
        <f aca="false">IF(ISBLANK($C210),"",IF(ISNUMBER(AT210),AT210+ROW($B210)/1000,""))</f>
        <v/>
      </c>
      <c r="AY210" s="104" t="str">
        <f aca="false">IF(ISNUMBER(AX210),RANK(AX210,$AX$8:$AX$507,1),"")</f>
        <v/>
      </c>
      <c r="AZ210" s="104" t="str">
        <f aca="false">IF(ISBLANK($C210),"",$B210)</f>
        <v/>
      </c>
      <c r="BA210" s="104" t="str">
        <f aca="false">IF(ISBLANK($C210),"",$C210)</f>
        <v/>
      </c>
      <c r="BB210" s="104" t="str">
        <f aca="false">IF(ISBLANK($C210),"",$D210)</f>
        <v/>
      </c>
      <c r="BC210" s="105" t="str">
        <f aca="false">AQ210</f>
        <v/>
      </c>
      <c r="BD210" s="106" t="str">
        <f aca="false">AP210</f>
        <v/>
      </c>
      <c r="BE210" s="104" t="str">
        <f aca="false">IF(ISBLANK($C210),"",AS210)</f>
        <v/>
      </c>
      <c r="BF210" s="107" t="str">
        <f aca="false">IF($AW210&gt;$AV$7,"",VLOOKUP($AW210,$AY$8:$BE$507,7,FALSE()))</f>
        <v/>
      </c>
      <c r="BG210" s="108" t="str">
        <f aca="false">IF($AW210&gt;$AV$7,"",VLOOKUP($AW210,$AY$8:$BE$507,2,FALSE()))</f>
        <v/>
      </c>
      <c r="BH210" s="108" t="str">
        <f aca="false">IF($AW210&gt;$AV$7,"",VLOOKUP($AW210,$AY$8:$BE$507,3,FALSE()))</f>
        <v/>
      </c>
      <c r="BI210" s="108" t="str">
        <f aca="false">IF($AW210&gt;$AV$7,"",VLOOKUP($AW210,$AY$8:$BE$507,4,FALSE()))</f>
        <v/>
      </c>
      <c r="BJ210" s="108" t="str">
        <f aca="false">IF($AW210&gt;$AV$7,"",VLOOKUP($AW210,$AY$8:$BE$507,5,FALSE()))</f>
        <v/>
      </c>
      <c r="BK210" s="109" t="str">
        <f aca="false">IF($AW210&gt;$AV$7,"",VLOOKUP($AW210,$AY$8:$BE$507,6,FALSE()))</f>
        <v/>
      </c>
      <c r="BL210" s="50"/>
    </row>
    <row r="211" customFormat="false" ht="15.75" hidden="false" customHeight="false" outlineLevel="0" collapsed="false">
      <c r="A211" s="5"/>
      <c r="B211" s="124"/>
      <c r="C211" s="125"/>
      <c r="D211" s="110"/>
      <c r="E211" s="130"/>
      <c r="F211" s="135"/>
      <c r="G211" s="88"/>
      <c r="H211" s="136"/>
      <c r="I211" s="137"/>
      <c r="J211" s="91"/>
      <c r="K211" s="92"/>
      <c r="L211" s="137"/>
      <c r="M211" s="93"/>
      <c r="N211" s="94"/>
      <c r="O211" s="130"/>
      <c r="P211" s="96"/>
      <c r="Q211" s="97" t="str">
        <f aca="false">IF(ISBLANK($C211),"",IF(E211=Constants!$B$2, TRUE(), IF(E211=Constants!$B$3, FALSE(), TRUE())))</f>
        <v/>
      </c>
      <c r="R211" s="97" t="str">
        <f aca="false">IF(ISBLANK($C211),"",IF(F211=Constants!$B$2, TRUE(), IF(F211=Constants!$B$3, FALSE(), TRUE())))</f>
        <v/>
      </c>
      <c r="S211" s="97" t="str">
        <f aca="false">IF(ISBLANK($C211),"",IF(G211=Constants!$B$15,Constants!$B$8,IF(G211=Constants!$B$16,Constants!$B$9,Constants!$B$10)))</f>
        <v/>
      </c>
      <c r="T211" s="97" t="str">
        <f aca="false">IF(ISBLANK($C211),"",IF(H211=Constants!$B$2, TRUE(), IF(H211=Constants!$B$3, FALSE(), TRUE())))</f>
        <v/>
      </c>
      <c r="U211" s="97" t="str">
        <f aca="false">IF(ISBLANK($C211),"",IF(I211=Constants!$B$19,Constants!$B$19,Constants!$B$18))</f>
        <v/>
      </c>
      <c r="V211" s="97" t="str">
        <f aca="false">IF(ISBLANK($C211),"",IF(COUNTA(J211:K211)=0,"",IF(AND(OR(ISBLANK(J211),AND(ISNUMBER(J211),J211&gt;=0)),OR(ISBLANK(K211),AND(ISNUMBER(K211),K211&gt;=0))),60*IF(ISBLANK(J211),0,J211)+IF(ISBLANK(K211),0,K211),"")))</f>
        <v/>
      </c>
      <c r="W211" s="97" t="str">
        <f aca="false">IF(ISBLANK($C211),"",IF(L211=Constants!$B$19,Constants!$B$19,Constants!$B$18))</f>
        <v/>
      </c>
      <c r="X211" s="97" t="str">
        <f aca="false">IF(ISBLANK($C211),"",IF(COUNTA(M211:N211)=0,"",IF(AND(OR(ISBLANK(M211),AND(ISNUMBER(M211),M211&gt;=0)),OR(ISBLANK(N211),AND(ISNUMBER(N211),N211&gt;=0))),60*IF(ISBLANK(M211),0,M211)+IF(ISBLANK(N211),0,N211),"")))</f>
        <v/>
      </c>
      <c r="Y211" s="97" t="str">
        <f aca="false">IF(ISBLANK($C211),"",IF(O211=Constants!$B$2, TRUE(), IF(O211=Constants!$B$3, FALSE(), FALSE())))</f>
        <v/>
      </c>
      <c r="Z211" s="97" t="str">
        <f aca="false">IF(ISBLANK($C211),"",IF(Y211,Constants!$B$4,IF(COUNTA(E211:N211)=0,Constants!$B$5,IF(COUNTA(J211:K211,M211:N211)=0,Constants!$B$6,Constants!$B$7))))</f>
        <v/>
      </c>
      <c r="AA211" s="97" t="str">
        <f aca="false">IF(ISBLANK($C211),"",IF($Z211&lt;&gt;Constants!$B$7,$Z211,IF(OR(NOT(T211),AND(NOT(Q211),COUNTIFS(U211:W211,Constants!$B$18,V211:X211,"&gt;=0")&gt;0),AND(NOT(R211),COUNTIFS(U211:W211,Constants!$B$19,V211:X211,"&gt;=0")&gt;0)),Constants!$B$12,Constants!$B$11)))</f>
        <v/>
      </c>
      <c r="AB211" s="97" t="str">
        <f aca="false">IF($Z211=Constants!$B$7,IF(V211="",Constants!$B$13,V211),"")</f>
        <v/>
      </c>
      <c r="AC211" s="97" t="str">
        <f aca="false">IF($Z211=Constants!$B$7,IF(X211="",Constants!$B$13,X211),"")</f>
        <v/>
      </c>
      <c r="AD211" s="97" t="str">
        <f aca="false">IF($Z211=Constants!$B$7,IF($AB211&gt;=$AC211,1,2),"")</f>
        <v/>
      </c>
      <c r="AE211" s="97" t="str">
        <f aca="false">IF($Z211=Constants!$B$7,LARGE(AB211:AC211,1),"")</f>
        <v/>
      </c>
      <c r="AF211" s="97" t="str">
        <f aca="false">IF(ISBLANK($C211),"",IF($Z211&lt;&gt;Constants!$B$7,$Z211,AE211*S211))</f>
        <v/>
      </c>
      <c r="AG211" s="97" t="str">
        <f aca="false">IF(ISBLANK($C211),"",IF($Z211=Constants!$B$7,IF(ISNUMBER(AF211),RANK(AF211,$AF$8:$AF$507),Constants!$B$14),$Z211))</f>
        <v/>
      </c>
      <c r="AH211" s="97" t="str">
        <f aca="false">IF(ISBLANK($C211),"",IF($Z211=Constants!$B$7,IF(ISNUMBER(AG211),COUNTIFS($AA$8:$AA$507,"&lt;"&amp;$AA211)+COUNTIFS($AA$8:$AA$507,$AA211,$AG$8:$AG$507,"&lt;"&amp;$AG211)+1,Constants!$B$14),$Z211))</f>
        <v/>
      </c>
      <c r="AI211" s="97" t="str">
        <f aca="false">IF(ISBLANK($C211),"",IF($Z211=Constants!$B$7,LARGE(AB211:AC211,2)*S211,""))</f>
        <v/>
      </c>
      <c r="AJ211" s="97" t="str">
        <f aca="false">IF(ISBLANK($C211),"",IF($Z211=Constants!$B$7,RANK(AI211,$AI$8:$AI$507),$Z211))</f>
        <v/>
      </c>
      <c r="AK211" s="97" t="str">
        <f aca="false">IF(ISBLANK($C211),"",IF($Z211=Constants!$B$7,IF(ISNUMBER(AG211),COUNTIFS($AA$8:$AA$507,"&lt;"&amp;$AA211)+COUNTIFS($AA$8:$AA$507,$AA211,$AG$8:$AG$507,"&lt;"&amp;$AG211)+COUNTIFS($AA$8:$AA$507,$AA211,$AG$8:$AG$507,$AG211,$AJ$8:$AJ$507,"&lt;"&amp;$AJ211)+1,Constants!$B$14),$Z211))</f>
        <v/>
      </c>
      <c r="AL211" s="97" t="str">
        <f aca="false">IF(ISBLANK($C211),"",IF($Z211=Constants!$B$7,IF(ISNUMBER(AH211),AH211-AK211,Constants!$B$14),$Z211))</f>
        <v/>
      </c>
      <c r="AM211" s="98"/>
      <c r="AN211" s="99" t="str">
        <f aca="false">IF(ISBLANK($C211),"",IF($Z211&lt;&gt;Constants!$B$7,$Z211,AD211))</f>
        <v/>
      </c>
      <c r="AO211" s="100" t="str">
        <f aca="false">IF(ISBLANK($C211),"",IF($Z211&lt;&gt;Constants!$B$7,$Z211,S211))</f>
        <v/>
      </c>
      <c r="AP211" s="101" t="str">
        <f aca="false">IF(ISBLANK($C211),"",IF($Z211&lt;&gt;Constants!$B$7,$Z211,AF211))</f>
        <v/>
      </c>
      <c r="AQ211" s="102" t="str">
        <f aca="false">IF(ISBLANK($C211),"",IF($Z211&lt;&gt;Constants!$B$7,$Z211,AA211))</f>
        <v/>
      </c>
      <c r="AR211" s="100" t="str">
        <f aca="false">IF(ISBLANK($C211),"",AL211)</f>
        <v/>
      </c>
      <c r="AS211" s="100" t="str">
        <f aca="false">IF(ISBLANK($C211),"",AK211)</f>
        <v/>
      </c>
      <c r="AT211" s="103" t="str">
        <f aca="false">IF(ISBLANK($C211),"",IF(AS211=Constants!$B$4,COUNTA($C$8:$C$507)+2,IF(AS211=Constants!$B$5,COUNTA($C$8:$C$507)+1,IF(AS211=Constants!$B$6,COUNTA($C$8:$C$507),AS211))))</f>
        <v/>
      </c>
      <c r="AU211" s="5"/>
      <c r="AV211" s="104" t="n">
        <f aca="false">IF(OR(ISNUMBER(AS211),AS211=Constants!$B$4,AS211=Constants!$B$6,AS211=Constants!$B$5),1,0)</f>
        <v>0</v>
      </c>
      <c r="AW211" s="104" t="n">
        <v>204</v>
      </c>
      <c r="AX211" s="104" t="str">
        <f aca="false">IF(ISBLANK($C211),"",IF(ISNUMBER(AT211),AT211+ROW($B211)/1000,""))</f>
        <v/>
      </c>
      <c r="AY211" s="104" t="str">
        <f aca="false">IF(ISNUMBER(AX211),RANK(AX211,$AX$8:$AX$507,1),"")</f>
        <v/>
      </c>
      <c r="AZ211" s="104" t="str">
        <f aca="false">IF(ISBLANK($C211),"",$B211)</f>
        <v/>
      </c>
      <c r="BA211" s="104" t="str">
        <f aca="false">IF(ISBLANK($C211),"",$C211)</f>
        <v/>
      </c>
      <c r="BB211" s="104" t="str">
        <f aca="false">IF(ISBLANK($C211),"",$D211)</f>
        <v/>
      </c>
      <c r="BC211" s="105" t="str">
        <f aca="false">AQ211</f>
        <v/>
      </c>
      <c r="BD211" s="106" t="str">
        <f aca="false">AP211</f>
        <v/>
      </c>
      <c r="BE211" s="104" t="str">
        <f aca="false">IF(ISBLANK($C211),"",AS211)</f>
        <v/>
      </c>
      <c r="BF211" s="107" t="str">
        <f aca="false">IF($AW211&gt;$AV$7,"",VLOOKUP($AW211,$AY$8:$BE$507,7,FALSE()))</f>
        <v/>
      </c>
      <c r="BG211" s="108" t="str">
        <f aca="false">IF($AW211&gt;$AV$7,"",VLOOKUP($AW211,$AY$8:$BE$507,2,FALSE()))</f>
        <v/>
      </c>
      <c r="BH211" s="108" t="str">
        <f aca="false">IF($AW211&gt;$AV$7,"",VLOOKUP($AW211,$AY$8:$BE$507,3,FALSE()))</f>
        <v/>
      </c>
      <c r="BI211" s="108" t="str">
        <f aca="false">IF($AW211&gt;$AV$7,"",VLOOKUP($AW211,$AY$8:$BE$507,4,FALSE()))</f>
        <v/>
      </c>
      <c r="BJ211" s="108" t="str">
        <f aca="false">IF($AW211&gt;$AV$7,"",VLOOKUP($AW211,$AY$8:$BE$507,5,FALSE()))</f>
        <v/>
      </c>
      <c r="BK211" s="109" t="str">
        <f aca="false">IF($AW211&gt;$AV$7,"",VLOOKUP($AW211,$AY$8:$BE$507,6,FALSE()))</f>
        <v/>
      </c>
      <c r="BL211" s="50"/>
    </row>
    <row r="212" customFormat="false" ht="15.75" hidden="false" customHeight="false" outlineLevel="0" collapsed="false">
      <c r="A212" s="5"/>
      <c r="B212" s="131"/>
      <c r="C212" s="52"/>
      <c r="D212" s="53"/>
      <c r="E212" s="80"/>
      <c r="F212" s="132"/>
      <c r="G212" s="56"/>
      <c r="H212" s="133"/>
      <c r="I212" s="134"/>
      <c r="J212" s="59"/>
      <c r="K212" s="60"/>
      <c r="L212" s="134"/>
      <c r="M212" s="61"/>
      <c r="N212" s="62"/>
      <c r="O212" s="80"/>
      <c r="P212" s="64"/>
      <c r="Q212" s="65" t="str">
        <f aca="false">IF(ISBLANK($C212),"",IF(E212=Constants!$B$2, TRUE(), IF(E212=Constants!$B$3, FALSE(), TRUE())))</f>
        <v/>
      </c>
      <c r="R212" s="65" t="str">
        <f aca="false">IF(ISBLANK($C212),"",IF(F212=Constants!$B$2, TRUE(), IF(F212=Constants!$B$3, FALSE(), TRUE())))</f>
        <v/>
      </c>
      <c r="S212" s="65" t="str">
        <f aca="false">IF(ISBLANK($C212),"",IF(G212=Constants!$B$15,Constants!$B$8,IF(G212=Constants!$B$16,Constants!$B$9,Constants!$B$10)))</f>
        <v/>
      </c>
      <c r="T212" s="65" t="str">
        <f aca="false">IF(ISBLANK($C212),"",IF(H212=Constants!$B$2, TRUE(), IF(H212=Constants!$B$3, FALSE(), TRUE())))</f>
        <v/>
      </c>
      <c r="U212" s="65" t="str">
        <f aca="false">IF(ISBLANK($C212),"",IF(I212=Constants!$B$19,Constants!$B$19,Constants!$B$18))</f>
        <v/>
      </c>
      <c r="V212" s="65" t="str">
        <f aca="false">IF(ISBLANK($C212),"",IF(COUNTA(J212:K212)=0,"",IF(AND(OR(ISBLANK(J212),AND(ISNUMBER(J212),J212&gt;=0)),OR(ISBLANK(K212),AND(ISNUMBER(K212),K212&gt;=0))),60*IF(ISBLANK(J212),0,J212)+IF(ISBLANK(K212),0,K212),"")))</f>
        <v/>
      </c>
      <c r="W212" s="65" t="str">
        <f aca="false">IF(ISBLANK($C212),"",IF(L212=Constants!$B$19,Constants!$B$19,Constants!$B$18))</f>
        <v/>
      </c>
      <c r="X212" s="65" t="str">
        <f aca="false">IF(ISBLANK($C212),"",IF(COUNTA(M212:N212)=0,"",IF(AND(OR(ISBLANK(M212),AND(ISNUMBER(M212),M212&gt;=0)),OR(ISBLANK(N212),AND(ISNUMBER(N212),N212&gt;=0))),60*IF(ISBLANK(M212),0,M212)+IF(ISBLANK(N212),0,N212),"")))</f>
        <v/>
      </c>
      <c r="Y212" s="65" t="str">
        <f aca="false">IF(ISBLANK($C212),"",IF(O212=Constants!$B$2, TRUE(), IF(O212=Constants!$B$3, FALSE(), FALSE())))</f>
        <v/>
      </c>
      <c r="Z212" s="65" t="str">
        <f aca="false">IF(ISBLANK($C212),"",IF(Y212,Constants!$B$4,IF(COUNTA(E212:N212)=0,Constants!$B$5,IF(COUNTA(J212:K212,M212:N212)=0,Constants!$B$6,Constants!$B$7))))</f>
        <v/>
      </c>
      <c r="AA212" s="65" t="str">
        <f aca="false">IF(ISBLANK($C212),"",IF($Z212&lt;&gt;Constants!$B$7,$Z212,IF(OR(NOT(T212),AND(NOT(Q212),COUNTIFS(U212:W212,Constants!$B$18,V212:X212,"&gt;=0")&gt;0),AND(NOT(R212),COUNTIFS(U212:W212,Constants!$B$19,V212:X212,"&gt;=0")&gt;0)),Constants!$B$12,Constants!$B$11)))</f>
        <v/>
      </c>
      <c r="AB212" s="65" t="str">
        <f aca="false">IF($Z212=Constants!$B$7,IF(V212="",Constants!$B$13,V212),"")</f>
        <v/>
      </c>
      <c r="AC212" s="65" t="str">
        <f aca="false">IF($Z212=Constants!$B$7,IF(X212="",Constants!$B$13,X212),"")</f>
        <v/>
      </c>
      <c r="AD212" s="65" t="str">
        <f aca="false">IF($Z212=Constants!$B$7,IF($AB212&gt;=$AC212,1,2),"")</f>
        <v/>
      </c>
      <c r="AE212" s="65" t="str">
        <f aca="false">IF($Z212=Constants!$B$7,LARGE(AB212:AC212,1),"")</f>
        <v/>
      </c>
      <c r="AF212" s="65" t="str">
        <f aca="false">IF(ISBLANK($C212),"",IF($Z212&lt;&gt;Constants!$B$7,$Z212,AE212*S212))</f>
        <v/>
      </c>
      <c r="AG212" s="65" t="str">
        <f aca="false">IF(ISBLANK($C212),"",IF($Z212=Constants!$B$7,IF(ISNUMBER(AF212),RANK(AF212,$AF$8:$AF$507),Constants!$B$14),$Z212))</f>
        <v/>
      </c>
      <c r="AH212" s="65" t="str">
        <f aca="false">IF(ISBLANK($C212),"",IF($Z212=Constants!$B$7,IF(ISNUMBER(AG212),COUNTIFS($AA$8:$AA$507,"&lt;"&amp;$AA212)+COUNTIFS($AA$8:$AA$507,$AA212,$AG$8:$AG$507,"&lt;"&amp;$AG212)+1,Constants!$B$14),$Z212))</f>
        <v/>
      </c>
      <c r="AI212" s="65" t="str">
        <f aca="false">IF(ISBLANK($C212),"",IF($Z212=Constants!$B$7,LARGE(AB212:AC212,2)*S212,""))</f>
        <v/>
      </c>
      <c r="AJ212" s="65" t="str">
        <f aca="false">IF(ISBLANK($C212),"",IF($Z212=Constants!$B$7,RANK(AI212,$AI$8:$AI$507),$Z212))</f>
        <v/>
      </c>
      <c r="AK212" s="65" t="str">
        <f aca="false">IF(ISBLANK($C212),"",IF($Z212=Constants!$B$7,IF(ISNUMBER(AG212),COUNTIFS($AA$8:$AA$507,"&lt;"&amp;$AA212)+COUNTIFS($AA$8:$AA$507,$AA212,$AG$8:$AG$507,"&lt;"&amp;$AG212)+COUNTIFS($AA$8:$AA$507,$AA212,$AG$8:$AG$507,$AG212,$AJ$8:$AJ$507,"&lt;"&amp;$AJ212)+1,Constants!$B$14),$Z212))</f>
        <v/>
      </c>
      <c r="AL212" s="65" t="str">
        <f aca="false">IF(ISBLANK($C212),"",IF($Z212=Constants!$B$7,IF(ISNUMBER(AH212),AH212-AK212,Constants!$B$14),$Z212))</f>
        <v/>
      </c>
      <c r="AM212" s="67"/>
      <c r="AN212" s="68" t="str">
        <f aca="false">IF(ISBLANK($C212),"",IF($Z212&lt;&gt;Constants!$B$7,$Z212,AD212))</f>
        <v/>
      </c>
      <c r="AO212" s="69" t="str">
        <f aca="false">IF(ISBLANK($C212),"",IF($Z212&lt;&gt;Constants!$B$7,$Z212,S212))</f>
        <v/>
      </c>
      <c r="AP212" s="70" t="str">
        <f aca="false">IF(ISBLANK($C212),"",IF($Z212&lt;&gt;Constants!$B$7,$Z212,AF212))</f>
        <v/>
      </c>
      <c r="AQ212" s="71" t="str">
        <f aca="false">IF(ISBLANK($C212),"",IF($Z212&lt;&gt;Constants!$B$7,$Z212,AA212))</f>
        <v/>
      </c>
      <c r="AR212" s="69" t="str">
        <f aca="false">IF(ISBLANK($C212),"",AL212)</f>
        <v/>
      </c>
      <c r="AS212" s="69" t="str">
        <f aca="false">IF(ISBLANK($C212),"",AK212)</f>
        <v/>
      </c>
      <c r="AT212" s="72" t="str">
        <f aca="false">IF(ISBLANK($C212),"",IF(AS212=Constants!$B$4,COUNTA($C$8:$C$507)+2,IF(AS212=Constants!$B$5,COUNTA($C$8:$C$507)+1,IF(AS212=Constants!$B$6,COUNTA($C$8:$C$507),AS212))))</f>
        <v/>
      </c>
      <c r="AU212" s="5"/>
      <c r="AV212" s="73" t="n">
        <f aca="false">IF(OR(ISNUMBER(AS212),AS212=Constants!$B$4,AS212=Constants!$B$6,AS212=Constants!$B$5),1,0)</f>
        <v>0</v>
      </c>
      <c r="AW212" s="73" t="n">
        <v>205</v>
      </c>
      <c r="AX212" s="73" t="str">
        <f aca="false">IF(ISBLANK($C212),"",IF(ISNUMBER(AT212),AT212+ROW($B212)/1000,""))</f>
        <v/>
      </c>
      <c r="AY212" s="73" t="str">
        <f aca="false">IF(ISNUMBER(AX212),RANK(AX212,$AX$8:$AX$507,1),"")</f>
        <v/>
      </c>
      <c r="AZ212" s="73" t="str">
        <f aca="false">IF(ISBLANK($C212),"",$B212)</f>
        <v/>
      </c>
      <c r="BA212" s="73" t="str">
        <f aca="false">IF(ISBLANK($C212),"",$C212)</f>
        <v/>
      </c>
      <c r="BB212" s="73" t="str">
        <f aca="false">IF(ISBLANK($C212),"",$D212)</f>
        <v/>
      </c>
      <c r="BC212" s="74" t="str">
        <f aca="false">AQ212</f>
        <v/>
      </c>
      <c r="BD212" s="75" t="str">
        <f aca="false">AP212</f>
        <v/>
      </c>
      <c r="BE212" s="73" t="str">
        <f aca="false">IF(ISBLANK($C212),"",AS212)</f>
        <v/>
      </c>
      <c r="BF212" s="76" t="str">
        <f aca="false">IF($AW212&gt;$AV$7,"",VLOOKUP($AW212,$AY$8:$BE$507,7,FALSE()))</f>
        <v/>
      </c>
      <c r="BG212" s="77" t="str">
        <f aca="false">IF($AW212&gt;$AV$7,"",VLOOKUP($AW212,$AY$8:$BE$507,2,FALSE()))</f>
        <v/>
      </c>
      <c r="BH212" s="77" t="str">
        <f aca="false">IF($AW212&gt;$AV$7,"",VLOOKUP($AW212,$AY$8:$BE$507,3,FALSE()))</f>
        <v/>
      </c>
      <c r="BI212" s="77" t="str">
        <f aca="false">IF($AW212&gt;$AV$7,"",VLOOKUP($AW212,$AY$8:$BE$507,4,FALSE()))</f>
        <v/>
      </c>
      <c r="BJ212" s="77" t="str">
        <f aca="false">IF($AW212&gt;$AV$7,"",VLOOKUP($AW212,$AY$8:$BE$507,5,FALSE()))</f>
        <v/>
      </c>
      <c r="BK212" s="78" t="str">
        <f aca="false">IF($AW212&gt;$AV$7,"",VLOOKUP($AW212,$AY$8:$BE$507,6,FALSE()))</f>
        <v/>
      </c>
      <c r="BL212" s="50"/>
    </row>
    <row r="213" customFormat="false" ht="15.75" hidden="false" customHeight="false" outlineLevel="0" collapsed="false">
      <c r="A213" s="5"/>
      <c r="B213" s="131"/>
      <c r="C213" s="52"/>
      <c r="D213" s="53"/>
      <c r="E213" s="80"/>
      <c r="F213" s="132"/>
      <c r="G213" s="56"/>
      <c r="H213" s="133"/>
      <c r="I213" s="134"/>
      <c r="J213" s="59"/>
      <c r="K213" s="60"/>
      <c r="L213" s="134"/>
      <c r="M213" s="61"/>
      <c r="N213" s="62"/>
      <c r="O213" s="80"/>
      <c r="P213" s="64"/>
      <c r="Q213" s="65" t="str">
        <f aca="false">IF(ISBLANK($C213),"",IF(E213=Constants!$B$2, TRUE(), IF(E213=Constants!$B$3, FALSE(), TRUE())))</f>
        <v/>
      </c>
      <c r="R213" s="65" t="str">
        <f aca="false">IF(ISBLANK($C213),"",IF(F213=Constants!$B$2, TRUE(), IF(F213=Constants!$B$3, FALSE(), TRUE())))</f>
        <v/>
      </c>
      <c r="S213" s="65" t="str">
        <f aca="false">IF(ISBLANK($C213),"",IF(G213=Constants!$B$15,Constants!$B$8,IF(G213=Constants!$B$16,Constants!$B$9,Constants!$B$10)))</f>
        <v/>
      </c>
      <c r="T213" s="65" t="str">
        <f aca="false">IF(ISBLANK($C213),"",IF(H213=Constants!$B$2, TRUE(), IF(H213=Constants!$B$3, FALSE(), TRUE())))</f>
        <v/>
      </c>
      <c r="U213" s="65" t="str">
        <f aca="false">IF(ISBLANK($C213),"",IF(I213=Constants!$B$19,Constants!$B$19,Constants!$B$18))</f>
        <v/>
      </c>
      <c r="V213" s="65" t="str">
        <f aca="false">IF(ISBLANK($C213),"",IF(COUNTA(J213:K213)=0,"",IF(AND(OR(ISBLANK(J213),AND(ISNUMBER(J213),J213&gt;=0)),OR(ISBLANK(K213),AND(ISNUMBER(K213),K213&gt;=0))),60*IF(ISBLANK(J213),0,J213)+IF(ISBLANK(K213),0,K213),"")))</f>
        <v/>
      </c>
      <c r="W213" s="65" t="str">
        <f aca="false">IF(ISBLANK($C213),"",IF(L213=Constants!$B$19,Constants!$B$19,Constants!$B$18))</f>
        <v/>
      </c>
      <c r="X213" s="65" t="str">
        <f aca="false">IF(ISBLANK($C213),"",IF(COUNTA(M213:N213)=0,"",IF(AND(OR(ISBLANK(M213),AND(ISNUMBER(M213),M213&gt;=0)),OR(ISBLANK(N213),AND(ISNUMBER(N213),N213&gt;=0))),60*IF(ISBLANK(M213),0,M213)+IF(ISBLANK(N213),0,N213),"")))</f>
        <v/>
      </c>
      <c r="Y213" s="65" t="str">
        <f aca="false">IF(ISBLANK($C213),"",IF(O213=Constants!$B$2, TRUE(), IF(O213=Constants!$B$3, FALSE(), FALSE())))</f>
        <v/>
      </c>
      <c r="Z213" s="65" t="str">
        <f aca="false">IF(ISBLANK($C213),"",IF(Y213,Constants!$B$4,IF(COUNTA(E213:N213)=0,Constants!$B$5,IF(COUNTA(J213:K213,M213:N213)=0,Constants!$B$6,Constants!$B$7))))</f>
        <v/>
      </c>
      <c r="AA213" s="65" t="str">
        <f aca="false">IF(ISBLANK($C213),"",IF($Z213&lt;&gt;Constants!$B$7,$Z213,IF(OR(NOT(T213),AND(NOT(Q213),COUNTIFS(U213:W213,Constants!$B$18,V213:X213,"&gt;=0")&gt;0),AND(NOT(R213),COUNTIFS(U213:W213,Constants!$B$19,V213:X213,"&gt;=0")&gt;0)),Constants!$B$12,Constants!$B$11)))</f>
        <v/>
      </c>
      <c r="AB213" s="65" t="str">
        <f aca="false">IF($Z213=Constants!$B$7,IF(V213="",Constants!$B$13,V213),"")</f>
        <v/>
      </c>
      <c r="AC213" s="65" t="str">
        <f aca="false">IF($Z213=Constants!$B$7,IF(X213="",Constants!$B$13,X213),"")</f>
        <v/>
      </c>
      <c r="AD213" s="65" t="str">
        <f aca="false">IF($Z213=Constants!$B$7,IF($AB213&gt;=$AC213,1,2),"")</f>
        <v/>
      </c>
      <c r="AE213" s="65" t="str">
        <f aca="false">IF($Z213=Constants!$B$7,LARGE(AB213:AC213,1),"")</f>
        <v/>
      </c>
      <c r="AF213" s="65" t="str">
        <f aca="false">IF(ISBLANK($C213),"",IF($Z213&lt;&gt;Constants!$B$7,$Z213,AE213*S213))</f>
        <v/>
      </c>
      <c r="AG213" s="65" t="str">
        <f aca="false">IF(ISBLANK($C213),"",IF($Z213=Constants!$B$7,IF(ISNUMBER(AF213),RANK(AF213,$AF$8:$AF$507),Constants!$B$14),$Z213))</f>
        <v/>
      </c>
      <c r="AH213" s="65" t="str">
        <f aca="false">IF(ISBLANK($C213),"",IF($Z213=Constants!$B$7,IF(ISNUMBER(AG213),COUNTIFS($AA$8:$AA$507,"&lt;"&amp;$AA213)+COUNTIFS($AA$8:$AA$507,$AA213,$AG$8:$AG$507,"&lt;"&amp;$AG213)+1,Constants!$B$14),$Z213))</f>
        <v/>
      </c>
      <c r="AI213" s="65" t="str">
        <f aca="false">IF(ISBLANK($C213),"",IF($Z213=Constants!$B$7,LARGE(AB213:AC213,2)*S213,""))</f>
        <v/>
      </c>
      <c r="AJ213" s="65" t="str">
        <f aca="false">IF(ISBLANK($C213),"",IF($Z213=Constants!$B$7,RANK(AI213,$AI$8:$AI$507),$Z213))</f>
        <v/>
      </c>
      <c r="AK213" s="65" t="str">
        <f aca="false">IF(ISBLANK($C213),"",IF($Z213=Constants!$B$7,IF(ISNUMBER(AG213),COUNTIFS($AA$8:$AA$507,"&lt;"&amp;$AA213)+COUNTIFS($AA$8:$AA$507,$AA213,$AG$8:$AG$507,"&lt;"&amp;$AG213)+COUNTIFS($AA$8:$AA$507,$AA213,$AG$8:$AG$507,$AG213,$AJ$8:$AJ$507,"&lt;"&amp;$AJ213)+1,Constants!$B$14),$Z213))</f>
        <v/>
      </c>
      <c r="AL213" s="65" t="str">
        <f aca="false">IF(ISBLANK($C213),"",IF($Z213=Constants!$B$7,IF(ISNUMBER(AH213),AH213-AK213,Constants!$B$14),$Z213))</f>
        <v/>
      </c>
      <c r="AM213" s="67"/>
      <c r="AN213" s="68" t="str">
        <f aca="false">IF(ISBLANK($C213),"",IF($Z213&lt;&gt;Constants!$B$7,$Z213,AD213))</f>
        <v/>
      </c>
      <c r="AO213" s="69" t="str">
        <f aca="false">IF(ISBLANK($C213),"",IF($Z213&lt;&gt;Constants!$B$7,$Z213,S213))</f>
        <v/>
      </c>
      <c r="AP213" s="70" t="str">
        <f aca="false">IF(ISBLANK($C213),"",IF($Z213&lt;&gt;Constants!$B$7,$Z213,AF213))</f>
        <v/>
      </c>
      <c r="AQ213" s="71" t="str">
        <f aca="false">IF(ISBLANK($C213),"",IF($Z213&lt;&gt;Constants!$B$7,$Z213,AA213))</f>
        <v/>
      </c>
      <c r="AR213" s="69" t="str">
        <f aca="false">IF(ISBLANK($C213),"",AL213)</f>
        <v/>
      </c>
      <c r="AS213" s="69" t="str">
        <f aca="false">IF(ISBLANK($C213),"",AK213)</f>
        <v/>
      </c>
      <c r="AT213" s="72" t="str">
        <f aca="false">IF(ISBLANK($C213),"",IF(AS213=Constants!$B$4,COUNTA($C$8:$C$507)+2,IF(AS213=Constants!$B$5,COUNTA($C$8:$C$507)+1,IF(AS213=Constants!$B$6,COUNTA($C$8:$C$507),AS213))))</f>
        <v/>
      </c>
      <c r="AU213" s="5"/>
      <c r="AV213" s="73" t="n">
        <f aca="false">IF(OR(ISNUMBER(AS213),AS213=Constants!$B$4,AS213=Constants!$B$6,AS213=Constants!$B$5),1,0)</f>
        <v>0</v>
      </c>
      <c r="AW213" s="73" t="n">
        <v>206</v>
      </c>
      <c r="AX213" s="73" t="str">
        <f aca="false">IF(ISBLANK($C213),"",IF(ISNUMBER(AT213),AT213+ROW($B213)/1000,""))</f>
        <v/>
      </c>
      <c r="AY213" s="73" t="str">
        <f aca="false">IF(ISNUMBER(AX213),RANK(AX213,$AX$8:$AX$507,1),"")</f>
        <v/>
      </c>
      <c r="AZ213" s="73" t="str">
        <f aca="false">IF(ISBLANK($C213),"",$B213)</f>
        <v/>
      </c>
      <c r="BA213" s="73" t="str">
        <f aca="false">IF(ISBLANK($C213),"",$C213)</f>
        <v/>
      </c>
      <c r="BB213" s="73" t="str">
        <f aca="false">IF(ISBLANK($C213),"",$D213)</f>
        <v/>
      </c>
      <c r="BC213" s="74" t="str">
        <f aca="false">AQ213</f>
        <v/>
      </c>
      <c r="BD213" s="75" t="str">
        <f aca="false">AP213</f>
        <v/>
      </c>
      <c r="BE213" s="73" t="str">
        <f aca="false">IF(ISBLANK($C213),"",AS213)</f>
        <v/>
      </c>
      <c r="BF213" s="76" t="str">
        <f aca="false">IF($AW213&gt;$AV$7,"",VLOOKUP($AW213,$AY$8:$BE$507,7,FALSE()))</f>
        <v/>
      </c>
      <c r="BG213" s="77" t="str">
        <f aca="false">IF($AW213&gt;$AV$7,"",VLOOKUP($AW213,$AY$8:$BE$507,2,FALSE()))</f>
        <v/>
      </c>
      <c r="BH213" s="77" t="str">
        <f aca="false">IF($AW213&gt;$AV$7,"",VLOOKUP($AW213,$AY$8:$BE$507,3,FALSE()))</f>
        <v/>
      </c>
      <c r="BI213" s="77" t="str">
        <f aca="false">IF($AW213&gt;$AV$7,"",VLOOKUP($AW213,$AY$8:$BE$507,4,FALSE()))</f>
        <v/>
      </c>
      <c r="BJ213" s="77" t="str">
        <f aca="false">IF($AW213&gt;$AV$7,"",VLOOKUP($AW213,$AY$8:$BE$507,5,FALSE()))</f>
        <v/>
      </c>
      <c r="BK213" s="78" t="str">
        <f aca="false">IF($AW213&gt;$AV$7,"",VLOOKUP($AW213,$AY$8:$BE$507,6,FALSE()))</f>
        <v/>
      </c>
      <c r="BL213" s="50"/>
    </row>
    <row r="214" customFormat="false" ht="15.75" hidden="false" customHeight="false" outlineLevel="0" collapsed="false">
      <c r="A214" s="5"/>
      <c r="B214" s="131"/>
      <c r="C214" s="52"/>
      <c r="D214" s="53"/>
      <c r="E214" s="80"/>
      <c r="F214" s="132"/>
      <c r="G214" s="56"/>
      <c r="H214" s="133"/>
      <c r="I214" s="134"/>
      <c r="J214" s="59"/>
      <c r="K214" s="60"/>
      <c r="L214" s="134"/>
      <c r="M214" s="61"/>
      <c r="N214" s="62"/>
      <c r="O214" s="80"/>
      <c r="P214" s="64"/>
      <c r="Q214" s="65" t="str">
        <f aca="false">IF(ISBLANK($C214),"",IF(E214=Constants!$B$2, TRUE(), IF(E214=Constants!$B$3, FALSE(), TRUE())))</f>
        <v/>
      </c>
      <c r="R214" s="65" t="str">
        <f aca="false">IF(ISBLANK($C214),"",IF(F214=Constants!$B$2, TRUE(), IF(F214=Constants!$B$3, FALSE(), TRUE())))</f>
        <v/>
      </c>
      <c r="S214" s="65" t="str">
        <f aca="false">IF(ISBLANK($C214),"",IF(G214=Constants!$B$15,Constants!$B$8,IF(G214=Constants!$B$16,Constants!$B$9,Constants!$B$10)))</f>
        <v/>
      </c>
      <c r="T214" s="65" t="str">
        <f aca="false">IF(ISBLANK($C214),"",IF(H214=Constants!$B$2, TRUE(), IF(H214=Constants!$B$3, FALSE(), TRUE())))</f>
        <v/>
      </c>
      <c r="U214" s="65" t="str">
        <f aca="false">IF(ISBLANK($C214),"",IF(I214=Constants!$B$19,Constants!$B$19,Constants!$B$18))</f>
        <v/>
      </c>
      <c r="V214" s="65" t="str">
        <f aca="false">IF(ISBLANK($C214),"",IF(COUNTA(J214:K214)=0,"",IF(AND(OR(ISBLANK(J214),AND(ISNUMBER(J214),J214&gt;=0)),OR(ISBLANK(K214),AND(ISNUMBER(K214),K214&gt;=0))),60*IF(ISBLANK(J214),0,J214)+IF(ISBLANK(K214),0,K214),"")))</f>
        <v/>
      </c>
      <c r="W214" s="65" t="str">
        <f aca="false">IF(ISBLANK($C214),"",IF(L214=Constants!$B$19,Constants!$B$19,Constants!$B$18))</f>
        <v/>
      </c>
      <c r="X214" s="65" t="str">
        <f aca="false">IF(ISBLANK($C214),"",IF(COUNTA(M214:N214)=0,"",IF(AND(OR(ISBLANK(M214),AND(ISNUMBER(M214),M214&gt;=0)),OR(ISBLANK(N214),AND(ISNUMBER(N214),N214&gt;=0))),60*IF(ISBLANK(M214),0,M214)+IF(ISBLANK(N214),0,N214),"")))</f>
        <v/>
      </c>
      <c r="Y214" s="65" t="str">
        <f aca="false">IF(ISBLANK($C214),"",IF(O214=Constants!$B$2, TRUE(), IF(O214=Constants!$B$3, FALSE(), FALSE())))</f>
        <v/>
      </c>
      <c r="Z214" s="65" t="str">
        <f aca="false">IF(ISBLANK($C214),"",IF(Y214,Constants!$B$4,IF(COUNTA(E214:N214)=0,Constants!$B$5,IF(COUNTA(J214:K214,M214:N214)=0,Constants!$B$6,Constants!$B$7))))</f>
        <v/>
      </c>
      <c r="AA214" s="65" t="str">
        <f aca="false">IF(ISBLANK($C214),"",IF($Z214&lt;&gt;Constants!$B$7,$Z214,IF(OR(NOT(T214),AND(NOT(Q214),COUNTIFS(U214:W214,Constants!$B$18,V214:X214,"&gt;=0")&gt;0),AND(NOT(R214),COUNTIFS(U214:W214,Constants!$B$19,V214:X214,"&gt;=0")&gt;0)),Constants!$B$12,Constants!$B$11)))</f>
        <v/>
      </c>
      <c r="AB214" s="65" t="str">
        <f aca="false">IF($Z214=Constants!$B$7,IF(V214="",Constants!$B$13,V214),"")</f>
        <v/>
      </c>
      <c r="AC214" s="65" t="str">
        <f aca="false">IF($Z214=Constants!$B$7,IF(X214="",Constants!$B$13,X214),"")</f>
        <v/>
      </c>
      <c r="AD214" s="65" t="str">
        <f aca="false">IF($Z214=Constants!$B$7,IF($AB214&gt;=$AC214,1,2),"")</f>
        <v/>
      </c>
      <c r="AE214" s="65" t="str">
        <f aca="false">IF($Z214=Constants!$B$7,LARGE(AB214:AC214,1),"")</f>
        <v/>
      </c>
      <c r="AF214" s="65" t="str">
        <f aca="false">IF(ISBLANK($C214),"",IF($Z214&lt;&gt;Constants!$B$7,$Z214,AE214*S214))</f>
        <v/>
      </c>
      <c r="AG214" s="65" t="str">
        <f aca="false">IF(ISBLANK($C214),"",IF($Z214=Constants!$B$7,IF(ISNUMBER(AF214),RANK(AF214,$AF$8:$AF$507),Constants!$B$14),$Z214))</f>
        <v/>
      </c>
      <c r="AH214" s="65" t="str">
        <f aca="false">IF(ISBLANK($C214),"",IF($Z214=Constants!$B$7,IF(ISNUMBER(AG214),COUNTIFS($AA$8:$AA$507,"&lt;"&amp;$AA214)+COUNTIFS($AA$8:$AA$507,$AA214,$AG$8:$AG$507,"&lt;"&amp;$AG214)+1,Constants!$B$14),$Z214))</f>
        <v/>
      </c>
      <c r="AI214" s="65" t="str">
        <f aca="false">IF(ISBLANK($C214),"",IF($Z214=Constants!$B$7,LARGE(AB214:AC214,2)*S214,""))</f>
        <v/>
      </c>
      <c r="AJ214" s="65" t="str">
        <f aca="false">IF(ISBLANK($C214),"",IF($Z214=Constants!$B$7,RANK(AI214,$AI$8:$AI$507),$Z214))</f>
        <v/>
      </c>
      <c r="AK214" s="65" t="str">
        <f aca="false">IF(ISBLANK($C214),"",IF($Z214=Constants!$B$7,IF(ISNUMBER(AG214),COUNTIFS($AA$8:$AA$507,"&lt;"&amp;$AA214)+COUNTIFS($AA$8:$AA$507,$AA214,$AG$8:$AG$507,"&lt;"&amp;$AG214)+COUNTIFS($AA$8:$AA$507,$AA214,$AG$8:$AG$507,$AG214,$AJ$8:$AJ$507,"&lt;"&amp;$AJ214)+1,Constants!$B$14),$Z214))</f>
        <v/>
      </c>
      <c r="AL214" s="65" t="str">
        <f aca="false">IF(ISBLANK($C214),"",IF($Z214=Constants!$B$7,IF(ISNUMBER(AH214),AH214-AK214,Constants!$B$14),$Z214))</f>
        <v/>
      </c>
      <c r="AM214" s="67"/>
      <c r="AN214" s="68" t="str">
        <f aca="false">IF(ISBLANK($C214),"",IF($Z214&lt;&gt;Constants!$B$7,$Z214,AD214))</f>
        <v/>
      </c>
      <c r="AO214" s="69" t="str">
        <f aca="false">IF(ISBLANK($C214),"",IF($Z214&lt;&gt;Constants!$B$7,$Z214,S214))</f>
        <v/>
      </c>
      <c r="AP214" s="70" t="str">
        <f aca="false">IF(ISBLANK($C214),"",IF($Z214&lt;&gt;Constants!$B$7,$Z214,AF214))</f>
        <v/>
      </c>
      <c r="AQ214" s="71" t="str">
        <f aca="false">IF(ISBLANK($C214),"",IF($Z214&lt;&gt;Constants!$B$7,$Z214,AA214))</f>
        <v/>
      </c>
      <c r="AR214" s="69" t="str">
        <f aca="false">IF(ISBLANK($C214),"",AL214)</f>
        <v/>
      </c>
      <c r="AS214" s="69" t="str">
        <f aca="false">IF(ISBLANK($C214),"",AK214)</f>
        <v/>
      </c>
      <c r="AT214" s="72" t="str">
        <f aca="false">IF(ISBLANK($C214),"",IF(AS214=Constants!$B$4,COUNTA($C$8:$C$507)+2,IF(AS214=Constants!$B$5,COUNTA($C$8:$C$507)+1,IF(AS214=Constants!$B$6,COUNTA($C$8:$C$507),AS214))))</f>
        <v/>
      </c>
      <c r="AU214" s="5"/>
      <c r="AV214" s="73" t="n">
        <f aca="false">IF(OR(ISNUMBER(AS214),AS214=Constants!$B$4,AS214=Constants!$B$6,AS214=Constants!$B$5),1,0)</f>
        <v>0</v>
      </c>
      <c r="AW214" s="73" t="n">
        <v>207</v>
      </c>
      <c r="AX214" s="73" t="str">
        <f aca="false">IF(ISBLANK($C214),"",IF(ISNUMBER(AT214),AT214+ROW($B214)/1000,""))</f>
        <v/>
      </c>
      <c r="AY214" s="73" t="str">
        <f aca="false">IF(ISNUMBER(AX214),RANK(AX214,$AX$8:$AX$507,1),"")</f>
        <v/>
      </c>
      <c r="AZ214" s="73" t="str">
        <f aca="false">IF(ISBLANK($C214),"",$B214)</f>
        <v/>
      </c>
      <c r="BA214" s="73" t="str">
        <f aca="false">IF(ISBLANK($C214),"",$C214)</f>
        <v/>
      </c>
      <c r="BB214" s="73" t="str">
        <f aca="false">IF(ISBLANK($C214),"",$D214)</f>
        <v/>
      </c>
      <c r="BC214" s="74" t="str">
        <f aca="false">AQ214</f>
        <v/>
      </c>
      <c r="BD214" s="75" t="str">
        <f aca="false">AP214</f>
        <v/>
      </c>
      <c r="BE214" s="73" t="str">
        <f aca="false">IF(ISBLANK($C214),"",AS214)</f>
        <v/>
      </c>
      <c r="BF214" s="76" t="str">
        <f aca="false">IF($AW214&gt;$AV$7,"",VLOOKUP($AW214,$AY$8:$BE$507,7,FALSE()))</f>
        <v/>
      </c>
      <c r="BG214" s="77" t="str">
        <f aca="false">IF($AW214&gt;$AV$7,"",VLOOKUP($AW214,$AY$8:$BE$507,2,FALSE()))</f>
        <v/>
      </c>
      <c r="BH214" s="77" t="str">
        <f aca="false">IF($AW214&gt;$AV$7,"",VLOOKUP($AW214,$AY$8:$BE$507,3,FALSE()))</f>
        <v/>
      </c>
      <c r="BI214" s="77" t="str">
        <f aca="false">IF($AW214&gt;$AV$7,"",VLOOKUP($AW214,$AY$8:$BE$507,4,FALSE()))</f>
        <v/>
      </c>
      <c r="BJ214" s="77" t="str">
        <f aca="false">IF($AW214&gt;$AV$7,"",VLOOKUP($AW214,$AY$8:$BE$507,5,FALSE()))</f>
        <v/>
      </c>
      <c r="BK214" s="78" t="str">
        <f aca="false">IF($AW214&gt;$AV$7,"",VLOOKUP($AW214,$AY$8:$BE$507,6,FALSE()))</f>
        <v/>
      </c>
      <c r="BL214" s="50"/>
    </row>
    <row r="215" customFormat="false" ht="15.75" hidden="false" customHeight="false" outlineLevel="0" collapsed="false">
      <c r="A215" s="5"/>
      <c r="B215" s="124"/>
      <c r="C215" s="125"/>
      <c r="D215" s="110"/>
      <c r="E215" s="130"/>
      <c r="F215" s="135"/>
      <c r="G215" s="88"/>
      <c r="H215" s="136"/>
      <c r="I215" s="137"/>
      <c r="J215" s="91"/>
      <c r="K215" s="92"/>
      <c r="L215" s="137"/>
      <c r="M215" s="93"/>
      <c r="N215" s="94"/>
      <c r="O215" s="130"/>
      <c r="P215" s="96"/>
      <c r="Q215" s="97" t="str">
        <f aca="false">IF(ISBLANK($C215),"",IF(E215=Constants!$B$2, TRUE(), IF(E215=Constants!$B$3, FALSE(), TRUE())))</f>
        <v/>
      </c>
      <c r="R215" s="97" t="str">
        <f aca="false">IF(ISBLANK($C215),"",IF(F215=Constants!$B$2, TRUE(), IF(F215=Constants!$B$3, FALSE(), TRUE())))</f>
        <v/>
      </c>
      <c r="S215" s="97" t="str">
        <f aca="false">IF(ISBLANK($C215),"",IF(G215=Constants!$B$15,Constants!$B$8,IF(G215=Constants!$B$16,Constants!$B$9,Constants!$B$10)))</f>
        <v/>
      </c>
      <c r="T215" s="97" t="str">
        <f aca="false">IF(ISBLANK($C215),"",IF(H215=Constants!$B$2, TRUE(), IF(H215=Constants!$B$3, FALSE(), TRUE())))</f>
        <v/>
      </c>
      <c r="U215" s="97" t="str">
        <f aca="false">IF(ISBLANK($C215),"",IF(I215=Constants!$B$19,Constants!$B$19,Constants!$B$18))</f>
        <v/>
      </c>
      <c r="V215" s="97" t="str">
        <f aca="false">IF(ISBLANK($C215),"",IF(COUNTA(J215:K215)=0,"",IF(AND(OR(ISBLANK(J215),AND(ISNUMBER(J215),J215&gt;=0)),OR(ISBLANK(K215),AND(ISNUMBER(K215),K215&gt;=0))),60*IF(ISBLANK(J215),0,J215)+IF(ISBLANK(K215),0,K215),"")))</f>
        <v/>
      </c>
      <c r="W215" s="97" t="str">
        <f aca="false">IF(ISBLANK($C215),"",IF(L215=Constants!$B$19,Constants!$B$19,Constants!$B$18))</f>
        <v/>
      </c>
      <c r="X215" s="97" t="str">
        <f aca="false">IF(ISBLANK($C215),"",IF(COUNTA(M215:N215)=0,"",IF(AND(OR(ISBLANK(M215),AND(ISNUMBER(M215),M215&gt;=0)),OR(ISBLANK(N215),AND(ISNUMBER(N215),N215&gt;=0))),60*IF(ISBLANK(M215),0,M215)+IF(ISBLANK(N215),0,N215),"")))</f>
        <v/>
      </c>
      <c r="Y215" s="97" t="str">
        <f aca="false">IF(ISBLANK($C215),"",IF(O215=Constants!$B$2, TRUE(), IF(O215=Constants!$B$3, FALSE(), FALSE())))</f>
        <v/>
      </c>
      <c r="Z215" s="97" t="str">
        <f aca="false">IF(ISBLANK($C215),"",IF(Y215,Constants!$B$4,IF(COUNTA(E215:N215)=0,Constants!$B$5,IF(COUNTA(J215:K215,M215:N215)=0,Constants!$B$6,Constants!$B$7))))</f>
        <v/>
      </c>
      <c r="AA215" s="97" t="str">
        <f aca="false">IF(ISBLANK($C215),"",IF($Z215&lt;&gt;Constants!$B$7,$Z215,IF(OR(NOT(T215),AND(NOT(Q215),COUNTIFS(U215:W215,Constants!$B$18,V215:X215,"&gt;=0")&gt;0),AND(NOT(R215),COUNTIFS(U215:W215,Constants!$B$19,V215:X215,"&gt;=0")&gt;0)),Constants!$B$12,Constants!$B$11)))</f>
        <v/>
      </c>
      <c r="AB215" s="97" t="str">
        <f aca="false">IF($Z215=Constants!$B$7,IF(V215="",Constants!$B$13,V215),"")</f>
        <v/>
      </c>
      <c r="AC215" s="97" t="str">
        <f aca="false">IF($Z215=Constants!$B$7,IF(X215="",Constants!$B$13,X215),"")</f>
        <v/>
      </c>
      <c r="AD215" s="97" t="str">
        <f aca="false">IF($Z215=Constants!$B$7,IF($AB215&gt;=$AC215,1,2),"")</f>
        <v/>
      </c>
      <c r="AE215" s="97" t="str">
        <f aca="false">IF($Z215=Constants!$B$7,LARGE(AB215:AC215,1),"")</f>
        <v/>
      </c>
      <c r="AF215" s="97" t="str">
        <f aca="false">IF(ISBLANK($C215),"",IF($Z215&lt;&gt;Constants!$B$7,$Z215,AE215*S215))</f>
        <v/>
      </c>
      <c r="AG215" s="97" t="str">
        <f aca="false">IF(ISBLANK($C215),"",IF($Z215=Constants!$B$7,IF(ISNUMBER(AF215),RANK(AF215,$AF$8:$AF$507),Constants!$B$14),$Z215))</f>
        <v/>
      </c>
      <c r="AH215" s="97" t="str">
        <f aca="false">IF(ISBLANK($C215),"",IF($Z215=Constants!$B$7,IF(ISNUMBER(AG215),COUNTIFS($AA$8:$AA$507,"&lt;"&amp;$AA215)+COUNTIFS($AA$8:$AA$507,$AA215,$AG$8:$AG$507,"&lt;"&amp;$AG215)+1,Constants!$B$14),$Z215))</f>
        <v/>
      </c>
      <c r="AI215" s="97" t="str">
        <f aca="false">IF(ISBLANK($C215),"",IF($Z215=Constants!$B$7,LARGE(AB215:AC215,2)*S215,""))</f>
        <v/>
      </c>
      <c r="AJ215" s="97" t="str">
        <f aca="false">IF(ISBLANK($C215),"",IF($Z215=Constants!$B$7,RANK(AI215,$AI$8:$AI$507),$Z215))</f>
        <v/>
      </c>
      <c r="AK215" s="97" t="str">
        <f aca="false">IF(ISBLANK($C215),"",IF($Z215=Constants!$B$7,IF(ISNUMBER(AG215),COUNTIFS($AA$8:$AA$507,"&lt;"&amp;$AA215)+COUNTIFS($AA$8:$AA$507,$AA215,$AG$8:$AG$507,"&lt;"&amp;$AG215)+COUNTIFS($AA$8:$AA$507,$AA215,$AG$8:$AG$507,$AG215,$AJ$8:$AJ$507,"&lt;"&amp;$AJ215)+1,Constants!$B$14),$Z215))</f>
        <v/>
      </c>
      <c r="AL215" s="97" t="str">
        <f aca="false">IF(ISBLANK($C215),"",IF($Z215=Constants!$B$7,IF(ISNUMBER(AH215),AH215-AK215,Constants!$B$14),$Z215))</f>
        <v/>
      </c>
      <c r="AM215" s="98"/>
      <c r="AN215" s="99" t="str">
        <f aca="false">IF(ISBLANK($C215),"",IF($Z215&lt;&gt;Constants!$B$7,$Z215,AD215))</f>
        <v/>
      </c>
      <c r="AO215" s="100" t="str">
        <f aca="false">IF(ISBLANK($C215),"",IF($Z215&lt;&gt;Constants!$B$7,$Z215,S215))</f>
        <v/>
      </c>
      <c r="AP215" s="101" t="str">
        <f aca="false">IF(ISBLANK($C215),"",IF($Z215&lt;&gt;Constants!$B$7,$Z215,AF215))</f>
        <v/>
      </c>
      <c r="AQ215" s="102" t="str">
        <f aca="false">IF(ISBLANK($C215),"",IF($Z215&lt;&gt;Constants!$B$7,$Z215,AA215))</f>
        <v/>
      </c>
      <c r="AR215" s="100" t="str">
        <f aca="false">IF(ISBLANK($C215),"",AL215)</f>
        <v/>
      </c>
      <c r="AS215" s="100" t="str">
        <f aca="false">IF(ISBLANK($C215),"",AK215)</f>
        <v/>
      </c>
      <c r="AT215" s="103" t="str">
        <f aca="false">IF(ISBLANK($C215),"",IF(AS215=Constants!$B$4,COUNTA($C$8:$C$507)+2,IF(AS215=Constants!$B$5,COUNTA($C$8:$C$507)+1,IF(AS215=Constants!$B$6,COUNTA($C$8:$C$507),AS215))))</f>
        <v/>
      </c>
      <c r="AU215" s="5"/>
      <c r="AV215" s="104" t="n">
        <f aca="false">IF(OR(ISNUMBER(AS215),AS215=Constants!$B$4,AS215=Constants!$B$6,AS215=Constants!$B$5),1,0)</f>
        <v>0</v>
      </c>
      <c r="AW215" s="104" t="n">
        <v>208</v>
      </c>
      <c r="AX215" s="104" t="str">
        <f aca="false">IF(ISBLANK($C215),"",IF(ISNUMBER(AT215),AT215+ROW($B215)/1000,""))</f>
        <v/>
      </c>
      <c r="AY215" s="104" t="str">
        <f aca="false">IF(ISNUMBER(AX215),RANK(AX215,$AX$8:$AX$507,1),"")</f>
        <v/>
      </c>
      <c r="AZ215" s="104" t="str">
        <f aca="false">IF(ISBLANK($C215),"",$B215)</f>
        <v/>
      </c>
      <c r="BA215" s="104" t="str">
        <f aca="false">IF(ISBLANK($C215),"",$C215)</f>
        <v/>
      </c>
      <c r="BB215" s="104" t="str">
        <f aca="false">IF(ISBLANK($C215),"",$D215)</f>
        <v/>
      </c>
      <c r="BC215" s="105" t="str">
        <f aca="false">AQ215</f>
        <v/>
      </c>
      <c r="BD215" s="106" t="str">
        <f aca="false">AP215</f>
        <v/>
      </c>
      <c r="BE215" s="104" t="str">
        <f aca="false">IF(ISBLANK($C215),"",AS215)</f>
        <v/>
      </c>
      <c r="BF215" s="107" t="str">
        <f aca="false">IF($AW215&gt;$AV$7,"",VLOOKUP($AW215,$AY$8:$BE$507,7,FALSE()))</f>
        <v/>
      </c>
      <c r="BG215" s="108" t="str">
        <f aca="false">IF($AW215&gt;$AV$7,"",VLOOKUP($AW215,$AY$8:$BE$507,2,FALSE()))</f>
        <v/>
      </c>
      <c r="BH215" s="108" t="str">
        <f aca="false">IF($AW215&gt;$AV$7,"",VLOOKUP($AW215,$AY$8:$BE$507,3,FALSE()))</f>
        <v/>
      </c>
      <c r="BI215" s="108" t="str">
        <f aca="false">IF($AW215&gt;$AV$7,"",VLOOKUP($AW215,$AY$8:$BE$507,4,FALSE()))</f>
        <v/>
      </c>
      <c r="BJ215" s="108" t="str">
        <f aca="false">IF($AW215&gt;$AV$7,"",VLOOKUP($AW215,$AY$8:$BE$507,5,FALSE()))</f>
        <v/>
      </c>
      <c r="BK215" s="109" t="str">
        <f aca="false">IF($AW215&gt;$AV$7,"",VLOOKUP($AW215,$AY$8:$BE$507,6,FALSE()))</f>
        <v/>
      </c>
      <c r="BL215" s="50"/>
    </row>
    <row r="216" customFormat="false" ht="15.75" hidden="false" customHeight="false" outlineLevel="0" collapsed="false">
      <c r="A216" s="5"/>
      <c r="B216" s="124"/>
      <c r="C216" s="125"/>
      <c r="D216" s="110"/>
      <c r="E216" s="130"/>
      <c r="F216" s="135"/>
      <c r="G216" s="88"/>
      <c r="H216" s="136"/>
      <c r="I216" s="137"/>
      <c r="J216" s="91"/>
      <c r="K216" s="92"/>
      <c r="L216" s="137"/>
      <c r="M216" s="93"/>
      <c r="N216" s="94"/>
      <c r="O216" s="130"/>
      <c r="P216" s="96"/>
      <c r="Q216" s="97" t="str">
        <f aca="false">IF(ISBLANK($C216),"",IF(E216=Constants!$B$2, TRUE(), IF(E216=Constants!$B$3, FALSE(), TRUE())))</f>
        <v/>
      </c>
      <c r="R216" s="97" t="str">
        <f aca="false">IF(ISBLANK($C216),"",IF(F216=Constants!$B$2, TRUE(), IF(F216=Constants!$B$3, FALSE(), TRUE())))</f>
        <v/>
      </c>
      <c r="S216" s="97" t="str">
        <f aca="false">IF(ISBLANK($C216),"",IF(G216=Constants!$B$15,Constants!$B$8,IF(G216=Constants!$B$16,Constants!$B$9,Constants!$B$10)))</f>
        <v/>
      </c>
      <c r="T216" s="97" t="str">
        <f aca="false">IF(ISBLANK($C216),"",IF(H216=Constants!$B$2, TRUE(), IF(H216=Constants!$B$3, FALSE(), TRUE())))</f>
        <v/>
      </c>
      <c r="U216" s="97" t="str">
        <f aca="false">IF(ISBLANK($C216),"",IF(I216=Constants!$B$19,Constants!$B$19,Constants!$B$18))</f>
        <v/>
      </c>
      <c r="V216" s="97" t="str">
        <f aca="false">IF(ISBLANK($C216),"",IF(COUNTA(J216:K216)=0,"",IF(AND(OR(ISBLANK(J216),AND(ISNUMBER(J216),J216&gt;=0)),OR(ISBLANK(K216),AND(ISNUMBER(K216),K216&gt;=0))),60*IF(ISBLANK(J216),0,J216)+IF(ISBLANK(K216),0,K216),"")))</f>
        <v/>
      </c>
      <c r="W216" s="97" t="str">
        <f aca="false">IF(ISBLANK($C216),"",IF(L216=Constants!$B$19,Constants!$B$19,Constants!$B$18))</f>
        <v/>
      </c>
      <c r="X216" s="97" t="str">
        <f aca="false">IF(ISBLANK($C216),"",IF(COUNTA(M216:N216)=0,"",IF(AND(OR(ISBLANK(M216),AND(ISNUMBER(M216),M216&gt;=0)),OR(ISBLANK(N216),AND(ISNUMBER(N216),N216&gt;=0))),60*IF(ISBLANK(M216),0,M216)+IF(ISBLANK(N216),0,N216),"")))</f>
        <v/>
      </c>
      <c r="Y216" s="97" t="str">
        <f aca="false">IF(ISBLANK($C216),"",IF(O216=Constants!$B$2, TRUE(), IF(O216=Constants!$B$3, FALSE(), FALSE())))</f>
        <v/>
      </c>
      <c r="Z216" s="97" t="str">
        <f aca="false">IF(ISBLANK($C216),"",IF(Y216,Constants!$B$4,IF(COUNTA(E216:N216)=0,Constants!$B$5,IF(COUNTA(J216:K216,M216:N216)=0,Constants!$B$6,Constants!$B$7))))</f>
        <v/>
      </c>
      <c r="AA216" s="97" t="str">
        <f aca="false">IF(ISBLANK($C216),"",IF($Z216&lt;&gt;Constants!$B$7,$Z216,IF(OR(NOT(T216),AND(NOT(Q216),COUNTIFS(U216:W216,Constants!$B$18,V216:X216,"&gt;=0")&gt;0),AND(NOT(R216),COUNTIFS(U216:W216,Constants!$B$19,V216:X216,"&gt;=0")&gt;0)),Constants!$B$12,Constants!$B$11)))</f>
        <v/>
      </c>
      <c r="AB216" s="97" t="str">
        <f aca="false">IF($Z216=Constants!$B$7,IF(V216="",Constants!$B$13,V216),"")</f>
        <v/>
      </c>
      <c r="AC216" s="97" t="str">
        <f aca="false">IF($Z216=Constants!$B$7,IF(X216="",Constants!$B$13,X216),"")</f>
        <v/>
      </c>
      <c r="AD216" s="97" t="str">
        <f aca="false">IF($Z216=Constants!$B$7,IF($AB216&gt;=$AC216,1,2),"")</f>
        <v/>
      </c>
      <c r="AE216" s="97" t="str">
        <f aca="false">IF($Z216=Constants!$B$7,LARGE(AB216:AC216,1),"")</f>
        <v/>
      </c>
      <c r="AF216" s="97" t="str">
        <f aca="false">IF(ISBLANK($C216),"",IF($Z216&lt;&gt;Constants!$B$7,$Z216,AE216*S216))</f>
        <v/>
      </c>
      <c r="AG216" s="97" t="str">
        <f aca="false">IF(ISBLANK($C216),"",IF($Z216=Constants!$B$7,IF(ISNUMBER(AF216),RANK(AF216,$AF$8:$AF$507),Constants!$B$14),$Z216))</f>
        <v/>
      </c>
      <c r="AH216" s="97" t="str">
        <f aca="false">IF(ISBLANK($C216),"",IF($Z216=Constants!$B$7,IF(ISNUMBER(AG216),COUNTIFS($AA$8:$AA$507,"&lt;"&amp;$AA216)+COUNTIFS($AA$8:$AA$507,$AA216,$AG$8:$AG$507,"&lt;"&amp;$AG216)+1,Constants!$B$14),$Z216))</f>
        <v/>
      </c>
      <c r="AI216" s="97" t="str">
        <f aca="false">IF(ISBLANK($C216),"",IF($Z216=Constants!$B$7,LARGE(AB216:AC216,2)*S216,""))</f>
        <v/>
      </c>
      <c r="AJ216" s="97" t="str">
        <f aca="false">IF(ISBLANK($C216),"",IF($Z216=Constants!$B$7,RANK(AI216,$AI$8:$AI$507),$Z216))</f>
        <v/>
      </c>
      <c r="AK216" s="97" t="str">
        <f aca="false">IF(ISBLANK($C216),"",IF($Z216=Constants!$B$7,IF(ISNUMBER(AG216),COUNTIFS($AA$8:$AA$507,"&lt;"&amp;$AA216)+COUNTIFS($AA$8:$AA$507,$AA216,$AG$8:$AG$507,"&lt;"&amp;$AG216)+COUNTIFS($AA$8:$AA$507,$AA216,$AG$8:$AG$507,$AG216,$AJ$8:$AJ$507,"&lt;"&amp;$AJ216)+1,Constants!$B$14),$Z216))</f>
        <v/>
      </c>
      <c r="AL216" s="97" t="str">
        <f aca="false">IF(ISBLANK($C216),"",IF($Z216=Constants!$B$7,IF(ISNUMBER(AH216),AH216-AK216,Constants!$B$14),$Z216))</f>
        <v/>
      </c>
      <c r="AM216" s="98"/>
      <c r="AN216" s="99" t="str">
        <f aca="false">IF(ISBLANK($C216),"",IF($Z216&lt;&gt;Constants!$B$7,$Z216,AD216))</f>
        <v/>
      </c>
      <c r="AO216" s="100" t="str">
        <f aca="false">IF(ISBLANK($C216),"",IF($Z216&lt;&gt;Constants!$B$7,$Z216,S216))</f>
        <v/>
      </c>
      <c r="AP216" s="101" t="str">
        <f aca="false">IF(ISBLANK($C216),"",IF($Z216&lt;&gt;Constants!$B$7,$Z216,AF216))</f>
        <v/>
      </c>
      <c r="AQ216" s="102" t="str">
        <f aca="false">IF(ISBLANK($C216),"",IF($Z216&lt;&gt;Constants!$B$7,$Z216,AA216))</f>
        <v/>
      </c>
      <c r="AR216" s="100" t="str">
        <f aca="false">IF(ISBLANK($C216),"",AL216)</f>
        <v/>
      </c>
      <c r="AS216" s="100" t="str">
        <f aca="false">IF(ISBLANK($C216),"",AK216)</f>
        <v/>
      </c>
      <c r="AT216" s="103" t="str">
        <f aca="false">IF(ISBLANK($C216),"",IF(AS216=Constants!$B$4,COUNTA($C$8:$C$507)+2,IF(AS216=Constants!$B$5,COUNTA($C$8:$C$507)+1,IF(AS216=Constants!$B$6,COUNTA($C$8:$C$507),AS216))))</f>
        <v/>
      </c>
      <c r="AU216" s="5"/>
      <c r="AV216" s="104" t="n">
        <f aca="false">IF(OR(ISNUMBER(AS216),AS216=Constants!$B$4,AS216=Constants!$B$6,AS216=Constants!$B$5),1,0)</f>
        <v>0</v>
      </c>
      <c r="AW216" s="104" t="n">
        <v>209</v>
      </c>
      <c r="AX216" s="104" t="str">
        <f aca="false">IF(ISBLANK($C216),"",IF(ISNUMBER(AT216),AT216+ROW($B216)/1000,""))</f>
        <v/>
      </c>
      <c r="AY216" s="104" t="str">
        <f aca="false">IF(ISNUMBER(AX216),RANK(AX216,$AX$8:$AX$507,1),"")</f>
        <v/>
      </c>
      <c r="AZ216" s="104" t="str">
        <f aca="false">IF(ISBLANK($C216),"",$B216)</f>
        <v/>
      </c>
      <c r="BA216" s="104" t="str">
        <f aca="false">IF(ISBLANK($C216),"",$C216)</f>
        <v/>
      </c>
      <c r="BB216" s="104" t="str">
        <f aca="false">IF(ISBLANK($C216),"",$D216)</f>
        <v/>
      </c>
      <c r="BC216" s="105" t="str">
        <f aca="false">AQ216</f>
        <v/>
      </c>
      <c r="BD216" s="106" t="str">
        <f aca="false">AP216</f>
        <v/>
      </c>
      <c r="BE216" s="104" t="str">
        <f aca="false">IF(ISBLANK($C216),"",AS216)</f>
        <v/>
      </c>
      <c r="BF216" s="107" t="str">
        <f aca="false">IF($AW216&gt;$AV$7,"",VLOOKUP($AW216,$AY$8:$BE$507,7,FALSE()))</f>
        <v/>
      </c>
      <c r="BG216" s="108" t="str">
        <f aca="false">IF($AW216&gt;$AV$7,"",VLOOKUP($AW216,$AY$8:$BE$507,2,FALSE()))</f>
        <v/>
      </c>
      <c r="BH216" s="108" t="str">
        <f aca="false">IF($AW216&gt;$AV$7,"",VLOOKUP($AW216,$AY$8:$BE$507,3,FALSE()))</f>
        <v/>
      </c>
      <c r="BI216" s="108" t="str">
        <f aca="false">IF($AW216&gt;$AV$7,"",VLOOKUP($AW216,$AY$8:$BE$507,4,FALSE()))</f>
        <v/>
      </c>
      <c r="BJ216" s="108" t="str">
        <f aca="false">IF($AW216&gt;$AV$7,"",VLOOKUP($AW216,$AY$8:$BE$507,5,FALSE()))</f>
        <v/>
      </c>
      <c r="BK216" s="109" t="str">
        <f aca="false">IF($AW216&gt;$AV$7,"",VLOOKUP($AW216,$AY$8:$BE$507,6,FALSE()))</f>
        <v/>
      </c>
      <c r="BL216" s="50"/>
    </row>
    <row r="217" customFormat="false" ht="15.75" hidden="false" customHeight="false" outlineLevel="0" collapsed="false">
      <c r="A217" s="5"/>
      <c r="B217" s="124"/>
      <c r="C217" s="125"/>
      <c r="D217" s="110"/>
      <c r="E217" s="130"/>
      <c r="F217" s="135"/>
      <c r="G217" s="88"/>
      <c r="H217" s="136"/>
      <c r="I217" s="137"/>
      <c r="J217" s="91"/>
      <c r="K217" s="92"/>
      <c r="L217" s="137"/>
      <c r="M217" s="93"/>
      <c r="N217" s="94"/>
      <c r="O217" s="130"/>
      <c r="P217" s="96"/>
      <c r="Q217" s="97" t="str">
        <f aca="false">IF(ISBLANK($C217),"",IF(E217=Constants!$B$2, TRUE(), IF(E217=Constants!$B$3, FALSE(), TRUE())))</f>
        <v/>
      </c>
      <c r="R217" s="97" t="str">
        <f aca="false">IF(ISBLANK($C217),"",IF(F217=Constants!$B$2, TRUE(), IF(F217=Constants!$B$3, FALSE(), TRUE())))</f>
        <v/>
      </c>
      <c r="S217" s="97" t="str">
        <f aca="false">IF(ISBLANK($C217),"",IF(G217=Constants!$B$15,Constants!$B$8,IF(G217=Constants!$B$16,Constants!$B$9,Constants!$B$10)))</f>
        <v/>
      </c>
      <c r="T217" s="97" t="str">
        <f aca="false">IF(ISBLANK($C217),"",IF(H217=Constants!$B$2, TRUE(), IF(H217=Constants!$B$3, FALSE(), TRUE())))</f>
        <v/>
      </c>
      <c r="U217" s="97" t="str">
        <f aca="false">IF(ISBLANK($C217),"",IF(I217=Constants!$B$19,Constants!$B$19,Constants!$B$18))</f>
        <v/>
      </c>
      <c r="V217" s="97" t="str">
        <f aca="false">IF(ISBLANK($C217),"",IF(COUNTA(J217:K217)=0,"",IF(AND(OR(ISBLANK(J217),AND(ISNUMBER(J217),J217&gt;=0)),OR(ISBLANK(K217),AND(ISNUMBER(K217),K217&gt;=0))),60*IF(ISBLANK(J217),0,J217)+IF(ISBLANK(K217),0,K217),"")))</f>
        <v/>
      </c>
      <c r="W217" s="97" t="str">
        <f aca="false">IF(ISBLANK($C217),"",IF(L217=Constants!$B$19,Constants!$B$19,Constants!$B$18))</f>
        <v/>
      </c>
      <c r="X217" s="97" t="str">
        <f aca="false">IF(ISBLANK($C217),"",IF(COUNTA(M217:N217)=0,"",IF(AND(OR(ISBLANK(M217),AND(ISNUMBER(M217),M217&gt;=0)),OR(ISBLANK(N217),AND(ISNUMBER(N217),N217&gt;=0))),60*IF(ISBLANK(M217),0,M217)+IF(ISBLANK(N217),0,N217),"")))</f>
        <v/>
      </c>
      <c r="Y217" s="97" t="str">
        <f aca="false">IF(ISBLANK($C217),"",IF(O217=Constants!$B$2, TRUE(), IF(O217=Constants!$B$3, FALSE(), FALSE())))</f>
        <v/>
      </c>
      <c r="Z217" s="97" t="str">
        <f aca="false">IF(ISBLANK($C217),"",IF(Y217,Constants!$B$4,IF(COUNTA(E217:N217)=0,Constants!$B$5,IF(COUNTA(J217:K217,M217:N217)=0,Constants!$B$6,Constants!$B$7))))</f>
        <v/>
      </c>
      <c r="AA217" s="97" t="str">
        <f aca="false">IF(ISBLANK($C217),"",IF($Z217&lt;&gt;Constants!$B$7,$Z217,IF(OR(NOT(T217),AND(NOT(Q217),COUNTIFS(U217:W217,Constants!$B$18,V217:X217,"&gt;=0")&gt;0),AND(NOT(R217),COUNTIFS(U217:W217,Constants!$B$19,V217:X217,"&gt;=0")&gt;0)),Constants!$B$12,Constants!$B$11)))</f>
        <v/>
      </c>
      <c r="AB217" s="97" t="str">
        <f aca="false">IF($Z217=Constants!$B$7,IF(V217="",Constants!$B$13,V217),"")</f>
        <v/>
      </c>
      <c r="AC217" s="97" t="str">
        <f aca="false">IF($Z217=Constants!$B$7,IF(X217="",Constants!$B$13,X217),"")</f>
        <v/>
      </c>
      <c r="AD217" s="97" t="str">
        <f aca="false">IF($Z217=Constants!$B$7,IF($AB217&gt;=$AC217,1,2),"")</f>
        <v/>
      </c>
      <c r="AE217" s="97" t="str">
        <f aca="false">IF($Z217=Constants!$B$7,LARGE(AB217:AC217,1),"")</f>
        <v/>
      </c>
      <c r="AF217" s="97" t="str">
        <f aca="false">IF(ISBLANK($C217),"",IF($Z217&lt;&gt;Constants!$B$7,$Z217,AE217*S217))</f>
        <v/>
      </c>
      <c r="AG217" s="97" t="str">
        <f aca="false">IF(ISBLANK($C217),"",IF($Z217=Constants!$B$7,IF(ISNUMBER(AF217),RANK(AF217,$AF$8:$AF$507),Constants!$B$14),$Z217))</f>
        <v/>
      </c>
      <c r="AH217" s="97" t="str">
        <f aca="false">IF(ISBLANK($C217),"",IF($Z217=Constants!$B$7,IF(ISNUMBER(AG217),COUNTIFS($AA$8:$AA$507,"&lt;"&amp;$AA217)+COUNTIFS($AA$8:$AA$507,$AA217,$AG$8:$AG$507,"&lt;"&amp;$AG217)+1,Constants!$B$14),$Z217))</f>
        <v/>
      </c>
      <c r="AI217" s="97" t="str">
        <f aca="false">IF(ISBLANK($C217),"",IF($Z217=Constants!$B$7,LARGE(AB217:AC217,2)*S217,""))</f>
        <v/>
      </c>
      <c r="AJ217" s="97" t="str">
        <f aca="false">IF(ISBLANK($C217),"",IF($Z217=Constants!$B$7,RANK(AI217,$AI$8:$AI$507),$Z217))</f>
        <v/>
      </c>
      <c r="AK217" s="97" t="str">
        <f aca="false">IF(ISBLANK($C217),"",IF($Z217=Constants!$B$7,IF(ISNUMBER(AG217),COUNTIFS($AA$8:$AA$507,"&lt;"&amp;$AA217)+COUNTIFS($AA$8:$AA$507,$AA217,$AG$8:$AG$507,"&lt;"&amp;$AG217)+COUNTIFS($AA$8:$AA$507,$AA217,$AG$8:$AG$507,$AG217,$AJ$8:$AJ$507,"&lt;"&amp;$AJ217)+1,Constants!$B$14),$Z217))</f>
        <v/>
      </c>
      <c r="AL217" s="97" t="str">
        <f aca="false">IF(ISBLANK($C217),"",IF($Z217=Constants!$B$7,IF(ISNUMBER(AH217),AH217-AK217,Constants!$B$14),$Z217))</f>
        <v/>
      </c>
      <c r="AM217" s="98"/>
      <c r="AN217" s="99" t="str">
        <f aca="false">IF(ISBLANK($C217),"",IF($Z217&lt;&gt;Constants!$B$7,$Z217,AD217))</f>
        <v/>
      </c>
      <c r="AO217" s="100" t="str">
        <f aca="false">IF(ISBLANK($C217),"",IF($Z217&lt;&gt;Constants!$B$7,$Z217,S217))</f>
        <v/>
      </c>
      <c r="AP217" s="101" t="str">
        <f aca="false">IF(ISBLANK($C217),"",IF($Z217&lt;&gt;Constants!$B$7,$Z217,AF217))</f>
        <v/>
      </c>
      <c r="AQ217" s="102" t="str">
        <f aca="false">IF(ISBLANK($C217),"",IF($Z217&lt;&gt;Constants!$B$7,$Z217,AA217))</f>
        <v/>
      </c>
      <c r="AR217" s="100" t="str">
        <f aca="false">IF(ISBLANK($C217),"",AL217)</f>
        <v/>
      </c>
      <c r="AS217" s="100" t="str">
        <f aca="false">IF(ISBLANK($C217),"",AK217)</f>
        <v/>
      </c>
      <c r="AT217" s="103" t="str">
        <f aca="false">IF(ISBLANK($C217),"",IF(AS217=Constants!$B$4,COUNTA($C$8:$C$507)+2,IF(AS217=Constants!$B$5,COUNTA($C$8:$C$507)+1,IF(AS217=Constants!$B$6,COUNTA($C$8:$C$507),AS217))))</f>
        <v/>
      </c>
      <c r="AU217" s="5"/>
      <c r="AV217" s="104" t="n">
        <f aca="false">IF(OR(ISNUMBER(AS217),AS217=Constants!$B$4,AS217=Constants!$B$6,AS217=Constants!$B$5),1,0)</f>
        <v>0</v>
      </c>
      <c r="AW217" s="104" t="n">
        <v>210</v>
      </c>
      <c r="AX217" s="104" t="str">
        <f aca="false">IF(ISBLANK($C217),"",IF(ISNUMBER(AT217),AT217+ROW($B217)/1000,""))</f>
        <v/>
      </c>
      <c r="AY217" s="104" t="str">
        <f aca="false">IF(ISNUMBER(AX217),RANK(AX217,$AX$8:$AX$507,1),"")</f>
        <v/>
      </c>
      <c r="AZ217" s="104" t="str">
        <f aca="false">IF(ISBLANK($C217),"",$B217)</f>
        <v/>
      </c>
      <c r="BA217" s="104" t="str">
        <f aca="false">IF(ISBLANK($C217),"",$C217)</f>
        <v/>
      </c>
      <c r="BB217" s="104" t="str">
        <f aca="false">IF(ISBLANK($C217),"",$D217)</f>
        <v/>
      </c>
      <c r="BC217" s="105" t="str">
        <f aca="false">AQ217</f>
        <v/>
      </c>
      <c r="BD217" s="106" t="str">
        <f aca="false">AP217</f>
        <v/>
      </c>
      <c r="BE217" s="104" t="str">
        <f aca="false">IF(ISBLANK($C217),"",AS217)</f>
        <v/>
      </c>
      <c r="BF217" s="107" t="str">
        <f aca="false">IF($AW217&gt;$AV$7,"",VLOOKUP($AW217,$AY$8:$BE$507,7,FALSE()))</f>
        <v/>
      </c>
      <c r="BG217" s="108" t="str">
        <f aca="false">IF($AW217&gt;$AV$7,"",VLOOKUP($AW217,$AY$8:$BE$507,2,FALSE()))</f>
        <v/>
      </c>
      <c r="BH217" s="108" t="str">
        <f aca="false">IF($AW217&gt;$AV$7,"",VLOOKUP($AW217,$AY$8:$BE$507,3,FALSE()))</f>
        <v/>
      </c>
      <c r="BI217" s="108" t="str">
        <f aca="false">IF($AW217&gt;$AV$7,"",VLOOKUP($AW217,$AY$8:$BE$507,4,FALSE()))</f>
        <v/>
      </c>
      <c r="BJ217" s="108" t="str">
        <f aca="false">IF($AW217&gt;$AV$7,"",VLOOKUP($AW217,$AY$8:$BE$507,5,FALSE()))</f>
        <v/>
      </c>
      <c r="BK217" s="109" t="str">
        <f aca="false">IF($AW217&gt;$AV$7,"",VLOOKUP($AW217,$AY$8:$BE$507,6,FALSE()))</f>
        <v/>
      </c>
      <c r="BL217" s="50"/>
    </row>
    <row r="218" customFormat="false" ht="15.75" hidden="false" customHeight="false" outlineLevel="0" collapsed="false">
      <c r="A218" s="5"/>
      <c r="B218" s="131"/>
      <c r="C218" s="52"/>
      <c r="D218" s="53"/>
      <c r="E218" s="80"/>
      <c r="F218" s="132"/>
      <c r="G218" s="56"/>
      <c r="H218" s="133"/>
      <c r="I218" s="134"/>
      <c r="J218" s="59"/>
      <c r="K218" s="60"/>
      <c r="L218" s="134"/>
      <c r="M218" s="61"/>
      <c r="N218" s="62"/>
      <c r="O218" s="80"/>
      <c r="P218" s="64"/>
      <c r="Q218" s="65" t="str">
        <f aca="false">IF(ISBLANK($C218),"",IF(E218=Constants!$B$2, TRUE(), IF(E218=Constants!$B$3, FALSE(), TRUE())))</f>
        <v/>
      </c>
      <c r="R218" s="65" t="str">
        <f aca="false">IF(ISBLANK($C218),"",IF(F218=Constants!$B$2, TRUE(), IF(F218=Constants!$B$3, FALSE(), TRUE())))</f>
        <v/>
      </c>
      <c r="S218" s="65" t="str">
        <f aca="false">IF(ISBLANK($C218),"",IF(G218=Constants!$B$15,Constants!$B$8,IF(G218=Constants!$B$16,Constants!$B$9,Constants!$B$10)))</f>
        <v/>
      </c>
      <c r="T218" s="65" t="str">
        <f aca="false">IF(ISBLANK($C218),"",IF(H218=Constants!$B$2, TRUE(), IF(H218=Constants!$B$3, FALSE(), TRUE())))</f>
        <v/>
      </c>
      <c r="U218" s="65" t="str">
        <f aca="false">IF(ISBLANK($C218),"",IF(I218=Constants!$B$19,Constants!$B$19,Constants!$B$18))</f>
        <v/>
      </c>
      <c r="V218" s="65" t="str">
        <f aca="false">IF(ISBLANK($C218),"",IF(COUNTA(J218:K218)=0,"",IF(AND(OR(ISBLANK(J218),AND(ISNUMBER(J218),J218&gt;=0)),OR(ISBLANK(K218),AND(ISNUMBER(K218),K218&gt;=0))),60*IF(ISBLANK(J218),0,J218)+IF(ISBLANK(K218),0,K218),"")))</f>
        <v/>
      </c>
      <c r="W218" s="65" t="str">
        <f aca="false">IF(ISBLANK($C218),"",IF(L218=Constants!$B$19,Constants!$B$19,Constants!$B$18))</f>
        <v/>
      </c>
      <c r="X218" s="65" t="str">
        <f aca="false">IF(ISBLANK($C218),"",IF(COUNTA(M218:N218)=0,"",IF(AND(OR(ISBLANK(M218),AND(ISNUMBER(M218),M218&gt;=0)),OR(ISBLANK(N218),AND(ISNUMBER(N218),N218&gt;=0))),60*IF(ISBLANK(M218),0,M218)+IF(ISBLANK(N218),0,N218),"")))</f>
        <v/>
      </c>
      <c r="Y218" s="65" t="str">
        <f aca="false">IF(ISBLANK($C218),"",IF(O218=Constants!$B$2, TRUE(), IF(O218=Constants!$B$3, FALSE(), FALSE())))</f>
        <v/>
      </c>
      <c r="Z218" s="65" t="str">
        <f aca="false">IF(ISBLANK($C218),"",IF(Y218,Constants!$B$4,IF(COUNTA(E218:N218)=0,Constants!$B$5,IF(COUNTA(J218:K218,M218:N218)=0,Constants!$B$6,Constants!$B$7))))</f>
        <v/>
      </c>
      <c r="AA218" s="65" t="str">
        <f aca="false">IF(ISBLANK($C218),"",IF($Z218&lt;&gt;Constants!$B$7,$Z218,IF(OR(NOT(T218),AND(NOT(Q218),COUNTIFS(U218:W218,Constants!$B$18,V218:X218,"&gt;=0")&gt;0),AND(NOT(R218),COUNTIFS(U218:W218,Constants!$B$19,V218:X218,"&gt;=0")&gt;0)),Constants!$B$12,Constants!$B$11)))</f>
        <v/>
      </c>
      <c r="AB218" s="65" t="str">
        <f aca="false">IF($Z218=Constants!$B$7,IF(V218="",Constants!$B$13,V218),"")</f>
        <v/>
      </c>
      <c r="AC218" s="65" t="str">
        <f aca="false">IF($Z218=Constants!$B$7,IF(X218="",Constants!$B$13,X218),"")</f>
        <v/>
      </c>
      <c r="AD218" s="65" t="str">
        <f aca="false">IF($Z218=Constants!$B$7,IF($AB218&gt;=$AC218,1,2),"")</f>
        <v/>
      </c>
      <c r="AE218" s="65" t="str">
        <f aca="false">IF($Z218=Constants!$B$7,LARGE(AB218:AC218,1),"")</f>
        <v/>
      </c>
      <c r="AF218" s="65" t="str">
        <f aca="false">IF(ISBLANK($C218),"",IF($Z218&lt;&gt;Constants!$B$7,$Z218,AE218*S218))</f>
        <v/>
      </c>
      <c r="AG218" s="65" t="str">
        <f aca="false">IF(ISBLANK($C218),"",IF($Z218=Constants!$B$7,IF(ISNUMBER(AF218),RANK(AF218,$AF$8:$AF$507),Constants!$B$14),$Z218))</f>
        <v/>
      </c>
      <c r="AH218" s="65" t="str">
        <f aca="false">IF(ISBLANK($C218),"",IF($Z218=Constants!$B$7,IF(ISNUMBER(AG218),COUNTIFS($AA$8:$AA$507,"&lt;"&amp;$AA218)+COUNTIFS($AA$8:$AA$507,$AA218,$AG$8:$AG$507,"&lt;"&amp;$AG218)+1,Constants!$B$14),$Z218))</f>
        <v/>
      </c>
      <c r="AI218" s="65" t="str">
        <f aca="false">IF(ISBLANK($C218),"",IF($Z218=Constants!$B$7,LARGE(AB218:AC218,2)*S218,""))</f>
        <v/>
      </c>
      <c r="AJ218" s="65" t="str">
        <f aca="false">IF(ISBLANK($C218),"",IF($Z218=Constants!$B$7,RANK(AI218,$AI$8:$AI$507),$Z218))</f>
        <v/>
      </c>
      <c r="AK218" s="65" t="str">
        <f aca="false">IF(ISBLANK($C218),"",IF($Z218=Constants!$B$7,IF(ISNUMBER(AG218),COUNTIFS($AA$8:$AA$507,"&lt;"&amp;$AA218)+COUNTIFS($AA$8:$AA$507,$AA218,$AG$8:$AG$507,"&lt;"&amp;$AG218)+COUNTIFS($AA$8:$AA$507,$AA218,$AG$8:$AG$507,$AG218,$AJ$8:$AJ$507,"&lt;"&amp;$AJ218)+1,Constants!$B$14),$Z218))</f>
        <v/>
      </c>
      <c r="AL218" s="65" t="str">
        <f aca="false">IF(ISBLANK($C218),"",IF($Z218=Constants!$B$7,IF(ISNUMBER(AH218),AH218-AK218,Constants!$B$14),$Z218))</f>
        <v/>
      </c>
      <c r="AM218" s="67"/>
      <c r="AN218" s="68" t="str">
        <f aca="false">IF(ISBLANK($C218),"",IF($Z218&lt;&gt;Constants!$B$7,$Z218,AD218))</f>
        <v/>
      </c>
      <c r="AO218" s="69" t="str">
        <f aca="false">IF(ISBLANK($C218),"",IF($Z218&lt;&gt;Constants!$B$7,$Z218,S218))</f>
        <v/>
      </c>
      <c r="AP218" s="70" t="str">
        <f aca="false">IF(ISBLANK($C218),"",IF($Z218&lt;&gt;Constants!$B$7,$Z218,AF218))</f>
        <v/>
      </c>
      <c r="AQ218" s="71" t="str">
        <f aca="false">IF(ISBLANK($C218),"",IF($Z218&lt;&gt;Constants!$B$7,$Z218,AA218))</f>
        <v/>
      </c>
      <c r="AR218" s="69" t="str">
        <f aca="false">IF(ISBLANK($C218),"",AL218)</f>
        <v/>
      </c>
      <c r="AS218" s="69" t="str">
        <f aca="false">IF(ISBLANK($C218),"",AK218)</f>
        <v/>
      </c>
      <c r="AT218" s="72" t="str">
        <f aca="false">IF(ISBLANK($C218),"",IF(AS218=Constants!$B$4,COUNTA($C$8:$C$507)+2,IF(AS218=Constants!$B$5,COUNTA($C$8:$C$507)+1,IF(AS218=Constants!$B$6,COUNTA($C$8:$C$507),AS218))))</f>
        <v/>
      </c>
      <c r="AU218" s="5"/>
      <c r="AV218" s="73" t="n">
        <f aca="false">IF(OR(ISNUMBER(AS218),AS218=Constants!$B$4,AS218=Constants!$B$6,AS218=Constants!$B$5),1,0)</f>
        <v>0</v>
      </c>
      <c r="AW218" s="73" t="n">
        <v>211</v>
      </c>
      <c r="AX218" s="73" t="str">
        <f aca="false">IF(ISBLANK($C218),"",IF(ISNUMBER(AT218),AT218+ROW($B218)/1000,""))</f>
        <v/>
      </c>
      <c r="AY218" s="73" t="str">
        <f aca="false">IF(ISNUMBER(AX218),RANK(AX218,$AX$8:$AX$507,1),"")</f>
        <v/>
      </c>
      <c r="AZ218" s="73" t="str">
        <f aca="false">IF(ISBLANK($C218),"",$B218)</f>
        <v/>
      </c>
      <c r="BA218" s="73" t="str">
        <f aca="false">IF(ISBLANK($C218),"",$C218)</f>
        <v/>
      </c>
      <c r="BB218" s="73" t="str">
        <f aca="false">IF(ISBLANK($C218),"",$D218)</f>
        <v/>
      </c>
      <c r="BC218" s="74" t="str">
        <f aca="false">AQ218</f>
        <v/>
      </c>
      <c r="BD218" s="75" t="str">
        <f aca="false">AP218</f>
        <v/>
      </c>
      <c r="BE218" s="73" t="str">
        <f aca="false">IF(ISBLANK($C218),"",AS218)</f>
        <v/>
      </c>
      <c r="BF218" s="76" t="str">
        <f aca="false">IF($AW218&gt;$AV$7,"",VLOOKUP($AW218,$AY$8:$BE$507,7,FALSE()))</f>
        <v/>
      </c>
      <c r="BG218" s="77" t="str">
        <f aca="false">IF($AW218&gt;$AV$7,"",VLOOKUP($AW218,$AY$8:$BE$507,2,FALSE()))</f>
        <v/>
      </c>
      <c r="BH218" s="77" t="str">
        <f aca="false">IF($AW218&gt;$AV$7,"",VLOOKUP($AW218,$AY$8:$BE$507,3,FALSE()))</f>
        <v/>
      </c>
      <c r="BI218" s="77" t="str">
        <f aca="false">IF($AW218&gt;$AV$7,"",VLOOKUP($AW218,$AY$8:$BE$507,4,FALSE()))</f>
        <v/>
      </c>
      <c r="BJ218" s="77" t="str">
        <f aca="false">IF($AW218&gt;$AV$7,"",VLOOKUP($AW218,$AY$8:$BE$507,5,FALSE()))</f>
        <v/>
      </c>
      <c r="BK218" s="78" t="str">
        <f aca="false">IF($AW218&gt;$AV$7,"",VLOOKUP($AW218,$AY$8:$BE$507,6,FALSE()))</f>
        <v/>
      </c>
      <c r="BL218" s="50"/>
    </row>
    <row r="219" customFormat="false" ht="15.75" hidden="false" customHeight="false" outlineLevel="0" collapsed="false">
      <c r="A219" s="5"/>
      <c r="B219" s="131"/>
      <c r="C219" s="52"/>
      <c r="D219" s="53"/>
      <c r="E219" s="80"/>
      <c r="F219" s="132"/>
      <c r="G219" s="56"/>
      <c r="H219" s="133"/>
      <c r="I219" s="134"/>
      <c r="J219" s="59"/>
      <c r="K219" s="60"/>
      <c r="L219" s="134"/>
      <c r="M219" s="61"/>
      <c r="N219" s="62"/>
      <c r="O219" s="80"/>
      <c r="P219" s="64"/>
      <c r="Q219" s="65" t="str">
        <f aca="false">IF(ISBLANK($C219),"",IF(E219=Constants!$B$2, TRUE(), IF(E219=Constants!$B$3, FALSE(), TRUE())))</f>
        <v/>
      </c>
      <c r="R219" s="65" t="str">
        <f aca="false">IF(ISBLANK($C219),"",IF(F219=Constants!$B$2, TRUE(), IF(F219=Constants!$B$3, FALSE(), TRUE())))</f>
        <v/>
      </c>
      <c r="S219" s="65" t="str">
        <f aca="false">IF(ISBLANK($C219),"",IF(G219=Constants!$B$15,Constants!$B$8,IF(G219=Constants!$B$16,Constants!$B$9,Constants!$B$10)))</f>
        <v/>
      </c>
      <c r="T219" s="65" t="str">
        <f aca="false">IF(ISBLANK($C219),"",IF(H219=Constants!$B$2, TRUE(), IF(H219=Constants!$B$3, FALSE(), TRUE())))</f>
        <v/>
      </c>
      <c r="U219" s="65" t="str">
        <f aca="false">IF(ISBLANK($C219),"",IF(I219=Constants!$B$19,Constants!$B$19,Constants!$B$18))</f>
        <v/>
      </c>
      <c r="V219" s="65" t="str">
        <f aca="false">IF(ISBLANK($C219),"",IF(COUNTA(J219:K219)=0,"",IF(AND(OR(ISBLANK(J219),AND(ISNUMBER(J219),J219&gt;=0)),OR(ISBLANK(K219),AND(ISNUMBER(K219),K219&gt;=0))),60*IF(ISBLANK(J219),0,J219)+IF(ISBLANK(K219),0,K219),"")))</f>
        <v/>
      </c>
      <c r="W219" s="65" t="str">
        <f aca="false">IF(ISBLANK($C219),"",IF(L219=Constants!$B$19,Constants!$B$19,Constants!$B$18))</f>
        <v/>
      </c>
      <c r="X219" s="65" t="str">
        <f aca="false">IF(ISBLANK($C219),"",IF(COUNTA(M219:N219)=0,"",IF(AND(OR(ISBLANK(M219),AND(ISNUMBER(M219),M219&gt;=0)),OR(ISBLANK(N219),AND(ISNUMBER(N219),N219&gt;=0))),60*IF(ISBLANK(M219),0,M219)+IF(ISBLANK(N219),0,N219),"")))</f>
        <v/>
      </c>
      <c r="Y219" s="65" t="str">
        <f aca="false">IF(ISBLANK($C219),"",IF(O219=Constants!$B$2, TRUE(), IF(O219=Constants!$B$3, FALSE(), FALSE())))</f>
        <v/>
      </c>
      <c r="Z219" s="65" t="str">
        <f aca="false">IF(ISBLANK($C219),"",IF(Y219,Constants!$B$4,IF(COUNTA(E219:N219)=0,Constants!$B$5,IF(COUNTA(J219:K219,M219:N219)=0,Constants!$B$6,Constants!$B$7))))</f>
        <v/>
      </c>
      <c r="AA219" s="65" t="str">
        <f aca="false">IF(ISBLANK($C219),"",IF($Z219&lt;&gt;Constants!$B$7,$Z219,IF(OR(NOT(T219),AND(NOT(Q219),COUNTIFS(U219:W219,Constants!$B$18,V219:X219,"&gt;=0")&gt;0),AND(NOT(R219),COUNTIFS(U219:W219,Constants!$B$19,V219:X219,"&gt;=0")&gt;0)),Constants!$B$12,Constants!$B$11)))</f>
        <v/>
      </c>
      <c r="AB219" s="65" t="str">
        <f aca="false">IF($Z219=Constants!$B$7,IF(V219="",Constants!$B$13,V219),"")</f>
        <v/>
      </c>
      <c r="AC219" s="65" t="str">
        <f aca="false">IF($Z219=Constants!$B$7,IF(X219="",Constants!$B$13,X219),"")</f>
        <v/>
      </c>
      <c r="AD219" s="65" t="str">
        <f aca="false">IF($Z219=Constants!$B$7,IF($AB219&gt;=$AC219,1,2),"")</f>
        <v/>
      </c>
      <c r="AE219" s="65" t="str">
        <f aca="false">IF($Z219=Constants!$B$7,LARGE(AB219:AC219,1),"")</f>
        <v/>
      </c>
      <c r="AF219" s="65" t="str">
        <f aca="false">IF(ISBLANK($C219),"",IF($Z219&lt;&gt;Constants!$B$7,$Z219,AE219*S219))</f>
        <v/>
      </c>
      <c r="AG219" s="65" t="str">
        <f aca="false">IF(ISBLANK($C219),"",IF($Z219=Constants!$B$7,IF(ISNUMBER(AF219),RANK(AF219,$AF$8:$AF$507),Constants!$B$14),$Z219))</f>
        <v/>
      </c>
      <c r="AH219" s="65" t="str">
        <f aca="false">IF(ISBLANK($C219),"",IF($Z219=Constants!$B$7,IF(ISNUMBER(AG219),COUNTIFS($AA$8:$AA$507,"&lt;"&amp;$AA219)+COUNTIFS($AA$8:$AA$507,$AA219,$AG$8:$AG$507,"&lt;"&amp;$AG219)+1,Constants!$B$14),$Z219))</f>
        <v/>
      </c>
      <c r="AI219" s="65" t="str">
        <f aca="false">IF(ISBLANK($C219),"",IF($Z219=Constants!$B$7,LARGE(AB219:AC219,2)*S219,""))</f>
        <v/>
      </c>
      <c r="AJ219" s="65" t="str">
        <f aca="false">IF(ISBLANK($C219),"",IF($Z219=Constants!$B$7,RANK(AI219,$AI$8:$AI$507),$Z219))</f>
        <v/>
      </c>
      <c r="AK219" s="65" t="str">
        <f aca="false">IF(ISBLANK($C219),"",IF($Z219=Constants!$B$7,IF(ISNUMBER(AG219),COUNTIFS($AA$8:$AA$507,"&lt;"&amp;$AA219)+COUNTIFS($AA$8:$AA$507,$AA219,$AG$8:$AG$507,"&lt;"&amp;$AG219)+COUNTIFS($AA$8:$AA$507,$AA219,$AG$8:$AG$507,$AG219,$AJ$8:$AJ$507,"&lt;"&amp;$AJ219)+1,Constants!$B$14),$Z219))</f>
        <v/>
      </c>
      <c r="AL219" s="65" t="str">
        <f aca="false">IF(ISBLANK($C219),"",IF($Z219=Constants!$B$7,IF(ISNUMBER(AH219),AH219-AK219,Constants!$B$14),$Z219))</f>
        <v/>
      </c>
      <c r="AM219" s="67"/>
      <c r="AN219" s="68" t="str">
        <f aca="false">IF(ISBLANK($C219),"",IF($Z219&lt;&gt;Constants!$B$7,$Z219,AD219))</f>
        <v/>
      </c>
      <c r="AO219" s="69" t="str">
        <f aca="false">IF(ISBLANK($C219),"",IF($Z219&lt;&gt;Constants!$B$7,$Z219,S219))</f>
        <v/>
      </c>
      <c r="AP219" s="70" t="str">
        <f aca="false">IF(ISBLANK($C219),"",IF($Z219&lt;&gt;Constants!$B$7,$Z219,AF219))</f>
        <v/>
      </c>
      <c r="AQ219" s="71" t="str">
        <f aca="false">IF(ISBLANK($C219),"",IF($Z219&lt;&gt;Constants!$B$7,$Z219,AA219))</f>
        <v/>
      </c>
      <c r="AR219" s="69" t="str">
        <f aca="false">IF(ISBLANK($C219),"",AL219)</f>
        <v/>
      </c>
      <c r="AS219" s="69" t="str">
        <f aca="false">IF(ISBLANK($C219),"",AK219)</f>
        <v/>
      </c>
      <c r="AT219" s="72" t="str">
        <f aca="false">IF(ISBLANK($C219),"",IF(AS219=Constants!$B$4,COUNTA($C$8:$C$507)+2,IF(AS219=Constants!$B$5,COUNTA($C$8:$C$507)+1,IF(AS219=Constants!$B$6,COUNTA($C$8:$C$507),AS219))))</f>
        <v/>
      </c>
      <c r="AU219" s="5"/>
      <c r="AV219" s="73" t="n">
        <f aca="false">IF(OR(ISNUMBER(AS219),AS219=Constants!$B$4,AS219=Constants!$B$6,AS219=Constants!$B$5),1,0)</f>
        <v>0</v>
      </c>
      <c r="AW219" s="73" t="n">
        <v>212</v>
      </c>
      <c r="AX219" s="73" t="str">
        <f aca="false">IF(ISBLANK($C219),"",IF(ISNUMBER(AT219),AT219+ROW($B219)/1000,""))</f>
        <v/>
      </c>
      <c r="AY219" s="73" t="str">
        <f aca="false">IF(ISNUMBER(AX219),RANK(AX219,$AX$8:$AX$507,1),"")</f>
        <v/>
      </c>
      <c r="AZ219" s="73" t="str">
        <f aca="false">IF(ISBLANK($C219),"",$B219)</f>
        <v/>
      </c>
      <c r="BA219" s="73" t="str">
        <f aca="false">IF(ISBLANK($C219),"",$C219)</f>
        <v/>
      </c>
      <c r="BB219" s="73" t="str">
        <f aca="false">IF(ISBLANK($C219),"",$D219)</f>
        <v/>
      </c>
      <c r="BC219" s="74" t="str">
        <f aca="false">AQ219</f>
        <v/>
      </c>
      <c r="BD219" s="75" t="str">
        <f aca="false">AP219</f>
        <v/>
      </c>
      <c r="BE219" s="73" t="str">
        <f aca="false">IF(ISBLANK($C219),"",AS219)</f>
        <v/>
      </c>
      <c r="BF219" s="76" t="str">
        <f aca="false">IF($AW219&gt;$AV$7,"",VLOOKUP($AW219,$AY$8:$BE$507,7,FALSE()))</f>
        <v/>
      </c>
      <c r="BG219" s="77" t="str">
        <f aca="false">IF($AW219&gt;$AV$7,"",VLOOKUP($AW219,$AY$8:$BE$507,2,FALSE()))</f>
        <v/>
      </c>
      <c r="BH219" s="77" t="str">
        <f aca="false">IF($AW219&gt;$AV$7,"",VLOOKUP($AW219,$AY$8:$BE$507,3,FALSE()))</f>
        <v/>
      </c>
      <c r="BI219" s="77" t="str">
        <f aca="false">IF($AW219&gt;$AV$7,"",VLOOKUP($AW219,$AY$8:$BE$507,4,FALSE()))</f>
        <v/>
      </c>
      <c r="BJ219" s="77" t="str">
        <f aca="false">IF($AW219&gt;$AV$7,"",VLOOKUP($AW219,$AY$8:$BE$507,5,FALSE()))</f>
        <v/>
      </c>
      <c r="BK219" s="78" t="str">
        <f aca="false">IF($AW219&gt;$AV$7,"",VLOOKUP($AW219,$AY$8:$BE$507,6,FALSE()))</f>
        <v/>
      </c>
      <c r="BL219" s="50"/>
    </row>
    <row r="220" customFormat="false" ht="15.75" hidden="false" customHeight="false" outlineLevel="0" collapsed="false">
      <c r="A220" s="5"/>
      <c r="B220" s="131"/>
      <c r="C220" s="52"/>
      <c r="D220" s="53"/>
      <c r="E220" s="80"/>
      <c r="F220" s="132"/>
      <c r="G220" s="56"/>
      <c r="H220" s="133"/>
      <c r="I220" s="134"/>
      <c r="J220" s="59"/>
      <c r="K220" s="60"/>
      <c r="L220" s="134"/>
      <c r="M220" s="61"/>
      <c r="N220" s="62"/>
      <c r="O220" s="80"/>
      <c r="P220" s="64"/>
      <c r="Q220" s="65" t="str">
        <f aca="false">IF(ISBLANK($C220),"",IF(E220=Constants!$B$2, TRUE(), IF(E220=Constants!$B$3, FALSE(), TRUE())))</f>
        <v/>
      </c>
      <c r="R220" s="65" t="str">
        <f aca="false">IF(ISBLANK($C220),"",IF(F220=Constants!$B$2, TRUE(), IF(F220=Constants!$B$3, FALSE(), TRUE())))</f>
        <v/>
      </c>
      <c r="S220" s="65" t="str">
        <f aca="false">IF(ISBLANK($C220),"",IF(G220=Constants!$B$15,Constants!$B$8,IF(G220=Constants!$B$16,Constants!$B$9,Constants!$B$10)))</f>
        <v/>
      </c>
      <c r="T220" s="65" t="str">
        <f aca="false">IF(ISBLANK($C220),"",IF(H220=Constants!$B$2, TRUE(), IF(H220=Constants!$B$3, FALSE(), TRUE())))</f>
        <v/>
      </c>
      <c r="U220" s="65" t="str">
        <f aca="false">IF(ISBLANK($C220),"",IF(I220=Constants!$B$19,Constants!$B$19,Constants!$B$18))</f>
        <v/>
      </c>
      <c r="V220" s="65" t="str">
        <f aca="false">IF(ISBLANK($C220),"",IF(COUNTA(J220:K220)=0,"",IF(AND(OR(ISBLANK(J220),AND(ISNUMBER(J220),J220&gt;=0)),OR(ISBLANK(K220),AND(ISNUMBER(K220),K220&gt;=0))),60*IF(ISBLANK(J220),0,J220)+IF(ISBLANK(K220),0,K220),"")))</f>
        <v/>
      </c>
      <c r="W220" s="65" t="str">
        <f aca="false">IF(ISBLANK($C220),"",IF(L220=Constants!$B$19,Constants!$B$19,Constants!$B$18))</f>
        <v/>
      </c>
      <c r="X220" s="65" t="str">
        <f aca="false">IF(ISBLANK($C220),"",IF(COUNTA(M220:N220)=0,"",IF(AND(OR(ISBLANK(M220),AND(ISNUMBER(M220),M220&gt;=0)),OR(ISBLANK(N220),AND(ISNUMBER(N220),N220&gt;=0))),60*IF(ISBLANK(M220),0,M220)+IF(ISBLANK(N220),0,N220),"")))</f>
        <v/>
      </c>
      <c r="Y220" s="65" t="str">
        <f aca="false">IF(ISBLANK($C220),"",IF(O220=Constants!$B$2, TRUE(), IF(O220=Constants!$B$3, FALSE(), FALSE())))</f>
        <v/>
      </c>
      <c r="Z220" s="65" t="str">
        <f aca="false">IF(ISBLANK($C220),"",IF(Y220,Constants!$B$4,IF(COUNTA(E220:N220)=0,Constants!$B$5,IF(COUNTA(J220:K220,M220:N220)=0,Constants!$B$6,Constants!$B$7))))</f>
        <v/>
      </c>
      <c r="AA220" s="65" t="str">
        <f aca="false">IF(ISBLANK($C220),"",IF($Z220&lt;&gt;Constants!$B$7,$Z220,IF(OR(NOT(T220),AND(NOT(Q220),COUNTIFS(U220:W220,Constants!$B$18,V220:X220,"&gt;=0")&gt;0),AND(NOT(R220),COUNTIFS(U220:W220,Constants!$B$19,V220:X220,"&gt;=0")&gt;0)),Constants!$B$12,Constants!$B$11)))</f>
        <v/>
      </c>
      <c r="AB220" s="65" t="str">
        <f aca="false">IF($Z220=Constants!$B$7,IF(V220="",Constants!$B$13,V220),"")</f>
        <v/>
      </c>
      <c r="AC220" s="65" t="str">
        <f aca="false">IF($Z220=Constants!$B$7,IF(X220="",Constants!$B$13,X220),"")</f>
        <v/>
      </c>
      <c r="AD220" s="65" t="str">
        <f aca="false">IF($Z220=Constants!$B$7,IF($AB220&gt;=$AC220,1,2),"")</f>
        <v/>
      </c>
      <c r="AE220" s="65" t="str">
        <f aca="false">IF($Z220=Constants!$B$7,LARGE(AB220:AC220,1),"")</f>
        <v/>
      </c>
      <c r="AF220" s="65" t="str">
        <f aca="false">IF(ISBLANK($C220),"",IF($Z220&lt;&gt;Constants!$B$7,$Z220,AE220*S220))</f>
        <v/>
      </c>
      <c r="AG220" s="65" t="str">
        <f aca="false">IF(ISBLANK($C220),"",IF($Z220=Constants!$B$7,IF(ISNUMBER(AF220),RANK(AF220,$AF$8:$AF$507),Constants!$B$14),$Z220))</f>
        <v/>
      </c>
      <c r="AH220" s="65" t="str">
        <f aca="false">IF(ISBLANK($C220),"",IF($Z220=Constants!$B$7,IF(ISNUMBER(AG220),COUNTIFS($AA$8:$AA$507,"&lt;"&amp;$AA220)+COUNTIFS($AA$8:$AA$507,$AA220,$AG$8:$AG$507,"&lt;"&amp;$AG220)+1,Constants!$B$14),$Z220))</f>
        <v/>
      </c>
      <c r="AI220" s="65" t="str">
        <f aca="false">IF(ISBLANK($C220),"",IF($Z220=Constants!$B$7,LARGE(AB220:AC220,2)*S220,""))</f>
        <v/>
      </c>
      <c r="AJ220" s="65" t="str">
        <f aca="false">IF(ISBLANK($C220),"",IF($Z220=Constants!$B$7,RANK(AI220,$AI$8:$AI$507),$Z220))</f>
        <v/>
      </c>
      <c r="AK220" s="65" t="str">
        <f aca="false">IF(ISBLANK($C220),"",IF($Z220=Constants!$B$7,IF(ISNUMBER(AG220),COUNTIFS($AA$8:$AA$507,"&lt;"&amp;$AA220)+COUNTIFS($AA$8:$AA$507,$AA220,$AG$8:$AG$507,"&lt;"&amp;$AG220)+COUNTIFS($AA$8:$AA$507,$AA220,$AG$8:$AG$507,$AG220,$AJ$8:$AJ$507,"&lt;"&amp;$AJ220)+1,Constants!$B$14),$Z220))</f>
        <v/>
      </c>
      <c r="AL220" s="65" t="str">
        <f aca="false">IF(ISBLANK($C220),"",IF($Z220=Constants!$B$7,IF(ISNUMBER(AH220),AH220-AK220,Constants!$B$14),$Z220))</f>
        <v/>
      </c>
      <c r="AM220" s="67"/>
      <c r="AN220" s="68" t="str">
        <f aca="false">IF(ISBLANK($C220),"",IF($Z220&lt;&gt;Constants!$B$7,$Z220,AD220))</f>
        <v/>
      </c>
      <c r="AO220" s="69" t="str">
        <f aca="false">IF(ISBLANK($C220),"",IF($Z220&lt;&gt;Constants!$B$7,$Z220,S220))</f>
        <v/>
      </c>
      <c r="AP220" s="70" t="str">
        <f aca="false">IF(ISBLANK($C220),"",IF($Z220&lt;&gt;Constants!$B$7,$Z220,AF220))</f>
        <v/>
      </c>
      <c r="AQ220" s="71" t="str">
        <f aca="false">IF(ISBLANK($C220),"",IF($Z220&lt;&gt;Constants!$B$7,$Z220,AA220))</f>
        <v/>
      </c>
      <c r="AR220" s="69" t="str">
        <f aca="false">IF(ISBLANK($C220),"",AL220)</f>
        <v/>
      </c>
      <c r="AS220" s="69" t="str">
        <f aca="false">IF(ISBLANK($C220),"",AK220)</f>
        <v/>
      </c>
      <c r="AT220" s="72" t="str">
        <f aca="false">IF(ISBLANK($C220),"",IF(AS220=Constants!$B$4,COUNTA($C$8:$C$507)+2,IF(AS220=Constants!$B$5,COUNTA($C$8:$C$507)+1,IF(AS220=Constants!$B$6,COUNTA($C$8:$C$507),AS220))))</f>
        <v/>
      </c>
      <c r="AU220" s="5"/>
      <c r="AV220" s="73" t="n">
        <f aca="false">IF(OR(ISNUMBER(AS220),AS220=Constants!$B$4,AS220=Constants!$B$6,AS220=Constants!$B$5),1,0)</f>
        <v>0</v>
      </c>
      <c r="AW220" s="73" t="n">
        <v>213</v>
      </c>
      <c r="AX220" s="73" t="str">
        <f aca="false">IF(ISBLANK($C220),"",IF(ISNUMBER(AT220),AT220+ROW($B220)/1000,""))</f>
        <v/>
      </c>
      <c r="AY220" s="73" t="str">
        <f aca="false">IF(ISNUMBER(AX220),RANK(AX220,$AX$8:$AX$507,1),"")</f>
        <v/>
      </c>
      <c r="AZ220" s="73" t="str">
        <f aca="false">IF(ISBLANK($C220),"",$B220)</f>
        <v/>
      </c>
      <c r="BA220" s="73" t="str">
        <f aca="false">IF(ISBLANK($C220),"",$C220)</f>
        <v/>
      </c>
      <c r="BB220" s="73" t="str">
        <f aca="false">IF(ISBLANK($C220),"",$D220)</f>
        <v/>
      </c>
      <c r="BC220" s="74" t="str">
        <f aca="false">AQ220</f>
        <v/>
      </c>
      <c r="BD220" s="75" t="str">
        <f aca="false">AP220</f>
        <v/>
      </c>
      <c r="BE220" s="73" t="str">
        <f aca="false">IF(ISBLANK($C220),"",AS220)</f>
        <v/>
      </c>
      <c r="BF220" s="76" t="str">
        <f aca="false">IF($AW220&gt;$AV$7,"",VLOOKUP($AW220,$AY$8:$BE$507,7,FALSE()))</f>
        <v/>
      </c>
      <c r="BG220" s="77" t="str">
        <f aca="false">IF($AW220&gt;$AV$7,"",VLOOKUP($AW220,$AY$8:$BE$507,2,FALSE()))</f>
        <v/>
      </c>
      <c r="BH220" s="77" t="str">
        <f aca="false">IF($AW220&gt;$AV$7,"",VLOOKUP($AW220,$AY$8:$BE$507,3,FALSE()))</f>
        <v/>
      </c>
      <c r="BI220" s="77" t="str">
        <f aca="false">IF($AW220&gt;$AV$7,"",VLOOKUP($AW220,$AY$8:$BE$507,4,FALSE()))</f>
        <v/>
      </c>
      <c r="BJ220" s="77" t="str">
        <f aca="false">IF($AW220&gt;$AV$7,"",VLOOKUP($AW220,$AY$8:$BE$507,5,FALSE()))</f>
        <v/>
      </c>
      <c r="BK220" s="78" t="str">
        <f aca="false">IF($AW220&gt;$AV$7,"",VLOOKUP($AW220,$AY$8:$BE$507,6,FALSE()))</f>
        <v/>
      </c>
      <c r="BL220" s="50"/>
    </row>
    <row r="221" customFormat="false" ht="15.75" hidden="false" customHeight="false" outlineLevel="0" collapsed="false">
      <c r="A221" s="5"/>
      <c r="B221" s="124"/>
      <c r="C221" s="125"/>
      <c r="D221" s="110"/>
      <c r="E221" s="130"/>
      <c r="F221" s="135"/>
      <c r="G221" s="88"/>
      <c r="H221" s="136"/>
      <c r="I221" s="137"/>
      <c r="J221" s="91"/>
      <c r="K221" s="92"/>
      <c r="L221" s="137"/>
      <c r="M221" s="93"/>
      <c r="N221" s="94"/>
      <c r="O221" s="130"/>
      <c r="P221" s="96"/>
      <c r="Q221" s="97" t="str">
        <f aca="false">IF(ISBLANK($C221),"",IF(E221=Constants!$B$2, TRUE(), IF(E221=Constants!$B$3, FALSE(), TRUE())))</f>
        <v/>
      </c>
      <c r="R221" s="97" t="str">
        <f aca="false">IF(ISBLANK($C221),"",IF(F221=Constants!$B$2, TRUE(), IF(F221=Constants!$B$3, FALSE(), TRUE())))</f>
        <v/>
      </c>
      <c r="S221" s="97" t="str">
        <f aca="false">IF(ISBLANK($C221),"",IF(G221=Constants!$B$15,Constants!$B$8,IF(G221=Constants!$B$16,Constants!$B$9,Constants!$B$10)))</f>
        <v/>
      </c>
      <c r="T221" s="97" t="str">
        <f aca="false">IF(ISBLANK($C221),"",IF(H221=Constants!$B$2, TRUE(), IF(H221=Constants!$B$3, FALSE(), TRUE())))</f>
        <v/>
      </c>
      <c r="U221" s="97" t="str">
        <f aca="false">IF(ISBLANK($C221),"",IF(I221=Constants!$B$19,Constants!$B$19,Constants!$B$18))</f>
        <v/>
      </c>
      <c r="V221" s="97" t="str">
        <f aca="false">IF(ISBLANK($C221),"",IF(COUNTA(J221:K221)=0,"",IF(AND(OR(ISBLANK(J221),AND(ISNUMBER(J221),J221&gt;=0)),OR(ISBLANK(K221),AND(ISNUMBER(K221),K221&gt;=0))),60*IF(ISBLANK(J221),0,J221)+IF(ISBLANK(K221),0,K221),"")))</f>
        <v/>
      </c>
      <c r="W221" s="97" t="str">
        <f aca="false">IF(ISBLANK($C221),"",IF(L221=Constants!$B$19,Constants!$B$19,Constants!$B$18))</f>
        <v/>
      </c>
      <c r="X221" s="97" t="str">
        <f aca="false">IF(ISBLANK($C221),"",IF(COUNTA(M221:N221)=0,"",IF(AND(OR(ISBLANK(M221),AND(ISNUMBER(M221),M221&gt;=0)),OR(ISBLANK(N221),AND(ISNUMBER(N221),N221&gt;=0))),60*IF(ISBLANK(M221),0,M221)+IF(ISBLANK(N221),0,N221),"")))</f>
        <v/>
      </c>
      <c r="Y221" s="97" t="str">
        <f aca="false">IF(ISBLANK($C221),"",IF(O221=Constants!$B$2, TRUE(), IF(O221=Constants!$B$3, FALSE(), FALSE())))</f>
        <v/>
      </c>
      <c r="Z221" s="97" t="str">
        <f aca="false">IF(ISBLANK($C221),"",IF(Y221,Constants!$B$4,IF(COUNTA(E221:N221)=0,Constants!$B$5,IF(COUNTA(J221:K221,M221:N221)=0,Constants!$B$6,Constants!$B$7))))</f>
        <v/>
      </c>
      <c r="AA221" s="97" t="str">
        <f aca="false">IF(ISBLANK($C221),"",IF($Z221&lt;&gt;Constants!$B$7,$Z221,IF(OR(NOT(T221),AND(NOT(Q221),COUNTIFS(U221:W221,Constants!$B$18,V221:X221,"&gt;=0")&gt;0),AND(NOT(R221),COUNTIFS(U221:W221,Constants!$B$19,V221:X221,"&gt;=0")&gt;0)),Constants!$B$12,Constants!$B$11)))</f>
        <v/>
      </c>
      <c r="AB221" s="97" t="str">
        <f aca="false">IF($Z221=Constants!$B$7,IF(V221="",Constants!$B$13,V221),"")</f>
        <v/>
      </c>
      <c r="AC221" s="97" t="str">
        <f aca="false">IF($Z221=Constants!$B$7,IF(X221="",Constants!$B$13,X221),"")</f>
        <v/>
      </c>
      <c r="AD221" s="97" t="str">
        <f aca="false">IF($Z221=Constants!$B$7,IF($AB221&gt;=$AC221,1,2),"")</f>
        <v/>
      </c>
      <c r="AE221" s="97" t="str">
        <f aca="false">IF($Z221=Constants!$B$7,LARGE(AB221:AC221,1),"")</f>
        <v/>
      </c>
      <c r="AF221" s="97" t="str">
        <f aca="false">IF(ISBLANK($C221),"",IF($Z221&lt;&gt;Constants!$B$7,$Z221,AE221*S221))</f>
        <v/>
      </c>
      <c r="AG221" s="97" t="str">
        <f aca="false">IF(ISBLANK($C221),"",IF($Z221=Constants!$B$7,IF(ISNUMBER(AF221),RANK(AF221,$AF$8:$AF$507),Constants!$B$14),$Z221))</f>
        <v/>
      </c>
      <c r="AH221" s="97" t="str">
        <f aca="false">IF(ISBLANK($C221),"",IF($Z221=Constants!$B$7,IF(ISNUMBER(AG221),COUNTIFS($AA$8:$AA$507,"&lt;"&amp;$AA221)+COUNTIFS($AA$8:$AA$507,$AA221,$AG$8:$AG$507,"&lt;"&amp;$AG221)+1,Constants!$B$14),$Z221))</f>
        <v/>
      </c>
      <c r="AI221" s="97" t="str">
        <f aca="false">IF(ISBLANK($C221),"",IF($Z221=Constants!$B$7,LARGE(AB221:AC221,2)*S221,""))</f>
        <v/>
      </c>
      <c r="AJ221" s="97" t="str">
        <f aca="false">IF(ISBLANK($C221),"",IF($Z221=Constants!$B$7,RANK(AI221,$AI$8:$AI$507),$Z221))</f>
        <v/>
      </c>
      <c r="AK221" s="97" t="str">
        <f aca="false">IF(ISBLANK($C221),"",IF($Z221=Constants!$B$7,IF(ISNUMBER(AG221),COUNTIFS($AA$8:$AA$507,"&lt;"&amp;$AA221)+COUNTIFS($AA$8:$AA$507,$AA221,$AG$8:$AG$507,"&lt;"&amp;$AG221)+COUNTIFS($AA$8:$AA$507,$AA221,$AG$8:$AG$507,$AG221,$AJ$8:$AJ$507,"&lt;"&amp;$AJ221)+1,Constants!$B$14),$Z221))</f>
        <v/>
      </c>
      <c r="AL221" s="97" t="str">
        <f aca="false">IF(ISBLANK($C221),"",IF($Z221=Constants!$B$7,IF(ISNUMBER(AH221),AH221-AK221,Constants!$B$14),$Z221))</f>
        <v/>
      </c>
      <c r="AM221" s="98"/>
      <c r="AN221" s="99" t="str">
        <f aca="false">IF(ISBLANK($C221),"",IF($Z221&lt;&gt;Constants!$B$7,$Z221,AD221))</f>
        <v/>
      </c>
      <c r="AO221" s="100" t="str">
        <f aca="false">IF(ISBLANK($C221),"",IF($Z221&lt;&gt;Constants!$B$7,$Z221,S221))</f>
        <v/>
      </c>
      <c r="AP221" s="101" t="str">
        <f aca="false">IF(ISBLANK($C221),"",IF($Z221&lt;&gt;Constants!$B$7,$Z221,AF221))</f>
        <v/>
      </c>
      <c r="AQ221" s="102" t="str">
        <f aca="false">IF(ISBLANK($C221),"",IF($Z221&lt;&gt;Constants!$B$7,$Z221,AA221))</f>
        <v/>
      </c>
      <c r="AR221" s="100" t="str">
        <f aca="false">IF(ISBLANK($C221),"",AL221)</f>
        <v/>
      </c>
      <c r="AS221" s="100" t="str">
        <f aca="false">IF(ISBLANK($C221),"",AK221)</f>
        <v/>
      </c>
      <c r="AT221" s="103" t="str">
        <f aca="false">IF(ISBLANK($C221),"",IF(AS221=Constants!$B$4,COUNTA($C$8:$C$507)+2,IF(AS221=Constants!$B$5,COUNTA($C$8:$C$507)+1,IF(AS221=Constants!$B$6,COUNTA($C$8:$C$507),AS221))))</f>
        <v/>
      </c>
      <c r="AU221" s="5"/>
      <c r="AV221" s="104" t="n">
        <f aca="false">IF(OR(ISNUMBER(AS221),AS221=Constants!$B$4,AS221=Constants!$B$6,AS221=Constants!$B$5),1,0)</f>
        <v>0</v>
      </c>
      <c r="AW221" s="104" t="n">
        <v>214</v>
      </c>
      <c r="AX221" s="104" t="str">
        <f aca="false">IF(ISBLANK($C221),"",IF(ISNUMBER(AT221),AT221+ROW($B221)/1000,""))</f>
        <v/>
      </c>
      <c r="AY221" s="104" t="str">
        <f aca="false">IF(ISNUMBER(AX221),RANK(AX221,$AX$8:$AX$507,1),"")</f>
        <v/>
      </c>
      <c r="AZ221" s="104" t="str">
        <f aca="false">IF(ISBLANK($C221),"",$B221)</f>
        <v/>
      </c>
      <c r="BA221" s="104" t="str">
        <f aca="false">IF(ISBLANK($C221),"",$C221)</f>
        <v/>
      </c>
      <c r="BB221" s="104" t="str">
        <f aca="false">IF(ISBLANK($C221),"",$D221)</f>
        <v/>
      </c>
      <c r="BC221" s="105" t="str">
        <f aca="false">AQ221</f>
        <v/>
      </c>
      <c r="BD221" s="106" t="str">
        <f aca="false">AP221</f>
        <v/>
      </c>
      <c r="BE221" s="104" t="str">
        <f aca="false">IF(ISBLANK($C221),"",AS221)</f>
        <v/>
      </c>
      <c r="BF221" s="107" t="str">
        <f aca="false">IF($AW221&gt;$AV$7,"",VLOOKUP($AW221,$AY$8:$BE$507,7,FALSE()))</f>
        <v/>
      </c>
      <c r="BG221" s="108" t="str">
        <f aca="false">IF($AW221&gt;$AV$7,"",VLOOKUP($AW221,$AY$8:$BE$507,2,FALSE()))</f>
        <v/>
      </c>
      <c r="BH221" s="108" t="str">
        <f aca="false">IF($AW221&gt;$AV$7,"",VLOOKUP($AW221,$AY$8:$BE$507,3,FALSE()))</f>
        <v/>
      </c>
      <c r="BI221" s="108" t="str">
        <f aca="false">IF($AW221&gt;$AV$7,"",VLOOKUP($AW221,$AY$8:$BE$507,4,FALSE()))</f>
        <v/>
      </c>
      <c r="BJ221" s="108" t="str">
        <f aca="false">IF($AW221&gt;$AV$7,"",VLOOKUP($AW221,$AY$8:$BE$507,5,FALSE()))</f>
        <v/>
      </c>
      <c r="BK221" s="109" t="str">
        <f aca="false">IF($AW221&gt;$AV$7,"",VLOOKUP($AW221,$AY$8:$BE$507,6,FALSE()))</f>
        <v/>
      </c>
      <c r="BL221" s="50"/>
    </row>
    <row r="222" customFormat="false" ht="15.75" hidden="false" customHeight="false" outlineLevel="0" collapsed="false">
      <c r="A222" s="5"/>
      <c r="B222" s="124"/>
      <c r="C222" s="125"/>
      <c r="D222" s="110"/>
      <c r="E222" s="130"/>
      <c r="F222" s="135"/>
      <c r="G222" s="88"/>
      <c r="H222" s="136"/>
      <c r="I222" s="137"/>
      <c r="J222" s="91"/>
      <c r="K222" s="92"/>
      <c r="L222" s="137"/>
      <c r="M222" s="93"/>
      <c r="N222" s="94"/>
      <c r="O222" s="130"/>
      <c r="P222" s="96"/>
      <c r="Q222" s="97" t="str">
        <f aca="false">IF(ISBLANK($C222),"",IF(E222=Constants!$B$2, TRUE(), IF(E222=Constants!$B$3, FALSE(), TRUE())))</f>
        <v/>
      </c>
      <c r="R222" s="97" t="str">
        <f aca="false">IF(ISBLANK($C222),"",IF(F222=Constants!$B$2, TRUE(), IF(F222=Constants!$B$3, FALSE(), TRUE())))</f>
        <v/>
      </c>
      <c r="S222" s="97" t="str">
        <f aca="false">IF(ISBLANK($C222),"",IF(G222=Constants!$B$15,Constants!$B$8,IF(G222=Constants!$B$16,Constants!$B$9,Constants!$B$10)))</f>
        <v/>
      </c>
      <c r="T222" s="97" t="str">
        <f aca="false">IF(ISBLANK($C222),"",IF(H222=Constants!$B$2, TRUE(), IF(H222=Constants!$B$3, FALSE(), TRUE())))</f>
        <v/>
      </c>
      <c r="U222" s="97" t="str">
        <f aca="false">IF(ISBLANK($C222),"",IF(I222=Constants!$B$19,Constants!$B$19,Constants!$B$18))</f>
        <v/>
      </c>
      <c r="V222" s="97" t="str">
        <f aca="false">IF(ISBLANK($C222),"",IF(COUNTA(J222:K222)=0,"",IF(AND(OR(ISBLANK(J222),AND(ISNUMBER(J222),J222&gt;=0)),OR(ISBLANK(K222),AND(ISNUMBER(K222),K222&gt;=0))),60*IF(ISBLANK(J222),0,J222)+IF(ISBLANK(K222),0,K222),"")))</f>
        <v/>
      </c>
      <c r="W222" s="97" t="str">
        <f aca="false">IF(ISBLANK($C222),"",IF(L222=Constants!$B$19,Constants!$B$19,Constants!$B$18))</f>
        <v/>
      </c>
      <c r="X222" s="97" t="str">
        <f aca="false">IF(ISBLANK($C222),"",IF(COUNTA(M222:N222)=0,"",IF(AND(OR(ISBLANK(M222),AND(ISNUMBER(M222),M222&gt;=0)),OR(ISBLANK(N222),AND(ISNUMBER(N222),N222&gt;=0))),60*IF(ISBLANK(M222),0,M222)+IF(ISBLANK(N222),0,N222),"")))</f>
        <v/>
      </c>
      <c r="Y222" s="97" t="str">
        <f aca="false">IF(ISBLANK($C222),"",IF(O222=Constants!$B$2, TRUE(), IF(O222=Constants!$B$3, FALSE(), FALSE())))</f>
        <v/>
      </c>
      <c r="Z222" s="97" t="str">
        <f aca="false">IF(ISBLANK($C222),"",IF(Y222,Constants!$B$4,IF(COUNTA(E222:N222)=0,Constants!$B$5,IF(COUNTA(J222:K222,M222:N222)=0,Constants!$B$6,Constants!$B$7))))</f>
        <v/>
      </c>
      <c r="AA222" s="97" t="str">
        <f aca="false">IF(ISBLANK($C222),"",IF($Z222&lt;&gt;Constants!$B$7,$Z222,IF(OR(NOT(T222),AND(NOT(Q222),COUNTIFS(U222:W222,Constants!$B$18,V222:X222,"&gt;=0")&gt;0),AND(NOT(R222),COUNTIFS(U222:W222,Constants!$B$19,V222:X222,"&gt;=0")&gt;0)),Constants!$B$12,Constants!$B$11)))</f>
        <v/>
      </c>
      <c r="AB222" s="97" t="str">
        <f aca="false">IF($Z222=Constants!$B$7,IF(V222="",Constants!$B$13,V222),"")</f>
        <v/>
      </c>
      <c r="AC222" s="97" t="str">
        <f aca="false">IF($Z222=Constants!$B$7,IF(X222="",Constants!$B$13,X222),"")</f>
        <v/>
      </c>
      <c r="AD222" s="97" t="str">
        <f aca="false">IF($Z222=Constants!$B$7,IF($AB222&gt;=$AC222,1,2),"")</f>
        <v/>
      </c>
      <c r="AE222" s="97" t="str">
        <f aca="false">IF($Z222=Constants!$B$7,LARGE(AB222:AC222,1),"")</f>
        <v/>
      </c>
      <c r="AF222" s="97" t="str">
        <f aca="false">IF(ISBLANK($C222),"",IF($Z222&lt;&gt;Constants!$B$7,$Z222,AE222*S222))</f>
        <v/>
      </c>
      <c r="AG222" s="97" t="str">
        <f aca="false">IF(ISBLANK($C222),"",IF($Z222=Constants!$B$7,IF(ISNUMBER(AF222),RANK(AF222,$AF$8:$AF$507),Constants!$B$14),$Z222))</f>
        <v/>
      </c>
      <c r="AH222" s="97" t="str">
        <f aca="false">IF(ISBLANK($C222),"",IF($Z222=Constants!$B$7,IF(ISNUMBER(AG222),COUNTIFS($AA$8:$AA$507,"&lt;"&amp;$AA222)+COUNTIFS($AA$8:$AA$507,$AA222,$AG$8:$AG$507,"&lt;"&amp;$AG222)+1,Constants!$B$14),$Z222))</f>
        <v/>
      </c>
      <c r="AI222" s="97" t="str">
        <f aca="false">IF(ISBLANK($C222),"",IF($Z222=Constants!$B$7,LARGE(AB222:AC222,2)*S222,""))</f>
        <v/>
      </c>
      <c r="AJ222" s="97" t="str">
        <f aca="false">IF(ISBLANK($C222),"",IF($Z222=Constants!$B$7,RANK(AI222,$AI$8:$AI$507),$Z222))</f>
        <v/>
      </c>
      <c r="AK222" s="97" t="str">
        <f aca="false">IF(ISBLANK($C222),"",IF($Z222=Constants!$B$7,IF(ISNUMBER(AG222),COUNTIFS($AA$8:$AA$507,"&lt;"&amp;$AA222)+COUNTIFS($AA$8:$AA$507,$AA222,$AG$8:$AG$507,"&lt;"&amp;$AG222)+COUNTIFS($AA$8:$AA$507,$AA222,$AG$8:$AG$507,$AG222,$AJ$8:$AJ$507,"&lt;"&amp;$AJ222)+1,Constants!$B$14),$Z222))</f>
        <v/>
      </c>
      <c r="AL222" s="97" t="str">
        <f aca="false">IF(ISBLANK($C222),"",IF($Z222=Constants!$B$7,IF(ISNUMBER(AH222),AH222-AK222,Constants!$B$14),$Z222))</f>
        <v/>
      </c>
      <c r="AM222" s="98"/>
      <c r="AN222" s="99" t="str">
        <f aca="false">IF(ISBLANK($C222),"",IF($Z222&lt;&gt;Constants!$B$7,$Z222,AD222))</f>
        <v/>
      </c>
      <c r="AO222" s="100" t="str">
        <f aca="false">IF(ISBLANK($C222),"",IF($Z222&lt;&gt;Constants!$B$7,$Z222,S222))</f>
        <v/>
      </c>
      <c r="AP222" s="101" t="str">
        <f aca="false">IF(ISBLANK($C222),"",IF($Z222&lt;&gt;Constants!$B$7,$Z222,AF222))</f>
        <v/>
      </c>
      <c r="AQ222" s="102" t="str">
        <f aca="false">IF(ISBLANK($C222),"",IF($Z222&lt;&gt;Constants!$B$7,$Z222,AA222))</f>
        <v/>
      </c>
      <c r="AR222" s="100" t="str">
        <f aca="false">IF(ISBLANK($C222),"",AL222)</f>
        <v/>
      </c>
      <c r="AS222" s="100" t="str">
        <f aca="false">IF(ISBLANK($C222),"",AK222)</f>
        <v/>
      </c>
      <c r="AT222" s="103" t="str">
        <f aca="false">IF(ISBLANK($C222),"",IF(AS222=Constants!$B$4,COUNTA($C$8:$C$507)+2,IF(AS222=Constants!$B$5,COUNTA($C$8:$C$507)+1,IF(AS222=Constants!$B$6,COUNTA($C$8:$C$507),AS222))))</f>
        <v/>
      </c>
      <c r="AU222" s="5"/>
      <c r="AV222" s="104" t="n">
        <f aca="false">IF(OR(ISNUMBER(AS222),AS222=Constants!$B$4,AS222=Constants!$B$6,AS222=Constants!$B$5),1,0)</f>
        <v>0</v>
      </c>
      <c r="AW222" s="104" t="n">
        <v>215</v>
      </c>
      <c r="AX222" s="104" t="str">
        <f aca="false">IF(ISBLANK($C222),"",IF(ISNUMBER(AT222),AT222+ROW($B222)/1000,""))</f>
        <v/>
      </c>
      <c r="AY222" s="104" t="str">
        <f aca="false">IF(ISNUMBER(AX222),RANK(AX222,$AX$8:$AX$507,1),"")</f>
        <v/>
      </c>
      <c r="AZ222" s="104" t="str">
        <f aca="false">IF(ISBLANK($C222),"",$B222)</f>
        <v/>
      </c>
      <c r="BA222" s="104" t="str">
        <f aca="false">IF(ISBLANK($C222),"",$C222)</f>
        <v/>
      </c>
      <c r="BB222" s="104" t="str">
        <f aca="false">IF(ISBLANK($C222),"",$D222)</f>
        <v/>
      </c>
      <c r="BC222" s="105" t="str">
        <f aca="false">AQ222</f>
        <v/>
      </c>
      <c r="BD222" s="106" t="str">
        <f aca="false">AP222</f>
        <v/>
      </c>
      <c r="BE222" s="104" t="str">
        <f aca="false">IF(ISBLANK($C222),"",AS222)</f>
        <v/>
      </c>
      <c r="BF222" s="107" t="str">
        <f aca="false">IF($AW222&gt;$AV$7,"",VLOOKUP($AW222,$AY$8:$BE$507,7,FALSE()))</f>
        <v/>
      </c>
      <c r="BG222" s="108" t="str">
        <f aca="false">IF($AW222&gt;$AV$7,"",VLOOKUP($AW222,$AY$8:$BE$507,2,FALSE()))</f>
        <v/>
      </c>
      <c r="BH222" s="108" t="str">
        <f aca="false">IF($AW222&gt;$AV$7,"",VLOOKUP($AW222,$AY$8:$BE$507,3,FALSE()))</f>
        <v/>
      </c>
      <c r="BI222" s="108" t="str">
        <f aca="false">IF($AW222&gt;$AV$7,"",VLOOKUP($AW222,$AY$8:$BE$507,4,FALSE()))</f>
        <v/>
      </c>
      <c r="BJ222" s="108" t="str">
        <f aca="false">IF($AW222&gt;$AV$7,"",VLOOKUP($AW222,$AY$8:$BE$507,5,FALSE()))</f>
        <v/>
      </c>
      <c r="BK222" s="109" t="str">
        <f aca="false">IF($AW222&gt;$AV$7,"",VLOOKUP($AW222,$AY$8:$BE$507,6,FALSE()))</f>
        <v/>
      </c>
      <c r="BL222" s="50"/>
    </row>
    <row r="223" customFormat="false" ht="15.75" hidden="false" customHeight="false" outlineLevel="0" collapsed="false">
      <c r="A223" s="5"/>
      <c r="B223" s="124"/>
      <c r="C223" s="125"/>
      <c r="D223" s="110"/>
      <c r="E223" s="130"/>
      <c r="F223" s="135"/>
      <c r="G223" s="88"/>
      <c r="H223" s="136"/>
      <c r="I223" s="137"/>
      <c r="J223" s="91"/>
      <c r="K223" s="92"/>
      <c r="L223" s="137"/>
      <c r="M223" s="93"/>
      <c r="N223" s="94"/>
      <c r="O223" s="130"/>
      <c r="P223" s="96"/>
      <c r="Q223" s="97" t="str">
        <f aca="false">IF(ISBLANK($C223),"",IF(E223=Constants!$B$2, TRUE(), IF(E223=Constants!$B$3, FALSE(), TRUE())))</f>
        <v/>
      </c>
      <c r="R223" s="97" t="str">
        <f aca="false">IF(ISBLANK($C223),"",IF(F223=Constants!$B$2, TRUE(), IF(F223=Constants!$B$3, FALSE(), TRUE())))</f>
        <v/>
      </c>
      <c r="S223" s="97" t="str">
        <f aca="false">IF(ISBLANK($C223),"",IF(G223=Constants!$B$15,Constants!$B$8,IF(G223=Constants!$B$16,Constants!$B$9,Constants!$B$10)))</f>
        <v/>
      </c>
      <c r="T223" s="97" t="str">
        <f aca="false">IF(ISBLANK($C223),"",IF(H223=Constants!$B$2, TRUE(), IF(H223=Constants!$B$3, FALSE(), TRUE())))</f>
        <v/>
      </c>
      <c r="U223" s="97" t="str">
        <f aca="false">IF(ISBLANK($C223),"",IF(I223=Constants!$B$19,Constants!$B$19,Constants!$B$18))</f>
        <v/>
      </c>
      <c r="V223" s="97" t="str">
        <f aca="false">IF(ISBLANK($C223),"",IF(COUNTA(J223:K223)=0,"",IF(AND(OR(ISBLANK(J223),AND(ISNUMBER(J223),J223&gt;=0)),OR(ISBLANK(K223),AND(ISNUMBER(K223),K223&gt;=0))),60*IF(ISBLANK(J223),0,J223)+IF(ISBLANK(K223),0,K223),"")))</f>
        <v/>
      </c>
      <c r="W223" s="97" t="str">
        <f aca="false">IF(ISBLANK($C223),"",IF(L223=Constants!$B$19,Constants!$B$19,Constants!$B$18))</f>
        <v/>
      </c>
      <c r="X223" s="97" t="str">
        <f aca="false">IF(ISBLANK($C223),"",IF(COUNTA(M223:N223)=0,"",IF(AND(OR(ISBLANK(M223),AND(ISNUMBER(M223),M223&gt;=0)),OR(ISBLANK(N223),AND(ISNUMBER(N223),N223&gt;=0))),60*IF(ISBLANK(M223),0,M223)+IF(ISBLANK(N223),0,N223),"")))</f>
        <v/>
      </c>
      <c r="Y223" s="97" t="str">
        <f aca="false">IF(ISBLANK($C223),"",IF(O223=Constants!$B$2, TRUE(), IF(O223=Constants!$B$3, FALSE(), FALSE())))</f>
        <v/>
      </c>
      <c r="Z223" s="97" t="str">
        <f aca="false">IF(ISBLANK($C223),"",IF(Y223,Constants!$B$4,IF(COUNTA(E223:N223)=0,Constants!$B$5,IF(COUNTA(J223:K223,M223:N223)=0,Constants!$B$6,Constants!$B$7))))</f>
        <v/>
      </c>
      <c r="AA223" s="97" t="str">
        <f aca="false">IF(ISBLANK($C223),"",IF($Z223&lt;&gt;Constants!$B$7,$Z223,IF(OR(NOT(T223),AND(NOT(Q223),COUNTIFS(U223:W223,Constants!$B$18,V223:X223,"&gt;=0")&gt;0),AND(NOT(R223),COUNTIFS(U223:W223,Constants!$B$19,V223:X223,"&gt;=0")&gt;0)),Constants!$B$12,Constants!$B$11)))</f>
        <v/>
      </c>
      <c r="AB223" s="97" t="str">
        <f aca="false">IF($Z223=Constants!$B$7,IF(V223="",Constants!$B$13,V223),"")</f>
        <v/>
      </c>
      <c r="AC223" s="97" t="str">
        <f aca="false">IF($Z223=Constants!$B$7,IF(X223="",Constants!$B$13,X223),"")</f>
        <v/>
      </c>
      <c r="AD223" s="97" t="str">
        <f aca="false">IF($Z223=Constants!$B$7,IF($AB223&gt;=$AC223,1,2),"")</f>
        <v/>
      </c>
      <c r="AE223" s="97" t="str">
        <f aca="false">IF($Z223=Constants!$B$7,LARGE(AB223:AC223,1),"")</f>
        <v/>
      </c>
      <c r="AF223" s="97" t="str">
        <f aca="false">IF(ISBLANK($C223),"",IF($Z223&lt;&gt;Constants!$B$7,$Z223,AE223*S223))</f>
        <v/>
      </c>
      <c r="AG223" s="97" t="str">
        <f aca="false">IF(ISBLANK($C223),"",IF($Z223=Constants!$B$7,IF(ISNUMBER(AF223),RANK(AF223,$AF$8:$AF$507),Constants!$B$14),$Z223))</f>
        <v/>
      </c>
      <c r="AH223" s="97" t="str">
        <f aca="false">IF(ISBLANK($C223),"",IF($Z223=Constants!$B$7,IF(ISNUMBER(AG223),COUNTIFS($AA$8:$AA$507,"&lt;"&amp;$AA223)+COUNTIFS($AA$8:$AA$507,$AA223,$AG$8:$AG$507,"&lt;"&amp;$AG223)+1,Constants!$B$14),$Z223))</f>
        <v/>
      </c>
      <c r="AI223" s="97" t="str">
        <f aca="false">IF(ISBLANK($C223),"",IF($Z223=Constants!$B$7,LARGE(AB223:AC223,2)*S223,""))</f>
        <v/>
      </c>
      <c r="AJ223" s="97" t="str">
        <f aca="false">IF(ISBLANK($C223),"",IF($Z223=Constants!$B$7,RANK(AI223,$AI$8:$AI$507),$Z223))</f>
        <v/>
      </c>
      <c r="AK223" s="97" t="str">
        <f aca="false">IF(ISBLANK($C223),"",IF($Z223=Constants!$B$7,IF(ISNUMBER(AG223),COUNTIFS($AA$8:$AA$507,"&lt;"&amp;$AA223)+COUNTIFS($AA$8:$AA$507,$AA223,$AG$8:$AG$507,"&lt;"&amp;$AG223)+COUNTIFS($AA$8:$AA$507,$AA223,$AG$8:$AG$507,$AG223,$AJ$8:$AJ$507,"&lt;"&amp;$AJ223)+1,Constants!$B$14),$Z223))</f>
        <v/>
      </c>
      <c r="AL223" s="97" t="str">
        <f aca="false">IF(ISBLANK($C223),"",IF($Z223=Constants!$B$7,IF(ISNUMBER(AH223),AH223-AK223,Constants!$B$14),$Z223))</f>
        <v/>
      </c>
      <c r="AM223" s="98"/>
      <c r="AN223" s="99" t="str">
        <f aca="false">IF(ISBLANK($C223),"",IF($Z223&lt;&gt;Constants!$B$7,$Z223,AD223))</f>
        <v/>
      </c>
      <c r="AO223" s="100" t="str">
        <f aca="false">IF(ISBLANK($C223),"",IF($Z223&lt;&gt;Constants!$B$7,$Z223,S223))</f>
        <v/>
      </c>
      <c r="AP223" s="101" t="str">
        <f aca="false">IF(ISBLANK($C223),"",IF($Z223&lt;&gt;Constants!$B$7,$Z223,AF223))</f>
        <v/>
      </c>
      <c r="AQ223" s="102" t="str">
        <f aca="false">IF(ISBLANK($C223),"",IF($Z223&lt;&gt;Constants!$B$7,$Z223,AA223))</f>
        <v/>
      </c>
      <c r="AR223" s="100" t="str">
        <f aca="false">IF(ISBLANK($C223),"",AL223)</f>
        <v/>
      </c>
      <c r="AS223" s="100" t="str">
        <f aca="false">IF(ISBLANK($C223),"",AK223)</f>
        <v/>
      </c>
      <c r="AT223" s="103" t="str">
        <f aca="false">IF(ISBLANK($C223),"",IF(AS223=Constants!$B$4,COUNTA($C$8:$C$507)+2,IF(AS223=Constants!$B$5,COUNTA($C$8:$C$507)+1,IF(AS223=Constants!$B$6,COUNTA($C$8:$C$507),AS223))))</f>
        <v/>
      </c>
      <c r="AU223" s="5"/>
      <c r="AV223" s="104" t="n">
        <f aca="false">IF(OR(ISNUMBER(AS223),AS223=Constants!$B$4,AS223=Constants!$B$6,AS223=Constants!$B$5),1,0)</f>
        <v>0</v>
      </c>
      <c r="AW223" s="104" t="n">
        <v>216</v>
      </c>
      <c r="AX223" s="104" t="str">
        <f aca="false">IF(ISBLANK($C223),"",IF(ISNUMBER(AT223),AT223+ROW($B223)/1000,""))</f>
        <v/>
      </c>
      <c r="AY223" s="104" t="str">
        <f aca="false">IF(ISNUMBER(AX223),RANK(AX223,$AX$8:$AX$507,1),"")</f>
        <v/>
      </c>
      <c r="AZ223" s="104" t="str">
        <f aca="false">IF(ISBLANK($C223),"",$B223)</f>
        <v/>
      </c>
      <c r="BA223" s="104" t="str">
        <f aca="false">IF(ISBLANK($C223),"",$C223)</f>
        <v/>
      </c>
      <c r="BB223" s="104" t="str">
        <f aca="false">IF(ISBLANK($C223),"",$D223)</f>
        <v/>
      </c>
      <c r="BC223" s="105" t="str">
        <f aca="false">AQ223</f>
        <v/>
      </c>
      <c r="BD223" s="106" t="str">
        <f aca="false">AP223</f>
        <v/>
      </c>
      <c r="BE223" s="104" t="str">
        <f aca="false">IF(ISBLANK($C223),"",AS223)</f>
        <v/>
      </c>
      <c r="BF223" s="107" t="str">
        <f aca="false">IF($AW223&gt;$AV$7,"",VLOOKUP($AW223,$AY$8:$BE$507,7,FALSE()))</f>
        <v/>
      </c>
      <c r="BG223" s="108" t="str">
        <f aca="false">IF($AW223&gt;$AV$7,"",VLOOKUP($AW223,$AY$8:$BE$507,2,FALSE()))</f>
        <v/>
      </c>
      <c r="BH223" s="108" t="str">
        <f aca="false">IF($AW223&gt;$AV$7,"",VLOOKUP($AW223,$AY$8:$BE$507,3,FALSE()))</f>
        <v/>
      </c>
      <c r="BI223" s="108" t="str">
        <f aca="false">IF($AW223&gt;$AV$7,"",VLOOKUP($AW223,$AY$8:$BE$507,4,FALSE()))</f>
        <v/>
      </c>
      <c r="BJ223" s="108" t="str">
        <f aca="false">IF($AW223&gt;$AV$7,"",VLOOKUP($AW223,$AY$8:$BE$507,5,FALSE()))</f>
        <v/>
      </c>
      <c r="BK223" s="109" t="str">
        <f aca="false">IF($AW223&gt;$AV$7,"",VLOOKUP($AW223,$AY$8:$BE$507,6,FALSE()))</f>
        <v/>
      </c>
      <c r="BL223" s="50"/>
    </row>
    <row r="224" customFormat="false" ht="15.75" hidden="false" customHeight="false" outlineLevel="0" collapsed="false">
      <c r="A224" s="5"/>
      <c r="B224" s="131"/>
      <c r="C224" s="52"/>
      <c r="D224" s="53"/>
      <c r="E224" s="80"/>
      <c r="F224" s="132"/>
      <c r="G224" s="56"/>
      <c r="H224" s="133"/>
      <c r="I224" s="134"/>
      <c r="J224" s="59"/>
      <c r="K224" s="60"/>
      <c r="L224" s="134"/>
      <c r="M224" s="61"/>
      <c r="N224" s="62"/>
      <c r="O224" s="80"/>
      <c r="P224" s="64"/>
      <c r="Q224" s="65" t="str">
        <f aca="false">IF(ISBLANK($C224),"",IF(E224=Constants!$B$2, TRUE(), IF(E224=Constants!$B$3, FALSE(), TRUE())))</f>
        <v/>
      </c>
      <c r="R224" s="65" t="str">
        <f aca="false">IF(ISBLANK($C224),"",IF(F224=Constants!$B$2, TRUE(), IF(F224=Constants!$B$3, FALSE(), TRUE())))</f>
        <v/>
      </c>
      <c r="S224" s="65" t="str">
        <f aca="false">IF(ISBLANK($C224),"",IF(G224=Constants!$B$15,Constants!$B$8,IF(G224=Constants!$B$16,Constants!$B$9,Constants!$B$10)))</f>
        <v/>
      </c>
      <c r="T224" s="65" t="str">
        <f aca="false">IF(ISBLANK($C224),"",IF(H224=Constants!$B$2, TRUE(), IF(H224=Constants!$B$3, FALSE(), TRUE())))</f>
        <v/>
      </c>
      <c r="U224" s="65" t="str">
        <f aca="false">IF(ISBLANK($C224),"",IF(I224=Constants!$B$19,Constants!$B$19,Constants!$B$18))</f>
        <v/>
      </c>
      <c r="V224" s="65" t="str">
        <f aca="false">IF(ISBLANK($C224),"",IF(COUNTA(J224:K224)=0,"",IF(AND(OR(ISBLANK(J224),AND(ISNUMBER(J224),J224&gt;=0)),OR(ISBLANK(K224),AND(ISNUMBER(K224),K224&gt;=0))),60*IF(ISBLANK(J224),0,J224)+IF(ISBLANK(K224),0,K224),"")))</f>
        <v/>
      </c>
      <c r="W224" s="65" t="str">
        <f aca="false">IF(ISBLANK($C224),"",IF(L224=Constants!$B$19,Constants!$B$19,Constants!$B$18))</f>
        <v/>
      </c>
      <c r="X224" s="65" t="str">
        <f aca="false">IF(ISBLANK($C224),"",IF(COUNTA(M224:N224)=0,"",IF(AND(OR(ISBLANK(M224),AND(ISNUMBER(M224),M224&gt;=0)),OR(ISBLANK(N224),AND(ISNUMBER(N224),N224&gt;=0))),60*IF(ISBLANK(M224),0,M224)+IF(ISBLANK(N224),0,N224),"")))</f>
        <v/>
      </c>
      <c r="Y224" s="65" t="str">
        <f aca="false">IF(ISBLANK($C224),"",IF(O224=Constants!$B$2, TRUE(), IF(O224=Constants!$B$3, FALSE(), FALSE())))</f>
        <v/>
      </c>
      <c r="Z224" s="65" t="str">
        <f aca="false">IF(ISBLANK($C224),"",IF(Y224,Constants!$B$4,IF(COUNTA(E224:N224)=0,Constants!$B$5,IF(COUNTA(J224:K224,M224:N224)=0,Constants!$B$6,Constants!$B$7))))</f>
        <v/>
      </c>
      <c r="AA224" s="65" t="str">
        <f aca="false">IF(ISBLANK($C224),"",IF($Z224&lt;&gt;Constants!$B$7,$Z224,IF(OR(NOT(T224),AND(NOT(Q224),COUNTIFS(U224:W224,Constants!$B$18,V224:X224,"&gt;=0")&gt;0),AND(NOT(R224),COUNTIFS(U224:W224,Constants!$B$19,V224:X224,"&gt;=0")&gt;0)),Constants!$B$12,Constants!$B$11)))</f>
        <v/>
      </c>
      <c r="AB224" s="65" t="str">
        <f aca="false">IF($Z224=Constants!$B$7,IF(V224="",Constants!$B$13,V224),"")</f>
        <v/>
      </c>
      <c r="AC224" s="65" t="str">
        <f aca="false">IF($Z224=Constants!$B$7,IF(X224="",Constants!$B$13,X224),"")</f>
        <v/>
      </c>
      <c r="AD224" s="65" t="str">
        <f aca="false">IF($Z224=Constants!$B$7,IF($AB224&gt;=$AC224,1,2),"")</f>
        <v/>
      </c>
      <c r="AE224" s="65" t="str">
        <f aca="false">IF($Z224=Constants!$B$7,LARGE(AB224:AC224,1),"")</f>
        <v/>
      </c>
      <c r="AF224" s="65" t="str">
        <f aca="false">IF(ISBLANK($C224),"",IF($Z224&lt;&gt;Constants!$B$7,$Z224,AE224*S224))</f>
        <v/>
      </c>
      <c r="AG224" s="65" t="str">
        <f aca="false">IF(ISBLANK($C224),"",IF($Z224=Constants!$B$7,IF(ISNUMBER(AF224),RANK(AF224,$AF$8:$AF$507),Constants!$B$14),$Z224))</f>
        <v/>
      </c>
      <c r="AH224" s="65" t="str">
        <f aca="false">IF(ISBLANK($C224),"",IF($Z224=Constants!$B$7,IF(ISNUMBER(AG224),COUNTIFS($AA$8:$AA$507,"&lt;"&amp;$AA224)+COUNTIFS($AA$8:$AA$507,$AA224,$AG$8:$AG$507,"&lt;"&amp;$AG224)+1,Constants!$B$14),$Z224))</f>
        <v/>
      </c>
      <c r="AI224" s="65" t="str">
        <f aca="false">IF(ISBLANK($C224),"",IF($Z224=Constants!$B$7,LARGE(AB224:AC224,2)*S224,""))</f>
        <v/>
      </c>
      <c r="AJ224" s="65" t="str">
        <f aca="false">IF(ISBLANK($C224),"",IF($Z224=Constants!$B$7,RANK(AI224,$AI$8:$AI$507),$Z224))</f>
        <v/>
      </c>
      <c r="AK224" s="65" t="str">
        <f aca="false">IF(ISBLANK($C224),"",IF($Z224=Constants!$B$7,IF(ISNUMBER(AG224),COUNTIFS($AA$8:$AA$507,"&lt;"&amp;$AA224)+COUNTIFS($AA$8:$AA$507,$AA224,$AG$8:$AG$507,"&lt;"&amp;$AG224)+COUNTIFS($AA$8:$AA$507,$AA224,$AG$8:$AG$507,$AG224,$AJ$8:$AJ$507,"&lt;"&amp;$AJ224)+1,Constants!$B$14),$Z224))</f>
        <v/>
      </c>
      <c r="AL224" s="65" t="str">
        <f aca="false">IF(ISBLANK($C224),"",IF($Z224=Constants!$B$7,IF(ISNUMBER(AH224),AH224-AK224,Constants!$B$14),$Z224))</f>
        <v/>
      </c>
      <c r="AM224" s="67"/>
      <c r="AN224" s="68" t="str">
        <f aca="false">IF(ISBLANK($C224),"",IF($Z224&lt;&gt;Constants!$B$7,$Z224,AD224))</f>
        <v/>
      </c>
      <c r="AO224" s="69" t="str">
        <f aca="false">IF(ISBLANK($C224),"",IF($Z224&lt;&gt;Constants!$B$7,$Z224,S224))</f>
        <v/>
      </c>
      <c r="AP224" s="70" t="str">
        <f aca="false">IF(ISBLANK($C224),"",IF($Z224&lt;&gt;Constants!$B$7,$Z224,AF224))</f>
        <v/>
      </c>
      <c r="AQ224" s="71" t="str">
        <f aca="false">IF(ISBLANK($C224),"",IF($Z224&lt;&gt;Constants!$B$7,$Z224,AA224))</f>
        <v/>
      </c>
      <c r="AR224" s="69" t="str">
        <f aca="false">IF(ISBLANK($C224),"",AL224)</f>
        <v/>
      </c>
      <c r="AS224" s="69" t="str">
        <f aca="false">IF(ISBLANK($C224),"",AK224)</f>
        <v/>
      </c>
      <c r="AT224" s="72" t="str">
        <f aca="false">IF(ISBLANK($C224),"",IF(AS224=Constants!$B$4,COUNTA($C$8:$C$507)+2,IF(AS224=Constants!$B$5,COUNTA($C$8:$C$507)+1,IF(AS224=Constants!$B$6,COUNTA($C$8:$C$507),AS224))))</f>
        <v/>
      </c>
      <c r="AU224" s="5"/>
      <c r="AV224" s="73" t="n">
        <f aca="false">IF(OR(ISNUMBER(AS224),AS224=Constants!$B$4,AS224=Constants!$B$6,AS224=Constants!$B$5),1,0)</f>
        <v>0</v>
      </c>
      <c r="AW224" s="73" t="n">
        <v>217</v>
      </c>
      <c r="AX224" s="73" t="str">
        <f aca="false">IF(ISBLANK($C224),"",IF(ISNUMBER(AT224),AT224+ROW($B224)/1000,""))</f>
        <v/>
      </c>
      <c r="AY224" s="73" t="str">
        <f aca="false">IF(ISNUMBER(AX224),RANK(AX224,$AX$8:$AX$507,1),"")</f>
        <v/>
      </c>
      <c r="AZ224" s="73" t="str">
        <f aca="false">IF(ISBLANK($C224),"",$B224)</f>
        <v/>
      </c>
      <c r="BA224" s="73" t="str">
        <f aca="false">IF(ISBLANK($C224),"",$C224)</f>
        <v/>
      </c>
      <c r="BB224" s="73" t="str">
        <f aca="false">IF(ISBLANK($C224),"",$D224)</f>
        <v/>
      </c>
      <c r="BC224" s="74" t="str">
        <f aca="false">AQ224</f>
        <v/>
      </c>
      <c r="BD224" s="75" t="str">
        <f aca="false">AP224</f>
        <v/>
      </c>
      <c r="BE224" s="73" t="str">
        <f aca="false">IF(ISBLANK($C224),"",AS224)</f>
        <v/>
      </c>
      <c r="BF224" s="76" t="str">
        <f aca="false">IF($AW224&gt;$AV$7,"",VLOOKUP($AW224,$AY$8:$BE$507,7,FALSE()))</f>
        <v/>
      </c>
      <c r="BG224" s="77" t="str">
        <f aca="false">IF($AW224&gt;$AV$7,"",VLOOKUP($AW224,$AY$8:$BE$507,2,FALSE()))</f>
        <v/>
      </c>
      <c r="BH224" s="77" t="str">
        <f aca="false">IF($AW224&gt;$AV$7,"",VLOOKUP($AW224,$AY$8:$BE$507,3,FALSE()))</f>
        <v/>
      </c>
      <c r="BI224" s="77" t="str">
        <f aca="false">IF($AW224&gt;$AV$7,"",VLOOKUP($AW224,$AY$8:$BE$507,4,FALSE()))</f>
        <v/>
      </c>
      <c r="BJ224" s="77" t="str">
        <f aca="false">IF($AW224&gt;$AV$7,"",VLOOKUP($AW224,$AY$8:$BE$507,5,FALSE()))</f>
        <v/>
      </c>
      <c r="BK224" s="78" t="str">
        <f aca="false">IF($AW224&gt;$AV$7,"",VLOOKUP($AW224,$AY$8:$BE$507,6,FALSE()))</f>
        <v/>
      </c>
      <c r="BL224" s="50"/>
    </row>
    <row r="225" customFormat="false" ht="15.75" hidden="false" customHeight="false" outlineLevel="0" collapsed="false">
      <c r="A225" s="5"/>
      <c r="B225" s="131"/>
      <c r="C225" s="52"/>
      <c r="D225" s="53"/>
      <c r="E225" s="80"/>
      <c r="F225" s="132"/>
      <c r="G225" s="56"/>
      <c r="H225" s="133"/>
      <c r="I225" s="134"/>
      <c r="J225" s="59"/>
      <c r="K225" s="60"/>
      <c r="L225" s="134"/>
      <c r="M225" s="61"/>
      <c r="N225" s="62"/>
      <c r="O225" s="80"/>
      <c r="P225" s="64"/>
      <c r="Q225" s="65" t="str">
        <f aca="false">IF(ISBLANK($C225),"",IF(E225=Constants!$B$2, TRUE(), IF(E225=Constants!$B$3, FALSE(), TRUE())))</f>
        <v/>
      </c>
      <c r="R225" s="65" t="str">
        <f aca="false">IF(ISBLANK($C225),"",IF(F225=Constants!$B$2, TRUE(), IF(F225=Constants!$B$3, FALSE(), TRUE())))</f>
        <v/>
      </c>
      <c r="S225" s="65" t="str">
        <f aca="false">IF(ISBLANK($C225),"",IF(G225=Constants!$B$15,Constants!$B$8,IF(G225=Constants!$B$16,Constants!$B$9,Constants!$B$10)))</f>
        <v/>
      </c>
      <c r="T225" s="65" t="str">
        <f aca="false">IF(ISBLANK($C225),"",IF(H225=Constants!$B$2, TRUE(), IF(H225=Constants!$B$3, FALSE(), TRUE())))</f>
        <v/>
      </c>
      <c r="U225" s="65" t="str">
        <f aca="false">IF(ISBLANK($C225),"",IF(I225=Constants!$B$19,Constants!$B$19,Constants!$B$18))</f>
        <v/>
      </c>
      <c r="V225" s="65" t="str">
        <f aca="false">IF(ISBLANK($C225),"",IF(COUNTA(J225:K225)=0,"",IF(AND(OR(ISBLANK(J225),AND(ISNUMBER(J225),J225&gt;=0)),OR(ISBLANK(K225),AND(ISNUMBER(K225),K225&gt;=0))),60*IF(ISBLANK(J225),0,J225)+IF(ISBLANK(K225),0,K225),"")))</f>
        <v/>
      </c>
      <c r="W225" s="65" t="str">
        <f aca="false">IF(ISBLANK($C225),"",IF(L225=Constants!$B$19,Constants!$B$19,Constants!$B$18))</f>
        <v/>
      </c>
      <c r="X225" s="65" t="str">
        <f aca="false">IF(ISBLANK($C225),"",IF(COUNTA(M225:N225)=0,"",IF(AND(OR(ISBLANK(M225),AND(ISNUMBER(M225),M225&gt;=0)),OR(ISBLANK(N225),AND(ISNUMBER(N225),N225&gt;=0))),60*IF(ISBLANK(M225),0,M225)+IF(ISBLANK(N225),0,N225),"")))</f>
        <v/>
      </c>
      <c r="Y225" s="65" t="str">
        <f aca="false">IF(ISBLANK($C225),"",IF(O225=Constants!$B$2, TRUE(), IF(O225=Constants!$B$3, FALSE(), FALSE())))</f>
        <v/>
      </c>
      <c r="Z225" s="65" t="str">
        <f aca="false">IF(ISBLANK($C225),"",IF(Y225,Constants!$B$4,IF(COUNTA(E225:N225)=0,Constants!$B$5,IF(COUNTA(J225:K225,M225:N225)=0,Constants!$B$6,Constants!$B$7))))</f>
        <v/>
      </c>
      <c r="AA225" s="65" t="str">
        <f aca="false">IF(ISBLANK($C225),"",IF($Z225&lt;&gt;Constants!$B$7,$Z225,IF(OR(NOT(T225),AND(NOT(Q225),COUNTIFS(U225:W225,Constants!$B$18,V225:X225,"&gt;=0")&gt;0),AND(NOT(R225),COUNTIFS(U225:W225,Constants!$B$19,V225:X225,"&gt;=0")&gt;0)),Constants!$B$12,Constants!$B$11)))</f>
        <v/>
      </c>
      <c r="AB225" s="65" t="str">
        <f aca="false">IF($Z225=Constants!$B$7,IF(V225="",Constants!$B$13,V225),"")</f>
        <v/>
      </c>
      <c r="AC225" s="65" t="str">
        <f aca="false">IF($Z225=Constants!$B$7,IF(X225="",Constants!$B$13,X225),"")</f>
        <v/>
      </c>
      <c r="AD225" s="65" t="str">
        <f aca="false">IF($Z225=Constants!$B$7,IF($AB225&gt;=$AC225,1,2),"")</f>
        <v/>
      </c>
      <c r="AE225" s="65" t="str">
        <f aca="false">IF($Z225=Constants!$B$7,LARGE(AB225:AC225,1),"")</f>
        <v/>
      </c>
      <c r="AF225" s="65" t="str">
        <f aca="false">IF(ISBLANK($C225),"",IF($Z225&lt;&gt;Constants!$B$7,$Z225,AE225*S225))</f>
        <v/>
      </c>
      <c r="AG225" s="65" t="str">
        <f aca="false">IF(ISBLANK($C225),"",IF($Z225=Constants!$B$7,IF(ISNUMBER(AF225),RANK(AF225,$AF$8:$AF$507),Constants!$B$14),$Z225))</f>
        <v/>
      </c>
      <c r="AH225" s="65" t="str">
        <f aca="false">IF(ISBLANK($C225),"",IF($Z225=Constants!$B$7,IF(ISNUMBER(AG225),COUNTIFS($AA$8:$AA$507,"&lt;"&amp;$AA225)+COUNTIFS($AA$8:$AA$507,$AA225,$AG$8:$AG$507,"&lt;"&amp;$AG225)+1,Constants!$B$14),$Z225))</f>
        <v/>
      </c>
      <c r="AI225" s="65" t="str">
        <f aca="false">IF(ISBLANK($C225),"",IF($Z225=Constants!$B$7,LARGE(AB225:AC225,2)*S225,""))</f>
        <v/>
      </c>
      <c r="AJ225" s="65" t="str">
        <f aca="false">IF(ISBLANK($C225),"",IF($Z225=Constants!$B$7,RANK(AI225,$AI$8:$AI$507),$Z225))</f>
        <v/>
      </c>
      <c r="AK225" s="65" t="str">
        <f aca="false">IF(ISBLANK($C225),"",IF($Z225=Constants!$B$7,IF(ISNUMBER(AG225),COUNTIFS($AA$8:$AA$507,"&lt;"&amp;$AA225)+COUNTIFS($AA$8:$AA$507,$AA225,$AG$8:$AG$507,"&lt;"&amp;$AG225)+COUNTIFS($AA$8:$AA$507,$AA225,$AG$8:$AG$507,$AG225,$AJ$8:$AJ$507,"&lt;"&amp;$AJ225)+1,Constants!$B$14),$Z225))</f>
        <v/>
      </c>
      <c r="AL225" s="65" t="str">
        <f aca="false">IF(ISBLANK($C225),"",IF($Z225=Constants!$B$7,IF(ISNUMBER(AH225),AH225-AK225,Constants!$B$14),$Z225))</f>
        <v/>
      </c>
      <c r="AM225" s="67"/>
      <c r="AN225" s="68" t="str">
        <f aca="false">IF(ISBLANK($C225),"",IF($Z225&lt;&gt;Constants!$B$7,$Z225,AD225))</f>
        <v/>
      </c>
      <c r="AO225" s="69" t="str">
        <f aca="false">IF(ISBLANK($C225),"",IF($Z225&lt;&gt;Constants!$B$7,$Z225,S225))</f>
        <v/>
      </c>
      <c r="AP225" s="70" t="str">
        <f aca="false">IF(ISBLANK($C225),"",IF($Z225&lt;&gt;Constants!$B$7,$Z225,AF225))</f>
        <v/>
      </c>
      <c r="AQ225" s="71" t="str">
        <f aca="false">IF(ISBLANK($C225),"",IF($Z225&lt;&gt;Constants!$B$7,$Z225,AA225))</f>
        <v/>
      </c>
      <c r="AR225" s="69" t="str">
        <f aca="false">IF(ISBLANK($C225),"",AL225)</f>
        <v/>
      </c>
      <c r="AS225" s="69" t="str">
        <f aca="false">IF(ISBLANK($C225),"",AK225)</f>
        <v/>
      </c>
      <c r="AT225" s="72" t="str">
        <f aca="false">IF(ISBLANK($C225),"",IF(AS225=Constants!$B$4,COUNTA($C$8:$C$507)+2,IF(AS225=Constants!$B$5,COUNTA($C$8:$C$507)+1,IF(AS225=Constants!$B$6,COUNTA($C$8:$C$507),AS225))))</f>
        <v/>
      </c>
      <c r="AU225" s="5"/>
      <c r="AV225" s="73" t="n">
        <f aca="false">IF(OR(ISNUMBER(AS225),AS225=Constants!$B$4,AS225=Constants!$B$6,AS225=Constants!$B$5),1,0)</f>
        <v>0</v>
      </c>
      <c r="AW225" s="73" t="n">
        <v>218</v>
      </c>
      <c r="AX225" s="73" t="str">
        <f aca="false">IF(ISBLANK($C225),"",IF(ISNUMBER(AT225),AT225+ROW($B225)/1000,""))</f>
        <v/>
      </c>
      <c r="AY225" s="73" t="str">
        <f aca="false">IF(ISNUMBER(AX225),RANK(AX225,$AX$8:$AX$507,1),"")</f>
        <v/>
      </c>
      <c r="AZ225" s="73" t="str">
        <f aca="false">IF(ISBLANK($C225),"",$B225)</f>
        <v/>
      </c>
      <c r="BA225" s="73" t="str">
        <f aca="false">IF(ISBLANK($C225),"",$C225)</f>
        <v/>
      </c>
      <c r="BB225" s="73" t="str">
        <f aca="false">IF(ISBLANK($C225),"",$D225)</f>
        <v/>
      </c>
      <c r="BC225" s="74" t="str">
        <f aca="false">AQ225</f>
        <v/>
      </c>
      <c r="BD225" s="75" t="str">
        <f aca="false">AP225</f>
        <v/>
      </c>
      <c r="BE225" s="73" t="str">
        <f aca="false">IF(ISBLANK($C225),"",AS225)</f>
        <v/>
      </c>
      <c r="BF225" s="76" t="str">
        <f aca="false">IF($AW225&gt;$AV$7,"",VLOOKUP($AW225,$AY$8:$BE$507,7,FALSE()))</f>
        <v/>
      </c>
      <c r="BG225" s="77" t="str">
        <f aca="false">IF($AW225&gt;$AV$7,"",VLOOKUP($AW225,$AY$8:$BE$507,2,FALSE()))</f>
        <v/>
      </c>
      <c r="BH225" s="77" t="str">
        <f aca="false">IF($AW225&gt;$AV$7,"",VLOOKUP($AW225,$AY$8:$BE$507,3,FALSE()))</f>
        <v/>
      </c>
      <c r="BI225" s="77" t="str">
        <f aca="false">IF($AW225&gt;$AV$7,"",VLOOKUP($AW225,$AY$8:$BE$507,4,FALSE()))</f>
        <v/>
      </c>
      <c r="BJ225" s="77" t="str">
        <f aca="false">IF($AW225&gt;$AV$7,"",VLOOKUP($AW225,$AY$8:$BE$507,5,FALSE()))</f>
        <v/>
      </c>
      <c r="BK225" s="78" t="str">
        <f aca="false">IF($AW225&gt;$AV$7,"",VLOOKUP($AW225,$AY$8:$BE$507,6,FALSE()))</f>
        <v/>
      </c>
      <c r="BL225" s="50"/>
    </row>
    <row r="226" customFormat="false" ht="15.75" hidden="false" customHeight="false" outlineLevel="0" collapsed="false">
      <c r="A226" s="5"/>
      <c r="B226" s="131"/>
      <c r="C226" s="52"/>
      <c r="D226" s="53"/>
      <c r="E226" s="80"/>
      <c r="F226" s="132"/>
      <c r="G226" s="56"/>
      <c r="H226" s="133"/>
      <c r="I226" s="134"/>
      <c r="J226" s="59"/>
      <c r="K226" s="60"/>
      <c r="L226" s="134"/>
      <c r="M226" s="61"/>
      <c r="N226" s="62"/>
      <c r="O226" s="80"/>
      <c r="P226" s="64"/>
      <c r="Q226" s="65" t="str">
        <f aca="false">IF(ISBLANK($C226),"",IF(E226=Constants!$B$2, TRUE(), IF(E226=Constants!$B$3, FALSE(), TRUE())))</f>
        <v/>
      </c>
      <c r="R226" s="65" t="str">
        <f aca="false">IF(ISBLANK($C226),"",IF(F226=Constants!$B$2, TRUE(), IF(F226=Constants!$B$3, FALSE(), TRUE())))</f>
        <v/>
      </c>
      <c r="S226" s="65" t="str">
        <f aca="false">IF(ISBLANK($C226),"",IF(G226=Constants!$B$15,Constants!$B$8,IF(G226=Constants!$B$16,Constants!$B$9,Constants!$B$10)))</f>
        <v/>
      </c>
      <c r="T226" s="65" t="str">
        <f aca="false">IF(ISBLANK($C226),"",IF(H226=Constants!$B$2, TRUE(), IF(H226=Constants!$B$3, FALSE(), TRUE())))</f>
        <v/>
      </c>
      <c r="U226" s="65" t="str">
        <f aca="false">IF(ISBLANK($C226),"",IF(I226=Constants!$B$19,Constants!$B$19,Constants!$B$18))</f>
        <v/>
      </c>
      <c r="V226" s="65" t="str">
        <f aca="false">IF(ISBLANK($C226),"",IF(COUNTA(J226:K226)=0,"",IF(AND(OR(ISBLANK(J226),AND(ISNUMBER(J226),J226&gt;=0)),OR(ISBLANK(K226),AND(ISNUMBER(K226),K226&gt;=0))),60*IF(ISBLANK(J226),0,J226)+IF(ISBLANK(K226),0,K226),"")))</f>
        <v/>
      </c>
      <c r="W226" s="65" t="str">
        <f aca="false">IF(ISBLANK($C226),"",IF(L226=Constants!$B$19,Constants!$B$19,Constants!$B$18))</f>
        <v/>
      </c>
      <c r="X226" s="65" t="str">
        <f aca="false">IF(ISBLANK($C226),"",IF(COUNTA(M226:N226)=0,"",IF(AND(OR(ISBLANK(M226),AND(ISNUMBER(M226),M226&gt;=0)),OR(ISBLANK(N226),AND(ISNUMBER(N226),N226&gt;=0))),60*IF(ISBLANK(M226),0,M226)+IF(ISBLANK(N226),0,N226),"")))</f>
        <v/>
      </c>
      <c r="Y226" s="65" t="str">
        <f aca="false">IF(ISBLANK($C226),"",IF(O226=Constants!$B$2, TRUE(), IF(O226=Constants!$B$3, FALSE(), FALSE())))</f>
        <v/>
      </c>
      <c r="Z226" s="65" t="str">
        <f aca="false">IF(ISBLANK($C226),"",IF(Y226,Constants!$B$4,IF(COUNTA(E226:N226)=0,Constants!$B$5,IF(COUNTA(J226:K226,M226:N226)=0,Constants!$B$6,Constants!$B$7))))</f>
        <v/>
      </c>
      <c r="AA226" s="65" t="str">
        <f aca="false">IF(ISBLANK($C226),"",IF($Z226&lt;&gt;Constants!$B$7,$Z226,IF(OR(NOT(T226),AND(NOT(Q226),COUNTIFS(U226:W226,Constants!$B$18,V226:X226,"&gt;=0")&gt;0),AND(NOT(R226),COUNTIFS(U226:W226,Constants!$B$19,V226:X226,"&gt;=0")&gt;0)),Constants!$B$12,Constants!$B$11)))</f>
        <v/>
      </c>
      <c r="AB226" s="65" t="str">
        <f aca="false">IF($Z226=Constants!$B$7,IF(V226="",Constants!$B$13,V226),"")</f>
        <v/>
      </c>
      <c r="AC226" s="65" t="str">
        <f aca="false">IF($Z226=Constants!$B$7,IF(X226="",Constants!$B$13,X226),"")</f>
        <v/>
      </c>
      <c r="AD226" s="65" t="str">
        <f aca="false">IF($Z226=Constants!$B$7,IF($AB226&gt;=$AC226,1,2),"")</f>
        <v/>
      </c>
      <c r="AE226" s="65" t="str">
        <f aca="false">IF($Z226=Constants!$B$7,LARGE(AB226:AC226,1),"")</f>
        <v/>
      </c>
      <c r="AF226" s="65" t="str">
        <f aca="false">IF(ISBLANK($C226),"",IF($Z226&lt;&gt;Constants!$B$7,$Z226,AE226*S226))</f>
        <v/>
      </c>
      <c r="AG226" s="65" t="str">
        <f aca="false">IF(ISBLANK($C226),"",IF($Z226=Constants!$B$7,IF(ISNUMBER(AF226),RANK(AF226,$AF$8:$AF$507),Constants!$B$14),$Z226))</f>
        <v/>
      </c>
      <c r="AH226" s="65" t="str">
        <f aca="false">IF(ISBLANK($C226),"",IF($Z226=Constants!$B$7,IF(ISNUMBER(AG226),COUNTIFS($AA$8:$AA$507,"&lt;"&amp;$AA226)+COUNTIFS($AA$8:$AA$507,$AA226,$AG$8:$AG$507,"&lt;"&amp;$AG226)+1,Constants!$B$14),$Z226))</f>
        <v/>
      </c>
      <c r="AI226" s="65" t="str">
        <f aca="false">IF(ISBLANK($C226),"",IF($Z226=Constants!$B$7,LARGE(AB226:AC226,2)*S226,""))</f>
        <v/>
      </c>
      <c r="AJ226" s="65" t="str">
        <f aca="false">IF(ISBLANK($C226),"",IF($Z226=Constants!$B$7,RANK(AI226,$AI$8:$AI$507),$Z226))</f>
        <v/>
      </c>
      <c r="AK226" s="65" t="str">
        <f aca="false">IF(ISBLANK($C226),"",IF($Z226=Constants!$B$7,IF(ISNUMBER(AG226),COUNTIFS($AA$8:$AA$507,"&lt;"&amp;$AA226)+COUNTIFS($AA$8:$AA$507,$AA226,$AG$8:$AG$507,"&lt;"&amp;$AG226)+COUNTIFS($AA$8:$AA$507,$AA226,$AG$8:$AG$507,$AG226,$AJ$8:$AJ$507,"&lt;"&amp;$AJ226)+1,Constants!$B$14),$Z226))</f>
        <v/>
      </c>
      <c r="AL226" s="65" t="str">
        <f aca="false">IF(ISBLANK($C226),"",IF($Z226=Constants!$B$7,IF(ISNUMBER(AH226),AH226-AK226,Constants!$B$14),$Z226))</f>
        <v/>
      </c>
      <c r="AM226" s="67"/>
      <c r="AN226" s="68" t="str">
        <f aca="false">IF(ISBLANK($C226),"",IF($Z226&lt;&gt;Constants!$B$7,$Z226,AD226))</f>
        <v/>
      </c>
      <c r="AO226" s="69" t="str">
        <f aca="false">IF(ISBLANK($C226),"",IF($Z226&lt;&gt;Constants!$B$7,$Z226,S226))</f>
        <v/>
      </c>
      <c r="AP226" s="70" t="str">
        <f aca="false">IF(ISBLANK($C226),"",IF($Z226&lt;&gt;Constants!$B$7,$Z226,AF226))</f>
        <v/>
      </c>
      <c r="AQ226" s="71" t="str">
        <f aca="false">IF(ISBLANK($C226),"",IF($Z226&lt;&gt;Constants!$B$7,$Z226,AA226))</f>
        <v/>
      </c>
      <c r="AR226" s="69" t="str">
        <f aca="false">IF(ISBLANK($C226),"",AL226)</f>
        <v/>
      </c>
      <c r="AS226" s="69" t="str">
        <f aca="false">IF(ISBLANK($C226),"",AK226)</f>
        <v/>
      </c>
      <c r="AT226" s="72" t="str">
        <f aca="false">IF(ISBLANK($C226),"",IF(AS226=Constants!$B$4,COUNTA($C$8:$C$507)+2,IF(AS226=Constants!$B$5,COUNTA($C$8:$C$507)+1,IF(AS226=Constants!$B$6,COUNTA($C$8:$C$507),AS226))))</f>
        <v/>
      </c>
      <c r="AU226" s="5"/>
      <c r="AV226" s="73" t="n">
        <f aca="false">IF(OR(ISNUMBER(AS226),AS226=Constants!$B$4,AS226=Constants!$B$6,AS226=Constants!$B$5),1,0)</f>
        <v>0</v>
      </c>
      <c r="AW226" s="73" t="n">
        <v>219</v>
      </c>
      <c r="AX226" s="73" t="str">
        <f aca="false">IF(ISBLANK($C226),"",IF(ISNUMBER(AT226),AT226+ROW($B226)/1000,""))</f>
        <v/>
      </c>
      <c r="AY226" s="73" t="str">
        <f aca="false">IF(ISNUMBER(AX226),RANK(AX226,$AX$8:$AX$507,1),"")</f>
        <v/>
      </c>
      <c r="AZ226" s="73" t="str">
        <f aca="false">IF(ISBLANK($C226),"",$B226)</f>
        <v/>
      </c>
      <c r="BA226" s="73" t="str">
        <f aca="false">IF(ISBLANK($C226),"",$C226)</f>
        <v/>
      </c>
      <c r="BB226" s="73" t="str">
        <f aca="false">IF(ISBLANK($C226),"",$D226)</f>
        <v/>
      </c>
      <c r="BC226" s="74" t="str">
        <f aca="false">AQ226</f>
        <v/>
      </c>
      <c r="BD226" s="75" t="str">
        <f aca="false">AP226</f>
        <v/>
      </c>
      <c r="BE226" s="73" t="str">
        <f aca="false">IF(ISBLANK($C226),"",AS226)</f>
        <v/>
      </c>
      <c r="BF226" s="76" t="str">
        <f aca="false">IF($AW226&gt;$AV$7,"",VLOOKUP($AW226,$AY$8:$BE$507,7,FALSE()))</f>
        <v/>
      </c>
      <c r="BG226" s="77" t="str">
        <f aca="false">IF($AW226&gt;$AV$7,"",VLOOKUP($AW226,$AY$8:$BE$507,2,FALSE()))</f>
        <v/>
      </c>
      <c r="BH226" s="77" t="str">
        <f aca="false">IF($AW226&gt;$AV$7,"",VLOOKUP($AW226,$AY$8:$BE$507,3,FALSE()))</f>
        <v/>
      </c>
      <c r="BI226" s="77" t="str">
        <f aca="false">IF($AW226&gt;$AV$7,"",VLOOKUP($AW226,$AY$8:$BE$507,4,FALSE()))</f>
        <v/>
      </c>
      <c r="BJ226" s="77" t="str">
        <f aca="false">IF($AW226&gt;$AV$7,"",VLOOKUP($AW226,$AY$8:$BE$507,5,FALSE()))</f>
        <v/>
      </c>
      <c r="BK226" s="78" t="str">
        <f aca="false">IF($AW226&gt;$AV$7,"",VLOOKUP($AW226,$AY$8:$BE$507,6,FALSE()))</f>
        <v/>
      </c>
      <c r="BL226" s="50"/>
    </row>
    <row r="227" customFormat="false" ht="15.75" hidden="false" customHeight="false" outlineLevel="0" collapsed="false">
      <c r="A227" s="5"/>
      <c r="B227" s="124"/>
      <c r="C227" s="125"/>
      <c r="D227" s="110"/>
      <c r="E227" s="130"/>
      <c r="F227" s="135"/>
      <c r="G227" s="88"/>
      <c r="H227" s="136"/>
      <c r="I227" s="137"/>
      <c r="J227" s="91"/>
      <c r="K227" s="92"/>
      <c r="L227" s="137"/>
      <c r="M227" s="93"/>
      <c r="N227" s="94"/>
      <c r="O227" s="130"/>
      <c r="P227" s="96"/>
      <c r="Q227" s="97" t="str">
        <f aca="false">IF(ISBLANK($C227),"",IF(E227=Constants!$B$2, TRUE(), IF(E227=Constants!$B$3, FALSE(), TRUE())))</f>
        <v/>
      </c>
      <c r="R227" s="97" t="str">
        <f aca="false">IF(ISBLANK($C227),"",IF(F227=Constants!$B$2, TRUE(), IF(F227=Constants!$B$3, FALSE(), TRUE())))</f>
        <v/>
      </c>
      <c r="S227" s="97" t="str">
        <f aca="false">IF(ISBLANK($C227),"",IF(G227=Constants!$B$15,Constants!$B$8,IF(G227=Constants!$B$16,Constants!$B$9,Constants!$B$10)))</f>
        <v/>
      </c>
      <c r="T227" s="97" t="str">
        <f aca="false">IF(ISBLANK($C227),"",IF(H227=Constants!$B$2, TRUE(), IF(H227=Constants!$B$3, FALSE(), TRUE())))</f>
        <v/>
      </c>
      <c r="U227" s="97" t="str">
        <f aca="false">IF(ISBLANK($C227),"",IF(I227=Constants!$B$19,Constants!$B$19,Constants!$B$18))</f>
        <v/>
      </c>
      <c r="V227" s="97" t="str">
        <f aca="false">IF(ISBLANK($C227),"",IF(COUNTA(J227:K227)=0,"",IF(AND(OR(ISBLANK(J227),AND(ISNUMBER(J227),J227&gt;=0)),OR(ISBLANK(K227),AND(ISNUMBER(K227),K227&gt;=0))),60*IF(ISBLANK(J227),0,J227)+IF(ISBLANK(K227),0,K227),"")))</f>
        <v/>
      </c>
      <c r="W227" s="97" t="str">
        <f aca="false">IF(ISBLANK($C227),"",IF(L227=Constants!$B$19,Constants!$B$19,Constants!$B$18))</f>
        <v/>
      </c>
      <c r="X227" s="97" t="str">
        <f aca="false">IF(ISBLANK($C227),"",IF(COUNTA(M227:N227)=0,"",IF(AND(OR(ISBLANK(M227),AND(ISNUMBER(M227),M227&gt;=0)),OR(ISBLANK(N227),AND(ISNUMBER(N227),N227&gt;=0))),60*IF(ISBLANK(M227),0,M227)+IF(ISBLANK(N227),0,N227),"")))</f>
        <v/>
      </c>
      <c r="Y227" s="97" t="str">
        <f aca="false">IF(ISBLANK($C227),"",IF(O227=Constants!$B$2, TRUE(), IF(O227=Constants!$B$3, FALSE(), FALSE())))</f>
        <v/>
      </c>
      <c r="Z227" s="97" t="str">
        <f aca="false">IF(ISBLANK($C227),"",IF(Y227,Constants!$B$4,IF(COUNTA(E227:N227)=0,Constants!$B$5,IF(COUNTA(J227:K227,M227:N227)=0,Constants!$B$6,Constants!$B$7))))</f>
        <v/>
      </c>
      <c r="AA227" s="97" t="str">
        <f aca="false">IF(ISBLANK($C227),"",IF($Z227&lt;&gt;Constants!$B$7,$Z227,IF(OR(NOT(T227),AND(NOT(Q227),COUNTIFS(U227:W227,Constants!$B$18,V227:X227,"&gt;=0")&gt;0),AND(NOT(R227),COUNTIFS(U227:W227,Constants!$B$19,V227:X227,"&gt;=0")&gt;0)),Constants!$B$12,Constants!$B$11)))</f>
        <v/>
      </c>
      <c r="AB227" s="97" t="str">
        <f aca="false">IF($Z227=Constants!$B$7,IF(V227="",Constants!$B$13,V227),"")</f>
        <v/>
      </c>
      <c r="AC227" s="97" t="str">
        <f aca="false">IF($Z227=Constants!$B$7,IF(X227="",Constants!$B$13,X227),"")</f>
        <v/>
      </c>
      <c r="AD227" s="97" t="str">
        <f aca="false">IF($Z227=Constants!$B$7,IF($AB227&gt;=$AC227,1,2),"")</f>
        <v/>
      </c>
      <c r="AE227" s="97" t="str">
        <f aca="false">IF($Z227=Constants!$B$7,LARGE(AB227:AC227,1),"")</f>
        <v/>
      </c>
      <c r="AF227" s="97" t="str">
        <f aca="false">IF(ISBLANK($C227),"",IF($Z227&lt;&gt;Constants!$B$7,$Z227,AE227*S227))</f>
        <v/>
      </c>
      <c r="AG227" s="97" t="str">
        <f aca="false">IF(ISBLANK($C227),"",IF($Z227=Constants!$B$7,IF(ISNUMBER(AF227),RANK(AF227,$AF$8:$AF$507),Constants!$B$14),$Z227))</f>
        <v/>
      </c>
      <c r="AH227" s="97" t="str">
        <f aca="false">IF(ISBLANK($C227),"",IF($Z227=Constants!$B$7,IF(ISNUMBER(AG227),COUNTIFS($AA$8:$AA$507,"&lt;"&amp;$AA227)+COUNTIFS($AA$8:$AA$507,$AA227,$AG$8:$AG$507,"&lt;"&amp;$AG227)+1,Constants!$B$14),$Z227))</f>
        <v/>
      </c>
      <c r="AI227" s="97" t="str">
        <f aca="false">IF(ISBLANK($C227),"",IF($Z227=Constants!$B$7,LARGE(AB227:AC227,2)*S227,""))</f>
        <v/>
      </c>
      <c r="AJ227" s="97" t="str">
        <f aca="false">IF(ISBLANK($C227),"",IF($Z227=Constants!$B$7,RANK(AI227,$AI$8:$AI$507),$Z227))</f>
        <v/>
      </c>
      <c r="AK227" s="97" t="str">
        <f aca="false">IF(ISBLANK($C227),"",IF($Z227=Constants!$B$7,IF(ISNUMBER(AG227),COUNTIFS($AA$8:$AA$507,"&lt;"&amp;$AA227)+COUNTIFS($AA$8:$AA$507,$AA227,$AG$8:$AG$507,"&lt;"&amp;$AG227)+COUNTIFS($AA$8:$AA$507,$AA227,$AG$8:$AG$507,$AG227,$AJ$8:$AJ$507,"&lt;"&amp;$AJ227)+1,Constants!$B$14),$Z227))</f>
        <v/>
      </c>
      <c r="AL227" s="97" t="str">
        <f aca="false">IF(ISBLANK($C227),"",IF($Z227=Constants!$B$7,IF(ISNUMBER(AH227),AH227-AK227,Constants!$B$14),$Z227))</f>
        <v/>
      </c>
      <c r="AM227" s="98"/>
      <c r="AN227" s="99" t="str">
        <f aca="false">IF(ISBLANK($C227),"",IF($Z227&lt;&gt;Constants!$B$7,$Z227,AD227))</f>
        <v/>
      </c>
      <c r="AO227" s="100" t="str">
        <f aca="false">IF(ISBLANK($C227),"",IF($Z227&lt;&gt;Constants!$B$7,$Z227,S227))</f>
        <v/>
      </c>
      <c r="AP227" s="101" t="str">
        <f aca="false">IF(ISBLANK($C227),"",IF($Z227&lt;&gt;Constants!$B$7,$Z227,AF227))</f>
        <v/>
      </c>
      <c r="AQ227" s="102" t="str">
        <f aca="false">IF(ISBLANK($C227),"",IF($Z227&lt;&gt;Constants!$B$7,$Z227,AA227))</f>
        <v/>
      </c>
      <c r="AR227" s="100" t="str">
        <f aca="false">IF(ISBLANK($C227),"",AL227)</f>
        <v/>
      </c>
      <c r="AS227" s="100" t="str">
        <f aca="false">IF(ISBLANK($C227),"",AK227)</f>
        <v/>
      </c>
      <c r="AT227" s="103" t="str">
        <f aca="false">IF(ISBLANK($C227),"",IF(AS227=Constants!$B$4,COUNTA($C$8:$C$507)+2,IF(AS227=Constants!$B$5,COUNTA($C$8:$C$507)+1,IF(AS227=Constants!$B$6,COUNTA($C$8:$C$507),AS227))))</f>
        <v/>
      </c>
      <c r="AU227" s="5"/>
      <c r="AV227" s="104" t="n">
        <f aca="false">IF(OR(ISNUMBER(AS227),AS227=Constants!$B$4,AS227=Constants!$B$6,AS227=Constants!$B$5),1,0)</f>
        <v>0</v>
      </c>
      <c r="AW227" s="104" t="n">
        <v>220</v>
      </c>
      <c r="AX227" s="104" t="str">
        <f aca="false">IF(ISBLANK($C227),"",IF(ISNUMBER(AT227),AT227+ROW($B227)/1000,""))</f>
        <v/>
      </c>
      <c r="AY227" s="104" t="str">
        <f aca="false">IF(ISNUMBER(AX227),RANK(AX227,$AX$8:$AX$507,1),"")</f>
        <v/>
      </c>
      <c r="AZ227" s="104" t="str">
        <f aca="false">IF(ISBLANK($C227),"",$B227)</f>
        <v/>
      </c>
      <c r="BA227" s="104" t="str">
        <f aca="false">IF(ISBLANK($C227),"",$C227)</f>
        <v/>
      </c>
      <c r="BB227" s="104" t="str">
        <f aca="false">IF(ISBLANK($C227),"",$D227)</f>
        <v/>
      </c>
      <c r="BC227" s="105" t="str">
        <f aca="false">AQ227</f>
        <v/>
      </c>
      <c r="BD227" s="106" t="str">
        <f aca="false">AP227</f>
        <v/>
      </c>
      <c r="BE227" s="104" t="str">
        <f aca="false">IF(ISBLANK($C227),"",AS227)</f>
        <v/>
      </c>
      <c r="BF227" s="107" t="str">
        <f aca="false">IF($AW227&gt;$AV$7,"",VLOOKUP($AW227,$AY$8:$BE$507,7,FALSE()))</f>
        <v/>
      </c>
      <c r="BG227" s="108" t="str">
        <f aca="false">IF($AW227&gt;$AV$7,"",VLOOKUP($AW227,$AY$8:$BE$507,2,FALSE()))</f>
        <v/>
      </c>
      <c r="BH227" s="108" t="str">
        <f aca="false">IF($AW227&gt;$AV$7,"",VLOOKUP($AW227,$AY$8:$BE$507,3,FALSE()))</f>
        <v/>
      </c>
      <c r="BI227" s="108" t="str">
        <f aca="false">IF($AW227&gt;$AV$7,"",VLOOKUP($AW227,$AY$8:$BE$507,4,FALSE()))</f>
        <v/>
      </c>
      <c r="BJ227" s="108" t="str">
        <f aca="false">IF($AW227&gt;$AV$7,"",VLOOKUP($AW227,$AY$8:$BE$507,5,FALSE()))</f>
        <v/>
      </c>
      <c r="BK227" s="109" t="str">
        <f aca="false">IF($AW227&gt;$AV$7,"",VLOOKUP($AW227,$AY$8:$BE$507,6,FALSE()))</f>
        <v/>
      </c>
      <c r="BL227" s="50"/>
    </row>
    <row r="228" customFormat="false" ht="15.75" hidden="false" customHeight="false" outlineLevel="0" collapsed="false">
      <c r="A228" s="5"/>
      <c r="B228" s="124"/>
      <c r="C228" s="125"/>
      <c r="D228" s="110"/>
      <c r="E228" s="130"/>
      <c r="F228" s="135"/>
      <c r="G228" s="88"/>
      <c r="H228" s="136"/>
      <c r="I228" s="137"/>
      <c r="J228" s="91"/>
      <c r="K228" s="92"/>
      <c r="L228" s="137"/>
      <c r="M228" s="93"/>
      <c r="N228" s="94"/>
      <c r="O228" s="130"/>
      <c r="P228" s="96"/>
      <c r="Q228" s="97" t="str">
        <f aca="false">IF(ISBLANK($C228),"",IF(E228=Constants!$B$2, TRUE(), IF(E228=Constants!$B$3, FALSE(), TRUE())))</f>
        <v/>
      </c>
      <c r="R228" s="97" t="str">
        <f aca="false">IF(ISBLANK($C228),"",IF(F228=Constants!$B$2, TRUE(), IF(F228=Constants!$B$3, FALSE(), TRUE())))</f>
        <v/>
      </c>
      <c r="S228" s="97" t="str">
        <f aca="false">IF(ISBLANK($C228),"",IF(G228=Constants!$B$15,Constants!$B$8,IF(G228=Constants!$B$16,Constants!$B$9,Constants!$B$10)))</f>
        <v/>
      </c>
      <c r="T228" s="97" t="str">
        <f aca="false">IF(ISBLANK($C228),"",IF(H228=Constants!$B$2, TRUE(), IF(H228=Constants!$B$3, FALSE(), TRUE())))</f>
        <v/>
      </c>
      <c r="U228" s="97" t="str">
        <f aca="false">IF(ISBLANK($C228),"",IF(I228=Constants!$B$19,Constants!$B$19,Constants!$B$18))</f>
        <v/>
      </c>
      <c r="V228" s="97" t="str">
        <f aca="false">IF(ISBLANK($C228),"",IF(COUNTA(J228:K228)=0,"",IF(AND(OR(ISBLANK(J228),AND(ISNUMBER(J228),J228&gt;=0)),OR(ISBLANK(K228),AND(ISNUMBER(K228),K228&gt;=0))),60*IF(ISBLANK(J228),0,J228)+IF(ISBLANK(K228),0,K228),"")))</f>
        <v/>
      </c>
      <c r="W228" s="97" t="str">
        <f aca="false">IF(ISBLANK($C228),"",IF(L228=Constants!$B$19,Constants!$B$19,Constants!$B$18))</f>
        <v/>
      </c>
      <c r="X228" s="97" t="str">
        <f aca="false">IF(ISBLANK($C228),"",IF(COUNTA(M228:N228)=0,"",IF(AND(OR(ISBLANK(M228),AND(ISNUMBER(M228),M228&gt;=0)),OR(ISBLANK(N228),AND(ISNUMBER(N228),N228&gt;=0))),60*IF(ISBLANK(M228),0,M228)+IF(ISBLANK(N228),0,N228),"")))</f>
        <v/>
      </c>
      <c r="Y228" s="97" t="str">
        <f aca="false">IF(ISBLANK($C228),"",IF(O228=Constants!$B$2, TRUE(), IF(O228=Constants!$B$3, FALSE(), FALSE())))</f>
        <v/>
      </c>
      <c r="Z228" s="97" t="str">
        <f aca="false">IF(ISBLANK($C228),"",IF(Y228,Constants!$B$4,IF(COUNTA(E228:N228)=0,Constants!$B$5,IF(COUNTA(J228:K228,M228:N228)=0,Constants!$B$6,Constants!$B$7))))</f>
        <v/>
      </c>
      <c r="AA228" s="97" t="str">
        <f aca="false">IF(ISBLANK($C228),"",IF($Z228&lt;&gt;Constants!$B$7,$Z228,IF(OR(NOT(T228),AND(NOT(Q228),COUNTIFS(U228:W228,Constants!$B$18,V228:X228,"&gt;=0")&gt;0),AND(NOT(R228),COUNTIFS(U228:W228,Constants!$B$19,V228:X228,"&gt;=0")&gt;0)),Constants!$B$12,Constants!$B$11)))</f>
        <v/>
      </c>
      <c r="AB228" s="97" t="str">
        <f aca="false">IF($Z228=Constants!$B$7,IF(V228="",Constants!$B$13,V228),"")</f>
        <v/>
      </c>
      <c r="AC228" s="97" t="str">
        <f aca="false">IF($Z228=Constants!$B$7,IF(X228="",Constants!$B$13,X228),"")</f>
        <v/>
      </c>
      <c r="AD228" s="97" t="str">
        <f aca="false">IF($Z228=Constants!$B$7,IF($AB228&gt;=$AC228,1,2),"")</f>
        <v/>
      </c>
      <c r="AE228" s="97" t="str">
        <f aca="false">IF($Z228=Constants!$B$7,LARGE(AB228:AC228,1),"")</f>
        <v/>
      </c>
      <c r="AF228" s="97" t="str">
        <f aca="false">IF(ISBLANK($C228),"",IF($Z228&lt;&gt;Constants!$B$7,$Z228,AE228*S228))</f>
        <v/>
      </c>
      <c r="AG228" s="97" t="str">
        <f aca="false">IF(ISBLANK($C228),"",IF($Z228=Constants!$B$7,IF(ISNUMBER(AF228),RANK(AF228,$AF$8:$AF$507),Constants!$B$14),$Z228))</f>
        <v/>
      </c>
      <c r="AH228" s="97" t="str">
        <f aca="false">IF(ISBLANK($C228),"",IF($Z228=Constants!$B$7,IF(ISNUMBER(AG228),COUNTIFS($AA$8:$AA$507,"&lt;"&amp;$AA228)+COUNTIFS($AA$8:$AA$507,$AA228,$AG$8:$AG$507,"&lt;"&amp;$AG228)+1,Constants!$B$14),$Z228))</f>
        <v/>
      </c>
      <c r="AI228" s="97" t="str">
        <f aca="false">IF(ISBLANK($C228),"",IF($Z228=Constants!$B$7,LARGE(AB228:AC228,2)*S228,""))</f>
        <v/>
      </c>
      <c r="AJ228" s="97" t="str">
        <f aca="false">IF(ISBLANK($C228),"",IF($Z228=Constants!$B$7,RANK(AI228,$AI$8:$AI$507),$Z228))</f>
        <v/>
      </c>
      <c r="AK228" s="97" t="str">
        <f aca="false">IF(ISBLANK($C228),"",IF($Z228=Constants!$B$7,IF(ISNUMBER(AG228),COUNTIFS($AA$8:$AA$507,"&lt;"&amp;$AA228)+COUNTIFS($AA$8:$AA$507,$AA228,$AG$8:$AG$507,"&lt;"&amp;$AG228)+COUNTIFS($AA$8:$AA$507,$AA228,$AG$8:$AG$507,$AG228,$AJ$8:$AJ$507,"&lt;"&amp;$AJ228)+1,Constants!$B$14),$Z228))</f>
        <v/>
      </c>
      <c r="AL228" s="97" t="str">
        <f aca="false">IF(ISBLANK($C228),"",IF($Z228=Constants!$B$7,IF(ISNUMBER(AH228),AH228-AK228,Constants!$B$14),$Z228))</f>
        <v/>
      </c>
      <c r="AM228" s="98"/>
      <c r="AN228" s="99" t="str">
        <f aca="false">IF(ISBLANK($C228),"",IF($Z228&lt;&gt;Constants!$B$7,$Z228,AD228))</f>
        <v/>
      </c>
      <c r="AO228" s="100" t="str">
        <f aca="false">IF(ISBLANK($C228),"",IF($Z228&lt;&gt;Constants!$B$7,$Z228,S228))</f>
        <v/>
      </c>
      <c r="AP228" s="101" t="str">
        <f aca="false">IF(ISBLANK($C228),"",IF($Z228&lt;&gt;Constants!$B$7,$Z228,AF228))</f>
        <v/>
      </c>
      <c r="AQ228" s="102" t="str">
        <f aca="false">IF(ISBLANK($C228),"",IF($Z228&lt;&gt;Constants!$B$7,$Z228,AA228))</f>
        <v/>
      </c>
      <c r="AR228" s="100" t="str">
        <f aca="false">IF(ISBLANK($C228),"",AL228)</f>
        <v/>
      </c>
      <c r="AS228" s="100" t="str">
        <f aca="false">IF(ISBLANK($C228),"",AK228)</f>
        <v/>
      </c>
      <c r="AT228" s="103" t="str">
        <f aca="false">IF(ISBLANK($C228),"",IF(AS228=Constants!$B$4,COUNTA($C$8:$C$507)+2,IF(AS228=Constants!$B$5,COUNTA($C$8:$C$507)+1,IF(AS228=Constants!$B$6,COUNTA($C$8:$C$507),AS228))))</f>
        <v/>
      </c>
      <c r="AU228" s="5"/>
      <c r="AV228" s="104" t="n">
        <f aca="false">IF(OR(ISNUMBER(AS228),AS228=Constants!$B$4,AS228=Constants!$B$6,AS228=Constants!$B$5),1,0)</f>
        <v>0</v>
      </c>
      <c r="AW228" s="104" t="n">
        <v>221</v>
      </c>
      <c r="AX228" s="104" t="str">
        <f aca="false">IF(ISBLANK($C228),"",IF(ISNUMBER(AT228),AT228+ROW($B228)/1000,""))</f>
        <v/>
      </c>
      <c r="AY228" s="104" t="str">
        <f aca="false">IF(ISNUMBER(AX228),RANK(AX228,$AX$8:$AX$507,1),"")</f>
        <v/>
      </c>
      <c r="AZ228" s="104" t="str">
        <f aca="false">IF(ISBLANK($C228),"",$B228)</f>
        <v/>
      </c>
      <c r="BA228" s="104" t="str">
        <f aca="false">IF(ISBLANK($C228),"",$C228)</f>
        <v/>
      </c>
      <c r="BB228" s="104" t="str">
        <f aca="false">IF(ISBLANK($C228),"",$D228)</f>
        <v/>
      </c>
      <c r="BC228" s="105" t="str">
        <f aca="false">AQ228</f>
        <v/>
      </c>
      <c r="BD228" s="106" t="str">
        <f aca="false">AP228</f>
        <v/>
      </c>
      <c r="BE228" s="104" t="str">
        <f aca="false">IF(ISBLANK($C228),"",AS228)</f>
        <v/>
      </c>
      <c r="BF228" s="107" t="str">
        <f aca="false">IF($AW228&gt;$AV$7,"",VLOOKUP($AW228,$AY$8:$BE$507,7,FALSE()))</f>
        <v/>
      </c>
      <c r="BG228" s="108" t="str">
        <f aca="false">IF($AW228&gt;$AV$7,"",VLOOKUP($AW228,$AY$8:$BE$507,2,FALSE()))</f>
        <v/>
      </c>
      <c r="BH228" s="108" t="str">
        <f aca="false">IF($AW228&gt;$AV$7,"",VLOOKUP($AW228,$AY$8:$BE$507,3,FALSE()))</f>
        <v/>
      </c>
      <c r="BI228" s="108" t="str">
        <f aca="false">IF($AW228&gt;$AV$7,"",VLOOKUP($AW228,$AY$8:$BE$507,4,FALSE()))</f>
        <v/>
      </c>
      <c r="BJ228" s="108" t="str">
        <f aca="false">IF($AW228&gt;$AV$7,"",VLOOKUP($AW228,$AY$8:$BE$507,5,FALSE()))</f>
        <v/>
      </c>
      <c r="BK228" s="109" t="str">
        <f aca="false">IF($AW228&gt;$AV$7,"",VLOOKUP($AW228,$AY$8:$BE$507,6,FALSE()))</f>
        <v/>
      </c>
      <c r="BL228" s="50"/>
    </row>
    <row r="229" customFormat="false" ht="15.75" hidden="false" customHeight="false" outlineLevel="0" collapsed="false">
      <c r="A229" s="5"/>
      <c r="B229" s="124"/>
      <c r="C229" s="125"/>
      <c r="D229" s="110"/>
      <c r="E229" s="130"/>
      <c r="F229" s="135"/>
      <c r="G229" s="88"/>
      <c r="H229" s="136"/>
      <c r="I229" s="137"/>
      <c r="J229" s="91"/>
      <c r="K229" s="92"/>
      <c r="L229" s="137"/>
      <c r="M229" s="93"/>
      <c r="N229" s="94"/>
      <c r="O229" s="130"/>
      <c r="P229" s="96"/>
      <c r="Q229" s="97" t="str">
        <f aca="false">IF(ISBLANK($C229),"",IF(E229=Constants!$B$2, TRUE(), IF(E229=Constants!$B$3, FALSE(), TRUE())))</f>
        <v/>
      </c>
      <c r="R229" s="97" t="str">
        <f aca="false">IF(ISBLANK($C229),"",IF(F229=Constants!$B$2, TRUE(), IF(F229=Constants!$B$3, FALSE(), TRUE())))</f>
        <v/>
      </c>
      <c r="S229" s="97" t="str">
        <f aca="false">IF(ISBLANK($C229),"",IF(G229=Constants!$B$15,Constants!$B$8,IF(G229=Constants!$B$16,Constants!$B$9,Constants!$B$10)))</f>
        <v/>
      </c>
      <c r="T229" s="97" t="str">
        <f aca="false">IF(ISBLANK($C229),"",IF(H229=Constants!$B$2, TRUE(), IF(H229=Constants!$B$3, FALSE(), TRUE())))</f>
        <v/>
      </c>
      <c r="U229" s="97" t="str">
        <f aca="false">IF(ISBLANK($C229),"",IF(I229=Constants!$B$19,Constants!$B$19,Constants!$B$18))</f>
        <v/>
      </c>
      <c r="V229" s="97" t="str">
        <f aca="false">IF(ISBLANK($C229),"",IF(COUNTA(J229:K229)=0,"",IF(AND(OR(ISBLANK(J229),AND(ISNUMBER(J229),J229&gt;=0)),OR(ISBLANK(K229),AND(ISNUMBER(K229),K229&gt;=0))),60*IF(ISBLANK(J229),0,J229)+IF(ISBLANK(K229),0,K229),"")))</f>
        <v/>
      </c>
      <c r="W229" s="97" t="str">
        <f aca="false">IF(ISBLANK($C229),"",IF(L229=Constants!$B$19,Constants!$B$19,Constants!$B$18))</f>
        <v/>
      </c>
      <c r="X229" s="97" t="str">
        <f aca="false">IF(ISBLANK($C229),"",IF(COUNTA(M229:N229)=0,"",IF(AND(OR(ISBLANK(M229),AND(ISNUMBER(M229),M229&gt;=0)),OR(ISBLANK(N229),AND(ISNUMBER(N229),N229&gt;=0))),60*IF(ISBLANK(M229),0,M229)+IF(ISBLANK(N229),0,N229),"")))</f>
        <v/>
      </c>
      <c r="Y229" s="97" t="str">
        <f aca="false">IF(ISBLANK($C229),"",IF(O229=Constants!$B$2, TRUE(), IF(O229=Constants!$B$3, FALSE(), FALSE())))</f>
        <v/>
      </c>
      <c r="Z229" s="97" t="str">
        <f aca="false">IF(ISBLANK($C229),"",IF(Y229,Constants!$B$4,IF(COUNTA(E229:N229)=0,Constants!$B$5,IF(COUNTA(J229:K229,M229:N229)=0,Constants!$B$6,Constants!$B$7))))</f>
        <v/>
      </c>
      <c r="AA229" s="97" t="str">
        <f aca="false">IF(ISBLANK($C229),"",IF($Z229&lt;&gt;Constants!$B$7,$Z229,IF(OR(NOT(T229),AND(NOT(Q229),COUNTIFS(U229:W229,Constants!$B$18,V229:X229,"&gt;=0")&gt;0),AND(NOT(R229),COUNTIFS(U229:W229,Constants!$B$19,V229:X229,"&gt;=0")&gt;0)),Constants!$B$12,Constants!$B$11)))</f>
        <v/>
      </c>
      <c r="AB229" s="97" t="str">
        <f aca="false">IF($Z229=Constants!$B$7,IF(V229="",Constants!$B$13,V229),"")</f>
        <v/>
      </c>
      <c r="AC229" s="97" t="str">
        <f aca="false">IF($Z229=Constants!$B$7,IF(X229="",Constants!$B$13,X229),"")</f>
        <v/>
      </c>
      <c r="AD229" s="97" t="str">
        <f aca="false">IF($Z229=Constants!$B$7,IF($AB229&gt;=$AC229,1,2),"")</f>
        <v/>
      </c>
      <c r="AE229" s="97" t="str">
        <f aca="false">IF($Z229=Constants!$B$7,LARGE(AB229:AC229,1),"")</f>
        <v/>
      </c>
      <c r="AF229" s="97" t="str">
        <f aca="false">IF(ISBLANK($C229),"",IF($Z229&lt;&gt;Constants!$B$7,$Z229,AE229*S229))</f>
        <v/>
      </c>
      <c r="AG229" s="97" t="str">
        <f aca="false">IF(ISBLANK($C229),"",IF($Z229=Constants!$B$7,IF(ISNUMBER(AF229),RANK(AF229,$AF$8:$AF$507),Constants!$B$14),$Z229))</f>
        <v/>
      </c>
      <c r="AH229" s="97" t="str">
        <f aca="false">IF(ISBLANK($C229),"",IF($Z229=Constants!$B$7,IF(ISNUMBER(AG229),COUNTIFS($AA$8:$AA$507,"&lt;"&amp;$AA229)+COUNTIFS($AA$8:$AA$507,$AA229,$AG$8:$AG$507,"&lt;"&amp;$AG229)+1,Constants!$B$14),$Z229))</f>
        <v/>
      </c>
      <c r="AI229" s="97" t="str">
        <f aca="false">IF(ISBLANK($C229),"",IF($Z229=Constants!$B$7,LARGE(AB229:AC229,2)*S229,""))</f>
        <v/>
      </c>
      <c r="AJ229" s="97" t="str">
        <f aca="false">IF(ISBLANK($C229),"",IF($Z229=Constants!$B$7,RANK(AI229,$AI$8:$AI$507),$Z229))</f>
        <v/>
      </c>
      <c r="AK229" s="97" t="str">
        <f aca="false">IF(ISBLANK($C229),"",IF($Z229=Constants!$B$7,IF(ISNUMBER(AG229),COUNTIFS($AA$8:$AA$507,"&lt;"&amp;$AA229)+COUNTIFS($AA$8:$AA$507,$AA229,$AG$8:$AG$507,"&lt;"&amp;$AG229)+COUNTIFS($AA$8:$AA$507,$AA229,$AG$8:$AG$507,$AG229,$AJ$8:$AJ$507,"&lt;"&amp;$AJ229)+1,Constants!$B$14),$Z229))</f>
        <v/>
      </c>
      <c r="AL229" s="97" t="str">
        <f aca="false">IF(ISBLANK($C229),"",IF($Z229=Constants!$B$7,IF(ISNUMBER(AH229),AH229-AK229,Constants!$B$14),$Z229))</f>
        <v/>
      </c>
      <c r="AM229" s="98"/>
      <c r="AN229" s="99" t="str">
        <f aca="false">IF(ISBLANK($C229),"",IF($Z229&lt;&gt;Constants!$B$7,$Z229,AD229))</f>
        <v/>
      </c>
      <c r="AO229" s="100" t="str">
        <f aca="false">IF(ISBLANK($C229),"",IF($Z229&lt;&gt;Constants!$B$7,$Z229,S229))</f>
        <v/>
      </c>
      <c r="AP229" s="101" t="str">
        <f aca="false">IF(ISBLANK($C229),"",IF($Z229&lt;&gt;Constants!$B$7,$Z229,AF229))</f>
        <v/>
      </c>
      <c r="AQ229" s="102" t="str">
        <f aca="false">IF(ISBLANK($C229),"",IF($Z229&lt;&gt;Constants!$B$7,$Z229,AA229))</f>
        <v/>
      </c>
      <c r="AR229" s="100" t="str">
        <f aca="false">IF(ISBLANK($C229),"",AL229)</f>
        <v/>
      </c>
      <c r="AS229" s="100" t="str">
        <f aca="false">IF(ISBLANK($C229),"",AK229)</f>
        <v/>
      </c>
      <c r="AT229" s="103" t="str">
        <f aca="false">IF(ISBLANK($C229),"",IF(AS229=Constants!$B$4,COUNTA($C$8:$C$507)+2,IF(AS229=Constants!$B$5,COUNTA($C$8:$C$507)+1,IF(AS229=Constants!$B$6,COUNTA($C$8:$C$507),AS229))))</f>
        <v/>
      </c>
      <c r="AU229" s="5"/>
      <c r="AV229" s="104" t="n">
        <f aca="false">IF(OR(ISNUMBER(AS229),AS229=Constants!$B$4,AS229=Constants!$B$6,AS229=Constants!$B$5),1,0)</f>
        <v>0</v>
      </c>
      <c r="AW229" s="104" t="n">
        <v>222</v>
      </c>
      <c r="AX229" s="104" t="str">
        <f aca="false">IF(ISBLANK($C229),"",IF(ISNUMBER(AT229),AT229+ROW($B229)/1000,""))</f>
        <v/>
      </c>
      <c r="AY229" s="104" t="str">
        <f aca="false">IF(ISNUMBER(AX229),RANK(AX229,$AX$8:$AX$507,1),"")</f>
        <v/>
      </c>
      <c r="AZ229" s="104" t="str">
        <f aca="false">IF(ISBLANK($C229),"",$B229)</f>
        <v/>
      </c>
      <c r="BA229" s="104" t="str">
        <f aca="false">IF(ISBLANK($C229),"",$C229)</f>
        <v/>
      </c>
      <c r="BB229" s="104" t="str">
        <f aca="false">IF(ISBLANK($C229),"",$D229)</f>
        <v/>
      </c>
      <c r="BC229" s="105" t="str">
        <f aca="false">AQ229</f>
        <v/>
      </c>
      <c r="BD229" s="106" t="str">
        <f aca="false">AP229</f>
        <v/>
      </c>
      <c r="BE229" s="104" t="str">
        <f aca="false">IF(ISBLANK($C229),"",AS229)</f>
        <v/>
      </c>
      <c r="BF229" s="107" t="str">
        <f aca="false">IF($AW229&gt;$AV$7,"",VLOOKUP($AW229,$AY$8:$BE$507,7,FALSE()))</f>
        <v/>
      </c>
      <c r="BG229" s="108" t="str">
        <f aca="false">IF($AW229&gt;$AV$7,"",VLOOKUP($AW229,$AY$8:$BE$507,2,FALSE()))</f>
        <v/>
      </c>
      <c r="BH229" s="108" t="str">
        <f aca="false">IF($AW229&gt;$AV$7,"",VLOOKUP($AW229,$AY$8:$BE$507,3,FALSE()))</f>
        <v/>
      </c>
      <c r="BI229" s="108" t="str">
        <f aca="false">IF($AW229&gt;$AV$7,"",VLOOKUP($AW229,$AY$8:$BE$507,4,FALSE()))</f>
        <v/>
      </c>
      <c r="BJ229" s="108" t="str">
        <f aca="false">IF($AW229&gt;$AV$7,"",VLOOKUP($AW229,$AY$8:$BE$507,5,FALSE()))</f>
        <v/>
      </c>
      <c r="BK229" s="109" t="str">
        <f aca="false">IF($AW229&gt;$AV$7,"",VLOOKUP($AW229,$AY$8:$BE$507,6,FALSE()))</f>
        <v/>
      </c>
      <c r="BL229" s="50"/>
    </row>
    <row r="230" customFormat="false" ht="15.75" hidden="false" customHeight="false" outlineLevel="0" collapsed="false">
      <c r="A230" s="5"/>
      <c r="B230" s="131"/>
      <c r="C230" s="52"/>
      <c r="D230" s="53"/>
      <c r="E230" s="80"/>
      <c r="F230" s="132"/>
      <c r="G230" s="56"/>
      <c r="H230" s="133"/>
      <c r="I230" s="134"/>
      <c r="J230" s="59"/>
      <c r="K230" s="60"/>
      <c r="L230" s="134"/>
      <c r="M230" s="61"/>
      <c r="N230" s="62"/>
      <c r="O230" s="80"/>
      <c r="P230" s="64"/>
      <c r="Q230" s="65" t="str">
        <f aca="false">IF(ISBLANK($C230),"",IF(E230=Constants!$B$2, TRUE(), IF(E230=Constants!$B$3, FALSE(), TRUE())))</f>
        <v/>
      </c>
      <c r="R230" s="65" t="str">
        <f aca="false">IF(ISBLANK($C230),"",IF(F230=Constants!$B$2, TRUE(), IF(F230=Constants!$B$3, FALSE(), TRUE())))</f>
        <v/>
      </c>
      <c r="S230" s="65" t="str">
        <f aca="false">IF(ISBLANK($C230),"",IF(G230=Constants!$B$15,Constants!$B$8,IF(G230=Constants!$B$16,Constants!$B$9,Constants!$B$10)))</f>
        <v/>
      </c>
      <c r="T230" s="65" t="str">
        <f aca="false">IF(ISBLANK($C230),"",IF(H230=Constants!$B$2, TRUE(), IF(H230=Constants!$B$3, FALSE(), TRUE())))</f>
        <v/>
      </c>
      <c r="U230" s="65" t="str">
        <f aca="false">IF(ISBLANK($C230),"",IF(I230=Constants!$B$19,Constants!$B$19,Constants!$B$18))</f>
        <v/>
      </c>
      <c r="V230" s="65" t="str">
        <f aca="false">IF(ISBLANK($C230),"",IF(COUNTA(J230:K230)=0,"",IF(AND(OR(ISBLANK(J230),AND(ISNUMBER(J230),J230&gt;=0)),OR(ISBLANK(K230),AND(ISNUMBER(K230),K230&gt;=0))),60*IF(ISBLANK(J230),0,J230)+IF(ISBLANK(K230),0,K230),"")))</f>
        <v/>
      </c>
      <c r="W230" s="65" t="str">
        <f aca="false">IF(ISBLANK($C230),"",IF(L230=Constants!$B$19,Constants!$B$19,Constants!$B$18))</f>
        <v/>
      </c>
      <c r="X230" s="65" t="str">
        <f aca="false">IF(ISBLANK($C230),"",IF(COUNTA(M230:N230)=0,"",IF(AND(OR(ISBLANK(M230),AND(ISNUMBER(M230),M230&gt;=0)),OR(ISBLANK(N230),AND(ISNUMBER(N230),N230&gt;=0))),60*IF(ISBLANK(M230),0,M230)+IF(ISBLANK(N230),0,N230),"")))</f>
        <v/>
      </c>
      <c r="Y230" s="65" t="str">
        <f aca="false">IF(ISBLANK($C230),"",IF(O230=Constants!$B$2, TRUE(), IF(O230=Constants!$B$3, FALSE(), FALSE())))</f>
        <v/>
      </c>
      <c r="Z230" s="65" t="str">
        <f aca="false">IF(ISBLANK($C230),"",IF(Y230,Constants!$B$4,IF(COUNTA(E230:N230)=0,Constants!$B$5,IF(COUNTA(J230:K230,M230:N230)=0,Constants!$B$6,Constants!$B$7))))</f>
        <v/>
      </c>
      <c r="AA230" s="65" t="str">
        <f aca="false">IF(ISBLANK($C230),"",IF($Z230&lt;&gt;Constants!$B$7,$Z230,IF(OR(NOT(T230),AND(NOT(Q230),COUNTIFS(U230:W230,Constants!$B$18,V230:X230,"&gt;=0")&gt;0),AND(NOT(R230),COUNTIFS(U230:W230,Constants!$B$19,V230:X230,"&gt;=0")&gt;0)),Constants!$B$12,Constants!$B$11)))</f>
        <v/>
      </c>
      <c r="AB230" s="65" t="str">
        <f aca="false">IF($Z230=Constants!$B$7,IF(V230="",Constants!$B$13,V230),"")</f>
        <v/>
      </c>
      <c r="AC230" s="65" t="str">
        <f aca="false">IF($Z230=Constants!$B$7,IF(X230="",Constants!$B$13,X230),"")</f>
        <v/>
      </c>
      <c r="AD230" s="65" t="str">
        <f aca="false">IF($Z230=Constants!$B$7,IF($AB230&gt;=$AC230,1,2),"")</f>
        <v/>
      </c>
      <c r="AE230" s="65" t="str">
        <f aca="false">IF($Z230=Constants!$B$7,LARGE(AB230:AC230,1),"")</f>
        <v/>
      </c>
      <c r="AF230" s="65" t="str">
        <f aca="false">IF(ISBLANK($C230),"",IF($Z230&lt;&gt;Constants!$B$7,$Z230,AE230*S230))</f>
        <v/>
      </c>
      <c r="AG230" s="65" t="str">
        <f aca="false">IF(ISBLANK($C230),"",IF($Z230=Constants!$B$7,IF(ISNUMBER(AF230),RANK(AF230,$AF$8:$AF$507),Constants!$B$14),$Z230))</f>
        <v/>
      </c>
      <c r="AH230" s="65" t="str">
        <f aca="false">IF(ISBLANK($C230),"",IF($Z230=Constants!$B$7,IF(ISNUMBER(AG230),COUNTIFS($AA$8:$AA$507,"&lt;"&amp;$AA230)+COUNTIFS($AA$8:$AA$507,$AA230,$AG$8:$AG$507,"&lt;"&amp;$AG230)+1,Constants!$B$14),$Z230))</f>
        <v/>
      </c>
      <c r="AI230" s="65" t="str">
        <f aca="false">IF(ISBLANK($C230),"",IF($Z230=Constants!$B$7,LARGE(AB230:AC230,2)*S230,""))</f>
        <v/>
      </c>
      <c r="AJ230" s="65" t="str">
        <f aca="false">IF(ISBLANK($C230),"",IF($Z230=Constants!$B$7,RANK(AI230,$AI$8:$AI$507),$Z230))</f>
        <v/>
      </c>
      <c r="AK230" s="65" t="str">
        <f aca="false">IF(ISBLANK($C230),"",IF($Z230=Constants!$B$7,IF(ISNUMBER(AG230),COUNTIFS($AA$8:$AA$507,"&lt;"&amp;$AA230)+COUNTIFS($AA$8:$AA$507,$AA230,$AG$8:$AG$507,"&lt;"&amp;$AG230)+COUNTIFS($AA$8:$AA$507,$AA230,$AG$8:$AG$507,$AG230,$AJ$8:$AJ$507,"&lt;"&amp;$AJ230)+1,Constants!$B$14),$Z230))</f>
        <v/>
      </c>
      <c r="AL230" s="65" t="str">
        <f aca="false">IF(ISBLANK($C230),"",IF($Z230=Constants!$B$7,IF(ISNUMBER(AH230),AH230-AK230,Constants!$B$14),$Z230))</f>
        <v/>
      </c>
      <c r="AM230" s="67"/>
      <c r="AN230" s="68" t="str">
        <f aca="false">IF(ISBLANK($C230),"",IF($Z230&lt;&gt;Constants!$B$7,$Z230,AD230))</f>
        <v/>
      </c>
      <c r="AO230" s="69" t="str">
        <f aca="false">IF(ISBLANK($C230),"",IF($Z230&lt;&gt;Constants!$B$7,$Z230,S230))</f>
        <v/>
      </c>
      <c r="AP230" s="70" t="str">
        <f aca="false">IF(ISBLANK($C230),"",IF($Z230&lt;&gt;Constants!$B$7,$Z230,AF230))</f>
        <v/>
      </c>
      <c r="AQ230" s="71" t="str">
        <f aca="false">IF(ISBLANK($C230),"",IF($Z230&lt;&gt;Constants!$B$7,$Z230,AA230))</f>
        <v/>
      </c>
      <c r="AR230" s="69" t="str">
        <f aca="false">IF(ISBLANK($C230),"",AL230)</f>
        <v/>
      </c>
      <c r="AS230" s="69" t="str">
        <f aca="false">IF(ISBLANK($C230),"",AK230)</f>
        <v/>
      </c>
      <c r="AT230" s="72" t="str">
        <f aca="false">IF(ISBLANK($C230),"",IF(AS230=Constants!$B$4,COUNTA($C$8:$C$507)+2,IF(AS230=Constants!$B$5,COUNTA($C$8:$C$507)+1,IF(AS230=Constants!$B$6,COUNTA($C$8:$C$507),AS230))))</f>
        <v/>
      </c>
      <c r="AU230" s="5"/>
      <c r="AV230" s="73" t="n">
        <f aca="false">IF(OR(ISNUMBER(AS230),AS230=Constants!$B$4,AS230=Constants!$B$6,AS230=Constants!$B$5),1,0)</f>
        <v>0</v>
      </c>
      <c r="AW230" s="73" t="n">
        <v>223</v>
      </c>
      <c r="AX230" s="73" t="str">
        <f aca="false">IF(ISBLANK($C230),"",IF(ISNUMBER(AT230),AT230+ROW($B230)/1000,""))</f>
        <v/>
      </c>
      <c r="AY230" s="73" t="str">
        <f aca="false">IF(ISNUMBER(AX230),RANK(AX230,$AX$8:$AX$507,1),"")</f>
        <v/>
      </c>
      <c r="AZ230" s="73" t="str">
        <f aca="false">IF(ISBLANK($C230),"",$B230)</f>
        <v/>
      </c>
      <c r="BA230" s="73" t="str">
        <f aca="false">IF(ISBLANK($C230),"",$C230)</f>
        <v/>
      </c>
      <c r="BB230" s="73" t="str">
        <f aca="false">IF(ISBLANK($C230),"",$D230)</f>
        <v/>
      </c>
      <c r="BC230" s="74" t="str">
        <f aca="false">AQ230</f>
        <v/>
      </c>
      <c r="BD230" s="75" t="str">
        <f aca="false">AP230</f>
        <v/>
      </c>
      <c r="BE230" s="73" t="str">
        <f aca="false">IF(ISBLANK($C230),"",AS230)</f>
        <v/>
      </c>
      <c r="BF230" s="76" t="str">
        <f aca="false">IF($AW230&gt;$AV$7,"",VLOOKUP($AW230,$AY$8:$BE$507,7,FALSE()))</f>
        <v/>
      </c>
      <c r="BG230" s="77" t="str">
        <f aca="false">IF($AW230&gt;$AV$7,"",VLOOKUP($AW230,$AY$8:$BE$507,2,FALSE()))</f>
        <v/>
      </c>
      <c r="BH230" s="77" t="str">
        <f aca="false">IF($AW230&gt;$AV$7,"",VLOOKUP($AW230,$AY$8:$BE$507,3,FALSE()))</f>
        <v/>
      </c>
      <c r="BI230" s="77" t="str">
        <f aca="false">IF($AW230&gt;$AV$7,"",VLOOKUP($AW230,$AY$8:$BE$507,4,FALSE()))</f>
        <v/>
      </c>
      <c r="BJ230" s="77" t="str">
        <f aca="false">IF($AW230&gt;$AV$7,"",VLOOKUP($AW230,$AY$8:$BE$507,5,FALSE()))</f>
        <v/>
      </c>
      <c r="BK230" s="78" t="str">
        <f aca="false">IF($AW230&gt;$AV$7,"",VLOOKUP($AW230,$AY$8:$BE$507,6,FALSE()))</f>
        <v/>
      </c>
      <c r="BL230" s="50"/>
    </row>
    <row r="231" customFormat="false" ht="15.75" hidden="false" customHeight="false" outlineLevel="0" collapsed="false">
      <c r="A231" s="5"/>
      <c r="B231" s="131"/>
      <c r="C231" s="52"/>
      <c r="D231" s="53"/>
      <c r="E231" s="80"/>
      <c r="F231" s="132"/>
      <c r="G231" s="56"/>
      <c r="H231" s="133"/>
      <c r="I231" s="134"/>
      <c r="J231" s="59"/>
      <c r="K231" s="60"/>
      <c r="L231" s="134"/>
      <c r="M231" s="61"/>
      <c r="N231" s="62"/>
      <c r="O231" s="80"/>
      <c r="P231" s="64"/>
      <c r="Q231" s="65" t="str">
        <f aca="false">IF(ISBLANK($C231),"",IF(E231=Constants!$B$2, TRUE(), IF(E231=Constants!$B$3, FALSE(), TRUE())))</f>
        <v/>
      </c>
      <c r="R231" s="65" t="str">
        <f aca="false">IF(ISBLANK($C231),"",IF(F231=Constants!$B$2, TRUE(), IF(F231=Constants!$B$3, FALSE(), TRUE())))</f>
        <v/>
      </c>
      <c r="S231" s="65" t="str">
        <f aca="false">IF(ISBLANK($C231),"",IF(G231=Constants!$B$15,Constants!$B$8,IF(G231=Constants!$B$16,Constants!$B$9,Constants!$B$10)))</f>
        <v/>
      </c>
      <c r="T231" s="65" t="str">
        <f aca="false">IF(ISBLANK($C231),"",IF(H231=Constants!$B$2, TRUE(), IF(H231=Constants!$B$3, FALSE(), TRUE())))</f>
        <v/>
      </c>
      <c r="U231" s="65" t="str">
        <f aca="false">IF(ISBLANK($C231),"",IF(I231=Constants!$B$19,Constants!$B$19,Constants!$B$18))</f>
        <v/>
      </c>
      <c r="V231" s="65" t="str">
        <f aca="false">IF(ISBLANK($C231),"",IF(COUNTA(J231:K231)=0,"",IF(AND(OR(ISBLANK(J231),AND(ISNUMBER(J231),J231&gt;=0)),OR(ISBLANK(K231),AND(ISNUMBER(K231),K231&gt;=0))),60*IF(ISBLANK(J231),0,J231)+IF(ISBLANK(K231),0,K231),"")))</f>
        <v/>
      </c>
      <c r="W231" s="65" t="str">
        <f aca="false">IF(ISBLANK($C231),"",IF(L231=Constants!$B$19,Constants!$B$19,Constants!$B$18))</f>
        <v/>
      </c>
      <c r="X231" s="65" t="str">
        <f aca="false">IF(ISBLANK($C231),"",IF(COUNTA(M231:N231)=0,"",IF(AND(OR(ISBLANK(M231),AND(ISNUMBER(M231),M231&gt;=0)),OR(ISBLANK(N231),AND(ISNUMBER(N231),N231&gt;=0))),60*IF(ISBLANK(M231),0,M231)+IF(ISBLANK(N231),0,N231),"")))</f>
        <v/>
      </c>
      <c r="Y231" s="65" t="str">
        <f aca="false">IF(ISBLANK($C231),"",IF(O231=Constants!$B$2, TRUE(), IF(O231=Constants!$B$3, FALSE(), FALSE())))</f>
        <v/>
      </c>
      <c r="Z231" s="65" t="str">
        <f aca="false">IF(ISBLANK($C231),"",IF(Y231,Constants!$B$4,IF(COUNTA(E231:N231)=0,Constants!$B$5,IF(COUNTA(J231:K231,M231:N231)=0,Constants!$B$6,Constants!$B$7))))</f>
        <v/>
      </c>
      <c r="AA231" s="65" t="str">
        <f aca="false">IF(ISBLANK($C231),"",IF($Z231&lt;&gt;Constants!$B$7,$Z231,IF(OR(NOT(T231),AND(NOT(Q231),COUNTIFS(U231:W231,Constants!$B$18,V231:X231,"&gt;=0")&gt;0),AND(NOT(R231),COUNTIFS(U231:W231,Constants!$B$19,V231:X231,"&gt;=0")&gt;0)),Constants!$B$12,Constants!$B$11)))</f>
        <v/>
      </c>
      <c r="AB231" s="65" t="str">
        <f aca="false">IF($Z231=Constants!$B$7,IF(V231="",Constants!$B$13,V231),"")</f>
        <v/>
      </c>
      <c r="AC231" s="65" t="str">
        <f aca="false">IF($Z231=Constants!$B$7,IF(X231="",Constants!$B$13,X231),"")</f>
        <v/>
      </c>
      <c r="AD231" s="65" t="str">
        <f aca="false">IF($Z231=Constants!$B$7,IF($AB231&gt;=$AC231,1,2),"")</f>
        <v/>
      </c>
      <c r="AE231" s="65" t="str">
        <f aca="false">IF($Z231=Constants!$B$7,LARGE(AB231:AC231,1),"")</f>
        <v/>
      </c>
      <c r="AF231" s="65" t="str">
        <f aca="false">IF(ISBLANK($C231),"",IF($Z231&lt;&gt;Constants!$B$7,$Z231,AE231*S231))</f>
        <v/>
      </c>
      <c r="AG231" s="65" t="str">
        <f aca="false">IF(ISBLANK($C231),"",IF($Z231=Constants!$B$7,IF(ISNUMBER(AF231),RANK(AF231,$AF$8:$AF$507),Constants!$B$14),$Z231))</f>
        <v/>
      </c>
      <c r="AH231" s="65" t="str">
        <f aca="false">IF(ISBLANK($C231),"",IF($Z231=Constants!$B$7,IF(ISNUMBER(AG231),COUNTIFS($AA$8:$AA$507,"&lt;"&amp;$AA231)+COUNTIFS($AA$8:$AA$507,$AA231,$AG$8:$AG$507,"&lt;"&amp;$AG231)+1,Constants!$B$14),$Z231))</f>
        <v/>
      </c>
      <c r="AI231" s="65" t="str">
        <f aca="false">IF(ISBLANK($C231),"",IF($Z231=Constants!$B$7,LARGE(AB231:AC231,2)*S231,""))</f>
        <v/>
      </c>
      <c r="AJ231" s="65" t="str">
        <f aca="false">IF(ISBLANK($C231),"",IF($Z231=Constants!$B$7,RANK(AI231,$AI$8:$AI$507),$Z231))</f>
        <v/>
      </c>
      <c r="AK231" s="65" t="str">
        <f aca="false">IF(ISBLANK($C231),"",IF($Z231=Constants!$B$7,IF(ISNUMBER(AG231),COUNTIFS($AA$8:$AA$507,"&lt;"&amp;$AA231)+COUNTIFS($AA$8:$AA$507,$AA231,$AG$8:$AG$507,"&lt;"&amp;$AG231)+COUNTIFS($AA$8:$AA$507,$AA231,$AG$8:$AG$507,$AG231,$AJ$8:$AJ$507,"&lt;"&amp;$AJ231)+1,Constants!$B$14),$Z231))</f>
        <v/>
      </c>
      <c r="AL231" s="65" t="str">
        <f aca="false">IF(ISBLANK($C231),"",IF($Z231=Constants!$B$7,IF(ISNUMBER(AH231),AH231-AK231,Constants!$B$14),$Z231))</f>
        <v/>
      </c>
      <c r="AM231" s="67"/>
      <c r="AN231" s="68" t="str">
        <f aca="false">IF(ISBLANK($C231),"",IF($Z231&lt;&gt;Constants!$B$7,$Z231,AD231))</f>
        <v/>
      </c>
      <c r="AO231" s="69" t="str">
        <f aca="false">IF(ISBLANK($C231),"",IF($Z231&lt;&gt;Constants!$B$7,$Z231,S231))</f>
        <v/>
      </c>
      <c r="AP231" s="70" t="str">
        <f aca="false">IF(ISBLANK($C231),"",IF($Z231&lt;&gt;Constants!$B$7,$Z231,AF231))</f>
        <v/>
      </c>
      <c r="AQ231" s="71" t="str">
        <f aca="false">IF(ISBLANK($C231),"",IF($Z231&lt;&gt;Constants!$B$7,$Z231,AA231))</f>
        <v/>
      </c>
      <c r="AR231" s="69" t="str">
        <f aca="false">IF(ISBLANK($C231),"",AL231)</f>
        <v/>
      </c>
      <c r="AS231" s="69" t="str">
        <f aca="false">IF(ISBLANK($C231),"",AK231)</f>
        <v/>
      </c>
      <c r="AT231" s="72" t="str">
        <f aca="false">IF(ISBLANK($C231),"",IF(AS231=Constants!$B$4,COUNTA($C$8:$C$507)+2,IF(AS231=Constants!$B$5,COUNTA($C$8:$C$507)+1,IF(AS231=Constants!$B$6,COUNTA($C$8:$C$507),AS231))))</f>
        <v/>
      </c>
      <c r="AU231" s="5"/>
      <c r="AV231" s="73" t="n">
        <f aca="false">IF(OR(ISNUMBER(AS231),AS231=Constants!$B$4,AS231=Constants!$B$6,AS231=Constants!$B$5),1,0)</f>
        <v>0</v>
      </c>
      <c r="AW231" s="73" t="n">
        <v>224</v>
      </c>
      <c r="AX231" s="73" t="str">
        <f aca="false">IF(ISBLANK($C231),"",IF(ISNUMBER(AT231),AT231+ROW($B231)/1000,""))</f>
        <v/>
      </c>
      <c r="AY231" s="73" t="str">
        <f aca="false">IF(ISNUMBER(AX231),RANK(AX231,$AX$8:$AX$507,1),"")</f>
        <v/>
      </c>
      <c r="AZ231" s="73" t="str">
        <f aca="false">IF(ISBLANK($C231),"",$B231)</f>
        <v/>
      </c>
      <c r="BA231" s="73" t="str">
        <f aca="false">IF(ISBLANK($C231),"",$C231)</f>
        <v/>
      </c>
      <c r="BB231" s="73" t="str">
        <f aca="false">IF(ISBLANK($C231),"",$D231)</f>
        <v/>
      </c>
      <c r="BC231" s="74" t="str">
        <f aca="false">AQ231</f>
        <v/>
      </c>
      <c r="BD231" s="75" t="str">
        <f aca="false">AP231</f>
        <v/>
      </c>
      <c r="BE231" s="73" t="str">
        <f aca="false">IF(ISBLANK($C231),"",AS231)</f>
        <v/>
      </c>
      <c r="BF231" s="76" t="str">
        <f aca="false">IF($AW231&gt;$AV$7,"",VLOOKUP($AW231,$AY$8:$BE$507,7,FALSE()))</f>
        <v/>
      </c>
      <c r="BG231" s="77" t="str">
        <f aca="false">IF($AW231&gt;$AV$7,"",VLOOKUP($AW231,$AY$8:$BE$507,2,FALSE()))</f>
        <v/>
      </c>
      <c r="BH231" s="77" t="str">
        <f aca="false">IF($AW231&gt;$AV$7,"",VLOOKUP($AW231,$AY$8:$BE$507,3,FALSE()))</f>
        <v/>
      </c>
      <c r="BI231" s="77" t="str">
        <f aca="false">IF($AW231&gt;$AV$7,"",VLOOKUP($AW231,$AY$8:$BE$507,4,FALSE()))</f>
        <v/>
      </c>
      <c r="BJ231" s="77" t="str">
        <f aca="false">IF($AW231&gt;$AV$7,"",VLOOKUP($AW231,$AY$8:$BE$507,5,FALSE()))</f>
        <v/>
      </c>
      <c r="BK231" s="78" t="str">
        <f aca="false">IF($AW231&gt;$AV$7,"",VLOOKUP($AW231,$AY$8:$BE$507,6,FALSE()))</f>
        <v/>
      </c>
      <c r="BL231" s="50"/>
    </row>
    <row r="232" customFormat="false" ht="15.75" hidden="false" customHeight="false" outlineLevel="0" collapsed="false">
      <c r="A232" s="5"/>
      <c r="B232" s="131"/>
      <c r="C232" s="52"/>
      <c r="D232" s="53"/>
      <c r="E232" s="80"/>
      <c r="F232" s="132"/>
      <c r="G232" s="56"/>
      <c r="H232" s="133"/>
      <c r="I232" s="134"/>
      <c r="J232" s="59"/>
      <c r="K232" s="60"/>
      <c r="L232" s="134"/>
      <c r="M232" s="61"/>
      <c r="N232" s="62"/>
      <c r="O232" s="80"/>
      <c r="P232" s="64"/>
      <c r="Q232" s="65" t="str">
        <f aca="false">IF(ISBLANK($C232),"",IF(E232=Constants!$B$2, TRUE(), IF(E232=Constants!$B$3, FALSE(), TRUE())))</f>
        <v/>
      </c>
      <c r="R232" s="65" t="str">
        <f aca="false">IF(ISBLANK($C232),"",IF(F232=Constants!$B$2, TRUE(), IF(F232=Constants!$B$3, FALSE(), TRUE())))</f>
        <v/>
      </c>
      <c r="S232" s="65" t="str">
        <f aca="false">IF(ISBLANK($C232),"",IF(G232=Constants!$B$15,Constants!$B$8,IF(G232=Constants!$B$16,Constants!$B$9,Constants!$B$10)))</f>
        <v/>
      </c>
      <c r="T232" s="65" t="str">
        <f aca="false">IF(ISBLANK($C232),"",IF(H232=Constants!$B$2, TRUE(), IF(H232=Constants!$B$3, FALSE(), TRUE())))</f>
        <v/>
      </c>
      <c r="U232" s="65" t="str">
        <f aca="false">IF(ISBLANK($C232),"",IF(I232=Constants!$B$19,Constants!$B$19,Constants!$B$18))</f>
        <v/>
      </c>
      <c r="V232" s="65" t="str">
        <f aca="false">IF(ISBLANK($C232),"",IF(COUNTA(J232:K232)=0,"",IF(AND(OR(ISBLANK(J232),AND(ISNUMBER(J232),J232&gt;=0)),OR(ISBLANK(K232),AND(ISNUMBER(K232),K232&gt;=0))),60*IF(ISBLANK(J232),0,J232)+IF(ISBLANK(K232),0,K232),"")))</f>
        <v/>
      </c>
      <c r="W232" s="65" t="str">
        <f aca="false">IF(ISBLANK($C232),"",IF(L232=Constants!$B$19,Constants!$B$19,Constants!$B$18))</f>
        <v/>
      </c>
      <c r="X232" s="65" t="str">
        <f aca="false">IF(ISBLANK($C232),"",IF(COUNTA(M232:N232)=0,"",IF(AND(OR(ISBLANK(M232),AND(ISNUMBER(M232),M232&gt;=0)),OR(ISBLANK(N232),AND(ISNUMBER(N232),N232&gt;=0))),60*IF(ISBLANK(M232),0,M232)+IF(ISBLANK(N232),0,N232),"")))</f>
        <v/>
      </c>
      <c r="Y232" s="65" t="str">
        <f aca="false">IF(ISBLANK($C232),"",IF(O232=Constants!$B$2, TRUE(), IF(O232=Constants!$B$3, FALSE(), FALSE())))</f>
        <v/>
      </c>
      <c r="Z232" s="65" t="str">
        <f aca="false">IF(ISBLANK($C232),"",IF(Y232,Constants!$B$4,IF(COUNTA(E232:N232)=0,Constants!$B$5,IF(COUNTA(J232:K232,M232:N232)=0,Constants!$B$6,Constants!$B$7))))</f>
        <v/>
      </c>
      <c r="AA232" s="65" t="str">
        <f aca="false">IF(ISBLANK($C232),"",IF($Z232&lt;&gt;Constants!$B$7,$Z232,IF(OR(NOT(T232),AND(NOT(Q232),COUNTIFS(U232:W232,Constants!$B$18,V232:X232,"&gt;=0")&gt;0),AND(NOT(R232),COUNTIFS(U232:W232,Constants!$B$19,V232:X232,"&gt;=0")&gt;0)),Constants!$B$12,Constants!$B$11)))</f>
        <v/>
      </c>
      <c r="AB232" s="65" t="str">
        <f aca="false">IF($Z232=Constants!$B$7,IF(V232="",Constants!$B$13,V232),"")</f>
        <v/>
      </c>
      <c r="AC232" s="65" t="str">
        <f aca="false">IF($Z232=Constants!$B$7,IF(X232="",Constants!$B$13,X232),"")</f>
        <v/>
      </c>
      <c r="AD232" s="65" t="str">
        <f aca="false">IF($Z232=Constants!$B$7,IF($AB232&gt;=$AC232,1,2),"")</f>
        <v/>
      </c>
      <c r="AE232" s="65" t="str">
        <f aca="false">IF($Z232=Constants!$B$7,LARGE(AB232:AC232,1),"")</f>
        <v/>
      </c>
      <c r="AF232" s="65" t="str">
        <f aca="false">IF(ISBLANK($C232),"",IF($Z232&lt;&gt;Constants!$B$7,$Z232,AE232*S232))</f>
        <v/>
      </c>
      <c r="AG232" s="65" t="str">
        <f aca="false">IF(ISBLANK($C232),"",IF($Z232=Constants!$B$7,IF(ISNUMBER(AF232),RANK(AF232,$AF$8:$AF$507),Constants!$B$14),$Z232))</f>
        <v/>
      </c>
      <c r="AH232" s="65" t="str">
        <f aca="false">IF(ISBLANK($C232),"",IF($Z232=Constants!$B$7,IF(ISNUMBER(AG232),COUNTIFS($AA$8:$AA$507,"&lt;"&amp;$AA232)+COUNTIFS($AA$8:$AA$507,$AA232,$AG$8:$AG$507,"&lt;"&amp;$AG232)+1,Constants!$B$14),$Z232))</f>
        <v/>
      </c>
      <c r="AI232" s="65" t="str">
        <f aca="false">IF(ISBLANK($C232),"",IF($Z232=Constants!$B$7,LARGE(AB232:AC232,2)*S232,""))</f>
        <v/>
      </c>
      <c r="AJ232" s="65" t="str">
        <f aca="false">IF(ISBLANK($C232),"",IF($Z232=Constants!$B$7,RANK(AI232,$AI$8:$AI$507),$Z232))</f>
        <v/>
      </c>
      <c r="AK232" s="65" t="str">
        <f aca="false">IF(ISBLANK($C232),"",IF($Z232=Constants!$B$7,IF(ISNUMBER(AG232),COUNTIFS($AA$8:$AA$507,"&lt;"&amp;$AA232)+COUNTIFS($AA$8:$AA$507,$AA232,$AG$8:$AG$507,"&lt;"&amp;$AG232)+COUNTIFS($AA$8:$AA$507,$AA232,$AG$8:$AG$507,$AG232,$AJ$8:$AJ$507,"&lt;"&amp;$AJ232)+1,Constants!$B$14),$Z232))</f>
        <v/>
      </c>
      <c r="AL232" s="65" t="str">
        <f aca="false">IF(ISBLANK($C232),"",IF($Z232=Constants!$B$7,IF(ISNUMBER(AH232),AH232-AK232,Constants!$B$14),$Z232))</f>
        <v/>
      </c>
      <c r="AM232" s="67"/>
      <c r="AN232" s="68" t="str">
        <f aca="false">IF(ISBLANK($C232),"",IF($Z232&lt;&gt;Constants!$B$7,$Z232,AD232))</f>
        <v/>
      </c>
      <c r="AO232" s="69" t="str">
        <f aca="false">IF(ISBLANK($C232),"",IF($Z232&lt;&gt;Constants!$B$7,$Z232,S232))</f>
        <v/>
      </c>
      <c r="AP232" s="70" t="str">
        <f aca="false">IF(ISBLANK($C232),"",IF($Z232&lt;&gt;Constants!$B$7,$Z232,AF232))</f>
        <v/>
      </c>
      <c r="AQ232" s="71" t="str">
        <f aca="false">IF(ISBLANK($C232),"",IF($Z232&lt;&gt;Constants!$B$7,$Z232,AA232))</f>
        <v/>
      </c>
      <c r="AR232" s="69" t="str">
        <f aca="false">IF(ISBLANK($C232),"",AL232)</f>
        <v/>
      </c>
      <c r="AS232" s="69" t="str">
        <f aca="false">IF(ISBLANK($C232),"",AK232)</f>
        <v/>
      </c>
      <c r="AT232" s="72" t="str">
        <f aca="false">IF(ISBLANK($C232),"",IF(AS232=Constants!$B$4,COUNTA($C$8:$C$507)+2,IF(AS232=Constants!$B$5,COUNTA($C$8:$C$507)+1,IF(AS232=Constants!$B$6,COUNTA($C$8:$C$507),AS232))))</f>
        <v/>
      </c>
      <c r="AU232" s="5"/>
      <c r="AV232" s="73" t="n">
        <f aca="false">IF(OR(ISNUMBER(AS232),AS232=Constants!$B$4,AS232=Constants!$B$6,AS232=Constants!$B$5),1,0)</f>
        <v>0</v>
      </c>
      <c r="AW232" s="73" t="n">
        <v>225</v>
      </c>
      <c r="AX232" s="73" t="str">
        <f aca="false">IF(ISBLANK($C232),"",IF(ISNUMBER(AT232),AT232+ROW($B232)/1000,""))</f>
        <v/>
      </c>
      <c r="AY232" s="73" t="str">
        <f aca="false">IF(ISNUMBER(AX232),RANK(AX232,$AX$8:$AX$507,1),"")</f>
        <v/>
      </c>
      <c r="AZ232" s="73" t="str">
        <f aca="false">IF(ISBLANK($C232),"",$B232)</f>
        <v/>
      </c>
      <c r="BA232" s="73" t="str">
        <f aca="false">IF(ISBLANK($C232),"",$C232)</f>
        <v/>
      </c>
      <c r="BB232" s="73" t="str">
        <f aca="false">IF(ISBLANK($C232),"",$D232)</f>
        <v/>
      </c>
      <c r="BC232" s="74" t="str">
        <f aca="false">AQ232</f>
        <v/>
      </c>
      <c r="BD232" s="75" t="str">
        <f aca="false">AP232</f>
        <v/>
      </c>
      <c r="BE232" s="73" t="str">
        <f aca="false">IF(ISBLANK($C232),"",AS232)</f>
        <v/>
      </c>
      <c r="BF232" s="76" t="str">
        <f aca="false">IF($AW232&gt;$AV$7,"",VLOOKUP($AW232,$AY$8:$BE$507,7,FALSE()))</f>
        <v/>
      </c>
      <c r="BG232" s="77" t="str">
        <f aca="false">IF($AW232&gt;$AV$7,"",VLOOKUP($AW232,$AY$8:$BE$507,2,FALSE()))</f>
        <v/>
      </c>
      <c r="BH232" s="77" t="str">
        <f aca="false">IF($AW232&gt;$AV$7,"",VLOOKUP($AW232,$AY$8:$BE$507,3,FALSE()))</f>
        <v/>
      </c>
      <c r="BI232" s="77" t="str">
        <f aca="false">IF($AW232&gt;$AV$7,"",VLOOKUP($AW232,$AY$8:$BE$507,4,FALSE()))</f>
        <v/>
      </c>
      <c r="BJ232" s="77" t="str">
        <f aca="false">IF($AW232&gt;$AV$7,"",VLOOKUP($AW232,$AY$8:$BE$507,5,FALSE()))</f>
        <v/>
      </c>
      <c r="BK232" s="78" t="str">
        <f aca="false">IF($AW232&gt;$AV$7,"",VLOOKUP($AW232,$AY$8:$BE$507,6,FALSE()))</f>
        <v/>
      </c>
      <c r="BL232" s="50"/>
    </row>
    <row r="233" customFormat="false" ht="15.75" hidden="false" customHeight="false" outlineLevel="0" collapsed="false">
      <c r="A233" s="5"/>
      <c r="B233" s="124"/>
      <c r="C233" s="125"/>
      <c r="D233" s="110"/>
      <c r="E233" s="130"/>
      <c r="F233" s="135"/>
      <c r="G233" s="88"/>
      <c r="H233" s="136"/>
      <c r="I233" s="137"/>
      <c r="J233" s="91"/>
      <c r="K233" s="92"/>
      <c r="L233" s="137"/>
      <c r="M233" s="93"/>
      <c r="N233" s="94"/>
      <c r="O233" s="130"/>
      <c r="P233" s="96"/>
      <c r="Q233" s="97" t="str">
        <f aca="false">IF(ISBLANK($C233),"",IF(E233=Constants!$B$2, TRUE(), IF(E233=Constants!$B$3, FALSE(), TRUE())))</f>
        <v/>
      </c>
      <c r="R233" s="97" t="str">
        <f aca="false">IF(ISBLANK($C233),"",IF(F233=Constants!$B$2, TRUE(), IF(F233=Constants!$B$3, FALSE(), TRUE())))</f>
        <v/>
      </c>
      <c r="S233" s="97" t="str">
        <f aca="false">IF(ISBLANK($C233),"",IF(G233=Constants!$B$15,Constants!$B$8,IF(G233=Constants!$B$16,Constants!$B$9,Constants!$B$10)))</f>
        <v/>
      </c>
      <c r="T233" s="97" t="str">
        <f aca="false">IF(ISBLANK($C233),"",IF(H233=Constants!$B$2, TRUE(), IF(H233=Constants!$B$3, FALSE(), TRUE())))</f>
        <v/>
      </c>
      <c r="U233" s="97" t="str">
        <f aca="false">IF(ISBLANK($C233),"",IF(I233=Constants!$B$19,Constants!$B$19,Constants!$B$18))</f>
        <v/>
      </c>
      <c r="V233" s="97" t="str">
        <f aca="false">IF(ISBLANK($C233),"",IF(COUNTA(J233:K233)=0,"",IF(AND(OR(ISBLANK(J233),AND(ISNUMBER(J233),J233&gt;=0)),OR(ISBLANK(K233),AND(ISNUMBER(K233),K233&gt;=0))),60*IF(ISBLANK(J233),0,J233)+IF(ISBLANK(K233),0,K233),"")))</f>
        <v/>
      </c>
      <c r="W233" s="97" t="str">
        <f aca="false">IF(ISBLANK($C233),"",IF(L233=Constants!$B$19,Constants!$B$19,Constants!$B$18))</f>
        <v/>
      </c>
      <c r="X233" s="97" t="str">
        <f aca="false">IF(ISBLANK($C233),"",IF(COUNTA(M233:N233)=0,"",IF(AND(OR(ISBLANK(M233),AND(ISNUMBER(M233),M233&gt;=0)),OR(ISBLANK(N233),AND(ISNUMBER(N233),N233&gt;=0))),60*IF(ISBLANK(M233),0,M233)+IF(ISBLANK(N233),0,N233),"")))</f>
        <v/>
      </c>
      <c r="Y233" s="97" t="str">
        <f aca="false">IF(ISBLANK($C233),"",IF(O233=Constants!$B$2, TRUE(), IF(O233=Constants!$B$3, FALSE(), FALSE())))</f>
        <v/>
      </c>
      <c r="Z233" s="97" t="str">
        <f aca="false">IF(ISBLANK($C233),"",IF(Y233,Constants!$B$4,IF(COUNTA(E233:N233)=0,Constants!$B$5,IF(COUNTA(J233:K233,M233:N233)=0,Constants!$B$6,Constants!$B$7))))</f>
        <v/>
      </c>
      <c r="AA233" s="97" t="str">
        <f aca="false">IF(ISBLANK($C233),"",IF($Z233&lt;&gt;Constants!$B$7,$Z233,IF(OR(NOT(T233),AND(NOT(Q233),COUNTIFS(U233:W233,Constants!$B$18,V233:X233,"&gt;=0")&gt;0),AND(NOT(R233),COUNTIFS(U233:W233,Constants!$B$19,V233:X233,"&gt;=0")&gt;0)),Constants!$B$12,Constants!$B$11)))</f>
        <v/>
      </c>
      <c r="AB233" s="97" t="str">
        <f aca="false">IF($Z233=Constants!$B$7,IF(V233="",Constants!$B$13,V233),"")</f>
        <v/>
      </c>
      <c r="AC233" s="97" t="str">
        <f aca="false">IF($Z233=Constants!$B$7,IF(X233="",Constants!$B$13,X233),"")</f>
        <v/>
      </c>
      <c r="AD233" s="97" t="str">
        <f aca="false">IF($Z233=Constants!$B$7,IF($AB233&gt;=$AC233,1,2),"")</f>
        <v/>
      </c>
      <c r="AE233" s="97" t="str">
        <f aca="false">IF($Z233=Constants!$B$7,LARGE(AB233:AC233,1),"")</f>
        <v/>
      </c>
      <c r="AF233" s="97" t="str">
        <f aca="false">IF(ISBLANK($C233),"",IF($Z233&lt;&gt;Constants!$B$7,$Z233,AE233*S233))</f>
        <v/>
      </c>
      <c r="AG233" s="97" t="str">
        <f aca="false">IF(ISBLANK($C233),"",IF($Z233=Constants!$B$7,IF(ISNUMBER(AF233),RANK(AF233,$AF$8:$AF$507),Constants!$B$14),$Z233))</f>
        <v/>
      </c>
      <c r="AH233" s="97" t="str">
        <f aca="false">IF(ISBLANK($C233),"",IF($Z233=Constants!$B$7,IF(ISNUMBER(AG233),COUNTIFS($AA$8:$AA$507,"&lt;"&amp;$AA233)+COUNTIFS($AA$8:$AA$507,$AA233,$AG$8:$AG$507,"&lt;"&amp;$AG233)+1,Constants!$B$14),$Z233))</f>
        <v/>
      </c>
      <c r="AI233" s="97" t="str">
        <f aca="false">IF(ISBLANK($C233),"",IF($Z233=Constants!$B$7,LARGE(AB233:AC233,2)*S233,""))</f>
        <v/>
      </c>
      <c r="AJ233" s="97" t="str">
        <f aca="false">IF(ISBLANK($C233),"",IF($Z233=Constants!$B$7,RANK(AI233,$AI$8:$AI$507),$Z233))</f>
        <v/>
      </c>
      <c r="AK233" s="97" t="str">
        <f aca="false">IF(ISBLANK($C233),"",IF($Z233=Constants!$B$7,IF(ISNUMBER(AG233),COUNTIFS($AA$8:$AA$507,"&lt;"&amp;$AA233)+COUNTIFS($AA$8:$AA$507,$AA233,$AG$8:$AG$507,"&lt;"&amp;$AG233)+COUNTIFS($AA$8:$AA$507,$AA233,$AG$8:$AG$507,$AG233,$AJ$8:$AJ$507,"&lt;"&amp;$AJ233)+1,Constants!$B$14),$Z233))</f>
        <v/>
      </c>
      <c r="AL233" s="97" t="str">
        <f aca="false">IF(ISBLANK($C233),"",IF($Z233=Constants!$B$7,IF(ISNUMBER(AH233),AH233-AK233,Constants!$B$14),$Z233))</f>
        <v/>
      </c>
      <c r="AM233" s="98"/>
      <c r="AN233" s="99" t="str">
        <f aca="false">IF(ISBLANK($C233),"",IF($Z233&lt;&gt;Constants!$B$7,$Z233,AD233))</f>
        <v/>
      </c>
      <c r="AO233" s="100" t="str">
        <f aca="false">IF(ISBLANK($C233),"",IF($Z233&lt;&gt;Constants!$B$7,$Z233,S233))</f>
        <v/>
      </c>
      <c r="AP233" s="101" t="str">
        <f aca="false">IF(ISBLANK($C233),"",IF($Z233&lt;&gt;Constants!$B$7,$Z233,AF233))</f>
        <v/>
      </c>
      <c r="AQ233" s="102" t="str">
        <f aca="false">IF(ISBLANK($C233),"",IF($Z233&lt;&gt;Constants!$B$7,$Z233,AA233))</f>
        <v/>
      </c>
      <c r="AR233" s="100" t="str">
        <f aca="false">IF(ISBLANK($C233),"",AL233)</f>
        <v/>
      </c>
      <c r="AS233" s="100" t="str">
        <f aca="false">IF(ISBLANK($C233),"",AK233)</f>
        <v/>
      </c>
      <c r="AT233" s="103" t="str">
        <f aca="false">IF(ISBLANK($C233),"",IF(AS233=Constants!$B$4,COUNTA($C$8:$C$507)+2,IF(AS233=Constants!$B$5,COUNTA($C$8:$C$507)+1,IF(AS233=Constants!$B$6,COUNTA($C$8:$C$507),AS233))))</f>
        <v/>
      </c>
      <c r="AU233" s="5"/>
      <c r="AV233" s="104" t="n">
        <f aca="false">IF(OR(ISNUMBER(AS233),AS233=Constants!$B$4,AS233=Constants!$B$6,AS233=Constants!$B$5),1,0)</f>
        <v>0</v>
      </c>
      <c r="AW233" s="104" t="n">
        <v>226</v>
      </c>
      <c r="AX233" s="104" t="str">
        <f aca="false">IF(ISBLANK($C233),"",IF(ISNUMBER(AT233),AT233+ROW($B233)/1000,""))</f>
        <v/>
      </c>
      <c r="AY233" s="104" t="str">
        <f aca="false">IF(ISNUMBER(AX233),RANK(AX233,$AX$8:$AX$507,1),"")</f>
        <v/>
      </c>
      <c r="AZ233" s="104" t="str">
        <f aca="false">IF(ISBLANK($C233),"",$B233)</f>
        <v/>
      </c>
      <c r="BA233" s="104" t="str">
        <f aca="false">IF(ISBLANK($C233),"",$C233)</f>
        <v/>
      </c>
      <c r="BB233" s="104" t="str">
        <f aca="false">IF(ISBLANK($C233),"",$D233)</f>
        <v/>
      </c>
      <c r="BC233" s="105" t="str">
        <f aca="false">AQ233</f>
        <v/>
      </c>
      <c r="BD233" s="106" t="str">
        <f aca="false">AP233</f>
        <v/>
      </c>
      <c r="BE233" s="104" t="str">
        <f aca="false">IF(ISBLANK($C233),"",AS233)</f>
        <v/>
      </c>
      <c r="BF233" s="107" t="str">
        <f aca="false">IF($AW233&gt;$AV$7,"",VLOOKUP($AW233,$AY$8:$BE$507,7,FALSE()))</f>
        <v/>
      </c>
      <c r="BG233" s="108" t="str">
        <f aca="false">IF($AW233&gt;$AV$7,"",VLOOKUP($AW233,$AY$8:$BE$507,2,FALSE()))</f>
        <v/>
      </c>
      <c r="BH233" s="108" t="str">
        <f aca="false">IF($AW233&gt;$AV$7,"",VLOOKUP($AW233,$AY$8:$BE$507,3,FALSE()))</f>
        <v/>
      </c>
      <c r="BI233" s="108" t="str">
        <f aca="false">IF($AW233&gt;$AV$7,"",VLOOKUP($AW233,$AY$8:$BE$507,4,FALSE()))</f>
        <v/>
      </c>
      <c r="BJ233" s="108" t="str">
        <f aca="false">IF($AW233&gt;$AV$7,"",VLOOKUP($AW233,$AY$8:$BE$507,5,FALSE()))</f>
        <v/>
      </c>
      <c r="BK233" s="109" t="str">
        <f aca="false">IF($AW233&gt;$AV$7,"",VLOOKUP($AW233,$AY$8:$BE$507,6,FALSE()))</f>
        <v/>
      </c>
      <c r="BL233" s="50"/>
    </row>
    <row r="234" customFormat="false" ht="15.75" hidden="false" customHeight="false" outlineLevel="0" collapsed="false">
      <c r="A234" s="5"/>
      <c r="B234" s="124"/>
      <c r="C234" s="125"/>
      <c r="D234" s="110"/>
      <c r="E234" s="130"/>
      <c r="F234" s="135"/>
      <c r="G234" s="88"/>
      <c r="H234" s="136"/>
      <c r="I234" s="137"/>
      <c r="J234" s="91"/>
      <c r="K234" s="92"/>
      <c r="L234" s="137"/>
      <c r="M234" s="93"/>
      <c r="N234" s="94"/>
      <c r="O234" s="130"/>
      <c r="P234" s="96"/>
      <c r="Q234" s="97" t="str">
        <f aca="false">IF(ISBLANK($C234),"",IF(E234=Constants!$B$2, TRUE(), IF(E234=Constants!$B$3, FALSE(), TRUE())))</f>
        <v/>
      </c>
      <c r="R234" s="97" t="str">
        <f aca="false">IF(ISBLANK($C234),"",IF(F234=Constants!$B$2, TRUE(), IF(F234=Constants!$B$3, FALSE(), TRUE())))</f>
        <v/>
      </c>
      <c r="S234" s="97" t="str">
        <f aca="false">IF(ISBLANK($C234),"",IF(G234=Constants!$B$15,Constants!$B$8,IF(G234=Constants!$B$16,Constants!$B$9,Constants!$B$10)))</f>
        <v/>
      </c>
      <c r="T234" s="97" t="str">
        <f aca="false">IF(ISBLANK($C234),"",IF(H234=Constants!$B$2, TRUE(), IF(H234=Constants!$B$3, FALSE(), TRUE())))</f>
        <v/>
      </c>
      <c r="U234" s="97" t="str">
        <f aca="false">IF(ISBLANK($C234),"",IF(I234=Constants!$B$19,Constants!$B$19,Constants!$B$18))</f>
        <v/>
      </c>
      <c r="V234" s="97" t="str">
        <f aca="false">IF(ISBLANK($C234),"",IF(COUNTA(J234:K234)=0,"",IF(AND(OR(ISBLANK(J234),AND(ISNUMBER(J234),J234&gt;=0)),OR(ISBLANK(K234),AND(ISNUMBER(K234),K234&gt;=0))),60*IF(ISBLANK(J234),0,J234)+IF(ISBLANK(K234),0,K234),"")))</f>
        <v/>
      </c>
      <c r="W234" s="97" t="str">
        <f aca="false">IF(ISBLANK($C234),"",IF(L234=Constants!$B$19,Constants!$B$19,Constants!$B$18))</f>
        <v/>
      </c>
      <c r="X234" s="97" t="str">
        <f aca="false">IF(ISBLANK($C234),"",IF(COUNTA(M234:N234)=0,"",IF(AND(OR(ISBLANK(M234),AND(ISNUMBER(M234),M234&gt;=0)),OR(ISBLANK(N234),AND(ISNUMBER(N234),N234&gt;=0))),60*IF(ISBLANK(M234),0,M234)+IF(ISBLANK(N234),0,N234),"")))</f>
        <v/>
      </c>
      <c r="Y234" s="97" t="str">
        <f aca="false">IF(ISBLANK($C234),"",IF(O234=Constants!$B$2, TRUE(), IF(O234=Constants!$B$3, FALSE(), FALSE())))</f>
        <v/>
      </c>
      <c r="Z234" s="97" t="str">
        <f aca="false">IF(ISBLANK($C234),"",IF(Y234,Constants!$B$4,IF(COUNTA(E234:N234)=0,Constants!$B$5,IF(COUNTA(J234:K234,M234:N234)=0,Constants!$B$6,Constants!$B$7))))</f>
        <v/>
      </c>
      <c r="AA234" s="97" t="str">
        <f aca="false">IF(ISBLANK($C234),"",IF($Z234&lt;&gt;Constants!$B$7,$Z234,IF(OR(NOT(T234),AND(NOT(Q234),COUNTIFS(U234:W234,Constants!$B$18,V234:X234,"&gt;=0")&gt;0),AND(NOT(R234),COUNTIFS(U234:W234,Constants!$B$19,V234:X234,"&gt;=0")&gt;0)),Constants!$B$12,Constants!$B$11)))</f>
        <v/>
      </c>
      <c r="AB234" s="97" t="str">
        <f aca="false">IF($Z234=Constants!$B$7,IF(V234="",Constants!$B$13,V234),"")</f>
        <v/>
      </c>
      <c r="AC234" s="97" t="str">
        <f aca="false">IF($Z234=Constants!$B$7,IF(X234="",Constants!$B$13,X234),"")</f>
        <v/>
      </c>
      <c r="AD234" s="97" t="str">
        <f aca="false">IF($Z234=Constants!$B$7,IF($AB234&gt;=$AC234,1,2),"")</f>
        <v/>
      </c>
      <c r="AE234" s="97" t="str">
        <f aca="false">IF($Z234=Constants!$B$7,LARGE(AB234:AC234,1),"")</f>
        <v/>
      </c>
      <c r="AF234" s="97" t="str">
        <f aca="false">IF(ISBLANK($C234),"",IF($Z234&lt;&gt;Constants!$B$7,$Z234,AE234*S234))</f>
        <v/>
      </c>
      <c r="AG234" s="97" t="str">
        <f aca="false">IF(ISBLANK($C234),"",IF($Z234=Constants!$B$7,IF(ISNUMBER(AF234),RANK(AF234,$AF$8:$AF$507),Constants!$B$14),$Z234))</f>
        <v/>
      </c>
      <c r="AH234" s="97" t="str">
        <f aca="false">IF(ISBLANK($C234),"",IF($Z234=Constants!$B$7,IF(ISNUMBER(AG234),COUNTIFS($AA$8:$AA$507,"&lt;"&amp;$AA234)+COUNTIFS($AA$8:$AA$507,$AA234,$AG$8:$AG$507,"&lt;"&amp;$AG234)+1,Constants!$B$14),$Z234))</f>
        <v/>
      </c>
      <c r="AI234" s="97" t="str">
        <f aca="false">IF(ISBLANK($C234),"",IF($Z234=Constants!$B$7,LARGE(AB234:AC234,2)*S234,""))</f>
        <v/>
      </c>
      <c r="AJ234" s="97" t="str">
        <f aca="false">IF(ISBLANK($C234),"",IF($Z234=Constants!$B$7,RANK(AI234,$AI$8:$AI$507),$Z234))</f>
        <v/>
      </c>
      <c r="AK234" s="97" t="str">
        <f aca="false">IF(ISBLANK($C234),"",IF($Z234=Constants!$B$7,IF(ISNUMBER(AG234),COUNTIFS($AA$8:$AA$507,"&lt;"&amp;$AA234)+COUNTIFS($AA$8:$AA$507,$AA234,$AG$8:$AG$507,"&lt;"&amp;$AG234)+COUNTIFS($AA$8:$AA$507,$AA234,$AG$8:$AG$507,$AG234,$AJ$8:$AJ$507,"&lt;"&amp;$AJ234)+1,Constants!$B$14),$Z234))</f>
        <v/>
      </c>
      <c r="AL234" s="97" t="str">
        <f aca="false">IF(ISBLANK($C234),"",IF($Z234=Constants!$B$7,IF(ISNUMBER(AH234),AH234-AK234,Constants!$B$14),$Z234))</f>
        <v/>
      </c>
      <c r="AM234" s="98"/>
      <c r="AN234" s="99" t="str">
        <f aca="false">IF(ISBLANK($C234),"",IF($Z234&lt;&gt;Constants!$B$7,$Z234,AD234))</f>
        <v/>
      </c>
      <c r="AO234" s="100" t="str">
        <f aca="false">IF(ISBLANK($C234),"",IF($Z234&lt;&gt;Constants!$B$7,$Z234,S234))</f>
        <v/>
      </c>
      <c r="AP234" s="101" t="str">
        <f aca="false">IF(ISBLANK($C234),"",IF($Z234&lt;&gt;Constants!$B$7,$Z234,AF234))</f>
        <v/>
      </c>
      <c r="AQ234" s="102" t="str">
        <f aca="false">IF(ISBLANK($C234),"",IF($Z234&lt;&gt;Constants!$B$7,$Z234,AA234))</f>
        <v/>
      </c>
      <c r="AR234" s="100" t="str">
        <f aca="false">IF(ISBLANK($C234),"",AL234)</f>
        <v/>
      </c>
      <c r="AS234" s="100" t="str">
        <f aca="false">IF(ISBLANK($C234),"",AK234)</f>
        <v/>
      </c>
      <c r="AT234" s="103" t="str">
        <f aca="false">IF(ISBLANK($C234),"",IF(AS234=Constants!$B$4,COUNTA($C$8:$C$507)+2,IF(AS234=Constants!$B$5,COUNTA($C$8:$C$507)+1,IF(AS234=Constants!$B$6,COUNTA($C$8:$C$507),AS234))))</f>
        <v/>
      </c>
      <c r="AU234" s="5"/>
      <c r="AV234" s="104" t="n">
        <f aca="false">IF(OR(ISNUMBER(AS234),AS234=Constants!$B$4,AS234=Constants!$B$6,AS234=Constants!$B$5),1,0)</f>
        <v>0</v>
      </c>
      <c r="AW234" s="104" t="n">
        <v>227</v>
      </c>
      <c r="AX234" s="104" t="str">
        <f aca="false">IF(ISBLANK($C234),"",IF(ISNUMBER(AT234),AT234+ROW($B234)/1000,""))</f>
        <v/>
      </c>
      <c r="AY234" s="104" t="str">
        <f aca="false">IF(ISNUMBER(AX234),RANK(AX234,$AX$8:$AX$507,1),"")</f>
        <v/>
      </c>
      <c r="AZ234" s="104" t="str">
        <f aca="false">IF(ISBLANK($C234),"",$B234)</f>
        <v/>
      </c>
      <c r="BA234" s="104" t="str">
        <f aca="false">IF(ISBLANK($C234),"",$C234)</f>
        <v/>
      </c>
      <c r="BB234" s="104" t="str">
        <f aca="false">IF(ISBLANK($C234),"",$D234)</f>
        <v/>
      </c>
      <c r="BC234" s="105" t="str">
        <f aca="false">AQ234</f>
        <v/>
      </c>
      <c r="BD234" s="106" t="str">
        <f aca="false">AP234</f>
        <v/>
      </c>
      <c r="BE234" s="104" t="str">
        <f aca="false">IF(ISBLANK($C234),"",AS234)</f>
        <v/>
      </c>
      <c r="BF234" s="107" t="str">
        <f aca="false">IF($AW234&gt;$AV$7,"",VLOOKUP($AW234,$AY$8:$BE$507,7,FALSE()))</f>
        <v/>
      </c>
      <c r="BG234" s="108" t="str">
        <f aca="false">IF($AW234&gt;$AV$7,"",VLOOKUP($AW234,$AY$8:$BE$507,2,FALSE()))</f>
        <v/>
      </c>
      <c r="BH234" s="108" t="str">
        <f aca="false">IF($AW234&gt;$AV$7,"",VLOOKUP($AW234,$AY$8:$BE$507,3,FALSE()))</f>
        <v/>
      </c>
      <c r="BI234" s="108" t="str">
        <f aca="false">IF($AW234&gt;$AV$7,"",VLOOKUP($AW234,$AY$8:$BE$507,4,FALSE()))</f>
        <v/>
      </c>
      <c r="BJ234" s="108" t="str">
        <f aca="false">IF($AW234&gt;$AV$7,"",VLOOKUP($AW234,$AY$8:$BE$507,5,FALSE()))</f>
        <v/>
      </c>
      <c r="BK234" s="109" t="str">
        <f aca="false">IF($AW234&gt;$AV$7,"",VLOOKUP($AW234,$AY$8:$BE$507,6,FALSE()))</f>
        <v/>
      </c>
      <c r="BL234" s="50"/>
    </row>
    <row r="235" customFormat="false" ht="15.75" hidden="false" customHeight="false" outlineLevel="0" collapsed="false">
      <c r="A235" s="5"/>
      <c r="B235" s="124"/>
      <c r="C235" s="125"/>
      <c r="D235" s="110"/>
      <c r="E235" s="130"/>
      <c r="F235" s="135"/>
      <c r="G235" s="88"/>
      <c r="H235" s="136"/>
      <c r="I235" s="137"/>
      <c r="J235" s="91"/>
      <c r="K235" s="92"/>
      <c r="L235" s="137"/>
      <c r="M235" s="93"/>
      <c r="N235" s="94"/>
      <c r="O235" s="130"/>
      <c r="P235" s="96"/>
      <c r="Q235" s="97" t="str">
        <f aca="false">IF(ISBLANK($C235),"",IF(E235=Constants!$B$2, TRUE(), IF(E235=Constants!$B$3, FALSE(), TRUE())))</f>
        <v/>
      </c>
      <c r="R235" s="97" t="str">
        <f aca="false">IF(ISBLANK($C235),"",IF(F235=Constants!$B$2, TRUE(), IF(F235=Constants!$B$3, FALSE(), TRUE())))</f>
        <v/>
      </c>
      <c r="S235" s="97" t="str">
        <f aca="false">IF(ISBLANK($C235),"",IF(G235=Constants!$B$15,Constants!$B$8,IF(G235=Constants!$B$16,Constants!$B$9,Constants!$B$10)))</f>
        <v/>
      </c>
      <c r="T235" s="97" t="str">
        <f aca="false">IF(ISBLANK($C235),"",IF(H235=Constants!$B$2, TRUE(), IF(H235=Constants!$B$3, FALSE(), TRUE())))</f>
        <v/>
      </c>
      <c r="U235" s="97" t="str">
        <f aca="false">IF(ISBLANK($C235),"",IF(I235=Constants!$B$19,Constants!$B$19,Constants!$B$18))</f>
        <v/>
      </c>
      <c r="V235" s="97" t="str">
        <f aca="false">IF(ISBLANK($C235),"",IF(COUNTA(J235:K235)=0,"",IF(AND(OR(ISBLANK(J235),AND(ISNUMBER(J235),J235&gt;=0)),OR(ISBLANK(K235),AND(ISNUMBER(K235),K235&gt;=0))),60*IF(ISBLANK(J235),0,J235)+IF(ISBLANK(K235),0,K235),"")))</f>
        <v/>
      </c>
      <c r="W235" s="97" t="str">
        <f aca="false">IF(ISBLANK($C235),"",IF(L235=Constants!$B$19,Constants!$B$19,Constants!$B$18))</f>
        <v/>
      </c>
      <c r="X235" s="97" t="str">
        <f aca="false">IF(ISBLANK($C235),"",IF(COUNTA(M235:N235)=0,"",IF(AND(OR(ISBLANK(M235),AND(ISNUMBER(M235),M235&gt;=0)),OR(ISBLANK(N235),AND(ISNUMBER(N235),N235&gt;=0))),60*IF(ISBLANK(M235),0,M235)+IF(ISBLANK(N235),0,N235),"")))</f>
        <v/>
      </c>
      <c r="Y235" s="97" t="str">
        <f aca="false">IF(ISBLANK($C235),"",IF(O235=Constants!$B$2, TRUE(), IF(O235=Constants!$B$3, FALSE(), FALSE())))</f>
        <v/>
      </c>
      <c r="Z235" s="97" t="str">
        <f aca="false">IF(ISBLANK($C235),"",IF(Y235,Constants!$B$4,IF(COUNTA(E235:N235)=0,Constants!$B$5,IF(COUNTA(J235:K235,M235:N235)=0,Constants!$B$6,Constants!$B$7))))</f>
        <v/>
      </c>
      <c r="AA235" s="97" t="str">
        <f aca="false">IF(ISBLANK($C235),"",IF($Z235&lt;&gt;Constants!$B$7,$Z235,IF(OR(NOT(T235),AND(NOT(Q235),COUNTIFS(U235:W235,Constants!$B$18,V235:X235,"&gt;=0")&gt;0),AND(NOT(R235),COUNTIFS(U235:W235,Constants!$B$19,V235:X235,"&gt;=0")&gt;0)),Constants!$B$12,Constants!$B$11)))</f>
        <v/>
      </c>
      <c r="AB235" s="97" t="str">
        <f aca="false">IF($Z235=Constants!$B$7,IF(V235="",Constants!$B$13,V235),"")</f>
        <v/>
      </c>
      <c r="AC235" s="97" t="str">
        <f aca="false">IF($Z235=Constants!$B$7,IF(X235="",Constants!$B$13,X235),"")</f>
        <v/>
      </c>
      <c r="AD235" s="97" t="str">
        <f aca="false">IF($Z235=Constants!$B$7,IF($AB235&gt;=$AC235,1,2),"")</f>
        <v/>
      </c>
      <c r="AE235" s="97" t="str">
        <f aca="false">IF($Z235=Constants!$B$7,LARGE(AB235:AC235,1),"")</f>
        <v/>
      </c>
      <c r="AF235" s="97" t="str">
        <f aca="false">IF(ISBLANK($C235),"",IF($Z235&lt;&gt;Constants!$B$7,$Z235,AE235*S235))</f>
        <v/>
      </c>
      <c r="AG235" s="97" t="str">
        <f aca="false">IF(ISBLANK($C235),"",IF($Z235=Constants!$B$7,IF(ISNUMBER(AF235),RANK(AF235,$AF$8:$AF$507),Constants!$B$14),$Z235))</f>
        <v/>
      </c>
      <c r="AH235" s="97" t="str">
        <f aca="false">IF(ISBLANK($C235),"",IF($Z235=Constants!$B$7,IF(ISNUMBER(AG235),COUNTIFS($AA$8:$AA$507,"&lt;"&amp;$AA235)+COUNTIFS($AA$8:$AA$507,$AA235,$AG$8:$AG$507,"&lt;"&amp;$AG235)+1,Constants!$B$14),$Z235))</f>
        <v/>
      </c>
      <c r="AI235" s="97" t="str">
        <f aca="false">IF(ISBLANK($C235),"",IF($Z235=Constants!$B$7,LARGE(AB235:AC235,2)*S235,""))</f>
        <v/>
      </c>
      <c r="AJ235" s="97" t="str">
        <f aca="false">IF(ISBLANK($C235),"",IF($Z235=Constants!$B$7,RANK(AI235,$AI$8:$AI$507),$Z235))</f>
        <v/>
      </c>
      <c r="AK235" s="97" t="str">
        <f aca="false">IF(ISBLANK($C235),"",IF($Z235=Constants!$B$7,IF(ISNUMBER(AG235),COUNTIFS($AA$8:$AA$507,"&lt;"&amp;$AA235)+COUNTIFS($AA$8:$AA$507,$AA235,$AG$8:$AG$507,"&lt;"&amp;$AG235)+COUNTIFS($AA$8:$AA$507,$AA235,$AG$8:$AG$507,$AG235,$AJ$8:$AJ$507,"&lt;"&amp;$AJ235)+1,Constants!$B$14),$Z235))</f>
        <v/>
      </c>
      <c r="AL235" s="97" t="str">
        <f aca="false">IF(ISBLANK($C235),"",IF($Z235=Constants!$B$7,IF(ISNUMBER(AH235),AH235-AK235,Constants!$B$14),$Z235))</f>
        <v/>
      </c>
      <c r="AM235" s="98"/>
      <c r="AN235" s="99" t="str">
        <f aca="false">IF(ISBLANK($C235),"",IF($Z235&lt;&gt;Constants!$B$7,$Z235,AD235))</f>
        <v/>
      </c>
      <c r="AO235" s="100" t="str">
        <f aca="false">IF(ISBLANK($C235),"",IF($Z235&lt;&gt;Constants!$B$7,$Z235,S235))</f>
        <v/>
      </c>
      <c r="AP235" s="101" t="str">
        <f aca="false">IF(ISBLANK($C235),"",IF($Z235&lt;&gt;Constants!$B$7,$Z235,AF235))</f>
        <v/>
      </c>
      <c r="AQ235" s="102" t="str">
        <f aca="false">IF(ISBLANK($C235),"",IF($Z235&lt;&gt;Constants!$B$7,$Z235,AA235))</f>
        <v/>
      </c>
      <c r="AR235" s="100" t="str">
        <f aca="false">IF(ISBLANK($C235),"",AL235)</f>
        <v/>
      </c>
      <c r="AS235" s="100" t="str">
        <f aca="false">IF(ISBLANK($C235),"",AK235)</f>
        <v/>
      </c>
      <c r="AT235" s="103" t="str">
        <f aca="false">IF(ISBLANK($C235),"",IF(AS235=Constants!$B$4,COUNTA($C$8:$C$507)+2,IF(AS235=Constants!$B$5,COUNTA($C$8:$C$507)+1,IF(AS235=Constants!$B$6,COUNTA($C$8:$C$507),AS235))))</f>
        <v/>
      </c>
      <c r="AU235" s="5"/>
      <c r="AV235" s="104" t="n">
        <f aca="false">IF(OR(ISNUMBER(AS235),AS235=Constants!$B$4,AS235=Constants!$B$6,AS235=Constants!$B$5),1,0)</f>
        <v>0</v>
      </c>
      <c r="AW235" s="104" t="n">
        <v>228</v>
      </c>
      <c r="AX235" s="104" t="str">
        <f aca="false">IF(ISBLANK($C235),"",IF(ISNUMBER(AT235),AT235+ROW($B235)/1000,""))</f>
        <v/>
      </c>
      <c r="AY235" s="104" t="str">
        <f aca="false">IF(ISNUMBER(AX235),RANK(AX235,$AX$8:$AX$507,1),"")</f>
        <v/>
      </c>
      <c r="AZ235" s="104" t="str">
        <f aca="false">IF(ISBLANK($C235),"",$B235)</f>
        <v/>
      </c>
      <c r="BA235" s="104" t="str">
        <f aca="false">IF(ISBLANK($C235),"",$C235)</f>
        <v/>
      </c>
      <c r="BB235" s="104" t="str">
        <f aca="false">IF(ISBLANK($C235),"",$D235)</f>
        <v/>
      </c>
      <c r="BC235" s="105" t="str">
        <f aca="false">AQ235</f>
        <v/>
      </c>
      <c r="BD235" s="106" t="str">
        <f aca="false">AP235</f>
        <v/>
      </c>
      <c r="BE235" s="104" t="str">
        <f aca="false">IF(ISBLANK($C235),"",AS235)</f>
        <v/>
      </c>
      <c r="BF235" s="107" t="str">
        <f aca="false">IF($AW235&gt;$AV$7,"",VLOOKUP($AW235,$AY$8:$BE$507,7,FALSE()))</f>
        <v/>
      </c>
      <c r="BG235" s="108" t="str">
        <f aca="false">IF($AW235&gt;$AV$7,"",VLOOKUP($AW235,$AY$8:$BE$507,2,FALSE()))</f>
        <v/>
      </c>
      <c r="BH235" s="108" t="str">
        <f aca="false">IF($AW235&gt;$AV$7,"",VLOOKUP($AW235,$AY$8:$BE$507,3,FALSE()))</f>
        <v/>
      </c>
      <c r="BI235" s="108" t="str">
        <f aca="false">IF($AW235&gt;$AV$7,"",VLOOKUP($AW235,$AY$8:$BE$507,4,FALSE()))</f>
        <v/>
      </c>
      <c r="BJ235" s="108" t="str">
        <f aca="false">IF($AW235&gt;$AV$7,"",VLOOKUP($AW235,$AY$8:$BE$507,5,FALSE()))</f>
        <v/>
      </c>
      <c r="BK235" s="109" t="str">
        <f aca="false">IF($AW235&gt;$AV$7,"",VLOOKUP($AW235,$AY$8:$BE$507,6,FALSE()))</f>
        <v/>
      </c>
      <c r="BL235" s="50"/>
    </row>
    <row r="236" customFormat="false" ht="15.75" hidden="false" customHeight="false" outlineLevel="0" collapsed="false">
      <c r="A236" s="5"/>
      <c r="B236" s="131"/>
      <c r="C236" s="52"/>
      <c r="D236" s="53"/>
      <c r="E236" s="80"/>
      <c r="F236" s="132"/>
      <c r="G236" s="56"/>
      <c r="H236" s="133"/>
      <c r="I236" s="134"/>
      <c r="J236" s="59"/>
      <c r="K236" s="60"/>
      <c r="L236" s="134"/>
      <c r="M236" s="61"/>
      <c r="N236" s="62"/>
      <c r="O236" s="80"/>
      <c r="P236" s="64"/>
      <c r="Q236" s="65" t="str">
        <f aca="false">IF(ISBLANK($C236),"",IF(E236=Constants!$B$2, TRUE(), IF(E236=Constants!$B$3, FALSE(), TRUE())))</f>
        <v/>
      </c>
      <c r="R236" s="65" t="str">
        <f aca="false">IF(ISBLANK($C236),"",IF(F236=Constants!$B$2, TRUE(), IF(F236=Constants!$B$3, FALSE(), TRUE())))</f>
        <v/>
      </c>
      <c r="S236" s="65" t="str">
        <f aca="false">IF(ISBLANK($C236),"",IF(G236=Constants!$B$15,Constants!$B$8,IF(G236=Constants!$B$16,Constants!$B$9,Constants!$B$10)))</f>
        <v/>
      </c>
      <c r="T236" s="65" t="str">
        <f aca="false">IF(ISBLANK($C236),"",IF(H236=Constants!$B$2, TRUE(), IF(H236=Constants!$B$3, FALSE(), TRUE())))</f>
        <v/>
      </c>
      <c r="U236" s="65" t="str">
        <f aca="false">IF(ISBLANK($C236),"",IF(I236=Constants!$B$19,Constants!$B$19,Constants!$B$18))</f>
        <v/>
      </c>
      <c r="V236" s="65" t="str">
        <f aca="false">IF(ISBLANK($C236),"",IF(COUNTA(J236:K236)=0,"",IF(AND(OR(ISBLANK(J236),AND(ISNUMBER(J236),J236&gt;=0)),OR(ISBLANK(K236),AND(ISNUMBER(K236),K236&gt;=0))),60*IF(ISBLANK(J236),0,J236)+IF(ISBLANK(K236),0,K236),"")))</f>
        <v/>
      </c>
      <c r="W236" s="65" t="str">
        <f aca="false">IF(ISBLANK($C236),"",IF(L236=Constants!$B$19,Constants!$B$19,Constants!$B$18))</f>
        <v/>
      </c>
      <c r="X236" s="65" t="str">
        <f aca="false">IF(ISBLANK($C236),"",IF(COUNTA(M236:N236)=0,"",IF(AND(OR(ISBLANK(M236),AND(ISNUMBER(M236),M236&gt;=0)),OR(ISBLANK(N236),AND(ISNUMBER(N236),N236&gt;=0))),60*IF(ISBLANK(M236),0,M236)+IF(ISBLANK(N236),0,N236),"")))</f>
        <v/>
      </c>
      <c r="Y236" s="65" t="str">
        <f aca="false">IF(ISBLANK($C236),"",IF(O236=Constants!$B$2, TRUE(), IF(O236=Constants!$B$3, FALSE(), FALSE())))</f>
        <v/>
      </c>
      <c r="Z236" s="65" t="str">
        <f aca="false">IF(ISBLANK($C236),"",IF(Y236,Constants!$B$4,IF(COUNTA(E236:N236)=0,Constants!$B$5,IF(COUNTA(J236:K236,M236:N236)=0,Constants!$B$6,Constants!$B$7))))</f>
        <v/>
      </c>
      <c r="AA236" s="65" t="str">
        <f aca="false">IF(ISBLANK($C236),"",IF($Z236&lt;&gt;Constants!$B$7,$Z236,IF(OR(NOT(T236),AND(NOT(Q236),COUNTIFS(U236:W236,Constants!$B$18,V236:X236,"&gt;=0")&gt;0),AND(NOT(R236),COUNTIFS(U236:W236,Constants!$B$19,V236:X236,"&gt;=0")&gt;0)),Constants!$B$12,Constants!$B$11)))</f>
        <v/>
      </c>
      <c r="AB236" s="65" t="str">
        <f aca="false">IF($Z236=Constants!$B$7,IF(V236="",Constants!$B$13,V236),"")</f>
        <v/>
      </c>
      <c r="AC236" s="65" t="str">
        <f aca="false">IF($Z236=Constants!$B$7,IF(X236="",Constants!$B$13,X236),"")</f>
        <v/>
      </c>
      <c r="AD236" s="65" t="str">
        <f aca="false">IF($Z236=Constants!$B$7,IF($AB236&gt;=$AC236,1,2),"")</f>
        <v/>
      </c>
      <c r="AE236" s="65" t="str">
        <f aca="false">IF($Z236=Constants!$B$7,LARGE(AB236:AC236,1),"")</f>
        <v/>
      </c>
      <c r="AF236" s="65" t="str">
        <f aca="false">IF(ISBLANK($C236),"",IF($Z236&lt;&gt;Constants!$B$7,$Z236,AE236*S236))</f>
        <v/>
      </c>
      <c r="AG236" s="65" t="str">
        <f aca="false">IF(ISBLANK($C236),"",IF($Z236=Constants!$B$7,IF(ISNUMBER(AF236),RANK(AF236,$AF$8:$AF$507),Constants!$B$14),$Z236))</f>
        <v/>
      </c>
      <c r="AH236" s="65" t="str">
        <f aca="false">IF(ISBLANK($C236),"",IF($Z236=Constants!$B$7,IF(ISNUMBER(AG236),COUNTIFS($AA$8:$AA$507,"&lt;"&amp;$AA236)+COUNTIFS($AA$8:$AA$507,$AA236,$AG$8:$AG$507,"&lt;"&amp;$AG236)+1,Constants!$B$14),$Z236))</f>
        <v/>
      </c>
      <c r="AI236" s="65" t="str">
        <f aca="false">IF(ISBLANK($C236),"",IF($Z236=Constants!$B$7,LARGE(AB236:AC236,2)*S236,""))</f>
        <v/>
      </c>
      <c r="AJ236" s="65" t="str">
        <f aca="false">IF(ISBLANK($C236),"",IF($Z236=Constants!$B$7,RANK(AI236,$AI$8:$AI$507),$Z236))</f>
        <v/>
      </c>
      <c r="AK236" s="65" t="str">
        <f aca="false">IF(ISBLANK($C236),"",IF($Z236=Constants!$B$7,IF(ISNUMBER(AG236),COUNTIFS($AA$8:$AA$507,"&lt;"&amp;$AA236)+COUNTIFS($AA$8:$AA$507,$AA236,$AG$8:$AG$507,"&lt;"&amp;$AG236)+COUNTIFS($AA$8:$AA$507,$AA236,$AG$8:$AG$507,$AG236,$AJ$8:$AJ$507,"&lt;"&amp;$AJ236)+1,Constants!$B$14),$Z236))</f>
        <v/>
      </c>
      <c r="AL236" s="65" t="str">
        <f aca="false">IF(ISBLANK($C236),"",IF($Z236=Constants!$B$7,IF(ISNUMBER(AH236),AH236-AK236,Constants!$B$14),$Z236))</f>
        <v/>
      </c>
      <c r="AM236" s="67"/>
      <c r="AN236" s="68" t="str">
        <f aca="false">IF(ISBLANK($C236),"",IF($Z236&lt;&gt;Constants!$B$7,$Z236,AD236))</f>
        <v/>
      </c>
      <c r="AO236" s="69" t="str">
        <f aca="false">IF(ISBLANK($C236),"",IF($Z236&lt;&gt;Constants!$B$7,$Z236,S236))</f>
        <v/>
      </c>
      <c r="AP236" s="70" t="str">
        <f aca="false">IF(ISBLANK($C236),"",IF($Z236&lt;&gt;Constants!$B$7,$Z236,AF236))</f>
        <v/>
      </c>
      <c r="AQ236" s="71" t="str">
        <f aca="false">IF(ISBLANK($C236),"",IF($Z236&lt;&gt;Constants!$B$7,$Z236,AA236))</f>
        <v/>
      </c>
      <c r="AR236" s="69" t="str">
        <f aca="false">IF(ISBLANK($C236),"",AL236)</f>
        <v/>
      </c>
      <c r="AS236" s="69" t="str">
        <f aca="false">IF(ISBLANK($C236),"",AK236)</f>
        <v/>
      </c>
      <c r="AT236" s="72" t="str">
        <f aca="false">IF(ISBLANK($C236),"",IF(AS236=Constants!$B$4,COUNTA($C$8:$C$507)+2,IF(AS236=Constants!$B$5,COUNTA($C$8:$C$507)+1,IF(AS236=Constants!$B$6,COUNTA($C$8:$C$507),AS236))))</f>
        <v/>
      </c>
      <c r="AU236" s="5"/>
      <c r="AV236" s="73" t="n">
        <f aca="false">IF(OR(ISNUMBER(AS236),AS236=Constants!$B$4,AS236=Constants!$B$6,AS236=Constants!$B$5),1,0)</f>
        <v>0</v>
      </c>
      <c r="AW236" s="73" t="n">
        <v>229</v>
      </c>
      <c r="AX236" s="73" t="str">
        <f aca="false">IF(ISBLANK($C236),"",IF(ISNUMBER(AT236),AT236+ROW($B236)/1000,""))</f>
        <v/>
      </c>
      <c r="AY236" s="73" t="str">
        <f aca="false">IF(ISNUMBER(AX236),RANK(AX236,$AX$8:$AX$507,1),"")</f>
        <v/>
      </c>
      <c r="AZ236" s="73" t="str">
        <f aca="false">IF(ISBLANK($C236),"",$B236)</f>
        <v/>
      </c>
      <c r="BA236" s="73" t="str">
        <f aca="false">IF(ISBLANK($C236),"",$C236)</f>
        <v/>
      </c>
      <c r="BB236" s="73" t="str">
        <f aca="false">IF(ISBLANK($C236),"",$D236)</f>
        <v/>
      </c>
      <c r="BC236" s="74" t="str">
        <f aca="false">AQ236</f>
        <v/>
      </c>
      <c r="BD236" s="75" t="str">
        <f aca="false">AP236</f>
        <v/>
      </c>
      <c r="BE236" s="73" t="str">
        <f aca="false">IF(ISBLANK($C236),"",AS236)</f>
        <v/>
      </c>
      <c r="BF236" s="76" t="str">
        <f aca="false">IF($AW236&gt;$AV$7,"",VLOOKUP($AW236,$AY$8:$BE$507,7,FALSE()))</f>
        <v/>
      </c>
      <c r="BG236" s="77" t="str">
        <f aca="false">IF($AW236&gt;$AV$7,"",VLOOKUP($AW236,$AY$8:$BE$507,2,FALSE()))</f>
        <v/>
      </c>
      <c r="BH236" s="77" t="str">
        <f aca="false">IF($AW236&gt;$AV$7,"",VLOOKUP($AW236,$AY$8:$BE$507,3,FALSE()))</f>
        <v/>
      </c>
      <c r="BI236" s="77" t="str">
        <f aca="false">IF($AW236&gt;$AV$7,"",VLOOKUP($AW236,$AY$8:$BE$507,4,FALSE()))</f>
        <v/>
      </c>
      <c r="BJ236" s="77" t="str">
        <f aca="false">IF($AW236&gt;$AV$7,"",VLOOKUP($AW236,$AY$8:$BE$507,5,FALSE()))</f>
        <v/>
      </c>
      <c r="BK236" s="78" t="str">
        <f aca="false">IF($AW236&gt;$AV$7,"",VLOOKUP($AW236,$AY$8:$BE$507,6,FALSE()))</f>
        <v/>
      </c>
      <c r="BL236" s="50"/>
    </row>
    <row r="237" customFormat="false" ht="15.75" hidden="false" customHeight="false" outlineLevel="0" collapsed="false">
      <c r="A237" s="5"/>
      <c r="B237" s="131"/>
      <c r="C237" s="52"/>
      <c r="D237" s="53"/>
      <c r="E237" s="80"/>
      <c r="F237" s="132"/>
      <c r="G237" s="56"/>
      <c r="H237" s="133"/>
      <c r="I237" s="134"/>
      <c r="J237" s="59"/>
      <c r="K237" s="60"/>
      <c r="L237" s="134"/>
      <c r="M237" s="61"/>
      <c r="N237" s="62"/>
      <c r="O237" s="80"/>
      <c r="P237" s="64"/>
      <c r="Q237" s="65" t="str">
        <f aca="false">IF(ISBLANK($C237),"",IF(E237=Constants!$B$2, TRUE(), IF(E237=Constants!$B$3, FALSE(), TRUE())))</f>
        <v/>
      </c>
      <c r="R237" s="65" t="str">
        <f aca="false">IF(ISBLANK($C237),"",IF(F237=Constants!$B$2, TRUE(), IF(F237=Constants!$B$3, FALSE(), TRUE())))</f>
        <v/>
      </c>
      <c r="S237" s="65" t="str">
        <f aca="false">IF(ISBLANK($C237),"",IF(G237=Constants!$B$15,Constants!$B$8,IF(G237=Constants!$B$16,Constants!$B$9,Constants!$B$10)))</f>
        <v/>
      </c>
      <c r="T237" s="65" t="str">
        <f aca="false">IF(ISBLANK($C237),"",IF(H237=Constants!$B$2, TRUE(), IF(H237=Constants!$B$3, FALSE(), TRUE())))</f>
        <v/>
      </c>
      <c r="U237" s="65" t="str">
        <f aca="false">IF(ISBLANK($C237),"",IF(I237=Constants!$B$19,Constants!$B$19,Constants!$B$18))</f>
        <v/>
      </c>
      <c r="V237" s="65" t="str">
        <f aca="false">IF(ISBLANK($C237),"",IF(COUNTA(J237:K237)=0,"",IF(AND(OR(ISBLANK(J237),AND(ISNUMBER(J237),J237&gt;=0)),OR(ISBLANK(K237),AND(ISNUMBER(K237),K237&gt;=0))),60*IF(ISBLANK(J237),0,J237)+IF(ISBLANK(K237),0,K237),"")))</f>
        <v/>
      </c>
      <c r="W237" s="65" t="str">
        <f aca="false">IF(ISBLANK($C237),"",IF(L237=Constants!$B$19,Constants!$B$19,Constants!$B$18))</f>
        <v/>
      </c>
      <c r="X237" s="65" t="str">
        <f aca="false">IF(ISBLANK($C237),"",IF(COUNTA(M237:N237)=0,"",IF(AND(OR(ISBLANK(M237),AND(ISNUMBER(M237),M237&gt;=0)),OR(ISBLANK(N237),AND(ISNUMBER(N237),N237&gt;=0))),60*IF(ISBLANK(M237),0,M237)+IF(ISBLANK(N237),0,N237),"")))</f>
        <v/>
      </c>
      <c r="Y237" s="65" t="str">
        <f aca="false">IF(ISBLANK($C237),"",IF(O237=Constants!$B$2, TRUE(), IF(O237=Constants!$B$3, FALSE(), FALSE())))</f>
        <v/>
      </c>
      <c r="Z237" s="65" t="str">
        <f aca="false">IF(ISBLANK($C237),"",IF(Y237,Constants!$B$4,IF(COUNTA(E237:N237)=0,Constants!$B$5,IF(COUNTA(J237:K237,M237:N237)=0,Constants!$B$6,Constants!$B$7))))</f>
        <v/>
      </c>
      <c r="AA237" s="65" t="str">
        <f aca="false">IF(ISBLANK($C237),"",IF($Z237&lt;&gt;Constants!$B$7,$Z237,IF(OR(NOT(T237),AND(NOT(Q237),COUNTIFS(U237:W237,Constants!$B$18,V237:X237,"&gt;=0")&gt;0),AND(NOT(R237),COUNTIFS(U237:W237,Constants!$B$19,V237:X237,"&gt;=0")&gt;0)),Constants!$B$12,Constants!$B$11)))</f>
        <v/>
      </c>
      <c r="AB237" s="65" t="str">
        <f aca="false">IF($Z237=Constants!$B$7,IF(V237="",Constants!$B$13,V237),"")</f>
        <v/>
      </c>
      <c r="AC237" s="65" t="str">
        <f aca="false">IF($Z237=Constants!$B$7,IF(X237="",Constants!$B$13,X237),"")</f>
        <v/>
      </c>
      <c r="AD237" s="65" t="str">
        <f aca="false">IF($Z237=Constants!$B$7,IF($AB237&gt;=$AC237,1,2),"")</f>
        <v/>
      </c>
      <c r="AE237" s="65" t="str">
        <f aca="false">IF($Z237=Constants!$B$7,LARGE(AB237:AC237,1),"")</f>
        <v/>
      </c>
      <c r="AF237" s="65" t="str">
        <f aca="false">IF(ISBLANK($C237),"",IF($Z237&lt;&gt;Constants!$B$7,$Z237,AE237*S237))</f>
        <v/>
      </c>
      <c r="AG237" s="65" t="str">
        <f aca="false">IF(ISBLANK($C237),"",IF($Z237=Constants!$B$7,IF(ISNUMBER(AF237),RANK(AF237,$AF$8:$AF$507),Constants!$B$14),$Z237))</f>
        <v/>
      </c>
      <c r="AH237" s="65" t="str">
        <f aca="false">IF(ISBLANK($C237),"",IF($Z237=Constants!$B$7,IF(ISNUMBER(AG237),COUNTIFS($AA$8:$AA$507,"&lt;"&amp;$AA237)+COUNTIFS($AA$8:$AA$507,$AA237,$AG$8:$AG$507,"&lt;"&amp;$AG237)+1,Constants!$B$14),$Z237))</f>
        <v/>
      </c>
      <c r="AI237" s="65" t="str">
        <f aca="false">IF(ISBLANK($C237),"",IF($Z237=Constants!$B$7,LARGE(AB237:AC237,2)*S237,""))</f>
        <v/>
      </c>
      <c r="AJ237" s="65" t="str">
        <f aca="false">IF(ISBLANK($C237),"",IF($Z237=Constants!$B$7,RANK(AI237,$AI$8:$AI$507),$Z237))</f>
        <v/>
      </c>
      <c r="AK237" s="65" t="str">
        <f aca="false">IF(ISBLANK($C237),"",IF($Z237=Constants!$B$7,IF(ISNUMBER(AG237),COUNTIFS($AA$8:$AA$507,"&lt;"&amp;$AA237)+COUNTIFS($AA$8:$AA$507,$AA237,$AG$8:$AG$507,"&lt;"&amp;$AG237)+COUNTIFS($AA$8:$AA$507,$AA237,$AG$8:$AG$507,$AG237,$AJ$8:$AJ$507,"&lt;"&amp;$AJ237)+1,Constants!$B$14),$Z237))</f>
        <v/>
      </c>
      <c r="AL237" s="65" t="str">
        <f aca="false">IF(ISBLANK($C237),"",IF($Z237=Constants!$B$7,IF(ISNUMBER(AH237),AH237-AK237,Constants!$B$14),$Z237))</f>
        <v/>
      </c>
      <c r="AM237" s="67"/>
      <c r="AN237" s="68" t="str">
        <f aca="false">IF(ISBLANK($C237),"",IF($Z237&lt;&gt;Constants!$B$7,$Z237,AD237))</f>
        <v/>
      </c>
      <c r="AO237" s="69" t="str">
        <f aca="false">IF(ISBLANK($C237),"",IF($Z237&lt;&gt;Constants!$B$7,$Z237,S237))</f>
        <v/>
      </c>
      <c r="AP237" s="70" t="str">
        <f aca="false">IF(ISBLANK($C237),"",IF($Z237&lt;&gt;Constants!$B$7,$Z237,AF237))</f>
        <v/>
      </c>
      <c r="AQ237" s="71" t="str">
        <f aca="false">IF(ISBLANK($C237),"",IF($Z237&lt;&gt;Constants!$B$7,$Z237,AA237))</f>
        <v/>
      </c>
      <c r="AR237" s="69" t="str">
        <f aca="false">IF(ISBLANK($C237),"",AL237)</f>
        <v/>
      </c>
      <c r="AS237" s="69" t="str">
        <f aca="false">IF(ISBLANK($C237),"",AK237)</f>
        <v/>
      </c>
      <c r="AT237" s="72" t="str">
        <f aca="false">IF(ISBLANK($C237),"",IF(AS237=Constants!$B$4,COUNTA($C$8:$C$507)+2,IF(AS237=Constants!$B$5,COUNTA($C$8:$C$507)+1,IF(AS237=Constants!$B$6,COUNTA($C$8:$C$507),AS237))))</f>
        <v/>
      </c>
      <c r="AU237" s="5"/>
      <c r="AV237" s="73" t="n">
        <f aca="false">IF(OR(ISNUMBER(AS237),AS237=Constants!$B$4,AS237=Constants!$B$6,AS237=Constants!$B$5),1,0)</f>
        <v>0</v>
      </c>
      <c r="AW237" s="73" t="n">
        <v>230</v>
      </c>
      <c r="AX237" s="73" t="str">
        <f aca="false">IF(ISBLANK($C237),"",IF(ISNUMBER(AT237),AT237+ROW($B237)/1000,""))</f>
        <v/>
      </c>
      <c r="AY237" s="73" t="str">
        <f aca="false">IF(ISNUMBER(AX237),RANK(AX237,$AX$8:$AX$507,1),"")</f>
        <v/>
      </c>
      <c r="AZ237" s="73" t="str">
        <f aca="false">IF(ISBLANK($C237),"",$B237)</f>
        <v/>
      </c>
      <c r="BA237" s="73" t="str">
        <f aca="false">IF(ISBLANK($C237),"",$C237)</f>
        <v/>
      </c>
      <c r="BB237" s="73" t="str">
        <f aca="false">IF(ISBLANK($C237),"",$D237)</f>
        <v/>
      </c>
      <c r="BC237" s="74" t="str">
        <f aca="false">AQ237</f>
        <v/>
      </c>
      <c r="BD237" s="75" t="str">
        <f aca="false">AP237</f>
        <v/>
      </c>
      <c r="BE237" s="73" t="str">
        <f aca="false">IF(ISBLANK($C237),"",AS237)</f>
        <v/>
      </c>
      <c r="BF237" s="76" t="str">
        <f aca="false">IF($AW237&gt;$AV$7,"",VLOOKUP($AW237,$AY$8:$BE$507,7,FALSE()))</f>
        <v/>
      </c>
      <c r="BG237" s="77" t="str">
        <f aca="false">IF($AW237&gt;$AV$7,"",VLOOKUP($AW237,$AY$8:$BE$507,2,FALSE()))</f>
        <v/>
      </c>
      <c r="BH237" s="77" t="str">
        <f aca="false">IF($AW237&gt;$AV$7,"",VLOOKUP($AW237,$AY$8:$BE$507,3,FALSE()))</f>
        <v/>
      </c>
      <c r="BI237" s="77" t="str">
        <f aca="false">IF($AW237&gt;$AV$7,"",VLOOKUP($AW237,$AY$8:$BE$507,4,FALSE()))</f>
        <v/>
      </c>
      <c r="BJ237" s="77" t="str">
        <f aca="false">IF($AW237&gt;$AV$7,"",VLOOKUP($AW237,$AY$8:$BE$507,5,FALSE()))</f>
        <v/>
      </c>
      <c r="BK237" s="78" t="str">
        <f aca="false">IF($AW237&gt;$AV$7,"",VLOOKUP($AW237,$AY$8:$BE$507,6,FALSE()))</f>
        <v/>
      </c>
      <c r="BL237" s="50"/>
    </row>
    <row r="238" customFormat="false" ht="15.75" hidden="false" customHeight="false" outlineLevel="0" collapsed="false">
      <c r="A238" s="5"/>
      <c r="B238" s="131"/>
      <c r="C238" s="52"/>
      <c r="D238" s="53"/>
      <c r="E238" s="80"/>
      <c r="F238" s="132"/>
      <c r="G238" s="56"/>
      <c r="H238" s="133"/>
      <c r="I238" s="134"/>
      <c r="J238" s="59"/>
      <c r="K238" s="60"/>
      <c r="L238" s="134"/>
      <c r="M238" s="61"/>
      <c r="N238" s="62"/>
      <c r="O238" s="80"/>
      <c r="P238" s="64"/>
      <c r="Q238" s="65" t="str">
        <f aca="false">IF(ISBLANK($C238),"",IF(E238=Constants!$B$2, TRUE(), IF(E238=Constants!$B$3, FALSE(), TRUE())))</f>
        <v/>
      </c>
      <c r="R238" s="65" t="str">
        <f aca="false">IF(ISBLANK($C238),"",IF(F238=Constants!$B$2, TRUE(), IF(F238=Constants!$B$3, FALSE(), TRUE())))</f>
        <v/>
      </c>
      <c r="S238" s="65" t="str">
        <f aca="false">IF(ISBLANK($C238),"",IF(G238=Constants!$B$15,Constants!$B$8,IF(G238=Constants!$B$16,Constants!$B$9,Constants!$B$10)))</f>
        <v/>
      </c>
      <c r="T238" s="65" t="str">
        <f aca="false">IF(ISBLANK($C238),"",IF(H238=Constants!$B$2, TRUE(), IF(H238=Constants!$B$3, FALSE(), TRUE())))</f>
        <v/>
      </c>
      <c r="U238" s="65" t="str">
        <f aca="false">IF(ISBLANK($C238),"",IF(I238=Constants!$B$19,Constants!$B$19,Constants!$B$18))</f>
        <v/>
      </c>
      <c r="V238" s="65" t="str">
        <f aca="false">IF(ISBLANK($C238),"",IF(COUNTA(J238:K238)=0,"",IF(AND(OR(ISBLANK(J238),AND(ISNUMBER(J238),J238&gt;=0)),OR(ISBLANK(K238),AND(ISNUMBER(K238),K238&gt;=0))),60*IF(ISBLANK(J238),0,J238)+IF(ISBLANK(K238),0,K238),"")))</f>
        <v/>
      </c>
      <c r="W238" s="65" t="str">
        <f aca="false">IF(ISBLANK($C238),"",IF(L238=Constants!$B$19,Constants!$B$19,Constants!$B$18))</f>
        <v/>
      </c>
      <c r="X238" s="65" t="str">
        <f aca="false">IF(ISBLANK($C238),"",IF(COUNTA(M238:N238)=0,"",IF(AND(OR(ISBLANK(M238),AND(ISNUMBER(M238),M238&gt;=0)),OR(ISBLANK(N238),AND(ISNUMBER(N238),N238&gt;=0))),60*IF(ISBLANK(M238),0,M238)+IF(ISBLANK(N238),0,N238),"")))</f>
        <v/>
      </c>
      <c r="Y238" s="65" t="str">
        <f aca="false">IF(ISBLANK($C238),"",IF(O238=Constants!$B$2, TRUE(), IF(O238=Constants!$B$3, FALSE(), FALSE())))</f>
        <v/>
      </c>
      <c r="Z238" s="65" t="str">
        <f aca="false">IF(ISBLANK($C238),"",IF(Y238,Constants!$B$4,IF(COUNTA(E238:N238)=0,Constants!$B$5,IF(COUNTA(J238:K238,M238:N238)=0,Constants!$B$6,Constants!$B$7))))</f>
        <v/>
      </c>
      <c r="AA238" s="65" t="str">
        <f aca="false">IF(ISBLANK($C238),"",IF($Z238&lt;&gt;Constants!$B$7,$Z238,IF(OR(NOT(T238),AND(NOT(Q238),COUNTIFS(U238:W238,Constants!$B$18,V238:X238,"&gt;=0")&gt;0),AND(NOT(R238),COUNTIFS(U238:W238,Constants!$B$19,V238:X238,"&gt;=0")&gt;0)),Constants!$B$12,Constants!$B$11)))</f>
        <v/>
      </c>
      <c r="AB238" s="65" t="str">
        <f aca="false">IF($Z238=Constants!$B$7,IF(V238="",Constants!$B$13,V238),"")</f>
        <v/>
      </c>
      <c r="AC238" s="65" t="str">
        <f aca="false">IF($Z238=Constants!$B$7,IF(X238="",Constants!$B$13,X238),"")</f>
        <v/>
      </c>
      <c r="AD238" s="65" t="str">
        <f aca="false">IF($Z238=Constants!$B$7,IF($AB238&gt;=$AC238,1,2),"")</f>
        <v/>
      </c>
      <c r="AE238" s="65" t="str">
        <f aca="false">IF($Z238=Constants!$B$7,LARGE(AB238:AC238,1),"")</f>
        <v/>
      </c>
      <c r="AF238" s="65" t="str">
        <f aca="false">IF(ISBLANK($C238),"",IF($Z238&lt;&gt;Constants!$B$7,$Z238,AE238*S238))</f>
        <v/>
      </c>
      <c r="AG238" s="65" t="str">
        <f aca="false">IF(ISBLANK($C238),"",IF($Z238=Constants!$B$7,IF(ISNUMBER(AF238),RANK(AF238,$AF$8:$AF$507),Constants!$B$14),$Z238))</f>
        <v/>
      </c>
      <c r="AH238" s="65" t="str">
        <f aca="false">IF(ISBLANK($C238),"",IF($Z238=Constants!$B$7,IF(ISNUMBER(AG238),COUNTIFS($AA$8:$AA$507,"&lt;"&amp;$AA238)+COUNTIFS($AA$8:$AA$507,$AA238,$AG$8:$AG$507,"&lt;"&amp;$AG238)+1,Constants!$B$14),$Z238))</f>
        <v/>
      </c>
      <c r="AI238" s="65" t="str">
        <f aca="false">IF(ISBLANK($C238),"",IF($Z238=Constants!$B$7,LARGE(AB238:AC238,2)*S238,""))</f>
        <v/>
      </c>
      <c r="AJ238" s="65" t="str">
        <f aca="false">IF(ISBLANK($C238),"",IF($Z238=Constants!$B$7,RANK(AI238,$AI$8:$AI$507),$Z238))</f>
        <v/>
      </c>
      <c r="AK238" s="65" t="str">
        <f aca="false">IF(ISBLANK($C238),"",IF($Z238=Constants!$B$7,IF(ISNUMBER(AG238),COUNTIFS($AA$8:$AA$507,"&lt;"&amp;$AA238)+COUNTIFS($AA$8:$AA$507,$AA238,$AG$8:$AG$507,"&lt;"&amp;$AG238)+COUNTIFS($AA$8:$AA$507,$AA238,$AG$8:$AG$507,$AG238,$AJ$8:$AJ$507,"&lt;"&amp;$AJ238)+1,Constants!$B$14),$Z238))</f>
        <v/>
      </c>
      <c r="AL238" s="65" t="str">
        <f aca="false">IF(ISBLANK($C238),"",IF($Z238=Constants!$B$7,IF(ISNUMBER(AH238),AH238-AK238,Constants!$B$14),$Z238))</f>
        <v/>
      </c>
      <c r="AM238" s="67"/>
      <c r="AN238" s="68" t="str">
        <f aca="false">IF(ISBLANK($C238),"",IF($Z238&lt;&gt;Constants!$B$7,$Z238,AD238))</f>
        <v/>
      </c>
      <c r="AO238" s="69" t="str">
        <f aca="false">IF(ISBLANK($C238),"",IF($Z238&lt;&gt;Constants!$B$7,$Z238,S238))</f>
        <v/>
      </c>
      <c r="AP238" s="70" t="str">
        <f aca="false">IF(ISBLANK($C238),"",IF($Z238&lt;&gt;Constants!$B$7,$Z238,AF238))</f>
        <v/>
      </c>
      <c r="AQ238" s="71" t="str">
        <f aca="false">IF(ISBLANK($C238),"",IF($Z238&lt;&gt;Constants!$B$7,$Z238,AA238))</f>
        <v/>
      </c>
      <c r="AR238" s="69" t="str">
        <f aca="false">IF(ISBLANK($C238),"",AL238)</f>
        <v/>
      </c>
      <c r="AS238" s="69" t="str">
        <f aca="false">IF(ISBLANK($C238),"",AK238)</f>
        <v/>
      </c>
      <c r="AT238" s="72" t="str">
        <f aca="false">IF(ISBLANK($C238),"",IF(AS238=Constants!$B$4,COUNTA($C$8:$C$507)+2,IF(AS238=Constants!$B$5,COUNTA($C$8:$C$507)+1,IF(AS238=Constants!$B$6,COUNTA($C$8:$C$507),AS238))))</f>
        <v/>
      </c>
      <c r="AU238" s="5"/>
      <c r="AV238" s="73" t="n">
        <f aca="false">IF(OR(ISNUMBER(AS238),AS238=Constants!$B$4,AS238=Constants!$B$6,AS238=Constants!$B$5),1,0)</f>
        <v>0</v>
      </c>
      <c r="AW238" s="73" t="n">
        <v>231</v>
      </c>
      <c r="AX238" s="73" t="str">
        <f aca="false">IF(ISBLANK($C238),"",IF(ISNUMBER(AT238),AT238+ROW($B238)/1000,""))</f>
        <v/>
      </c>
      <c r="AY238" s="73" t="str">
        <f aca="false">IF(ISNUMBER(AX238),RANK(AX238,$AX$8:$AX$507,1),"")</f>
        <v/>
      </c>
      <c r="AZ238" s="73" t="str">
        <f aca="false">IF(ISBLANK($C238),"",$B238)</f>
        <v/>
      </c>
      <c r="BA238" s="73" t="str">
        <f aca="false">IF(ISBLANK($C238),"",$C238)</f>
        <v/>
      </c>
      <c r="BB238" s="73" t="str">
        <f aca="false">IF(ISBLANK($C238),"",$D238)</f>
        <v/>
      </c>
      <c r="BC238" s="74" t="str">
        <f aca="false">AQ238</f>
        <v/>
      </c>
      <c r="BD238" s="75" t="str">
        <f aca="false">AP238</f>
        <v/>
      </c>
      <c r="BE238" s="73" t="str">
        <f aca="false">IF(ISBLANK($C238),"",AS238)</f>
        <v/>
      </c>
      <c r="BF238" s="76" t="str">
        <f aca="false">IF($AW238&gt;$AV$7,"",VLOOKUP($AW238,$AY$8:$BE$507,7,FALSE()))</f>
        <v/>
      </c>
      <c r="BG238" s="77" t="str">
        <f aca="false">IF($AW238&gt;$AV$7,"",VLOOKUP($AW238,$AY$8:$BE$507,2,FALSE()))</f>
        <v/>
      </c>
      <c r="BH238" s="77" t="str">
        <f aca="false">IF($AW238&gt;$AV$7,"",VLOOKUP($AW238,$AY$8:$BE$507,3,FALSE()))</f>
        <v/>
      </c>
      <c r="BI238" s="77" t="str">
        <f aca="false">IF($AW238&gt;$AV$7,"",VLOOKUP($AW238,$AY$8:$BE$507,4,FALSE()))</f>
        <v/>
      </c>
      <c r="BJ238" s="77" t="str">
        <f aca="false">IF($AW238&gt;$AV$7,"",VLOOKUP($AW238,$AY$8:$BE$507,5,FALSE()))</f>
        <v/>
      </c>
      <c r="BK238" s="78" t="str">
        <f aca="false">IF($AW238&gt;$AV$7,"",VLOOKUP($AW238,$AY$8:$BE$507,6,FALSE()))</f>
        <v/>
      </c>
      <c r="BL238" s="50"/>
    </row>
    <row r="239" customFormat="false" ht="15.75" hidden="false" customHeight="false" outlineLevel="0" collapsed="false">
      <c r="A239" s="5"/>
      <c r="B239" s="124"/>
      <c r="C239" s="125"/>
      <c r="D239" s="110"/>
      <c r="E239" s="130"/>
      <c r="F239" s="135"/>
      <c r="G239" s="88"/>
      <c r="H239" s="136"/>
      <c r="I239" s="137"/>
      <c r="J239" s="91"/>
      <c r="K239" s="92"/>
      <c r="L239" s="137"/>
      <c r="M239" s="93"/>
      <c r="N239" s="94"/>
      <c r="O239" s="130"/>
      <c r="P239" s="96"/>
      <c r="Q239" s="97" t="str">
        <f aca="false">IF(ISBLANK($C239),"",IF(E239=Constants!$B$2, TRUE(), IF(E239=Constants!$B$3, FALSE(), TRUE())))</f>
        <v/>
      </c>
      <c r="R239" s="97" t="str">
        <f aca="false">IF(ISBLANK($C239),"",IF(F239=Constants!$B$2, TRUE(), IF(F239=Constants!$B$3, FALSE(), TRUE())))</f>
        <v/>
      </c>
      <c r="S239" s="97" t="str">
        <f aca="false">IF(ISBLANK($C239),"",IF(G239=Constants!$B$15,Constants!$B$8,IF(G239=Constants!$B$16,Constants!$B$9,Constants!$B$10)))</f>
        <v/>
      </c>
      <c r="T239" s="97" t="str">
        <f aca="false">IF(ISBLANK($C239),"",IF(H239=Constants!$B$2, TRUE(), IF(H239=Constants!$B$3, FALSE(), TRUE())))</f>
        <v/>
      </c>
      <c r="U239" s="97" t="str">
        <f aca="false">IF(ISBLANK($C239),"",IF(I239=Constants!$B$19,Constants!$B$19,Constants!$B$18))</f>
        <v/>
      </c>
      <c r="V239" s="97" t="str">
        <f aca="false">IF(ISBLANK($C239),"",IF(COUNTA(J239:K239)=0,"",IF(AND(OR(ISBLANK(J239),AND(ISNUMBER(J239),J239&gt;=0)),OR(ISBLANK(K239),AND(ISNUMBER(K239),K239&gt;=0))),60*IF(ISBLANK(J239),0,J239)+IF(ISBLANK(K239),0,K239),"")))</f>
        <v/>
      </c>
      <c r="W239" s="97" t="str">
        <f aca="false">IF(ISBLANK($C239),"",IF(L239=Constants!$B$19,Constants!$B$19,Constants!$B$18))</f>
        <v/>
      </c>
      <c r="X239" s="97" t="str">
        <f aca="false">IF(ISBLANK($C239),"",IF(COUNTA(M239:N239)=0,"",IF(AND(OR(ISBLANK(M239),AND(ISNUMBER(M239),M239&gt;=0)),OR(ISBLANK(N239),AND(ISNUMBER(N239),N239&gt;=0))),60*IF(ISBLANK(M239),0,M239)+IF(ISBLANK(N239),0,N239),"")))</f>
        <v/>
      </c>
      <c r="Y239" s="97" t="str">
        <f aca="false">IF(ISBLANK($C239),"",IF(O239=Constants!$B$2, TRUE(), IF(O239=Constants!$B$3, FALSE(), FALSE())))</f>
        <v/>
      </c>
      <c r="Z239" s="97" t="str">
        <f aca="false">IF(ISBLANK($C239),"",IF(Y239,Constants!$B$4,IF(COUNTA(E239:N239)=0,Constants!$B$5,IF(COUNTA(J239:K239,M239:N239)=0,Constants!$B$6,Constants!$B$7))))</f>
        <v/>
      </c>
      <c r="AA239" s="97" t="str">
        <f aca="false">IF(ISBLANK($C239),"",IF($Z239&lt;&gt;Constants!$B$7,$Z239,IF(OR(NOT(T239),AND(NOT(Q239),COUNTIFS(U239:W239,Constants!$B$18,V239:X239,"&gt;=0")&gt;0),AND(NOT(R239),COUNTIFS(U239:W239,Constants!$B$19,V239:X239,"&gt;=0")&gt;0)),Constants!$B$12,Constants!$B$11)))</f>
        <v/>
      </c>
      <c r="AB239" s="97" t="str">
        <f aca="false">IF($Z239=Constants!$B$7,IF(V239="",Constants!$B$13,V239),"")</f>
        <v/>
      </c>
      <c r="AC239" s="97" t="str">
        <f aca="false">IF($Z239=Constants!$B$7,IF(X239="",Constants!$B$13,X239),"")</f>
        <v/>
      </c>
      <c r="AD239" s="97" t="str">
        <f aca="false">IF($Z239=Constants!$B$7,IF($AB239&gt;=$AC239,1,2),"")</f>
        <v/>
      </c>
      <c r="AE239" s="97" t="str">
        <f aca="false">IF($Z239=Constants!$B$7,LARGE(AB239:AC239,1),"")</f>
        <v/>
      </c>
      <c r="AF239" s="97" t="str">
        <f aca="false">IF(ISBLANK($C239),"",IF($Z239&lt;&gt;Constants!$B$7,$Z239,AE239*S239))</f>
        <v/>
      </c>
      <c r="AG239" s="97" t="str">
        <f aca="false">IF(ISBLANK($C239),"",IF($Z239=Constants!$B$7,IF(ISNUMBER(AF239),RANK(AF239,$AF$8:$AF$507),Constants!$B$14),$Z239))</f>
        <v/>
      </c>
      <c r="AH239" s="97" t="str">
        <f aca="false">IF(ISBLANK($C239),"",IF($Z239=Constants!$B$7,IF(ISNUMBER(AG239),COUNTIFS($AA$8:$AA$507,"&lt;"&amp;$AA239)+COUNTIFS($AA$8:$AA$507,$AA239,$AG$8:$AG$507,"&lt;"&amp;$AG239)+1,Constants!$B$14),$Z239))</f>
        <v/>
      </c>
      <c r="AI239" s="97" t="str">
        <f aca="false">IF(ISBLANK($C239),"",IF($Z239=Constants!$B$7,LARGE(AB239:AC239,2)*S239,""))</f>
        <v/>
      </c>
      <c r="AJ239" s="97" t="str">
        <f aca="false">IF(ISBLANK($C239),"",IF($Z239=Constants!$B$7,RANK(AI239,$AI$8:$AI$507),$Z239))</f>
        <v/>
      </c>
      <c r="AK239" s="97" t="str">
        <f aca="false">IF(ISBLANK($C239),"",IF($Z239=Constants!$B$7,IF(ISNUMBER(AG239),COUNTIFS($AA$8:$AA$507,"&lt;"&amp;$AA239)+COUNTIFS($AA$8:$AA$507,$AA239,$AG$8:$AG$507,"&lt;"&amp;$AG239)+COUNTIFS($AA$8:$AA$507,$AA239,$AG$8:$AG$507,$AG239,$AJ$8:$AJ$507,"&lt;"&amp;$AJ239)+1,Constants!$B$14),$Z239))</f>
        <v/>
      </c>
      <c r="AL239" s="97" t="str">
        <f aca="false">IF(ISBLANK($C239),"",IF($Z239=Constants!$B$7,IF(ISNUMBER(AH239),AH239-AK239,Constants!$B$14),$Z239))</f>
        <v/>
      </c>
      <c r="AM239" s="98"/>
      <c r="AN239" s="99" t="str">
        <f aca="false">IF(ISBLANK($C239),"",IF($Z239&lt;&gt;Constants!$B$7,$Z239,AD239))</f>
        <v/>
      </c>
      <c r="AO239" s="100" t="str">
        <f aca="false">IF(ISBLANK($C239),"",IF($Z239&lt;&gt;Constants!$B$7,$Z239,S239))</f>
        <v/>
      </c>
      <c r="AP239" s="101" t="str">
        <f aca="false">IF(ISBLANK($C239),"",IF($Z239&lt;&gt;Constants!$B$7,$Z239,AF239))</f>
        <v/>
      </c>
      <c r="AQ239" s="102" t="str">
        <f aca="false">IF(ISBLANK($C239),"",IF($Z239&lt;&gt;Constants!$B$7,$Z239,AA239))</f>
        <v/>
      </c>
      <c r="AR239" s="100" t="str">
        <f aca="false">IF(ISBLANK($C239),"",AL239)</f>
        <v/>
      </c>
      <c r="AS239" s="100" t="str">
        <f aca="false">IF(ISBLANK($C239),"",AK239)</f>
        <v/>
      </c>
      <c r="AT239" s="103" t="str">
        <f aca="false">IF(ISBLANK($C239),"",IF(AS239=Constants!$B$4,COUNTA($C$8:$C$507)+2,IF(AS239=Constants!$B$5,COUNTA($C$8:$C$507)+1,IF(AS239=Constants!$B$6,COUNTA($C$8:$C$507),AS239))))</f>
        <v/>
      </c>
      <c r="AU239" s="5"/>
      <c r="AV239" s="104" t="n">
        <f aca="false">IF(OR(ISNUMBER(AS239),AS239=Constants!$B$4,AS239=Constants!$B$6,AS239=Constants!$B$5),1,0)</f>
        <v>0</v>
      </c>
      <c r="AW239" s="104" t="n">
        <v>232</v>
      </c>
      <c r="AX239" s="104" t="str">
        <f aca="false">IF(ISBLANK($C239),"",IF(ISNUMBER(AT239),AT239+ROW($B239)/1000,""))</f>
        <v/>
      </c>
      <c r="AY239" s="104" t="str">
        <f aca="false">IF(ISNUMBER(AX239),RANK(AX239,$AX$8:$AX$507,1),"")</f>
        <v/>
      </c>
      <c r="AZ239" s="104" t="str">
        <f aca="false">IF(ISBLANK($C239),"",$B239)</f>
        <v/>
      </c>
      <c r="BA239" s="104" t="str">
        <f aca="false">IF(ISBLANK($C239),"",$C239)</f>
        <v/>
      </c>
      <c r="BB239" s="104" t="str">
        <f aca="false">IF(ISBLANK($C239),"",$D239)</f>
        <v/>
      </c>
      <c r="BC239" s="105" t="str">
        <f aca="false">AQ239</f>
        <v/>
      </c>
      <c r="BD239" s="106" t="str">
        <f aca="false">AP239</f>
        <v/>
      </c>
      <c r="BE239" s="104" t="str">
        <f aca="false">IF(ISBLANK($C239),"",AS239)</f>
        <v/>
      </c>
      <c r="BF239" s="107" t="str">
        <f aca="false">IF($AW239&gt;$AV$7,"",VLOOKUP($AW239,$AY$8:$BE$507,7,FALSE()))</f>
        <v/>
      </c>
      <c r="BG239" s="108" t="str">
        <f aca="false">IF($AW239&gt;$AV$7,"",VLOOKUP($AW239,$AY$8:$BE$507,2,FALSE()))</f>
        <v/>
      </c>
      <c r="BH239" s="108" t="str">
        <f aca="false">IF($AW239&gt;$AV$7,"",VLOOKUP($AW239,$AY$8:$BE$507,3,FALSE()))</f>
        <v/>
      </c>
      <c r="BI239" s="108" t="str">
        <f aca="false">IF($AW239&gt;$AV$7,"",VLOOKUP($AW239,$AY$8:$BE$507,4,FALSE()))</f>
        <v/>
      </c>
      <c r="BJ239" s="108" t="str">
        <f aca="false">IF($AW239&gt;$AV$7,"",VLOOKUP($AW239,$AY$8:$BE$507,5,FALSE()))</f>
        <v/>
      </c>
      <c r="BK239" s="109" t="str">
        <f aca="false">IF($AW239&gt;$AV$7,"",VLOOKUP($AW239,$AY$8:$BE$507,6,FALSE()))</f>
        <v/>
      </c>
      <c r="BL239" s="50"/>
    </row>
    <row r="240" customFormat="false" ht="15.75" hidden="false" customHeight="false" outlineLevel="0" collapsed="false">
      <c r="A240" s="5"/>
      <c r="B240" s="124"/>
      <c r="C240" s="125"/>
      <c r="D240" s="110"/>
      <c r="E240" s="130"/>
      <c r="F240" s="135"/>
      <c r="G240" s="88"/>
      <c r="H240" s="136"/>
      <c r="I240" s="137"/>
      <c r="J240" s="91"/>
      <c r="K240" s="92"/>
      <c r="L240" s="137"/>
      <c r="M240" s="93"/>
      <c r="N240" s="94"/>
      <c r="O240" s="130"/>
      <c r="P240" s="96"/>
      <c r="Q240" s="97" t="str">
        <f aca="false">IF(ISBLANK($C240),"",IF(E240=Constants!$B$2, TRUE(), IF(E240=Constants!$B$3, FALSE(), TRUE())))</f>
        <v/>
      </c>
      <c r="R240" s="97" t="str">
        <f aca="false">IF(ISBLANK($C240),"",IF(F240=Constants!$B$2, TRUE(), IF(F240=Constants!$B$3, FALSE(), TRUE())))</f>
        <v/>
      </c>
      <c r="S240" s="97" t="str">
        <f aca="false">IF(ISBLANK($C240),"",IF(G240=Constants!$B$15,Constants!$B$8,IF(G240=Constants!$B$16,Constants!$B$9,Constants!$B$10)))</f>
        <v/>
      </c>
      <c r="T240" s="97" t="str">
        <f aca="false">IF(ISBLANK($C240),"",IF(H240=Constants!$B$2, TRUE(), IF(H240=Constants!$B$3, FALSE(), TRUE())))</f>
        <v/>
      </c>
      <c r="U240" s="97" t="str">
        <f aca="false">IF(ISBLANK($C240),"",IF(I240=Constants!$B$19,Constants!$B$19,Constants!$B$18))</f>
        <v/>
      </c>
      <c r="V240" s="97" t="str">
        <f aca="false">IF(ISBLANK($C240),"",IF(COUNTA(J240:K240)=0,"",IF(AND(OR(ISBLANK(J240),AND(ISNUMBER(J240),J240&gt;=0)),OR(ISBLANK(K240),AND(ISNUMBER(K240),K240&gt;=0))),60*IF(ISBLANK(J240),0,J240)+IF(ISBLANK(K240),0,K240),"")))</f>
        <v/>
      </c>
      <c r="W240" s="97" t="str">
        <f aca="false">IF(ISBLANK($C240),"",IF(L240=Constants!$B$19,Constants!$B$19,Constants!$B$18))</f>
        <v/>
      </c>
      <c r="X240" s="97" t="str">
        <f aca="false">IF(ISBLANK($C240),"",IF(COUNTA(M240:N240)=0,"",IF(AND(OR(ISBLANK(M240),AND(ISNUMBER(M240),M240&gt;=0)),OR(ISBLANK(N240),AND(ISNUMBER(N240),N240&gt;=0))),60*IF(ISBLANK(M240),0,M240)+IF(ISBLANK(N240),0,N240),"")))</f>
        <v/>
      </c>
      <c r="Y240" s="97" t="str">
        <f aca="false">IF(ISBLANK($C240),"",IF(O240=Constants!$B$2, TRUE(), IF(O240=Constants!$B$3, FALSE(), FALSE())))</f>
        <v/>
      </c>
      <c r="Z240" s="97" t="str">
        <f aca="false">IF(ISBLANK($C240),"",IF(Y240,Constants!$B$4,IF(COUNTA(E240:N240)=0,Constants!$B$5,IF(COUNTA(J240:K240,M240:N240)=0,Constants!$B$6,Constants!$B$7))))</f>
        <v/>
      </c>
      <c r="AA240" s="97" t="str">
        <f aca="false">IF(ISBLANK($C240),"",IF($Z240&lt;&gt;Constants!$B$7,$Z240,IF(OR(NOT(T240),AND(NOT(Q240),COUNTIFS(U240:W240,Constants!$B$18,V240:X240,"&gt;=0")&gt;0),AND(NOT(R240),COUNTIFS(U240:W240,Constants!$B$19,V240:X240,"&gt;=0")&gt;0)),Constants!$B$12,Constants!$B$11)))</f>
        <v/>
      </c>
      <c r="AB240" s="97" t="str">
        <f aca="false">IF($Z240=Constants!$B$7,IF(V240="",Constants!$B$13,V240),"")</f>
        <v/>
      </c>
      <c r="AC240" s="97" t="str">
        <f aca="false">IF($Z240=Constants!$B$7,IF(X240="",Constants!$B$13,X240),"")</f>
        <v/>
      </c>
      <c r="AD240" s="97" t="str">
        <f aca="false">IF($Z240=Constants!$B$7,IF($AB240&gt;=$AC240,1,2),"")</f>
        <v/>
      </c>
      <c r="AE240" s="97" t="str">
        <f aca="false">IF($Z240=Constants!$B$7,LARGE(AB240:AC240,1),"")</f>
        <v/>
      </c>
      <c r="AF240" s="97" t="str">
        <f aca="false">IF(ISBLANK($C240),"",IF($Z240&lt;&gt;Constants!$B$7,$Z240,AE240*S240))</f>
        <v/>
      </c>
      <c r="AG240" s="97" t="str">
        <f aca="false">IF(ISBLANK($C240),"",IF($Z240=Constants!$B$7,IF(ISNUMBER(AF240),RANK(AF240,$AF$8:$AF$507),Constants!$B$14),$Z240))</f>
        <v/>
      </c>
      <c r="AH240" s="97" t="str">
        <f aca="false">IF(ISBLANK($C240),"",IF($Z240=Constants!$B$7,IF(ISNUMBER(AG240),COUNTIFS($AA$8:$AA$507,"&lt;"&amp;$AA240)+COUNTIFS($AA$8:$AA$507,$AA240,$AG$8:$AG$507,"&lt;"&amp;$AG240)+1,Constants!$B$14),$Z240))</f>
        <v/>
      </c>
      <c r="AI240" s="97" t="str">
        <f aca="false">IF(ISBLANK($C240),"",IF($Z240=Constants!$B$7,LARGE(AB240:AC240,2)*S240,""))</f>
        <v/>
      </c>
      <c r="AJ240" s="97" t="str">
        <f aca="false">IF(ISBLANK($C240),"",IF($Z240=Constants!$B$7,RANK(AI240,$AI$8:$AI$507),$Z240))</f>
        <v/>
      </c>
      <c r="AK240" s="97" t="str">
        <f aca="false">IF(ISBLANK($C240),"",IF($Z240=Constants!$B$7,IF(ISNUMBER(AG240),COUNTIFS($AA$8:$AA$507,"&lt;"&amp;$AA240)+COUNTIFS($AA$8:$AA$507,$AA240,$AG$8:$AG$507,"&lt;"&amp;$AG240)+COUNTIFS($AA$8:$AA$507,$AA240,$AG$8:$AG$507,$AG240,$AJ$8:$AJ$507,"&lt;"&amp;$AJ240)+1,Constants!$B$14),$Z240))</f>
        <v/>
      </c>
      <c r="AL240" s="97" t="str">
        <f aca="false">IF(ISBLANK($C240),"",IF($Z240=Constants!$B$7,IF(ISNUMBER(AH240),AH240-AK240,Constants!$B$14),$Z240))</f>
        <v/>
      </c>
      <c r="AM240" s="98"/>
      <c r="AN240" s="99" t="str">
        <f aca="false">IF(ISBLANK($C240),"",IF($Z240&lt;&gt;Constants!$B$7,$Z240,AD240))</f>
        <v/>
      </c>
      <c r="AO240" s="100" t="str">
        <f aca="false">IF(ISBLANK($C240),"",IF($Z240&lt;&gt;Constants!$B$7,$Z240,S240))</f>
        <v/>
      </c>
      <c r="AP240" s="101" t="str">
        <f aca="false">IF(ISBLANK($C240),"",IF($Z240&lt;&gt;Constants!$B$7,$Z240,AF240))</f>
        <v/>
      </c>
      <c r="AQ240" s="102" t="str">
        <f aca="false">IF(ISBLANK($C240),"",IF($Z240&lt;&gt;Constants!$B$7,$Z240,AA240))</f>
        <v/>
      </c>
      <c r="AR240" s="100" t="str">
        <f aca="false">IF(ISBLANK($C240),"",AL240)</f>
        <v/>
      </c>
      <c r="AS240" s="100" t="str">
        <f aca="false">IF(ISBLANK($C240),"",AK240)</f>
        <v/>
      </c>
      <c r="AT240" s="103" t="str">
        <f aca="false">IF(ISBLANK($C240),"",IF(AS240=Constants!$B$4,COUNTA($C$8:$C$507)+2,IF(AS240=Constants!$B$5,COUNTA($C$8:$C$507)+1,IF(AS240=Constants!$B$6,COUNTA($C$8:$C$507),AS240))))</f>
        <v/>
      </c>
      <c r="AU240" s="5"/>
      <c r="AV240" s="104" t="n">
        <f aca="false">IF(OR(ISNUMBER(AS240),AS240=Constants!$B$4,AS240=Constants!$B$6,AS240=Constants!$B$5),1,0)</f>
        <v>0</v>
      </c>
      <c r="AW240" s="104" t="n">
        <v>233</v>
      </c>
      <c r="AX240" s="104" t="str">
        <f aca="false">IF(ISBLANK($C240),"",IF(ISNUMBER(AT240),AT240+ROW($B240)/1000,""))</f>
        <v/>
      </c>
      <c r="AY240" s="104" t="str">
        <f aca="false">IF(ISNUMBER(AX240),RANK(AX240,$AX$8:$AX$507,1),"")</f>
        <v/>
      </c>
      <c r="AZ240" s="104" t="str">
        <f aca="false">IF(ISBLANK($C240),"",$B240)</f>
        <v/>
      </c>
      <c r="BA240" s="104" t="str">
        <f aca="false">IF(ISBLANK($C240),"",$C240)</f>
        <v/>
      </c>
      <c r="BB240" s="104" t="str">
        <f aca="false">IF(ISBLANK($C240),"",$D240)</f>
        <v/>
      </c>
      <c r="BC240" s="105" t="str">
        <f aca="false">AQ240</f>
        <v/>
      </c>
      <c r="BD240" s="106" t="str">
        <f aca="false">AP240</f>
        <v/>
      </c>
      <c r="BE240" s="104" t="str">
        <f aca="false">IF(ISBLANK($C240),"",AS240)</f>
        <v/>
      </c>
      <c r="BF240" s="107" t="str">
        <f aca="false">IF($AW240&gt;$AV$7,"",VLOOKUP($AW240,$AY$8:$BE$507,7,FALSE()))</f>
        <v/>
      </c>
      <c r="BG240" s="108" t="str">
        <f aca="false">IF($AW240&gt;$AV$7,"",VLOOKUP($AW240,$AY$8:$BE$507,2,FALSE()))</f>
        <v/>
      </c>
      <c r="BH240" s="108" t="str">
        <f aca="false">IF($AW240&gt;$AV$7,"",VLOOKUP($AW240,$AY$8:$BE$507,3,FALSE()))</f>
        <v/>
      </c>
      <c r="BI240" s="108" t="str">
        <f aca="false">IF($AW240&gt;$AV$7,"",VLOOKUP($AW240,$AY$8:$BE$507,4,FALSE()))</f>
        <v/>
      </c>
      <c r="BJ240" s="108" t="str">
        <f aca="false">IF($AW240&gt;$AV$7,"",VLOOKUP($AW240,$AY$8:$BE$507,5,FALSE()))</f>
        <v/>
      </c>
      <c r="BK240" s="109" t="str">
        <f aca="false">IF($AW240&gt;$AV$7,"",VLOOKUP($AW240,$AY$8:$BE$507,6,FALSE()))</f>
        <v/>
      </c>
      <c r="BL240" s="50"/>
    </row>
    <row r="241" customFormat="false" ht="15.75" hidden="false" customHeight="false" outlineLevel="0" collapsed="false">
      <c r="A241" s="5"/>
      <c r="B241" s="124"/>
      <c r="C241" s="125"/>
      <c r="D241" s="110"/>
      <c r="E241" s="130"/>
      <c r="F241" s="135"/>
      <c r="G241" s="88"/>
      <c r="H241" s="136"/>
      <c r="I241" s="137"/>
      <c r="J241" s="91"/>
      <c r="K241" s="92"/>
      <c r="L241" s="137"/>
      <c r="M241" s="93"/>
      <c r="N241" s="94"/>
      <c r="O241" s="130"/>
      <c r="P241" s="96"/>
      <c r="Q241" s="97" t="str">
        <f aca="false">IF(ISBLANK($C241),"",IF(E241=Constants!$B$2, TRUE(), IF(E241=Constants!$B$3, FALSE(), TRUE())))</f>
        <v/>
      </c>
      <c r="R241" s="97" t="str">
        <f aca="false">IF(ISBLANK($C241),"",IF(F241=Constants!$B$2, TRUE(), IF(F241=Constants!$B$3, FALSE(), TRUE())))</f>
        <v/>
      </c>
      <c r="S241" s="97" t="str">
        <f aca="false">IF(ISBLANK($C241),"",IF(G241=Constants!$B$15,Constants!$B$8,IF(G241=Constants!$B$16,Constants!$B$9,Constants!$B$10)))</f>
        <v/>
      </c>
      <c r="T241" s="97" t="str">
        <f aca="false">IF(ISBLANK($C241),"",IF(H241=Constants!$B$2, TRUE(), IF(H241=Constants!$B$3, FALSE(), TRUE())))</f>
        <v/>
      </c>
      <c r="U241" s="97" t="str">
        <f aca="false">IF(ISBLANK($C241),"",IF(I241=Constants!$B$19,Constants!$B$19,Constants!$B$18))</f>
        <v/>
      </c>
      <c r="V241" s="97" t="str">
        <f aca="false">IF(ISBLANK($C241),"",IF(COUNTA(J241:K241)=0,"",IF(AND(OR(ISBLANK(J241),AND(ISNUMBER(J241),J241&gt;=0)),OR(ISBLANK(K241),AND(ISNUMBER(K241),K241&gt;=0))),60*IF(ISBLANK(J241),0,J241)+IF(ISBLANK(K241),0,K241),"")))</f>
        <v/>
      </c>
      <c r="W241" s="97" t="str">
        <f aca="false">IF(ISBLANK($C241),"",IF(L241=Constants!$B$19,Constants!$B$19,Constants!$B$18))</f>
        <v/>
      </c>
      <c r="X241" s="97" t="str">
        <f aca="false">IF(ISBLANK($C241),"",IF(COUNTA(M241:N241)=0,"",IF(AND(OR(ISBLANK(M241),AND(ISNUMBER(M241),M241&gt;=0)),OR(ISBLANK(N241),AND(ISNUMBER(N241),N241&gt;=0))),60*IF(ISBLANK(M241),0,M241)+IF(ISBLANK(N241),0,N241),"")))</f>
        <v/>
      </c>
      <c r="Y241" s="97" t="str">
        <f aca="false">IF(ISBLANK($C241),"",IF(O241=Constants!$B$2, TRUE(), IF(O241=Constants!$B$3, FALSE(), FALSE())))</f>
        <v/>
      </c>
      <c r="Z241" s="97" t="str">
        <f aca="false">IF(ISBLANK($C241),"",IF(Y241,Constants!$B$4,IF(COUNTA(E241:N241)=0,Constants!$B$5,IF(COUNTA(J241:K241,M241:N241)=0,Constants!$B$6,Constants!$B$7))))</f>
        <v/>
      </c>
      <c r="AA241" s="97" t="str">
        <f aca="false">IF(ISBLANK($C241),"",IF($Z241&lt;&gt;Constants!$B$7,$Z241,IF(OR(NOT(T241),AND(NOT(Q241),COUNTIFS(U241:W241,Constants!$B$18,V241:X241,"&gt;=0")&gt;0),AND(NOT(R241),COUNTIFS(U241:W241,Constants!$B$19,V241:X241,"&gt;=0")&gt;0)),Constants!$B$12,Constants!$B$11)))</f>
        <v/>
      </c>
      <c r="AB241" s="97" t="str">
        <f aca="false">IF($Z241=Constants!$B$7,IF(V241="",Constants!$B$13,V241),"")</f>
        <v/>
      </c>
      <c r="AC241" s="97" t="str">
        <f aca="false">IF($Z241=Constants!$B$7,IF(X241="",Constants!$B$13,X241),"")</f>
        <v/>
      </c>
      <c r="AD241" s="97" t="str">
        <f aca="false">IF($Z241=Constants!$B$7,IF($AB241&gt;=$AC241,1,2),"")</f>
        <v/>
      </c>
      <c r="AE241" s="97" t="str">
        <f aca="false">IF($Z241=Constants!$B$7,LARGE(AB241:AC241,1),"")</f>
        <v/>
      </c>
      <c r="AF241" s="97" t="str">
        <f aca="false">IF(ISBLANK($C241),"",IF($Z241&lt;&gt;Constants!$B$7,$Z241,AE241*S241))</f>
        <v/>
      </c>
      <c r="AG241" s="97" t="str">
        <f aca="false">IF(ISBLANK($C241),"",IF($Z241=Constants!$B$7,IF(ISNUMBER(AF241),RANK(AF241,$AF$8:$AF$507),Constants!$B$14),$Z241))</f>
        <v/>
      </c>
      <c r="AH241" s="97" t="str">
        <f aca="false">IF(ISBLANK($C241),"",IF($Z241=Constants!$B$7,IF(ISNUMBER(AG241),COUNTIFS($AA$8:$AA$507,"&lt;"&amp;$AA241)+COUNTIFS($AA$8:$AA$507,$AA241,$AG$8:$AG$507,"&lt;"&amp;$AG241)+1,Constants!$B$14),$Z241))</f>
        <v/>
      </c>
      <c r="AI241" s="97" t="str">
        <f aca="false">IF(ISBLANK($C241),"",IF($Z241=Constants!$B$7,LARGE(AB241:AC241,2)*S241,""))</f>
        <v/>
      </c>
      <c r="AJ241" s="97" t="str">
        <f aca="false">IF(ISBLANK($C241),"",IF($Z241=Constants!$B$7,RANK(AI241,$AI$8:$AI$507),$Z241))</f>
        <v/>
      </c>
      <c r="AK241" s="97" t="str">
        <f aca="false">IF(ISBLANK($C241),"",IF($Z241=Constants!$B$7,IF(ISNUMBER(AG241),COUNTIFS($AA$8:$AA$507,"&lt;"&amp;$AA241)+COUNTIFS($AA$8:$AA$507,$AA241,$AG$8:$AG$507,"&lt;"&amp;$AG241)+COUNTIFS($AA$8:$AA$507,$AA241,$AG$8:$AG$507,$AG241,$AJ$8:$AJ$507,"&lt;"&amp;$AJ241)+1,Constants!$B$14),$Z241))</f>
        <v/>
      </c>
      <c r="AL241" s="97" t="str">
        <f aca="false">IF(ISBLANK($C241),"",IF($Z241=Constants!$B$7,IF(ISNUMBER(AH241),AH241-AK241,Constants!$B$14),$Z241))</f>
        <v/>
      </c>
      <c r="AM241" s="98"/>
      <c r="AN241" s="99" t="str">
        <f aca="false">IF(ISBLANK($C241),"",IF($Z241&lt;&gt;Constants!$B$7,$Z241,AD241))</f>
        <v/>
      </c>
      <c r="AO241" s="100" t="str">
        <f aca="false">IF(ISBLANK($C241),"",IF($Z241&lt;&gt;Constants!$B$7,$Z241,S241))</f>
        <v/>
      </c>
      <c r="AP241" s="101" t="str">
        <f aca="false">IF(ISBLANK($C241),"",IF($Z241&lt;&gt;Constants!$B$7,$Z241,AF241))</f>
        <v/>
      </c>
      <c r="AQ241" s="102" t="str">
        <f aca="false">IF(ISBLANK($C241),"",IF($Z241&lt;&gt;Constants!$B$7,$Z241,AA241))</f>
        <v/>
      </c>
      <c r="AR241" s="100" t="str">
        <f aca="false">IF(ISBLANK($C241),"",AL241)</f>
        <v/>
      </c>
      <c r="AS241" s="100" t="str">
        <f aca="false">IF(ISBLANK($C241),"",AK241)</f>
        <v/>
      </c>
      <c r="AT241" s="103" t="str">
        <f aca="false">IF(ISBLANK($C241),"",IF(AS241=Constants!$B$4,COUNTA($C$8:$C$507)+2,IF(AS241=Constants!$B$5,COUNTA($C$8:$C$507)+1,IF(AS241=Constants!$B$6,COUNTA($C$8:$C$507),AS241))))</f>
        <v/>
      </c>
      <c r="AU241" s="5"/>
      <c r="AV241" s="104" t="n">
        <f aca="false">IF(OR(ISNUMBER(AS241),AS241=Constants!$B$4,AS241=Constants!$B$6,AS241=Constants!$B$5),1,0)</f>
        <v>0</v>
      </c>
      <c r="AW241" s="104" t="n">
        <v>234</v>
      </c>
      <c r="AX241" s="104" t="str">
        <f aca="false">IF(ISBLANK($C241),"",IF(ISNUMBER(AT241),AT241+ROW($B241)/1000,""))</f>
        <v/>
      </c>
      <c r="AY241" s="104" t="str">
        <f aca="false">IF(ISNUMBER(AX241),RANK(AX241,$AX$8:$AX$507,1),"")</f>
        <v/>
      </c>
      <c r="AZ241" s="104" t="str">
        <f aca="false">IF(ISBLANK($C241),"",$B241)</f>
        <v/>
      </c>
      <c r="BA241" s="104" t="str">
        <f aca="false">IF(ISBLANK($C241),"",$C241)</f>
        <v/>
      </c>
      <c r="BB241" s="104" t="str">
        <f aca="false">IF(ISBLANK($C241),"",$D241)</f>
        <v/>
      </c>
      <c r="BC241" s="105" t="str">
        <f aca="false">AQ241</f>
        <v/>
      </c>
      <c r="BD241" s="106" t="str">
        <f aca="false">AP241</f>
        <v/>
      </c>
      <c r="BE241" s="104" t="str">
        <f aca="false">IF(ISBLANK($C241),"",AS241)</f>
        <v/>
      </c>
      <c r="BF241" s="107" t="str">
        <f aca="false">IF($AW241&gt;$AV$7,"",VLOOKUP($AW241,$AY$8:$BE$507,7,FALSE()))</f>
        <v/>
      </c>
      <c r="BG241" s="108" t="str">
        <f aca="false">IF($AW241&gt;$AV$7,"",VLOOKUP($AW241,$AY$8:$BE$507,2,FALSE()))</f>
        <v/>
      </c>
      <c r="BH241" s="108" t="str">
        <f aca="false">IF($AW241&gt;$AV$7,"",VLOOKUP($AW241,$AY$8:$BE$507,3,FALSE()))</f>
        <v/>
      </c>
      <c r="BI241" s="108" t="str">
        <f aca="false">IF($AW241&gt;$AV$7,"",VLOOKUP($AW241,$AY$8:$BE$507,4,FALSE()))</f>
        <v/>
      </c>
      <c r="BJ241" s="108" t="str">
        <f aca="false">IF($AW241&gt;$AV$7,"",VLOOKUP($AW241,$AY$8:$BE$507,5,FALSE()))</f>
        <v/>
      </c>
      <c r="BK241" s="109" t="str">
        <f aca="false">IF($AW241&gt;$AV$7,"",VLOOKUP($AW241,$AY$8:$BE$507,6,FALSE()))</f>
        <v/>
      </c>
      <c r="BL241" s="50"/>
    </row>
    <row r="242" customFormat="false" ht="15.75" hidden="false" customHeight="false" outlineLevel="0" collapsed="false">
      <c r="A242" s="5"/>
      <c r="B242" s="131"/>
      <c r="C242" s="52"/>
      <c r="D242" s="53"/>
      <c r="E242" s="80"/>
      <c r="F242" s="132"/>
      <c r="G242" s="56"/>
      <c r="H242" s="133"/>
      <c r="I242" s="134"/>
      <c r="J242" s="59"/>
      <c r="K242" s="60"/>
      <c r="L242" s="134"/>
      <c r="M242" s="61"/>
      <c r="N242" s="62"/>
      <c r="O242" s="80"/>
      <c r="P242" s="64"/>
      <c r="Q242" s="65" t="str">
        <f aca="false">IF(ISBLANK($C242),"",IF(E242=Constants!$B$2, TRUE(), IF(E242=Constants!$B$3, FALSE(), TRUE())))</f>
        <v/>
      </c>
      <c r="R242" s="65" t="str">
        <f aca="false">IF(ISBLANK($C242),"",IF(F242=Constants!$B$2, TRUE(), IF(F242=Constants!$B$3, FALSE(), TRUE())))</f>
        <v/>
      </c>
      <c r="S242" s="65" t="str">
        <f aca="false">IF(ISBLANK($C242),"",IF(G242=Constants!$B$15,Constants!$B$8,IF(G242=Constants!$B$16,Constants!$B$9,Constants!$B$10)))</f>
        <v/>
      </c>
      <c r="T242" s="65" t="str">
        <f aca="false">IF(ISBLANK($C242),"",IF(H242=Constants!$B$2, TRUE(), IF(H242=Constants!$B$3, FALSE(), TRUE())))</f>
        <v/>
      </c>
      <c r="U242" s="65" t="str">
        <f aca="false">IF(ISBLANK($C242),"",IF(I242=Constants!$B$19,Constants!$B$19,Constants!$B$18))</f>
        <v/>
      </c>
      <c r="V242" s="65" t="str">
        <f aca="false">IF(ISBLANK($C242),"",IF(COUNTA(J242:K242)=0,"",IF(AND(OR(ISBLANK(J242),AND(ISNUMBER(J242),J242&gt;=0)),OR(ISBLANK(K242),AND(ISNUMBER(K242),K242&gt;=0))),60*IF(ISBLANK(J242),0,J242)+IF(ISBLANK(K242),0,K242),"")))</f>
        <v/>
      </c>
      <c r="W242" s="65" t="str">
        <f aca="false">IF(ISBLANK($C242),"",IF(L242=Constants!$B$19,Constants!$B$19,Constants!$B$18))</f>
        <v/>
      </c>
      <c r="X242" s="65" t="str">
        <f aca="false">IF(ISBLANK($C242),"",IF(COUNTA(M242:N242)=0,"",IF(AND(OR(ISBLANK(M242),AND(ISNUMBER(M242),M242&gt;=0)),OR(ISBLANK(N242),AND(ISNUMBER(N242),N242&gt;=0))),60*IF(ISBLANK(M242),0,M242)+IF(ISBLANK(N242),0,N242),"")))</f>
        <v/>
      </c>
      <c r="Y242" s="65" t="str">
        <f aca="false">IF(ISBLANK($C242),"",IF(O242=Constants!$B$2, TRUE(), IF(O242=Constants!$B$3, FALSE(), FALSE())))</f>
        <v/>
      </c>
      <c r="Z242" s="65" t="str">
        <f aca="false">IF(ISBLANK($C242),"",IF(Y242,Constants!$B$4,IF(COUNTA(E242:N242)=0,Constants!$B$5,IF(COUNTA(J242:K242,M242:N242)=0,Constants!$B$6,Constants!$B$7))))</f>
        <v/>
      </c>
      <c r="AA242" s="65" t="str">
        <f aca="false">IF(ISBLANK($C242),"",IF($Z242&lt;&gt;Constants!$B$7,$Z242,IF(OR(NOT(T242),AND(NOT(Q242),COUNTIFS(U242:W242,Constants!$B$18,V242:X242,"&gt;=0")&gt;0),AND(NOT(R242),COUNTIFS(U242:W242,Constants!$B$19,V242:X242,"&gt;=0")&gt;0)),Constants!$B$12,Constants!$B$11)))</f>
        <v/>
      </c>
      <c r="AB242" s="65" t="str">
        <f aca="false">IF($Z242=Constants!$B$7,IF(V242="",Constants!$B$13,V242),"")</f>
        <v/>
      </c>
      <c r="AC242" s="65" t="str">
        <f aca="false">IF($Z242=Constants!$B$7,IF(X242="",Constants!$B$13,X242),"")</f>
        <v/>
      </c>
      <c r="AD242" s="65" t="str">
        <f aca="false">IF($Z242=Constants!$B$7,IF($AB242&gt;=$AC242,1,2),"")</f>
        <v/>
      </c>
      <c r="AE242" s="65" t="str">
        <f aca="false">IF($Z242=Constants!$B$7,LARGE(AB242:AC242,1),"")</f>
        <v/>
      </c>
      <c r="AF242" s="65" t="str">
        <f aca="false">IF(ISBLANK($C242),"",IF($Z242&lt;&gt;Constants!$B$7,$Z242,AE242*S242))</f>
        <v/>
      </c>
      <c r="AG242" s="65" t="str">
        <f aca="false">IF(ISBLANK($C242),"",IF($Z242=Constants!$B$7,IF(ISNUMBER(AF242),RANK(AF242,$AF$8:$AF$507),Constants!$B$14),$Z242))</f>
        <v/>
      </c>
      <c r="AH242" s="65" t="str">
        <f aca="false">IF(ISBLANK($C242),"",IF($Z242=Constants!$B$7,IF(ISNUMBER(AG242),COUNTIFS($AA$8:$AA$507,"&lt;"&amp;$AA242)+COUNTIFS($AA$8:$AA$507,$AA242,$AG$8:$AG$507,"&lt;"&amp;$AG242)+1,Constants!$B$14),$Z242))</f>
        <v/>
      </c>
      <c r="AI242" s="65" t="str">
        <f aca="false">IF(ISBLANK($C242),"",IF($Z242=Constants!$B$7,LARGE(AB242:AC242,2)*S242,""))</f>
        <v/>
      </c>
      <c r="AJ242" s="65" t="str">
        <f aca="false">IF(ISBLANK($C242),"",IF($Z242=Constants!$B$7,RANK(AI242,$AI$8:$AI$507),$Z242))</f>
        <v/>
      </c>
      <c r="AK242" s="65" t="str">
        <f aca="false">IF(ISBLANK($C242),"",IF($Z242=Constants!$B$7,IF(ISNUMBER(AG242),COUNTIFS($AA$8:$AA$507,"&lt;"&amp;$AA242)+COUNTIFS($AA$8:$AA$507,$AA242,$AG$8:$AG$507,"&lt;"&amp;$AG242)+COUNTIFS($AA$8:$AA$507,$AA242,$AG$8:$AG$507,$AG242,$AJ$8:$AJ$507,"&lt;"&amp;$AJ242)+1,Constants!$B$14),$Z242))</f>
        <v/>
      </c>
      <c r="AL242" s="65" t="str">
        <f aca="false">IF(ISBLANK($C242),"",IF($Z242=Constants!$B$7,IF(ISNUMBER(AH242),AH242-AK242,Constants!$B$14),$Z242))</f>
        <v/>
      </c>
      <c r="AM242" s="67"/>
      <c r="AN242" s="68" t="str">
        <f aca="false">IF(ISBLANK($C242),"",IF($Z242&lt;&gt;Constants!$B$7,$Z242,AD242))</f>
        <v/>
      </c>
      <c r="AO242" s="69" t="str">
        <f aca="false">IF(ISBLANK($C242),"",IF($Z242&lt;&gt;Constants!$B$7,$Z242,S242))</f>
        <v/>
      </c>
      <c r="AP242" s="70" t="str">
        <f aca="false">IF(ISBLANK($C242),"",IF($Z242&lt;&gt;Constants!$B$7,$Z242,AF242))</f>
        <v/>
      </c>
      <c r="AQ242" s="71" t="str">
        <f aca="false">IF(ISBLANK($C242),"",IF($Z242&lt;&gt;Constants!$B$7,$Z242,AA242))</f>
        <v/>
      </c>
      <c r="AR242" s="69" t="str">
        <f aca="false">IF(ISBLANK($C242),"",AL242)</f>
        <v/>
      </c>
      <c r="AS242" s="69" t="str">
        <f aca="false">IF(ISBLANK($C242),"",AK242)</f>
        <v/>
      </c>
      <c r="AT242" s="72" t="str">
        <f aca="false">IF(ISBLANK($C242),"",IF(AS242=Constants!$B$4,COUNTA($C$8:$C$507)+2,IF(AS242=Constants!$B$5,COUNTA($C$8:$C$507)+1,IF(AS242=Constants!$B$6,COUNTA($C$8:$C$507),AS242))))</f>
        <v/>
      </c>
      <c r="AU242" s="5"/>
      <c r="AV242" s="73" t="n">
        <f aca="false">IF(OR(ISNUMBER(AS242),AS242=Constants!$B$4,AS242=Constants!$B$6,AS242=Constants!$B$5),1,0)</f>
        <v>0</v>
      </c>
      <c r="AW242" s="73" t="n">
        <v>235</v>
      </c>
      <c r="AX242" s="73" t="str">
        <f aca="false">IF(ISBLANK($C242),"",IF(ISNUMBER(AT242),AT242+ROW($B242)/1000,""))</f>
        <v/>
      </c>
      <c r="AY242" s="73" t="str">
        <f aca="false">IF(ISNUMBER(AX242),RANK(AX242,$AX$8:$AX$507,1),"")</f>
        <v/>
      </c>
      <c r="AZ242" s="73" t="str">
        <f aca="false">IF(ISBLANK($C242),"",$B242)</f>
        <v/>
      </c>
      <c r="BA242" s="73" t="str">
        <f aca="false">IF(ISBLANK($C242),"",$C242)</f>
        <v/>
      </c>
      <c r="BB242" s="73" t="str">
        <f aca="false">IF(ISBLANK($C242),"",$D242)</f>
        <v/>
      </c>
      <c r="BC242" s="74" t="str">
        <f aca="false">AQ242</f>
        <v/>
      </c>
      <c r="BD242" s="75" t="str">
        <f aca="false">AP242</f>
        <v/>
      </c>
      <c r="BE242" s="73" t="str">
        <f aca="false">IF(ISBLANK($C242),"",AS242)</f>
        <v/>
      </c>
      <c r="BF242" s="76" t="str">
        <f aca="false">IF($AW242&gt;$AV$7,"",VLOOKUP($AW242,$AY$8:$BE$507,7,FALSE()))</f>
        <v/>
      </c>
      <c r="BG242" s="77" t="str">
        <f aca="false">IF($AW242&gt;$AV$7,"",VLOOKUP($AW242,$AY$8:$BE$507,2,FALSE()))</f>
        <v/>
      </c>
      <c r="BH242" s="77" t="str">
        <f aca="false">IF($AW242&gt;$AV$7,"",VLOOKUP($AW242,$AY$8:$BE$507,3,FALSE()))</f>
        <v/>
      </c>
      <c r="BI242" s="77" t="str">
        <f aca="false">IF($AW242&gt;$AV$7,"",VLOOKUP($AW242,$AY$8:$BE$507,4,FALSE()))</f>
        <v/>
      </c>
      <c r="BJ242" s="77" t="str">
        <f aca="false">IF($AW242&gt;$AV$7,"",VLOOKUP($AW242,$AY$8:$BE$507,5,FALSE()))</f>
        <v/>
      </c>
      <c r="BK242" s="78" t="str">
        <f aca="false">IF($AW242&gt;$AV$7,"",VLOOKUP($AW242,$AY$8:$BE$507,6,FALSE()))</f>
        <v/>
      </c>
      <c r="BL242" s="50"/>
    </row>
    <row r="243" customFormat="false" ht="15.75" hidden="false" customHeight="false" outlineLevel="0" collapsed="false">
      <c r="A243" s="5"/>
      <c r="B243" s="131"/>
      <c r="C243" s="52"/>
      <c r="D243" s="53"/>
      <c r="E243" s="80"/>
      <c r="F243" s="132"/>
      <c r="G243" s="56"/>
      <c r="H243" s="133"/>
      <c r="I243" s="134"/>
      <c r="J243" s="59"/>
      <c r="K243" s="60"/>
      <c r="L243" s="134"/>
      <c r="M243" s="61"/>
      <c r="N243" s="62"/>
      <c r="O243" s="80"/>
      <c r="P243" s="64"/>
      <c r="Q243" s="65" t="str">
        <f aca="false">IF(ISBLANK($C243),"",IF(E243=Constants!$B$2, TRUE(), IF(E243=Constants!$B$3, FALSE(), TRUE())))</f>
        <v/>
      </c>
      <c r="R243" s="65" t="str">
        <f aca="false">IF(ISBLANK($C243),"",IF(F243=Constants!$B$2, TRUE(), IF(F243=Constants!$B$3, FALSE(), TRUE())))</f>
        <v/>
      </c>
      <c r="S243" s="65" t="str">
        <f aca="false">IF(ISBLANK($C243),"",IF(G243=Constants!$B$15,Constants!$B$8,IF(G243=Constants!$B$16,Constants!$B$9,Constants!$B$10)))</f>
        <v/>
      </c>
      <c r="T243" s="65" t="str">
        <f aca="false">IF(ISBLANK($C243),"",IF(H243=Constants!$B$2, TRUE(), IF(H243=Constants!$B$3, FALSE(), TRUE())))</f>
        <v/>
      </c>
      <c r="U243" s="65" t="str">
        <f aca="false">IF(ISBLANK($C243),"",IF(I243=Constants!$B$19,Constants!$B$19,Constants!$B$18))</f>
        <v/>
      </c>
      <c r="V243" s="65" t="str">
        <f aca="false">IF(ISBLANK($C243),"",IF(COUNTA(J243:K243)=0,"",IF(AND(OR(ISBLANK(J243),AND(ISNUMBER(J243),J243&gt;=0)),OR(ISBLANK(K243),AND(ISNUMBER(K243),K243&gt;=0))),60*IF(ISBLANK(J243),0,J243)+IF(ISBLANK(K243),0,K243),"")))</f>
        <v/>
      </c>
      <c r="W243" s="65" t="str">
        <f aca="false">IF(ISBLANK($C243),"",IF(L243=Constants!$B$19,Constants!$B$19,Constants!$B$18))</f>
        <v/>
      </c>
      <c r="X243" s="65" t="str">
        <f aca="false">IF(ISBLANK($C243),"",IF(COUNTA(M243:N243)=0,"",IF(AND(OR(ISBLANK(M243),AND(ISNUMBER(M243),M243&gt;=0)),OR(ISBLANK(N243),AND(ISNUMBER(N243),N243&gt;=0))),60*IF(ISBLANK(M243),0,M243)+IF(ISBLANK(N243),0,N243),"")))</f>
        <v/>
      </c>
      <c r="Y243" s="65" t="str">
        <f aca="false">IF(ISBLANK($C243),"",IF(O243=Constants!$B$2, TRUE(), IF(O243=Constants!$B$3, FALSE(), FALSE())))</f>
        <v/>
      </c>
      <c r="Z243" s="65" t="str">
        <f aca="false">IF(ISBLANK($C243),"",IF(Y243,Constants!$B$4,IF(COUNTA(E243:N243)=0,Constants!$B$5,IF(COUNTA(J243:K243,M243:N243)=0,Constants!$B$6,Constants!$B$7))))</f>
        <v/>
      </c>
      <c r="AA243" s="65" t="str">
        <f aca="false">IF(ISBLANK($C243),"",IF($Z243&lt;&gt;Constants!$B$7,$Z243,IF(OR(NOT(T243),AND(NOT(Q243),COUNTIFS(U243:W243,Constants!$B$18,V243:X243,"&gt;=0")&gt;0),AND(NOT(R243),COUNTIFS(U243:W243,Constants!$B$19,V243:X243,"&gt;=0")&gt;0)),Constants!$B$12,Constants!$B$11)))</f>
        <v/>
      </c>
      <c r="AB243" s="65" t="str">
        <f aca="false">IF($Z243=Constants!$B$7,IF(V243="",Constants!$B$13,V243),"")</f>
        <v/>
      </c>
      <c r="AC243" s="65" t="str">
        <f aca="false">IF($Z243=Constants!$B$7,IF(X243="",Constants!$B$13,X243),"")</f>
        <v/>
      </c>
      <c r="AD243" s="65" t="str">
        <f aca="false">IF($Z243=Constants!$B$7,IF($AB243&gt;=$AC243,1,2),"")</f>
        <v/>
      </c>
      <c r="AE243" s="65" t="str">
        <f aca="false">IF($Z243=Constants!$B$7,LARGE(AB243:AC243,1),"")</f>
        <v/>
      </c>
      <c r="AF243" s="65" t="str">
        <f aca="false">IF(ISBLANK($C243),"",IF($Z243&lt;&gt;Constants!$B$7,$Z243,AE243*S243))</f>
        <v/>
      </c>
      <c r="AG243" s="65" t="str">
        <f aca="false">IF(ISBLANK($C243),"",IF($Z243=Constants!$B$7,IF(ISNUMBER(AF243),RANK(AF243,$AF$8:$AF$507),Constants!$B$14),$Z243))</f>
        <v/>
      </c>
      <c r="AH243" s="65" t="str">
        <f aca="false">IF(ISBLANK($C243),"",IF($Z243=Constants!$B$7,IF(ISNUMBER(AG243),COUNTIFS($AA$8:$AA$507,"&lt;"&amp;$AA243)+COUNTIFS($AA$8:$AA$507,$AA243,$AG$8:$AG$507,"&lt;"&amp;$AG243)+1,Constants!$B$14),$Z243))</f>
        <v/>
      </c>
      <c r="AI243" s="65" t="str">
        <f aca="false">IF(ISBLANK($C243),"",IF($Z243=Constants!$B$7,LARGE(AB243:AC243,2)*S243,""))</f>
        <v/>
      </c>
      <c r="AJ243" s="65" t="str">
        <f aca="false">IF(ISBLANK($C243),"",IF($Z243=Constants!$B$7,RANK(AI243,$AI$8:$AI$507),$Z243))</f>
        <v/>
      </c>
      <c r="AK243" s="65" t="str">
        <f aca="false">IF(ISBLANK($C243),"",IF($Z243=Constants!$B$7,IF(ISNUMBER(AG243),COUNTIFS($AA$8:$AA$507,"&lt;"&amp;$AA243)+COUNTIFS($AA$8:$AA$507,$AA243,$AG$8:$AG$507,"&lt;"&amp;$AG243)+COUNTIFS($AA$8:$AA$507,$AA243,$AG$8:$AG$507,$AG243,$AJ$8:$AJ$507,"&lt;"&amp;$AJ243)+1,Constants!$B$14),$Z243))</f>
        <v/>
      </c>
      <c r="AL243" s="65" t="str">
        <f aca="false">IF(ISBLANK($C243),"",IF($Z243=Constants!$B$7,IF(ISNUMBER(AH243),AH243-AK243,Constants!$B$14),$Z243))</f>
        <v/>
      </c>
      <c r="AM243" s="67"/>
      <c r="AN243" s="68" t="str">
        <f aca="false">IF(ISBLANK($C243),"",IF($Z243&lt;&gt;Constants!$B$7,$Z243,AD243))</f>
        <v/>
      </c>
      <c r="AO243" s="69" t="str">
        <f aca="false">IF(ISBLANK($C243),"",IF($Z243&lt;&gt;Constants!$B$7,$Z243,S243))</f>
        <v/>
      </c>
      <c r="AP243" s="70" t="str">
        <f aca="false">IF(ISBLANK($C243),"",IF($Z243&lt;&gt;Constants!$B$7,$Z243,AF243))</f>
        <v/>
      </c>
      <c r="AQ243" s="71" t="str">
        <f aca="false">IF(ISBLANK($C243),"",IF($Z243&lt;&gt;Constants!$B$7,$Z243,AA243))</f>
        <v/>
      </c>
      <c r="AR243" s="69" t="str">
        <f aca="false">IF(ISBLANK($C243),"",AL243)</f>
        <v/>
      </c>
      <c r="AS243" s="69" t="str">
        <f aca="false">IF(ISBLANK($C243),"",AK243)</f>
        <v/>
      </c>
      <c r="AT243" s="72" t="str">
        <f aca="false">IF(ISBLANK($C243),"",IF(AS243=Constants!$B$4,COUNTA($C$8:$C$507)+2,IF(AS243=Constants!$B$5,COUNTA($C$8:$C$507)+1,IF(AS243=Constants!$B$6,COUNTA($C$8:$C$507),AS243))))</f>
        <v/>
      </c>
      <c r="AU243" s="5"/>
      <c r="AV243" s="73" t="n">
        <f aca="false">IF(OR(ISNUMBER(AS243),AS243=Constants!$B$4,AS243=Constants!$B$6,AS243=Constants!$B$5),1,0)</f>
        <v>0</v>
      </c>
      <c r="AW243" s="73" t="n">
        <v>236</v>
      </c>
      <c r="AX243" s="73" t="str">
        <f aca="false">IF(ISBLANK($C243),"",IF(ISNUMBER(AT243),AT243+ROW($B243)/1000,""))</f>
        <v/>
      </c>
      <c r="AY243" s="73" t="str">
        <f aca="false">IF(ISNUMBER(AX243),RANK(AX243,$AX$8:$AX$507,1),"")</f>
        <v/>
      </c>
      <c r="AZ243" s="73" t="str">
        <f aca="false">IF(ISBLANK($C243),"",$B243)</f>
        <v/>
      </c>
      <c r="BA243" s="73" t="str">
        <f aca="false">IF(ISBLANK($C243),"",$C243)</f>
        <v/>
      </c>
      <c r="BB243" s="73" t="str">
        <f aca="false">IF(ISBLANK($C243),"",$D243)</f>
        <v/>
      </c>
      <c r="BC243" s="74" t="str">
        <f aca="false">AQ243</f>
        <v/>
      </c>
      <c r="BD243" s="75" t="str">
        <f aca="false">AP243</f>
        <v/>
      </c>
      <c r="BE243" s="73" t="str">
        <f aca="false">IF(ISBLANK($C243),"",AS243)</f>
        <v/>
      </c>
      <c r="BF243" s="76" t="str">
        <f aca="false">IF($AW243&gt;$AV$7,"",VLOOKUP($AW243,$AY$8:$BE$507,7,FALSE()))</f>
        <v/>
      </c>
      <c r="BG243" s="77" t="str">
        <f aca="false">IF($AW243&gt;$AV$7,"",VLOOKUP($AW243,$AY$8:$BE$507,2,FALSE()))</f>
        <v/>
      </c>
      <c r="BH243" s="77" t="str">
        <f aca="false">IF($AW243&gt;$AV$7,"",VLOOKUP($AW243,$AY$8:$BE$507,3,FALSE()))</f>
        <v/>
      </c>
      <c r="BI243" s="77" t="str">
        <f aca="false">IF($AW243&gt;$AV$7,"",VLOOKUP($AW243,$AY$8:$BE$507,4,FALSE()))</f>
        <v/>
      </c>
      <c r="BJ243" s="77" t="str">
        <f aca="false">IF($AW243&gt;$AV$7,"",VLOOKUP($AW243,$AY$8:$BE$507,5,FALSE()))</f>
        <v/>
      </c>
      <c r="BK243" s="78" t="str">
        <f aca="false">IF($AW243&gt;$AV$7,"",VLOOKUP($AW243,$AY$8:$BE$507,6,FALSE()))</f>
        <v/>
      </c>
      <c r="BL243" s="50"/>
    </row>
    <row r="244" customFormat="false" ht="15.75" hidden="false" customHeight="false" outlineLevel="0" collapsed="false">
      <c r="A244" s="5"/>
      <c r="B244" s="131"/>
      <c r="C244" s="52"/>
      <c r="D244" s="53"/>
      <c r="E244" s="80"/>
      <c r="F244" s="132"/>
      <c r="G244" s="56"/>
      <c r="H244" s="133"/>
      <c r="I244" s="134"/>
      <c r="J244" s="59"/>
      <c r="K244" s="60"/>
      <c r="L244" s="134"/>
      <c r="M244" s="61"/>
      <c r="N244" s="62"/>
      <c r="O244" s="80"/>
      <c r="P244" s="64"/>
      <c r="Q244" s="65" t="str">
        <f aca="false">IF(ISBLANK($C244),"",IF(E244=Constants!$B$2, TRUE(), IF(E244=Constants!$B$3, FALSE(), TRUE())))</f>
        <v/>
      </c>
      <c r="R244" s="65" t="str">
        <f aca="false">IF(ISBLANK($C244),"",IF(F244=Constants!$B$2, TRUE(), IF(F244=Constants!$B$3, FALSE(), TRUE())))</f>
        <v/>
      </c>
      <c r="S244" s="65" t="str">
        <f aca="false">IF(ISBLANK($C244),"",IF(G244=Constants!$B$15,Constants!$B$8,IF(G244=Constants!$B$16,Constants!$B$9,Constants!$B$10)))</f>
        <v/>
      </c>
      <c r="T244" s="65" t="str">
        <f aca="false">IF(ISBLANK($C244),"",IF(H244=Constants!$B$2, TRUE(), IF(H244=Constants!$B$3, FALSE(), TRUE())))</f>
        <v/>
      </c>
      <c r="U244" s="65" t="str">
        <f aca="false">IF(ISBLANK($C244),"",IF(I244=Constants!$B$19,Constants!$B$19,Constants!$B$18))</f>
        <v/>
      </c>
      <c r="V244" s="65" t="str">
        <f aca="false">IF(ISBLANK($C244),"",IF(COUNTA(J244:K244)=0,"",IF(AND(OR(ISBLANK(J244),AND(ISNUMBER(J244),J244&gt;=0)),OR(ISBLANK(K244),AND(ISNUMBER(K244),K244&gt;=0))),60*IF(ISBLANK(J244),0,J244)+IF(ISBLANK(K244),0,K244),"")))</f>
        <v/>
      </c>
      <c r="W244" s="65" t="str">
        <f aca="false">IF(ISBLANK($C244),"",IF(L244=Constants!$B$19,Constants!$B$19,Constants!$B$18))</f>
        <v/>
      </c>
      <c r="X244" s="65" t="str">
        <f aca="false">IF(ISBLANK($C244),"",IF(COUNTA(M244:N244)=0,"",IF(AND(OR(ISBLANK(M244),AND(ISNUMBER(M244),M244&gt;=0)),OR(ISBLANK(N244),AND(ISNUMBER(N244),N244&gt;=0))),60*IF(ISBLANK(M244),0,M244)+IF(ISBLANK(N244),0,N244),"")))</f>
        <v/>
      </c>
      <c r="Y244" s="65" t="str">
        <f aca="false">IF(ISBLANK($C244),"",IF(O244=Constants!$B$2, TRUE(), IF(O244=Constants!$B$3, FALSE(), FALSE())))</f>
        <v/>
      </c>
      <c r="Z244" s="65" t="str">
        <f aca="false">IF(ISBLANK($C244),"",IF(Y244,Constants!$B$4,IF(COUNTA(E244:N244)=0,Constants!$B$5,IF(COUNTA(J244:K244,M244:N244)=0,Constants!$B$6,Constants!$B$7))))</f>
        <v/>
      </c>
      <c r="AA244" s="65" t="str">
        <f aca="false">IF(ISBLANK($C244),"",IF($Z244&lt;&gt;Constants!$B$7,$Z244,IF(OR(NOT(T244),AND(NOT(Q244),COUNTIFS(U244:W244,Constants!$B$18,V244:X244,"&gt;=0")&gt;0),AND(NOT(R244),COUNTIFS(U244:W244,Constants!$B$19,V244:X244,"&gt;=0")&gt;0)),Constants!$B$12,Constants!$B$11)))</f>
        <v/>
      </c>
      <c r="AB244" s="65" t="str">
        <f aca="false">IF($Z244=Constants!$B$7,IF(V244="",Constants!$B$13,V244),"")</f>
        <v/>
      </c>
      <c r="AC244" s="65" t="str">
        <f aca="false">IF($Z244=Constants!$B$7,IF(X244="",Constants!$B$13,X244),"")</f>
        <v/>
      </c>
      <c r="AD244" s="65" t="str">
        <f aca="false">IF($Z244=Constants!$B$7,IF($AB244&gt;=$AC244,1,2),"")</f>
        <v/>
      </c>
      <c r="AE244" s="65" t="str">
        <f aca="false">IF($Z244=Constants!$B$7,LARGE(AB244:AC244,1),"")</f>
        <v/>
      </c>
      <c r="AF244" s="65" t="str">
        <f aca="false">IF(ISBLANK($C244),"",IF($Z244&lt;&gt;Constants!$B$7,$Z244,AE244*S244))</f>
        <v/>
      </c>
      <c r="AG244" s="65" t="str">
        <f aca="false">IF(ISBLANK($C244),"",IF($Z244=Constants!$B$7,IF(ISNUMBER(AF244),RANK(AF244,$AF$8:$AF$507),Constants!$B$14),$Z244))</f>
        <v/>
      </c>
      <c r="AH244" s="65" t="str">
        <f aca="false">IF(ISBLANK($C244),"",IF($Z244=Constants!$B$7,IF(ISNUMBER(AG244),COUNTIFS($AA$8:$AA$507,"&lt;"&amp;$AA244)+COUNTIFS($AA$8:$AA$507,$AA244,$AG$8:$AG$507,"&lt;"&amp;$AG244)+1,Constants!$B$14),$Z244))</f>
        <v/>
      </c>
      <c r="AI244" s="65" t="str">
        <f aca="false">IF(ISBLANK($C244),"",IF($Z244=Constants!$B$7,LARGE(AB244:AC244,2)*S244,""))</f>
        <v/>
      </c>
      <c r="AJ244" s="65" t="str">
        <f aca="false">IF(ISBLANK($C244),"",IF($Z244=Constants!$B$7,RANK(AI244,$AI$8:$AI$507),$Z244))</f>
        <v/>
      </c>
      <c r="AK244" s="65" t="str">
        <f aca="false">IF(ISBLANK($C244),"",IF($Z244=Constants!$B$7,IF(ISNUMBER(AG244),COUNTIFS($AA$8:$AA$507,"&lt;"&amp;$AA244)+COUNTIFS($AA$8:$AA$507,$AA244,$AG$8:$AG$507,"&lt;"&amp;$AG244)+COUNTIFS($AA$8:$AA$507,$AA244,$AG$8:$AG$507,$AG244,$AJ$8:$AJ$507,"&lt;"&amp;$AJ244)+1,Constants!$B$14),$Z244))</f>
        <v/>
      </c>
      <c r="AL244" s="65" t="str">
        <f aca="false">IF(ISBLANK($C244),"",IF($Z244=Constants!$B$7,IF(ISNUMBER(AH244),AH244-AK244,Constants!$B$14),$Z244))</f>
        <v/>
      </c>
      <c r="AM244" s="67"/>
      <c r="AN244" s="68" t="str">
        <f aca="false">IF(ISBLANK($C244),"",IF($Z244&lt;&gt;Constants!$B$7,$Z244,AD244))</f>
        <v/>
      </c>
      <c r="AO244" s="69" t="str">
        <f aca="false">IF(ISBLANK($C244),"",IF($Z244&lt;&gt;Constants!$B$7,$Z244,S244))</f>
        <v/>
      </c>
      <c r="AP244" s="70" t="str">
        <f aca="false">IF(ISBLANK($C244),"",IF($Z244&lt;&gt;Constants!$B$7,$Z244,AF244))</f>
        <v/>
      </c>
      <c r="AQ244" s="71" t="str">
        <f aca="false">IF(ISBLANK($C244),"",IF($Z244&lt;&gt;Constants!$B$7,$Z244,AA244))</f>
        <v/>
      </c>
      <c r="AR244" s="69" t="str">
        <f aca="false">IF(ISBLANK($C244),"",AL244)</f>
        <v/>
      </c>
      <c r="AS244" s="69" t="str">
        <f aca="false">IF(ISBLANK($C244),"",AK244)</f>
        <v/>
      </c>
      <c r="AT244" s="72" t="str">
        <f aca="false">IF(ISBLANK($C244),"",IF(AS244=Constants!$B$4,COUNTA($C$8:$C$507)+2,IF(AS244=Constants!$B$5,COUNTA($C$8:$C$507)+1,IF(AS244=Constants!$B$6,COUNTA($C$8:$C$507),AS244))))</f>
        <v/>
      </c>
      <c r="AU244" s="5"/>
      <c r="AV244" s="73" t="n">
        <f aca="false">IF(OR(ISNUMBER(AS244),AS244=Constants!$B$4,AS244=Constants!$B$6,AS244=Constants!$B$5),1,0)</f>
        <v>0</v>
      </c>
      <c r="AW244" s="73" t="n">
        <v>237</v>
      </c>
      <c r="AX244" s="73" t="str">
        <f aca="false">IF(ISBLANK($C244),"",IF(ISNUMBER(AT244),AT244+ROW($B244)/1000,""))</f>
        <v/>
      </c>
      <c r="AY244" s="73" t="str">
        <f aca="false">IF(ISNUMBER(AX244),RANK(AX244,$AX$8:$AX$507,1),"")</f>
        <v/>
      </c>
      <c r="AZ244" s="73" t="str">
        <f aca="false">IF(ISBLANK($C244),"",$B244)</f>
        <v/>
      </c>
      <c r="BA244" s="73" t="str">
        <f aca="false">IF(ISBLANK($C244),"",$C244)</f>
        <v/>
      </c>
      <c r="BB244" s="73" t="str">
        <f aca="false">IF(ISBLANK($C244),"",$D244)</f>
        <v/>
      </c>
      <c r="BC244" s="74" t="str">
        <f aca="false">AQ244</f>
        <v/>
      </c>
      <c r="BD244" s="75" t="str">
        <f aca="false">AP244</f>
        <v/>
      </c>
      <c r="BE244" s="73" t="str">
        <f aca="false">IF(ISBLANK($C244),"",AS244)</f>
        <v/>
      </c>
      <c r="BF244" s="76" t="str">
        <f aca="false">IF($AW244&gt;$AV$7,"",VLOOKUP($AW244,$AY$8:$BE$507,7,FALSE()))</f>
        <v/>
      </c>
      <c r="BG244" s="77" t="str">
        <f aca="false">IF($AW244&gt;$AV$7,"",VLOOKUP($AW244,$AY$8:$BE$507,2,FALSE()))</f>
        <v/>
      </c>
      <c r="BH244" s="77" t="str">
        <f aca="false">IF($AW244&gt;$AV$7,"",VLOOKUP($AW244,$AY$8:$BE$507,3,FALSE()))</f>
        <v/>
      </c>
      <c r="BI244" s="77" t="str">
        <f aca="false">IF($AW244&gt;$AV$7,"",VLOOKUP($AW244,$AY$8:$BE$507,4,FALSE()))</f>
        <v/>
      </c>
      <c r="BJ244" s="77" t="str">
        <f aca="false">IF($AW244&gt;$AV$7,"",VLOOKUP($AW244,$AY$8:$BE$507,5,FALSE()))</f>
        <v/>
      </c>
      <c r="BK244" s="78" t="str">
        <f aca="false">IF($AW244&gt;$AV$7,"",VLOOKUP($AW244,$AY$8:$BE$507,6,FALSE()))</f>
        <v/>
      </c>
      <c r="BL244" s="50"/>
    </row>
    <row r="245" customFormat="false" ht="15.75" hidden="false" customHeight="false" outlineLevel="0" collapsed="false">
      <c r="A245" s="5"/>
      <c r="B245" s="124"/>
      <c r="C245" s="125"/>
      <c r="D245" s="110"/>
      <c r="E245" s="130"/>
      <c r="F245" s="135"/>
      <c r="G245" s="88"/>
      <c r="H245" s="136"/>
      <c r="I245" s="137"/>
      <c r="J245" s="91"/>
      <c r="K245" s="92"/>
      <c r="L245" s="137"/>
      <c r="M245" s="93"/>
      <c r="N245" s="94"/>
      <c r="O245" s="130"/>
      <c r="P245" s="96"/>
      <c r="Q245" s="97" t="str">
        <f aca="false">IF(ISBLANK($C245),"",IF(E245=Constants!$B$2, TRUE(), IF(E245=Constants!$B$3, FALSE(), TRUE())))</f>
        <v/>
      </c>
      <c r="R245" s="97" t="str">
        <f aca="false">IF(ISBLANK($C245),"",IF(F245=Constants!$B$2, TRUE(), IF(F245=Constants!$B$3, FALSE(), TRUE())))</f>
        <v/>
      </c>
      <c r="S245" s="97" t="str">
        <f aca="false">IF(ISBLANK($C245),"",IF(G245=Constants!$B$15,Constants!$B$8,IF(G245=Constants!$B$16,Constants!$B$9,Constants!$B$10)))</f>
        <v/>
      </c>
      <c r="T245" s="97" t="str">
        <f aca="false">IF(ISBLANK($C245),"",IF(H245=Constants!$B$2, TRUE(), IF(H245=Constants!$B$3, FALSE(), TRUE())))</f>
        <v/>
      </c>
      <c r="U245" s="97" t="str">
        <f aca="false">IF(ISBLANK($C245),"",IF(I245=Constants!$B$19,Constants!$B$19,Constants!$B$18))</f>
        <v/>
      </c>
      <c r="V245" s="97" t="str">
        <f aca="false">IF(ISBLANK($C245),"",IF(COUNTA(J245:K245)=0,"",IF(AND(OR(ISBLANK(J245),AND(ISNUMBER(J245),J245&gt;=0)),OR(ISBLANK(K245),AND(ISNUMBER(K245),K245&gt;=0))),60*IF(ISBLANK(J245),0,J245)+IF(ISBLANK(K245),0,K245),"")))</f>
        <v/>
      </c>
      <c r="W245" s="97" t="str">
        <f aca="false">IF(ISBLANK($C245),"",IF(L245=Constants!$B$19,Constants!$B$19,Constants!$B$18))</f>
        <v/>
      </c>
      <c r="X245" s="97" t="str">
        <f aca="false">IF(ISBLANK($C245),"",IF(COUNTA(M245:N245)=0,"",IF(AND(OR(ISBLANK(M245),AND(ISNUMBER(M245),M245&gt;=0)),OR(ISBLANK(N245),AND(ISNUMBER(N245),N245&gt;=0))),60*IF(ISBLANK(M245),0,M245)+IF(ISBLANK(N245),0,N245),"")))</f>
        <v/>
      </c>
      <c r="Y245" s="97" t="str">
        <f aca="false">IF(ISBLANK($C245),"",IF(O245=Constants!$B$2, TRUE(), IF(O245=Constants!$B$3, FALSE(), FALSE())))</f>
        <v/>
      </c>
      <c r="Z245" s="97" t="str">
        <f aca="false">IF(ISBLANK($C245),"",IF(Y245,Constants!$B$4,IF(COUNTA(E245:N245)=0,Constants!$B$5,IF(COUNTA(J245:K245,M245:N245)=0,Constants!$B$6,Constants!$B$7))))</f>
        <v/>
      </c>
      <c r="AA245" s="97" t="str">
        <f aca="false">IF(ISBLANK($C245),"",IF($Z245&lt;&gt;Constants!$B$7,$Z245,IF(OR(NOT(T245),AND(NOT(Q245),COUNTIFS(U245:W245,Constants!$B$18,V245:X245,"&gt;=0")&gt;0),AND(NOT(R245),COUNTIFS(U245:W245,Constants!$B$19,V245:X245,"&gt;=0")&gt;0)),Constants!$B$12,Constants!$B$11)))</f>
        <v/>
      </c>
      <c r="AB245" s="97" t="str">
        <f aca="false">IF($Z245=Constants!$B$7,IF(V245="",Constants!$B$13,V245),"")</f>
        <v/>
      </c>
      <c r="AC245" s="97" t="str">
        <f aca="false">IF($Z245=Constants!$B$7,IF(X245="",Constants!$B$13,X245),"")</f>
        <v/>
      </c>
      <c r="AD245" s="97" t="str">
        <f aca="false">IF($Z245=Constants!$B$7,IF($AB245&gt;=$AC245,1,2),"")</f>
        <v/>
      </c>
      <c r="AE245" s="97" t="str">
        <f aca="false">IF($Z245=Constants!$B$7,LARGE(AB245:AC245,1),"")</f>
        <v/>
      </c>
      <c r="AF245" s="97" t="str">
        <f aca="false">IF(ISBLANK($C245),"",IF($Z245&lt;&gt;Constants!$B$7,$Z245,AE245*S245))</f>
        <v/>
      </c>
      <c r="AG245" s="97" t="str">
        <f aca="false">IF(ISBLANK($C245),"",IF($Z245=Constants!$B$7,IF(ISNUMBER(AF245),RANK(AF245,$AF$8:$AF$507),Constants!$B$14),$Z245))</f>
        <v/>
      </c>
      <c r="AH245" s="97" t="str">
        <f aca="false">IF(ISBLANK($C245),"",IF($Z245=Constants!$B$7,IF(ISNUMBER(AG245),COUNTIFS($AA$8:$AA$507,"&lt;"&amp;$AA245)+COUNTIFS($AA$8:$AA$507,$AA245,$AG$8:$AG$507,"&lt;"&amp;$AG245)+1,Constants!$B$14),$Z245))</f>
        <v/>
      </c>
      <c r="AI245" s="97" t="str">
        <f aca="false">IF(ISBLANK($C245),"",IF($Z245=Constants!$B$7,LARGE(AB245:AC245,2)*S245,""))</f>
        <v/>
      </c>
      <c r="AJ245" s="97" t="str">
        <f aca="false">IF(ISBLANK($C245),"",IF($Z245=Constants!$B$7,RANK(AI245,$AI$8:$AI$507),$Z245))</f>
        <v/>
      </c>
      <c r="AK245" s="97" t="str">
        <f aca="false">IF(ISBLANK($C245),"",IF($Z245=Constants!$B$7,IF(ISNUMBER(AG245),COUNTIFS($AA$8:$AA$507,"&lt;"&amp;$AA245)+COUNTIFS($AA$8:$AA$507,$AA245,$AG$8:$AG$507,"&lt;"&amp;$AG245)+COUNTIFS($AA$8:$AA$507,$AA245,$AG$8:$AG$507,$AG245,$AJ$8:$AJ$507,"&lt;"&amp;$AJ245)+1,Constants!$B$14),$Z245))</f>
        <v/>
      </c>
      <c r="AL245" s="97" t="str">
        <f aca="false">IF(ISBLANK($C245),"",IF($Z245=Constants!$B$7,IF(ISNUMBER(AH245),AH245-AK245,Constants!$B$14),$Z245))</f>
        <v/>
      </c>
      <c r="AM245" s="98"/>
      <c r="AN245" s="99" t="str">
        <f aca="false">IF(ISBLANK($C245),"",IF($Z245&lt;&gt;Constants!$B$7,$Z245,AD245))</f>
        <v/>
      </c>
      <c r="AO245" s="100" t="str">
        <f aca="false">IF(ISBLANK($C245),"",IF($Z245&lt;&gt;Constants!$B$7,$Z245,S245))</f>
        <v/>
      </c>
      <c r="AP245" s="101" t="str">
        <f aca="false">IF(ISBLANK($C245),"",IF($Z245&lt;&gt;Constants!$B$7,$Z245,AF245))</f>
        <v/>
      </c>
      <c r="AQ245" s="102" t="str">
        <f aca="false">IF(ISBLANK($C245),"",IF($Z245&lt;&gt;Constants!$B$7,$Z245,AA245))</f>
        <v/>
      </c>
      <c r="AR245" s="100" t="str">
        <f aca="false">IF(ISBLANK($C245),"",AL245)</f>
        <v/>
      </c>
      <c r="AS245" s="100" t="str">
        <f aca="false">IF(ISBLANK($C245),"",AK245)</f>
        <v/>
      </c>
      <c r="AT245" s="103" t="str">
        <f aca="false">IF(ISBLANK($C245),"",IF(AS245=Constants!$B$4,COUNTA($C$8:$C$507)+2,IF(AS245=Constants!$B$5,COUNTA($C$8:$C$507)+1,IF(AS245=Constants!$B$6,COUNTA($C$8:$C$507),AS245))))</f>
        <v/>
      </c>
      <c r="AU245" s="5"/>
      <c r="AV245" s="104" t="n">
        <f aca="false">IF(OR(ISNUMBER(AS245),AS245=Constants!$B$4,AS245=Constants!$B$6,AS245=Constants!$B$5),1,0)</f>
        <v>0</v>
      </c>
      <c r="AW245" s="104" t="n">
        <v>238</v>
      </c>
      <c r="AX245" s="104" t="str">
        <f aca="false">IF(ISBLANK($C245),"",IF(ISNUMBER(AT245),AT245+ROW($B245)/1000,""))</f>
        <v/>
      </c>
      <c r="AY245" s="104" t="str">
        <f aca="false">IF(ISNUMBER(AX245),RANK(AX245,$AX$8:$AX$507,1),"")</f>
        <v/>
      </c>
      <c r="AZ245" s="104" t="str">
        <f aca="false">IF(ISBLANK($C245),"",$B245)</f>
        <v/>
      </c>
      <c r="BA245" s="104" t="str">
        <f aca="false">IF(ISBLANK($C245),"",$C245)</f>
        <v/>
      </c>
      <c r="BB245" s="104" t="str">
        <f aca="false">IF(ISBLANK($C245),"",$D245)</f>
        <v/>
      </c>
      <c r="BC245" s="105" t="str">
        <f aca="false">AQ245</f>
        <v/>
      </c>
      <c r="BD245" s="106" t="str">
        <f aca="false">AP245</f>
        <v/>
      </c>
      <c r="BE245" s="104" t="str">
        <f aca="false">IF(ISBLANK($C245),"",AS245)</f>
        <v/>
      </c>
      <c r="BF245" s="107" t="str">
        <f aca="false">IF($AW245&gt;$AV$7,"",VLOOKUP($AW245,$AY$8:$BE$507,7,FALSE()))</f>
        <v/>
      </c>
      <c r="BG245" s="108" t="str">
        <f aca="false">IF($AW245&gt;$AV$7,"",VLOOKUP($AW245,$AY$8:$BE$507,2,FALSE()))</f>
        <v/>
      </c>
      <c r="BH245" s="108" t="str">
        <f aca="false">IF($AW245&gt;$AV$7,"",VLOOKUP($AW245,$AY$8:$BE$507,3,FALSE()))</f>
        <v/>
      </c>
      <c r="BI245" s="108" t="str">
        <f aca="false">IF($AW245&gt;$AV$7,"",VLOOKUP($AW245,$AY$8:$BE$507,4,FALSE()))</f>
        <v/>
      </c>
      <c r="BJ245" s="108" t="str">
        <f aca="false">IF($AW245&gt;$AV$7,"",VLOOKUP($AW245,$AY$8:$BE$507,5,FALSE()))</f>
        <v/>
      </c>
      <c r="BK245" s="109" t="str">
        <f aca="false">IF($AW245&gt;$AV$7,"",VLOOKUP($AW245,$AY$8:$BE$507,6,FALSE()))</f>
        <v/>
      </c>
      <c r="BL245" s="50"/>
    </row>
    <row r="246" customFormat="false" ht="15.75" hidden="false" customHeight="false" outlineLevel="0" collapsed="false">
      <c r="A246" s="5"/>
      <c r="B246" s="124"/>
      <c r="C246" s="125"/>
      <c r="D246" s="110"/>
      <c r="E246" s="130"/>
      <c r="F246" s="135"/>
      <c r="G246" s="88"/>
      <c r="H246" s="136"/>
      <c r="I246" s="137"/>
      <c r="J246" s="91"/>
      <c r="K246" s="92"/>
      <c r="L246" s="137"/>
      <c r="M246" s="93"/>
      <c r="N246" s="94"/>
      <c r="O246" s="130"/>
      <c r="P246" s="96"/>
      <c r="Q246" s="97" t="str">
        <f aca="false">IF(ISBLANK($C246),"",IF(E246=Constants!$B$2, TRUE(), IF(E246=Constants!$B$3, FALSE(), TRUE())))</f>
        <v/>
      </c>
      <c r="R246" s="97" t="str">
        <f aca="false">IF(ISBLANK($C246),"",IF(F246=Constants!$B$2, TRUE(), IF(F246=Constants!$B$3, FALSE(), TRUE())))</f>
        <v/>
      </c>
      <c r="S246" s="97" t="str">
        <f aca="false">IF(ISBLANK($C246),"",IF(G246=Constants!$B$15,Constants!$B$8,IF(G246=Constants!$B$16,Constants!$B$9,Constants!$B$10)))</f>
        <v/>
      </c>
      <c r="T246" s="97" t="str">
        <f aca="false">IF(ISBLANK($C246),"",IF(H246=Constants!$B$2, TRUE(), IF(H246=Constants!$B$3, FALSE(), TRUE())))</f>
        <v/>
      </c>
      <c r="U246" s="97" t="str">
        <f aca="false">IF(ISBLANK($C246),"",IF(I246=Constants!$B$19,Constants!$B$19,Constants!$B$18))</f>
        <v/>
      </c>
      <c r="V246" s="97" t="str">
        <f aca="false">IF(ISBLANK($C246),"",IF(COUNTA(J246:K246)=0,"",IF(AND(OR(ISBLANK(J246),AND(ISNUMBER(J246),J246&gt;=0)),OR(ISBLANK(K246),AND(ISNUMBER(K246),K246&gt;=0))),60*IF(ISBLANK(J246),0,J246)+IF(ISBLANK(K246),0,K246),"")))</f>
        <v/>
      </c>
      <c r="W246" s="97" t="str">
        <f aca="false">IF(ISBLANK($C246),"",IF(L246=Constants!$B$19,Constants!$B$19,Constants!$B$18))</f>
        <v/>
      </c>
      <c r="X246" s="97" t="str">
        <f aca="false">IF(ISBLANK($C246),"",IF(COUNTA(M246:N246)=0,"",IF(AND(OR(ISBLANK(M246),AND(ISNUMBER(M246),M246&gt;=0)),OR(ISBLANK(N246),AND(ISNUMBER(N246),N246&gt;=0))),60*IF(ISBLANK(M246),0,M246)+IF(ISBLANK(N246),0,N246),"")))</f>
        <v/>
      </c>
      <c r="Y246" s="97" t="str">
        <f aca="false">IF(ISBLANK($C246),"",IF(O246=Constants!$B$2, TRUE(), IF(O246=Constants!$B$3, FALSE(), FALSE())))</f>
        <v/>
      </c>
      <c r="Z246" s="97" t="str">
        <f aca="false">IF(ISBLANK($C246),"",IF(Y246,Constants!$B$4,IF(COUNTA(E246:N246)=0,Constants!$B$5,IF(COUNTA(J246:K246,M246:N246)=0,Constants!$B$6,Constants!$B$7))))</f>
        <v/>
      </c>
      <c r="AA246" s="97" t="str">
        <f aca="false">IF(ISBLANK($C246),"",IF($Z246&lt;&gt;Constants!$B$7,$Z246,IF(OR(NOT(T246),AND(NOT(Q246),COUNTIFS(U246:W246,Constants!$B$18,V246:X246,"&gt;=0")&gt;0),AND(NOT(R246),COUNTIFS(U246:W246,Constants!$B$19,V246:X246,"&gt;=0")&gt;0)),Constants!$B$12,Constants!$B$11)))</f>
        <v/>
      </c>
      <c r="AB246" s="97" t="str">
        <f aca="false">IF($Z246=Constants!$B$7,IF(V246="",Constants!$B$13,V246),"")</f>
        <v/>
      </c>
      <c r="AC246" s="97" t="str">
        <f aca="false">IF($Z246=Constants!$B$7,IF(X246="",Constants!$B$13,X246),"")</f>
        <v/>
      </c>
      <c r="AD246" s="97" t="str">
        <f aca="false">IF($Z246=Constants!$B$7,IF($AB246&gt;=$AC246,1,2),"")</f>
        <v/>
      </c>
      <c r="AE246" s="97" t="str">
        <f aca="false">IF($Z246=Constants!$B$7,LARGE(AB246:AC246,1),"")</f>
        <v/>
      </c>
      <c r="AF246" s="97" t="str">
        <f aca="false">IF(ISBLANK($C246),"",IF($Z246&lt;&gt;Constants!$B$7,$Z246,AE246*S246))</f>
        <v/>
      </c>
      <c r="AG246" s="97" t="str">
        <f aca="false">IF(ISBLANK($C246),"",IF($Z246=Constants!$B$7,IF(ISNUMBER(AF246),RANK(AF246,$AF$8:$AF$507),Constants!$B$14),$Z246))</f>
        <v/>
      </c>
      <c r="AH246" s="97" t="str">
        <f aca="false">IF(ISBLANK($C246),"",IF($Z246=Constants!$B$7,IF(ISNUMBER(AG246),COUNTIFS($AA$8:$AA$507,"&lt;"&amp;$AA246)+COUNTIFS($AA$8:$AA$507,$AA246,$AG$8:$AG$507,"&lt;"&amp;$AG246)+1,Constants!$B$14),$Z246))</f>
        <v/>
      </c>
      <c r="AI246" s="97" t="str">
        <f aca="false">IF(ISBLANK($C246),"",IF($Z246=Constants!$B$7,LARGE(AB246:AC246,2)*S246,""))</f>
        <v/>
      </c>
      <c r="AJ246" s="97" t="str">
        <f aca="false">IF(ISBLANK($C246),"",IF($Z246=Constants!$B$7,RANK(AI246,$AI$8:$AI$507),$Z246))</f>
        <v/>
      </c>
      <c r="AK246" s="97" t="str">
        <f aca="false">IF(ISBLANK($C246),"",IF($Z246=Constants!$B$7,IF(ISNUMBER(AG246),COUNTIFS($AA$8:$AA$507,"&lt;"&amp;$AA246)+COUNTIFS($AA$8:$AA$507,$AA246,$AG$8:$AG$507,"&lt;"&amp;$AG246)+COUNTIFS($AA$8:$AA$507,$AA246,$AG$8:$AG$507,$AG246,$AJ$8:$AJ$507,"&lt;"&amp;$AJ246)+1,Constants!$B$14),$Z246))</f>
        <v/>
      </c>
      <c r="AL246" s="97" t="str">
        <f aca="false">IF(ISBLANK($C246),"",IF($Z246=Constants!$B$7,IF(ISNUMBER(AH246),AH246-AK246,Constants!$B$14),$Z246))</f>
        <v/>
      </c>
      <c r="AM246" s="98"/>
      <c r="AN246" s="99" t="str">
        <f aca="false">IF(ISBLANK($C246),"",IF($Z246&lt;&gt;Constants!$B$7,$Z246,AD246))</f>
        <v/>
      </c>
      <c r="AO246" s="100" t="str">
        <f aca="false">IF(ISBLANK($C246),"",IF($Z246&lt;&gt;Constants!$B$7,$Z246,S246))</f>
        <v/>
      </c>
      <c r="AP246" s="101" t="str">
        <f aca="false">IF(ISBLANK($C246),"",IF($Z246&lt;&gt;Constants!$B$7,$Z246,AF246))</f>
        <v/>
      </c>
      <c r="AQ246" s="102" t="str">
        <f aca="false">IF(ISBLANK($C246),"",IF($Z246&lt;&gt;Constants!$B$7,$Z246,AA246))</f>
        <v/>
      </c>
      <c r="AR246" s="100" t="str">
        <f aca="false">IF(ISBLANK($C246),"",AL246)</f>
        <v/>
      </c>
      <c r="AS246" s="100" t="str">
        <f aca="false">IF(ISBLANK($C246),"",AK246)</f>
        <v/>
      </c>
      <c r="AT246" s="103" t="str">
        <f aca="false">IF(ISBLANK($C246),"",IF(AS246=Constants!$B$4,COUNTA($C$8:$C$507)+2,IF(AS246=Constants!$B$5,COUNTA($C$8:$C$507)+1,IF(AS246=Constants!$B$6,COUNTA($C$8:$C$507),AS246))))</f>
        <v/>
      </c>
      <c r="AU246" s="5"/>
      <c r="AV246" s="104" t="n">
        <f aca="false">IF(OR(ISNUMBER(AS246),AS246=Constants!$B$4,AS246=Constants!$B$6,AS246=Constants!$B$5),1,0)</f>
        <v>0</v>
      </c>
      <c r="AW246" s="104" t="n">
        <v>239</v>
      </c>
      <c r="AX246" s="104" t="str">
        <f aca="false">IF(ISBLANK($C246),"",IF(ISNUMBER(AT246),AT246+ROW($B246)/1000,""))</f>
        <v/>
      </c>
      <c r="AY246" s="104" t="str">
        <f aca="false">IF(ISNUMBER(AX246),RANK(AX246,$AX$8:$AX$507,1),"")</f>
        <v/>
      </c>
      <c r="AZ246" s="104" t="str">
        <f aca="false">IF(ISBLANK($C246),"",$B246)</f>
        <v/>
      </c>
      <c r="BA246" s="104" t="str">
        <f aca="false">IF(ISBLANK($C246),"",$C246)</f>
        <v/>
      </c>
      <c r="BB246" s="104" t="str">
        <f aca="false">IF(ISBLANK($C246),"",$D246)</f>
        <v/>
      </c>
      <c r="BC246" s="105" t="str">
        <f aca="false">AQ246</f>
        <v/>
      </c>
      <c r="BD246" s="106" t="str">
        <f aca="false">AP246</f>
        <v/>
      </c>
      <c r="BE246" s="104" t="str">
        <f aca="false">IF(ISBLANK($C246),"",AS246)</f>
        <v/>
      </c>
      <c r="BF246" s="107" t="str">
        <f aca="false">IF($AW246&gt;$AV$7,"",VLOOKUP($AW246,$AY$8:$BE$507,7,FALSE()))</f>
        <v/>
      </c>
      <c r="BG246" s="108" t="str">
        <f aca="false">IF($AW246&gt;$AV$7,"",VLOOKUP($AW246,$AY$8:$BE$507,2,FALSE()))</f>
        <v/>
      </c>
      <c r="BH246" s="108" t="str">
        <f aca="false">IF($AW246&gt;$AV$7,"",VLOOKUP($AW246,$AY$8:$BE$507,3,FALSE()))</f>
        <v/>
      </c>
      <c r="BI246" s="108" t="str">
        <f aca="false">IF($AW246&gt;$AV$7,"",VLOOKUP($AW246,$AY$8:$BE$507,4,FALSE()))</f>
        <v/>
      </c>
      <c r="BJ246" s="108" t="str">
        <f aca="false">IF($AW246&gt;$AV$7,"",VLOOKUP($AW246,$AY$8:$BE$507,5,FALSE()))</f>
        <v/>
      </c>
      <c r="BK246" s="109" t="str">
        <f aca="false">IF($AW246&gt;$AV$7,"",VLOOKUP($AW246,$AY$8:$BE$507,6,FALSE()))</f>
        <v/>
      </c>
      <c r="BL246" s="50"/>
    </row>
    <row r="247" customFormat="false" ht="15.75" hidden="false" customHeight="false" outlineLevel="0" collapsed="false">
      <c r="A247" s="5"/>
      <c r="B247" s="124"/>
      <c r="C247" s="125"/>
      <c r="D247" s="110"/>
      <c r="E247" s="130"/>
      <c r="F247" s="135"/>
      <c r="G247" s="88"/>
      <c r="H247" s="136"/>
      <c r="I247" s="137"/>
      <c r="J247" s="91"/>
      <c r="K247" s="92"/>
      <c r="L247" s="137"/>
      <c r="M247" s="93"/>
      <c r="N247" s="94"/>
      <c r="O247" s="130"/>
      <c r="P247" s="96"/>
      <c r="Q247" s="97" t="str">
        <f aca="false">IF(ISBLANK($C247),"",IF(E247=Constants!$B$2, TRUE(), IF(E247=Constants!$B$3, FALSE(), TRUE())))</f>
        <v/>
      </c>
      <c r="R247" s="97" t="str">
        <f aca="false">IF(ISBLANK($C247),"",IF(F247=Constants!$B$2, TRUE(), IF(F247=Constants!$B$3, FALSE(), TRUE())))</f>
        <v/>
      </c>
      <c r="S247" s="97" t="str">
        <f aca="false">IF(ISBLANK($C247),"",IF(G247=Constants!$B$15,Constants!$B$8,IF(G247=Constants!$B$16,Constants!$B$9,Constants!$B$10)))</f>
        <v/>
      </c>
      <c r="T247" s="97" t="str">
        <f aca="false">IF(ISBLANK($C247),"",IF(H247=Constants!$B$2, TRUE(), IF(H247=Constants!$B$3, FALSE(), TRUE())))</f>
        <v/>
      </c>
      <c r="U247" s="97" t="str">
        <f aca="false">IF(ISBLANK($C247),"",IF(I247=Constants!$B$19,Constants!$B$19,Constants!$B$18))</f>
        <v/>
      </c>
      <c r="V247" s="97" t="str">
        <f aca="false">IF(ISBLANK($C247),"",IF(COUNTA(J247:K247)=0,"",IF(AND(OR(ISBLANK(J247),AND(ISNUMBER(J247),J247&gt;=0)),OR(ISBLANK(K247),AND(ISNUMBER(K247),K247&gt;=0))),60*IF(ISBLANK(J247),0,J247)+IF(ISBLANK(K247),0,K247),"")))</f>
        <v/>
      </c>
      <c r="W247" s="97" t="str">
        <f aca="false">IF(ISBLANK($C247),"",IF(L247=Constants!$B$19,Constants!$B$19,Constants!$B$18))</f>
        <v/>
      </c>
      <c r="X247" s="97" t="str">
        <f aca="false">IF(ISBLANK($C247),"",IF(COUNTA(M247:N247)=0,"",IF(AND(OR(ISBLANK(M247),AND(ISNUMBER(M247),M247&gt;=0)),OR(ISBLANK(N247),AND(ISNUMBER(N247),N247&gt;=0))),60*IF(ISBLANK(M247),0,M247)+IF(ISBLANK(N247),0,N247),"")))</f>
        <v/>
      </c>
      <c r="Y247" s="97" t="str">
        <f aca="false">IF(ISBLANK($C247),"",IF(O247=Constants!$B$2, TRUE(), IF(O247=Constants!$B$3, FALSE(), FALSE())))</f>
        <v/>
      </c>
      <c r="Z247" s="97" t="str">
        <f aca="false">IF(ISBLANK($C247),"",IF(Y247,Constants!$B$4,IF(COUNTA(E247:N247)=0,Constants!$B$5,IF(COUNTA(J247:K247,M247:N247)=0,Constants!$B$6,Constants!$B$7))))</f>
        <v/>
      </c>
      <c r="AA247" s="97" t="str">
        <f aca="false">IF(ISBLANK($C247),"",IF($Z247&lt;&gt;Constants!$B$7,$Z247,IF(OR(NOT(T247),AND(NOT(Q247),COUNTIFS(U247:W247,Constants!$B$18,V247:X247,"&gt;=0")&gt;0),AND(NOT(R247),COUNTIFS(U247:W247,Constants!$B$19,V247:X247,"&gt;=0")&gt;0)),Constants!$B$12,Constants!$B$11)))</f>
        <v/>
      </c>
      <c r="AB247" s="97" t="str">
        <f aca="false">IF($Z247=Constants!$B$7,IF(V247="",Constants!$B$13,V247),"")</f>
        <v/>
      </c>
      <c r="AC247" s="97" t="str">
        <f aca="false">IF($Z247=Constants!$B$7,IF(X247="",Constants!$B$13,X247),"")</f>
        <v/>
      </c>
      <c r="AD247" s="97" t="str">
        <f aca="false">IF($Z247=Constants!$B$7,IF($AB247&gt;=$AC247,1,2),"")</f>
        <v/>
      </c>
      <c r="AE247" s="97" t="str">
        <f aca="false">IF($Z247=Constants!$B$7,LARGE(AB247:AC247,1),"")</f>
        <v/>
      </c>
      <c r="AF247" s="97" t="str">
        <f aca="false">IF(ISBLANK($C247),"",IF($Z247&lt;&gt;Constants!$B$7,$Z247,AE247*S247))</f>
        <v/>
      </c>
      <c r="AG247" s="97" t="str">
        <f aca="false">IF(ISBLANK($C247),"",IF($Z247=Constants!$B$7,IF(ISNUMBER(AF247),RANK(AF247,$AF$8:$AF$507),Constants!$B$14),$Z247))</f>
        <v/>
      </c>
      <c r="AH247" s="97" t="str">
        <f aca="false">IF(ISBLANK($C247),"",IF($Z247=Constants!$B$7,IF(ISNUMBER(AG247),COUNTIFS($AA$8:$AA$507,"&lt;"&amp;$AA247)+COUNTIFS($AA$8:$AA$507,$AA247,$AG$8:$AG$507,"&lt;"&amp;$AG247)+1,Constants!$B$14),$Z247))</f>
        <v/>
      </c>
      <c r="AI247" s="97" t="str">
        <f aca="false">IF(ISBLANK($C247),"",IF($Z247=Constants!$B$7,LARGE(AB247:AC247,2)*S247,""))</f>
        <v/>
      </c>
      <c r="AJ247" s="97" t="str">
        <f aca="false">IF(ISBLANK($C247),"",IF($Z247=Constants!$B$7,RANK(AI247,$AI$8:$AI$507),$Z247))</f>
        <v/>
      </c>
      <c r="AK247" s="97" t="str">
        <f aca="false">IF(ISBLANK($C247),"",IF($Z247=Constants!$B$7,IF(ISNUMBER(AG247),COUNTIFS($AA$8:$AA$507,"&lt;"&amp;$AA247)+COUNTIFS($AA$8:$AA$507,$AA247,$AG$8:$AG$507,"&lt;"&amp;$AG247)+COUNTIFS($AA$8:$AA$507,$AA247,$AG$8:$AG$507,$AG247,$AJ$8:$AJ$507,"&lt;"&amp;$AJ247)+1,Constants!$B$14),$Z247))</f>
        <v/>
      </c>
      <c r="AL247" s="97" t="str">
        <f aca="false">IF(ISBLANK($C247),"",IF($Z247=Constants!$B$7,IF(ISNUMBER(AH247),AH247-AK247,Constants!$B$14),$Z247))</f>
        <v/>
      </c>
      <c r="AM247" s="98"/>
      <c r="AN247" s="99" t="str">
        <f aca="false">IF(ISBLANK($C247),"",IF($Z247&lt;&gt;Constants!$B$7,$Z247,AD247))</f>
        <v/>
      </c>
      <c r="AO247" s="100" t="str">
        <f aca="false">IF(ISBLANK($C247),"",IF($Z247&lt;&gt;Constants!$B$7,$Z247,S247))</f>
        <v/>
      </c>
      <c r="AP247" s="101" t="str">
        <f aca="false">IF(ISBLANK($C247),"",IF($Z247&lt;&gt;Constants!$B$7,$Z247,AF247))</f>
        <v/>
      </c>
      <c r="AQ247" s="102" t="str">
        <f aca="false">IF(ISBLANK($C247),"",IF($Z247&lt;&gt;Constants!$B$7,$Z247,AA247))</f>
        <v/>
      </c>
      <c r="AR247" s="100" t="str">
        <f aca="false">IF(ISBLANK($C247),"",AL247)</f>
        <v/>
      </c>
      <c r="AS247" s="100" t="str">
        <f aca="false">IF(ISBLANK($C247),"",AK247)</f>
        <v/>
      </c>
      <c r="AT247" s="103" t="str">
        <f aca="false">IF(ISBLANK($C247),"",IF(AS247=Constants!$B$4,COUNTA($C$8:$C$507)+2,IF(AS247=Constants!$B$5,COUNTA($C$8:$C$507)+1,IF(AS247=Constants!$B$6,COUNTA($C$8:$C$507),AS247))))</f>
        <v/>
      </c>
      <c r="AU247" s="5"/>
      <c r="AV247" s="104" t="n">
        <f aca="false">IF(OR(ISNUMBER(AS247),AS247=Constants!$B$4,AS247=Constants!$B$6,AS247=Constants!$B$5),1,0)</f>
        <v>0</v>
      </c>
      <c r="AW247" s="104" t="n">
        <v>240</v>
      </c>
      <c r="AX247" s="104" t="str">
        <f aca="false">IF(ISBLANK($C247),"",IF(ISNUMBER(AT247),AT247+ROW($B247)/1000,""))</f>
        <v/>
      </c>
      <c r="AY247" s="104" t="str">
        <f aca="false">IF(ISNUMBER(AX247),RANK(AX247,$AX$8:$AX$507,1),"")</f>
        <v/>
      </c>
      <c r="AZ247" s="104" t="str">
        <f aca="false">IF(ISBLANK($C247),"",$B247)</f>
        <v/>
      </c>
      <c r="BA247" s="104" t="str">
        <f aca="false">IF(ISBLANK($C247),"",$C247)</f>
        <v/>
      </c>
      <c r="BB247" s="104" t="str">
        <f aca="false">IF(ISBLANK($C247),"",$D247)</f>
        <v/>
      </c>
      <c r="BC247" s="105" t="str">
        <f aca="false">AQ247</f>
        <v/>
      </c>
      <c r="BD247" s="106" t="str">
        <f aca="false">AP247</f>
        <v/>
      </c>
      <c r="BE247" s="104" t="str">
        <f aca="false">IF(ISBLANK($C247),"",AS247)</f>
        <v/>
      </c>
      <c r="BF247" s="107" t="str">
        <f aca="false">IF($AW247&gt;$AV$7,"",VLOOKUP($AW247,$AY$8:$BE$507,7,FALSE()))</f>
        <v/>
      </c>
      <c r="BG247" s="108" t="str">
        <f aca="false">IF($AW247&gt;$AV$7,"",VLOOKUP($AW247,$AY$8:$BE$507,2,FALSE()))</f>
        <v/>
      </c>
      <c r="BH247" s="108" t="str">
        <f aca="false">IF($AW247&gt;$AV$7,"",VLOOKUP($AW247,$AY$8:$BE$507,3,FALSE()))</f>
        <v/>
      </c>
      <c r="BI247" s="108" t="str">
        <f aca="false">IF($AW247&gt;$AV$7,"",VLOOKUP($AW247,$AY$8:$BE$507,4,FALSE()))</f>
        <v/>
      </c>
      <c r="BJ247" s="108" t="str">
        <f aca="false">IF($AW247&gt;$AV$7,"",VLOOKUP($AW247,$AY$8:$BE$507,5,FALSE()))</f>
        <v/>
      </c>
      <c r="BK247" s="109" t="str">
        <f aca="false">IF($AW247&gt;$AV$7,"",VLOOKUP($AW247,$AY$8:$BE$507,6,FALSE()))</f>
        <v/>
      </c>
      <c r="BL247" s="50"/>
    </row>
    <row r="248" customFormat="false" ht="15.75" hidden="false" customHeight="false" outlineLevel="0" collapsed="false">
      <c r="A248" s="5"/>
      <c r="B248" s="131"/>
      <c r="C248" s="52"/>
      <c r="D248" s="53"/>
      <c r="E248" s="80"/>
      <c r="F248" s="132"/>
      <c r="G248" s="56"/>
      <c r="H248" s="133"/>
      <c r="I248" s="134"/>
      <c r="J248" s="59"/>
      <c r="K248" s="60"/>
      <c r="L248" s="134"/>
      <c r="M248" s="61"/>
      <c r="N248" s="62"/>
      <c r="O248" s="80"/>
      <c r="P248" s="64"/>
      <c r="Q248" s="65" t="str">
        <f aca="false">IF(ISBLANK($C248),"",IF(E248=Constants!$B$2, TRUE(), IF(E248=Constants!$B$3, FALSE(), TRUE())))</f>
        <v/>
      </c>
      <c r="R248" s="65" t="str">
        <f aca="false">IF(ISBLANK($C248),"",IF(F248=Constants!$B$2, TRUE(), IF(F248=Constants!$B$3, FALSE(), TRUE())))</f>
        <v/>
      </c>
      <c r="S248" s="65" t="str">
        <f aca="false">IF(ISBLANK($C248),"",IF(G248=Constants!$B$15,Constants!$B$8,IF(G248=Constants!$B$16,Constants!$B$9,Constants!$B$10)))</f>
        <v/>
      </c>
      <c r="T248" s="65" t="str">
        <f aca="false">IF(ISBLANK($C248),"",IF(H248=Constants!$B$2, TRUE(), IF(H248=Constants!$B$3, FALSE(), TRUE())))</f>
        <v/>
      </c>
      <c r="U248" s="65" t="str">
        <f aca="false">IF(ISBLANK($C248),"",IF(I248=Constants!$B$19,Constants!$B$19,Constants!$B$18))</f>
        <v/>
      </c>
      <c r="V248" s="65" t="str">
        <f aca="false">IF(ISBLANK($C248),"",IF(COUNTA(J248:K248)=0,"",IF(AND(OR(ISBLANK(J248),AND(ISNUMBER(J248),J248&gt;=0)),OR(ISBLANK(K248),AND(ISNUMBER(K248),K248&gt;=0))),60*IF(ISBLANK(J248),0,J248)+IF(ISBLANK(K248),0,K248),"")))</f>
        <v/>
      </c>
      <c r="W248" s="65" t="str">
        <f aca="false">IF(ISBLANK($C248),"",IF(L248=Constants!$B$19,Constants!$B$19,Constants!$B$18))</f>
        <v/>
      </c>
      <c r="X248" s="65" t="str">
        <f aca="false">IF(ISBLANK($C248),"",IF(COUNTA(M248:N248)=0,"",IF(AND(OR(ISBLANK(M248),AND(ISNUMBER(M248),M248&gt;=0)),OR(ISBLANK(N248),AND(ISNUMBER(N248),N248&gt;=0))),60*IF(ISBLANK(M248),0,M248)+IF(ISBLANK(N248),0,N248),"")))</f>
        <v/>
      </c>
      <c r="Y248" s="65" t="str">
        <f aca="false">IF(ISBLANK($C248),"",IF(O248=Constants!$B$2, TRUE(), IF(O248=Constants!$B$3, FALSE(), FALSE())))</f>
        <v/>
      </c>
      <c r="Z248" s="65" t="str">
        <f aca="false">IF(ISBLANK($C248),"",IF(Y248,Constants!$B$4,IF(COUNTA(E248:N248)=0,Constants!$B$5,IF(COUNTA(J248:K248,M248:N248)=0,Constants!$B$6,Constants!$B$7))))</f>
        <v/>
      </c>
      <c r="AA248" s="65" t="str">
        <f aca="false">IF(ISBLANK($C248),"",IF($Z248&lt;&gt;Constants!$B$7,$Z248,IF(OR(NOT(T248),AND(NOT(Q248),COUNTIFS(U248:W248,Constants!$B$18,V248:X248,"&gt;=0")&gt;0),AND(NOT(R248),COUNTIFS(U248:W248,Constants!$B$19,V248:X248,"&gt;=0")&gt;0)),Constants!$B$12,Constants!$B$11)))</f>
        <v/>
      </c>
      <c r="AB248" s="65" t="str">
        <f aca="false">IF($Z248=Constants!$B$7,IF(V248="",Constants!$B$13,V248),"")</f>
        <v/>
      </c>
      <c r="AC248" s="65" t="str">
        <f aca="false">IF($Z248=Constants!$B$7,IF(X248="",Constants!$B$13,X248),"")</f>
        <v/>
      </c>
      <c r="AD248" s="65" t="str">
        <f aca="false">IF($Z248=Constants!$B$7,IF($AB248&gt;=$AC248,1,2),"")</f>
        <v/>
      </c>
      <c r="AE248" s="65" t="str">
        <f aca="false">IF($Z248=Constants!$B$7,LARGE(AB248:AC248,1),"")</f>
        <v/>
      </c>
      <c r="AF248" s="65" t="str">
        <f aca="false">IF(ISBLANK($C248),"",IF($Z248&lt;&gt;Constants!$B$7,$Z248,AE248*S248))</f>
        <v/>
      </c>
      <c r="AG248" s="65" t="str">
        <f aca="false">IF(ISBLANK($C248),"",IF($Z248=Constants!$B$7,IF(ISNUMBER(AF248),RANK(AF248,$AF$8:$AF$507),Constants!$B$14),$Z248))</f>
        <v/>
      </c>
      <c r="AH248" s="65" t="str">
        <f aca="false">IF(ISBLANK($C248),"",IF($Z248=Constants!$B$7,IF(ISNUMBER(AG248),COUNTIFS($AA$8:$AA$507,"&lt;"&amp;$AA248)+COUNTIFS($AA$8:$AA$507,$AA248,$AG$8:$AG$507,"&lt;"&amp;$AG248)+1,Constants!$B$14),$Z248))</f>
        <v/>
      </c>
      <c r="AI248" s="65" t="str">
        <f aca="false">IF(ISBLANK($C248),"",IF($Z248=Constants!$B$7,LARGE(AB248:AC248,2)*S248,""))</f>
        <v/>
      </c>
      <c r="AJ248" s="65" t="str">
        <f aca="false">IF(ISBLANK($C248),"",IF($Z248=Constants!$B$7,RANK(AI248,$AI$8:$AI$507),$Z248))</f>
        <v/>
      </c>
      <c r="AK248" s="65" t="str">
        <f aca="false">IF(ISBLANK($C248),"",IF($Z248=Constants!$B$7,IF(ISNUMBER(AG248),COUNTIFS($AA$8:$AA$507,"&lt;"&amp;$AA248)+COUNTIFS($AA$8:$AA$507,$AA248,$AG$8:$AG$507,"&lt;"&amp;$AG248)+COUNTIFS($AA$8:$AA$507,$AA248,$AG$8:$AG$507,$AG248,$AJ$8:$AJ$507,"&lt;"&amp;$AJ248)+1,Constants!$B$14),$Z248))</f>
        <v/>
      </c>
      <c r="AL248" s="65" t="str">
        <f aca="false">IF(ISBLANK($C248),"",IF($Z248=Constants!$B$7,IF(ISNUMBER(AH248),AH248-AK248,Constants!$B$14),$Z248))</f>
        <v/>
      </c>
      <c r="AM248" s="67"/>
      <c r="AN248" s="68" t="str">
        <f aca="false">IF(ISBLANK($C248),"",IF($Z248&lt;&gt;Constants!$B$7,$Z248,AD248))</f>
        <v/>
      </c>
      <c r="AO248" s="69" t="str">
        <f aca="false">IF(ISBLANK($C248),"",IF($Z248&lt;&gt;Constants!$B$7,$Z248,S248))</f>
        <v/>
      </c>
      <c r="AP248" s="70" t="str">
        <f aca="false">IF(ISBLANK($C248),"",IF($Z248&lt;&gt;Constants!$B$7,$Z248,AF248))</f>
        <v/>
      </c>
      <c r="AQ248" s="71" t="str">
        <f aca="false">IF(ISBLANK($C248),"",IF($Z248&lt;&gt;Constants!$B$7,$Z248,AA248))</f>
        <v/>
      </c>
      <c r="AR248" s="69" t="str">
        <f aca="false">IF(ISBLANK($C248),"",AL248)</f>
        <v/>
      </c>
      <c r="AS248" s="69" t="str">
        <f aca="false">IF(ISBLANK($C248),"",AK248)</f>
        <v/>
      </c>
      <c r="AT248" s="72" t="str">
        <f aca="false">IF(ISBLANK($C248),"",IF(AS248=Constants!$B$4,COUNTA($C$8:$C$507)+2,IF(AS248=Constants!$B$5,COUNTA($C$8:$C$507)+1,IF(AS248=Constants!$B$6,COUNTA($C$8:$C$507),AS248))))</f>
        <v/>
      </c>
      <c r="AU248" s="5"/>
      <c r="AV248" s="73" t="n">
        <f aca="false">IF(OR(ISNUMBER(AS248),AS248=Constants!$B$4,AS248=Constants!$B$6,AS248=Constants!$B$5),1,0)</f>
        <v>0</v>
      </c>
      <c r="AW248" s="73" t="n">
        <v>241</v>
      </c>
      <c r="AX248" s="73" t="str">
        <f aca="false">IF(ISBLANK($C248),"",IF(ISNUMBER(AT248),AT248+ROW($B248)/1000,""))</f>
        <v/>
      </c>
      <c r="AY248" s="73" t="str">
        <f aca="false">IF(ISNUMBER(AX248),RANK(AX248,$AX$8:$AX$507,1),"")</f>
        <v/>
      </c>
      <c r="AZ248" s="73" t="str">
        <f aca="false">IF(ISBLANK($C248),"",$B248)</f>
        <v/>
      </c>
      <c r="BA248" s="73" t="str">
        <f aca="false">IF(ISBLANK($C248),"",$C248)</f>
        <v/>
      </c>
      <c r="BB248" s="73" t="str">
        <f aca="false">IF(ISBLANK($C248),"",$D248)</f>
        <v/>
      </c>
      <c r="BC248" s="74" t="str">
        <f aca="false">AQ248</f>
        <v/>
      </c>
      <c r="BD248" s="75" t="str">
        <f aca="false">AP248</f>
        <v/>
      </c>
      <c r="BE248" s="73" t="str">
        <f aca="false">IF(ISBLANK($C248),"",AS248)</f>
        <v/>
      </c>
      <c r="BF248" s="76" t="str">
        <f aca="false">IF($AW248&gt;$AV$7,"",VLOOKUP($AW248,$AY$8:$BE$507,7,FALSE()))</f>
        <v/>
      </c>
      <c r="BG248" s="77" t="str">
        <f aca="false">IF($AW248&gt;$AV$7,"",VLOOKUP($AW248,$AY$8:$BE$507,2,FALSE()))</f>
        <v/>
      </c>
      <c r="BH248" s="77" t="str">
        <f aca="false">IF($AW248&gt;$AV$7,"",VLOOKUP($AW248,$AY$8:$BE$507,3,FALSE()))</f>
        <v/>
      </c>
      <c r="BI248" s="77" t="str">
        <f aca="false">IF($AW248&gt;$AV$7,"",VLOOKUP($AW248,$AY$8:$BE$507,4,FALSE()))</f>
        <v/>
      </c>
      <c r="BJ248" s="77" t="str">
        <f aca="false">IF($AW248&gt;$AV$7,"",VLOOKUP($AW248,$AY$8:$BE$507,5,FALSE()))</f>
        <v/>
      </c>
      <c r="BK248" s="78" t="str">
        <f aca="false">IF($AW248&gt;$AV$7,"",VLOOKUP($AW248,$AY$8:$BE$507,6,FALSE()))</f>
        <v/>
      </c>
      <c r="BL248" s="50"/>
    </row>
    <row r="249" customFormat="false" ht="15.75" hidden="false" customHeight="false" outlineLevel="0" collapsed="false">
      <c r="A249" s="5"/>
      <c r="B249" s="131"/>
      <c r="C249" s="52"/>
      <c r="D249" s="53"/>
      <c r="E249" s="80"/>
      <c r="F249" s="132"/>
      <c r="G249" s="56"/>
      <c r="H249" s="133"/>
      <c r="I249" s="134"/>
      <c r="J249" s="59"/>
      <c r="K249" s="60"/>
      <c r="L249" s="134"/>
      <c r="M249" s="61"/>
      <c r="N249" s="62"/>
      <c r="O249" s="80"/>
      <c r="P249" s="64"/>
      <c r="Q249" s="65" t="str">
        <f aca="false">IF(ISBLANK($C249),"",IF(E249=Constants!$B$2, TRUE(), IF(E249=Constants!$B$3, FALSE(), TRUE())))</f>
        <v/>
      </c>
      <c r="R249" s="65" t="str">
        <f aca="false">IF(ISBLANK($C249),"",IF(F249=Constants!$B$2, TRUE(), IF(F249=Constants!$B$3, FALSE(), TRUE())))</f>
        <v/>
      </c>
      <c r="S249" s="65" t="str">
        <f aca="false">IF(ISBLANK($C249),"",IF(G249=Constants!$B$15,Constants!$B$8,IF(G249=Constants!$B$16,Constants!$B$9,Constants!$B$10)))</f>
        <v/>
      </c>
      <c r="T249" s="65" t="str">
        <f aca="false">IF(ISBLANK($C249),"",IF(H249=Constants!$B$2, TRUE(), IF(H249=Constants!$B$3, FALSE(), TRUE())))</f>
        <v/>
      </c>
      <c r="U249" s="65" t="str">
        <f aca="false">IF(ISBLANK($C249),"",IF(I249=Constants!$B$19,Constants!$B$19,Constants!$B$18))</f>
        <v/>
      </c>
      <c r="V249" s="65" t="str">
        <f aca="false">IF(ISBLANK($C249),"",IF(COUNTA(J249:K249)=0,"",IF(AND(OR(ISBLANK(J249),AND(ISNUMBER(J249),J249&gt;=0)),OR(ISBLANK(K249),AND(ISNUMBER(K249),K249&gt;=0))),60*IF(ISBLANK(J249),0,J249)+IF(ISBLANK(K249),0,K249),"")))</f>
        <v/>
      </c>
      <c r="W249" s="65" t="str">
        <f aca="false">IF(ISBLANK($C249),"",IF(L249=Constants!$B$19,Constants!$B$19,Constants!$B$18))</f>
        <v/>
      </c>
      <c r="X249" s="65" t="str">
        <f aca="false">IF(ISBLANK($C249),"",IF(COUNTA(M249:N249)=0,"",IF(AND(OR(ISBLANK(M249),AND(ISNUMBER(M249),M249&gt;=0)),OR(ISBLANK(N249),AND(ISNUMBER(N249),N249&gt;=0))),60*IF(ISBLANK(M249),0,M249)+IF(ISBLANK(N249),0,N249),"")))</f>
        <v/>
      </c>
      <c r="Y249" s="65" t="str">
        <f aca="false">IF(ISBLANK($C249),"",IF(O249=Constants!$B$2, TRUE(), IF(O249=Constants!$B$3, FALSE(), FALSE())))</f>
        <v/>
      </c>
      <c r="Z249" s="65" t="str">
        <f aca="false">IF(ISBLANK($C249),"",IF(Y249,Constants!$B$4,IF(COUNTA(E249:N249)=0,Constants!$B$5,IF(COUNTA(J249:K249,M249:N249)=0,Constants!$B$6,Constants!$B$7))))</f>
        <v/>
      </c>
      <c r="AA249" s="65" t="str">
        <f aca="false">IF(ISBLANK($C249),"",IF($Z249&lt;&gt;Constants!$B$7,$Z249,IF(OR(NOT(T249),AND(NOT(Q249),COUNTIFS(U249:W249,Constants!$B$18,V249:X249,"&gt;=0")&gt;0),AND(NOT(R249),COUNTIFS(U249:W249,Constants!$B$19,V249:X249,"&gt;=0")&gt;0)),Constants!$B$12,Constants!$B$11)))</f>
        <v/>
      </c>
      <c r="AB249" s="65" t="str">
        <f aca="false">IF($Z249=Constants!$B$7,IF(V249="",Constants!$B$13,V249),"")</f>
        <v/>
      </c>
      <c r="AC249" s="65" t="str">
        <f aca="false">IF($Z249=Constants!$B$7,IF(X249="",Constants!$B$13,X249),"")</f>
        <v/>
      </c>
      <c r="AD249" s="65" t="str">
        <f aca="false">IF($Z249=Constants!$B$7,IF($AB249&gt;=$AC249,1,2),"")</f>
        <v/>
      </c>
      <c r="AE249" s="65" t="str">
        <f aca="false">IF($Z249=Constants!$B$7,LARGE(AB249:AC249,1),"")</f>
        <v/>
      </c>
      <c r="AF249" s="65" t="str">
        <f aca="false">IF(ISBLANK($C249),"",IF($Z249&lt;&gt;Constants!$B$7,$Z249,AE249*S249))</f>
        <v/>
      </c>
      <c r="AG249" s="65" t="str">
        <f aca="false">IF(ISBLANK($C249),"",IF($Z249=Constants!$B$7,IF(ISNUMBER(AF249),RANK(AF249,$AF$8:$AF$507),Constants!$B$14),$Z249))</f>
        <v/>
      </c>
      <c r="AH249" s="65" t="str">
        <f aca="false">IF(ISBLANK($C249),"",IF($Z249=Constants!$B$7,IF(ISNUMBER(AG249),COUNTIFS($AA$8:$AA$507,"&lt;"&amp;$AA249)+COUNTIFS($AA$8:$AA$507,$AA249,$AG$8:$AG$507,"&lt;"&amp;$AG249)+1,Constants!$B$14),$Z249))</f>
        <v/>
      </c>
      <c r="AI249" s="65" t="str">
        <f aca="false">IF(ISBLANK($C249),"",IF($Z249=Constants!$B$7,LARGE(AB249:AC249,2)*S249,""))</f>
        <v/>
      </c>
      <c r="AJ249" s="65" t="str">
        <f aca="false">IF(ISBLANK($C249),"",IF($Z249=Constants!$B$7,RANK(AI249,$AI$8:$AI$507),$Z249))</f>
        <v/>
      </c>
      <c r="AK249" s="65" t="str">
        <f aca="false">IF(ISBLANK($C249),"",IF($Z249=Constants!$B$7,IF(ISNUMBER(AG249),COUNTIFS($AA$8:$AA$507,"&lt;"&amp;$AA249)+COUNTIFS($AA$8:$AA$507,$AA249,$AG$8:$AG$507,"&lt;"&amp;$AG249)+COUNTIFS($AA$8:$AA$507,$AA249,$AG$8:$AG$507,$AG249,$AJ$8:$AJ$507,"&lt;"&amp;$AJ249)+1,Constants!$B$14),$Z249))</f>
        <v/>
      </c>
      <c r="AL249" s="65" t="str">
        <f aca="false">IF(ISBLANK($C249),"",IF($Z249=Constants!$B$7,IF(ISNUMBER(AH249),AH249-AK249,Constants!$B$14),$Z249))</f>
        <v/>
      </c>
      <c r="AM249" s="67"/>
      <c r="AN249" s="68" t="str">
        <f aca="false">IF(ISBLANK($C249),"",IF($Z249&lt;&gt;Constants!$B$7,$Z249,AD249))</f>
        <v/>
      </c>
      <c r="AO249" s="69" t="str">
        <f aca="false">IF(ISBLANK($C249),"",IF($Z249&lt;&gt;Constants!$B$7,$Z249,S249))</f>
        <v/>
      </c>
      <c r="AP249" s="70" t="str">
        <f aca="false">IF(ISBLANK($C249),"",IF($Z249&lt;&gt;Constants!$B$7,$Z249,AF249))</f>
        <v/>
      </c>
      <c r="AQ249" s="71" t="str">
        <f aca="false">IF(ISBLANK($C249),"",IF($Z249&lt;&gt;Constants!$B$7,$Z249,AA249))</f>
        <v/>
      </c>
      <c r="AR249" s="69" t="str">
        <f aca="false">IF(ISBLANK($C249),"",AL249)</f>
        <v/>
      </c>
      <c r="AS249" s="69" t="str">
        <f aca="false">IF(ISBLANK($C249),"",AK249)</f>
        <v/>
      </c>
      <c r="AT249" s="72" t="str">
        <f aca="false">IF(ISBLANK($C249),"",IF(AS249=Constants!$B$4,COUNTA($C$8:$C$507)+2,IF(AS249=Constants!$B$5,COUNTA($C$8:$C$507)+1,IF(AS249=Constants!$B$6,COUNTA($C$8:$C$507),AS249))))</f>
        <v/>
      </c>
      <c r="AU249" s="5"/>
      <c r="AV249" s="73" t="n">
        <f aca="false">IF(OR(ISNUMBER(AS249),AS249=Constants!$B$4,AS249=Constants!$B$6,AS249=Constants!$B$5),1,0)</f>
        <v>0</v>
      </c>
      <c r="AW249" s="73" t="n">
        <v>242</v>
      </c>
      <c r="AX249" s="73" t="str">
        <f aca="false">IF(ISBLANK($C249),"",IF(ISNUMBER(AT249),AT249+ROW($B249)/1000,""))</f>
        <v/>
      </c>
      <c r="AY249" s="73" t="str">
        <f aca="false">IF(ISNUMBER(AX249),RANK(AX249,$AX$8:$AX$507,1),"")</f>
        <v/>
      </c>
      <c r="AZ249" s="73" t="str">
        <f aca="false">IF(ISBLANK($C249),"",$B249)</f>
        <v/>
      </c>
      <c r="BA249" s="73" t="str">
        <f aca="false">IF(ISBLANK($C249),"",$C249)</f>
        <v/>
      </c>
      <c r="BB249" s="73" t="str">
        <f aca="false">IF(ISBLANK($C249),"",$D249)</f>
        <v/>
      </c>
      <c r="BC249" s="74" t="str">
        <f aca="false">AQ249</f>
        <v/>
      </c>
      <c r="BD249" s="75" t="str">
        <f aca="false">AP249</f>
        <v/>
      </c>
      <c r="BE249" s="73" t="str">
        <f aca="false">IF(ISBLANK($C249),"",AS249)</f>
        <v/>
      </c>
      <c r="BF249" s="76" t="str">
        <f aca="false">IF($AW249&gt;$AV$7,"",VLOOKUP($AW249,$AY$8:$BE$507,7,FALSE()))</f>
        <v/>
      </c>
      <c r="BG249" s="77" t="str">
        <f aca="false">IF($AW249&gt;$AV$7,"",VLOOKUP($AW249,$AY$8:$BE$507,2,FALSE()))</f>
        <v/>
      </c>
      <c r="BH249" s="77" t="str">
        <f aca="false">IF($AW249&gt;$AV$7,"",VLOOKUP($AW249,$AY$8:$BE$507,3,FALSE()))</f>
        <v/>
      </c>
      <c r="BI249" s="77" t="str">
        <f aca="false">IF($AW249&gt;$AV$7,"",VLOOKUP($AW249,$AY$8:$BE$507,4,FALSE()))</f>
        <v/>
      </c>
      <c r="BJ249" s="77" t="str">
        <f aca="false">IF($AW249&gt;$AV$7,"",VLOOKUP($AW249,$AY$8:$BE$507,5,FALSE()))</f>
        <v/>
      </c>
      <c r="BK249" s="78" t="str">
        <f aca="false">IF($AW249&gt;$AV$7,"",VLOOKUP($AW249,$AY$8:$BE$507,6,FALSE()))</f>
        <v/>
      </c>
      <c r="BL249" s="50"/>
    </row>
    <row r="250" customFormat="false" ht="15.75" hidden="false" customHeight="false" outlineLevel="0" collapsed="false">
      <c r="A250" s="5"/>
      <c r="B250" s="131"/>
      <c r="C250" s="52"/>
      <c r="D250" s="53"/>
      <c r="E250" s="80"/>
      <c r="F250" s="132"/>
      <c r="G250" s="56"/>
      <c r="H250" s="133"/>
      <c r="I250" s="134"/>
      <c r="J250" s="59"/>
      <c r="K250" s="60"/>
      <c r="L250" s="134"/>
      <c r="M250" s="61"/>
      <c r="N250" s="62"/>
      <c r="O250" s="80"/>
      <c r="P250" s="64"/>
      <c r="Q250" s="65" t="str">
        <f aca="false">IF(ISBLANK($C250),"",IF(E250=Constants!$B$2, TRUE(), IF(E250=Constants!$B$3, FALSE(), TRUE())))</f>
        <v/>
      </c>
      <c r="R250" s="65" t="str">
        <f aca="false">IF(ISBLANK($C250),"",IF(F250=Constants!$B$2, TRUE(), IF(F250=Constants!$B$3, FALSE(), TRUE())))</f>
        <v/>
      </c>
      <c r="S250" s="65" t="str">
        <f aca="false">IF(ISBLANK($C250),"",IF(G250=Constants!$B$15,Constants!$B$8,IF(G250=Constants!$B$16,Constants!$B$9,Constants!$B$10)))</f>
        <v/>
      </c>
      <c r="T250" s="65" t="str">
        <f aca="false">IF(ISBLANK($C250),"",IF(H250=Constants!$B$2, TRUE(), IF(H250=Constants!$B$3, FALSE(), TRUE())))</f>
        <v/>
      </c>
      <c r="U250" s="65" t="str">
        <f aca="false">IF(ISBLANK($C250),"",IF(I250=Constants!$B$19,Constants!$B$19,Constants!$B$18))</f>
        <v/>
      </c>
      <c r="V250" s="65" t="str">
        <f aca="false">IF(ISBLANK($C250),"",IF(COUNTA(J250:K250)=0,"",IF(AND(OR(ISBLANK(J250),AND(ISNUMBER(J250),J250&gt;=0)),OR(ISBLANK(K250),AND(ISNUMBER(K250),K250&gt;=0))),60*IF(ISBLANK(J250),0,J250)+IF(ISBLANK(K250),0,K250),"")))</f>
        <v/>
      </c>
      <c r="W250" s="65" t="str">
        <f aca="false">IF(ISBLANK($C250),"",IF(L250=Constants!$B$19,Constants!$B$19,Constants!$B$18))</f>
        <v/>
      </c>
      <c r="X250" s="65" t="str">
        <f aca="false">IF(ISBLANK($C250),"",IF(COUNTA(M250:N250)=0,"",IF(AND(OR(ISBLANK(M250),AND(ISNUMBER(M250),M250&gt;=0)),OR(ISBLANK(N250),AND(ISNUMBER(N250),N250&gt;=0))),60*IF(ISBLANK(M250),0,M250)+IF(ISBLANK(N250),0,N250),"")))</f>
        <v/>
      </c>
      <c r="Y250" s="65" t="str">
        <f aca="false">IF(ISBLANK($C250),"",IF(O250=Constants!$B$2, TRUE(), IF(O250=Constants!$B$3, FALSE(), FALSE())))</f>
        <v/>
      </c>
      <c r="Z250" s="65" t="str">
        <f aca="false">IF(ISBLANK($C250),"",IF(Y250,Constants!$B$4,IF(COUNTA(E250:N250)=0,Constants!$B$5,IF(COUNTA(J250:K250,M250:N250)=0,Constants!$B$6,Constants!$B$7))))</f>
        <v/>
      </c>
      <c r="AA250" s="65" t="str">
        <f aca="false">IF(ISBLANK($C250),"",IF($Z250&lt;&gt;Constants!$B$7,$Z250,IF(OR(NOT(T250),AND(NOT(Q250),COUNTIFS(U250:W250,Constants!$B$18,V250:X250,"&gt;=0")&gt;0),AND(NOT(R250),COUNTIFS(U250:W250,Constants!$B$19,V250:X250,"&gt;=0")&gt;0)),Constants!$B$12,Constants!$B$11)))</f>
        <v/>
      </c>
      <c r="AB250" s="65" t="str">
        <f aca="false">IF($Z250=Constants!$B$7,IF(V250="",Constants!$B$13,V250),"")</f>
        <v/>
      </c>
      <c r="AC250" s="65" t="str">
        <f aca="false">IF($Z250=Constants!$B$7,IF(X250="",Constants!$B$13,X250),"")</f>
        <v/>
      </c>
      <c r="AD250" s="65" t="str">
        <f aca="false">IF($Z250=Constants!$B$7,IF($AB250&gt;=$AC250,1,2),"")</f>
        <v/>
      </c>
      <c r="AE250" s="65" t="str">
        <f aca="false">IF($Z250=Constants!$B$7,LARGE(AB250:AC250,1),"")</f>
        <v/>
      </c>
      <c r="AF250" s="65" t="str">
        <f aca="false">IF(ISBLANK($C250),"",IF($Z250&lt;&gt;Constants!$B$7,$Z250,AE250*S250))</f>
        <v/>
      </c>
      <c r="AG250" s="65" t="str">
        <f aca="false">IF(ISBLANK($C250),"",IF($Z250=Constants!$B$7,IF(ISNUMBER(AF250),RANK(AF250,$AF$8:$AF$507),Constants!$B$14),$Z250))</f>
        <v/>
      </c>
      <c r="AH250" s="65" t="str">
        <f aca="false">IF(ISBLANK($C250),"",IF($Z250=Constants!$B$7,IF(ISNUMBER(AG250),COUNTIFS($AA$8:$AA$507,"&lt;"&amp;$AA250)+COUNTIFS($AA$8:$AA$507,$AA250,$AG$8:$AG$507,"&lt;"&amp;$AG250)+1,Constants!$B$14),$Z250))</f>
        <v/>
      </c>
      <c r="AI250" s="65" t="str">
        <f aca="false">IF(ISBLANK($C250),"",IF($Z250=Constants!$B$7,LARGE(AB250:AC250,2)*S250,""))</f>
        <v/>
      </c>
      <c r="AJ250" s="65" t="str">
        <f aca="false">IF(ISBLANK($C250),"",IF($Z250=Constants!$B$7,RANK(AI250,$AI$8:$AI$507),$Z250))</f>
        <v/>
      </c>
      <c r="AK250" s="65" t="str">
        <f aca="false">IF(ISBLANK($C250),"",IF($Z250=Constants!$B$7,IF(ISNUMBER(AG250),COUNTIFS($AA$8:$AA$507,"&lt;"&amp;$AA250)+COUNTIFS($AA$8:$AA$507,$AA250,$AG$8:$AG$507,"&lt;"&amp;$AG250)+COUNTIFS($AA$8:$AA$507,$AA250,$AG$8:$AG$507,$AG250,$AJ$8:$AJ$507,"&lt;"&amp;$AJ250)+1,Constants!$B$14),$Z250))</f>
        <v/>
      </c>
      <c r="AL250" s="65" t="str">
        <f aca="false">IF(ISBLANK($C250),"",IF($Z250=Constants!$B$7,IF(ISNUMBER(AH250),AH250-AK250,Constants!$B$14),$Z250))</f>
        <v/>
      </c>
      <c r="AM250" s="67"/>
      <c r="AN250" s="68" t="str">
        <f aca="false">IF(ISBLANK($C250),"",IF($Z250&lt;&gt;Constants!$B$7,$Z250,AD250))</f>
        <v/>
      </c>
      <c r="AO250" s="69" t="str">
        <f aca="false">IF(ISBLANK($C250),"",IF($Z250&lt;&gt;Constants!$B$7,$Z250,S250))</f>
        <v/>
      </c>
      <c r="AP250" s="70" t="str">
        <f aca="false">IF(ISBLANK($C250),"",IF($Z250&lt;&gt;Constants!$B$7,$Z250,AF250))</f>
        <v/>
      </c>
      <c r="AQ250" s="71" t="str">
        <f aca="false">IF(ISBLANK($C250),"",IF($Z250&lt;&gt;Constants!$B$7,$Z250,AA250))</f>
        <v/>
      </c>
      <c r="AR250" s="69" t="str">
        <f aca="false">IF(ISBLANK($C250),"",AL250)</f>
        <v/>
      </c>
      <c r="AS250" s="69" t="str">
        <f aca="false">IF(ISBLANK($C250),"",AK250)</f>
        <v/>
      </c>
      <c r="AT250" s="72" t="str">
        <f aca="false">IF(ISBLANK($C250),"",IF(AS250=Constants!$B$4,COUNTA($C$8:$C$507)+2,IF(AS250=Constants!$B$5,COUNTA($C$8:$C$507)+1,IF(AS250=Constants!$B$6,COUNTA($C$8:$C$507),AS250))))</f>
        <v/>
      </c>
      <c r="AU250" s="5"/>
      <c r="AV250" s="73" t="n">
        <f aca="false">IF(OR(ISNUMBER(AS250),AS250=Constants!$B$4,AS250=Constants!$B$6,AS250=Constants!$B$5),1,0)</f>
        <v>0</v>
      </c>
      <c r="AW250" s="73" t="n">
        <v>243</v>
      </c>
      <c r="AX250" s="73" t="str">
        <f aca="false">IF(ISBLANK($C250),"",IF(ISNUMBER(AT250),AT250+ROW($B250)/1000,""))</f>
        <v/>
      </c>
      <c r="AY250" s="73" t="str">
        <f aca="false">IF(ISNUMBER(AX250),RANK(AX250,$AX$8:$AX$507,1),"")</f>
        <v/>
      </c>
      <c r="AZ250" s="73" t="str">
        <f aca="false">IF(ISBLANK($C250),"",$B250)</f>
        <v/>
      </c>
      <c r="BA250" s="73" t="str">
        <f aca="false">IF(ISBLANK($C250),"",$C250)</f>
        <v/>
      </c>
      <c r="BB250" s="73" t="str">
        <f aca="false">IF(ISBLANK($C250),"",$D250)</f>
        <v/>
      </c>
      <c r="BC250" s="74" t="str">
        <f aca="false">AQ250</f>
        <v/>
      </c>
      <c r="BD250" s="75" t="str">
        <f aca="false">AP250</f>
        <v/>
      </c>
      <c r="BE250" s="73" t="str">
        <f aca="false">IF(ISBLANK($C250),"",AS250)</f>
        <v/>
      </c>
      <c r="BF250" s="76" t="str">
        <f aca="false">IF($AW250&gt;$AV$7,"",VLOOKUP($AW250,$AY$8:$BE$507,7,FALSE()))</f>
        <v/>
      </c>
      <c r="BG250" s="77" t="str">
        <f aca="false">IF($AW250&gt;$AV$7,"",VLOOKUP($AW250,$AY$8:$BE$507,2,FALSE()))</f>
        <v/>
      </c>
      <c r="BH250" s="77" t="str">
        <f aca="false">IF($AW250&gt;$AV$7,"",VLOOKUP($AW250,$AY$8:$BE$507,3,FALSE()))</f>
        <v/>
      </c>
      <c r="BI250" s="77" t="str">
        <f aca="false">IF($AW250&gt;$AV$7,"",VLOOKUP($AW250,$AY$8:$BE$507,4,FALSE()))</f>
        <v/>
      </c>
      <c r="BJ250" s="77" t="str">
        <f aca="false">IF($AW250&gt;$AV$7,"",VLOOKUP($AW250,$AY$8:$BE$507,5,FALSE()))</f>
        <v/>
      </c>
      <c r="BK250" s="78" t="str">
        <f aca="false">IF($AW250&gt;$AV$7,"",VLOOKUP($AW250,$AY$8:$BE$507,6,FALSE()))</f>
        <v/>
      </c>
      <c r="BL250" s="50"/>
    </row>
    <row r="251" customFormat="false" ht="15.75" hidden="false" customHeight="false" outlineLevel="0" collapsed="false">
      <c r="A251" s="5"/>
      <c r="B251" s="124"/>
      <c r="C251" s="125"/>
      <c r="D251" s="110"/>
      <c r="E251" s="130"/>
      <c r="F251" s="135"/>
      <c r="G251" s="88"/>
      <c r="H251" s="136"/>
      <c r="I251" s="137"/>
      <c r="J251" s="91"/>
      <c r="K251" s="92"/>
      <c r="L251" s="137"/>
      <c r="M251" s="93"/>
      <c r="N251" s="94"/>
      <c r="O251" s="130"/>
      <c r="P251" s="96"/>
      <c r="Q251" s="97" t="str">
        <f aca="false">IF(ISBLANK($C251),"",IF(E251=Constants!$B$2, TRUE(), IF(E251=Constants!$B$3, FALSE(), TRUE())))</f>
        <v/>
      </c>
      <c r="R251" s="97" t="str">
        <f aca="false">IF(ISBLANK($C251),"",IF(F251=Constants!$B$2, TRUE(), IF(F251=Constants!$B$3, FALSE(), TRUE())))</f>
        <v/>
      </c>
      <c r="S251" s="97" t="str">
        <f aca="false">IF(ISBLANK($C251),"",IF(G251=Constants!$B$15,Constants!$B$8,IF(G251=Constants!$B$16,Constants!$B$9,Constants!$B$10)))</f>
        <v/>
      </c>
      <c r="T251" s="97" t="str">
        <f aca="false">IF(ISBLANK($C251),"",IF(H251=Constants!$B$2, TRUE(), IF(H251=Constants!$B$3, FALSE(), TRUE())))</f>
        <v/>
      </c>
      <c r="U251" s="97" t="str">
        <f aca="false">IF(ISBLANK($C251),"",IF(I251=Constants!$B$19,Constants!$B$19,Constants!$B$18))</f>
        <v/>
      </c>
      <c r="V251" s="97" t="str">
        <f aca="false">IF(ISBLANK($C251),"",IF(COUNTA(J251:K251)=0,"",IF(AND(OR(ISBLANK(J251),AND(ISNUMBER(J251),J251&gt;=0)),OR(ISBLANK(K251),AND(ISNUMBER(K251),K251&gt;=0))),60*IF(ISBLANK(J251),0,J251)+IF(ISBLANK(K251),0,K251),"")))</f>
        <v/>
      </c>
      <c r="W251" s="97" t="str">
        <f aca="false">IF(ISBLANK($C251),"",IF(L251=Constants!$B$19,Constants!$B$19,Constants!$B$18))</f>
        <v/>
      </c>
      <c r="X251" s="97" t="str">
        <f aca="false">IF(ISBLANK($C251),"",IF(COUNTA(M251:N251)=0,"",IF(AND(OR(ISBLANK(M251),AND(ISNUMBER(M251),M251&gt;=0)),OR(ISBLANK(N251),AND(ISNUMBER(N251),N251&gt;=0))),60*IF(ISBLANK(M251),0,M251)+IF(ISBLANK(N251),0,N251),"")))</f>
        <v/>
      </c>
      <c r="Y251" s="97" t="str">
        <f aca="false">IF(ISBLANK($C251),"",IF(O251=Constants!$B$2, TRUE(), IF(O251=Constants!$B$3, FALSE(), FALSE())))</f>
        <v/>
      </c>
      <c r="Z251" s="97" t="str">
        <f aca="false">IF(ISBLANK($C251),"",IF(Y251,Constants!$B$4,IF(COUNTA(E251:N251)=0,Constants!$B$5,IF(COUNTA(J251:K251,M251:N251)=0,Constants!$B$6,Constants!$B$7))))</f>
        <v/>
      </c>
      <c r="AA251" s="97" t="str">
        <f aca="false">IF(ISBLANK($C251),"",IF($Z251&lt;&gt;Constants!$B$7,$Z251,IF(OR(NOT(T251),AND(NOT(Q251),COUNTIFS(U251:W251,Constants!$B$18,V251:X251,"&gt;=0")&gt;0),AND(NOT(R251),COUNTIFS(U251:W251,Constants!$B$19,V251:X251,"&gt;=0")&gt;0)),Constants!$B$12,Constants!$B$11)))</f>
        <v/>
      </c>
      <c r="AB251" s="97" t="str">
        <f aca="false">IF($Z251=Constants!$B$7,IF(V251="",Constants!$B$13,V251),"")</f>
        <v/>
      </c>
      <c r="AC251" s="97" t="str">
        <f aca="false">IF($Z251=Constants!$B$7,IF(X251="",Constants!$B$13,X251),"")</f>
        <v/>
      </c>
      <c r="AD251" s="97" t="str">
        <f aca="false">IF($Z251=Constants!$B$7,IF($AB251&gt;=$AC251,1,2),"")</f>
        <v/>
      </c>
      <c r="AE251" s="97" t="str">
        <f aca="false">IF($Z251=Constants!$B$7,LARGE(AB251:AC251,1),"")</f>
        <v/>
      </c>
      <c r="AF251" s="97" t="str">
        <f aca="false">IF(ISBLANK($C251),"",IF($Z251&lt;&gt;Constants!$B$7,$Z251,AE251*S251))</f>
        <v/>
      </c>
      <c r="AG251" s="97" t="str">
        <f aca="false">IF(ISBLANK($C251),"",IF($Z251=Constants!$B$7,IF(ISNUMBER(AF251),RANK(AF251,$AF$8:$AF$507),Constants!$B$14),$Z251))</f>
        <v/>
      </c>
      <c r="AH251" s="97" t="str">
        <f aca="false">IF(ISBLANK($C251),"",IF($Z251=Constants!$B$7,IF(ISNUMBER(AG251),COUNTIFS($AA$8:$AA$507,"&lt;"&amp;$AA251)+COUNTIFS($AA$8:$AA$507,$AA251,$AG$8:$AG$507,"&lt;"&amp;$AG251)+1,Constants!$B$14),$Z251))</f>
        <v/>
      </c>
      <c r="AI251" s="97" t="str">
        <f aca="false">IF(ISBLANK($C251),"",IF($Z251=Constants!$B$7,LARGE(AB251:AC251,2)*S251,""))</f>
        <v/>
      </c>
      <c r="AJ251" s="97" t="str">
        <f aca="false">IF(ISBLANK($C251),"",IF($Z251=Constants!$B$7,RANK(AI251,$AI$8:$AI$507),$Z251))</f>
        <v/>
      </c>
      <c r="AK251" s="97" t="str">
        <f aca="false">IF(ISBLANK($C251),"",IF($Z251=Constants!$B$7,IF(ISNUMBER(AG251),COUNTIFS($AA$8:$AA$507,"&lt;"&amp;$AA251)+COUNTIFS($AA$8:$AA$507,$AA251,$AG$8:$AG$507,"&lt;"&amp;$AG251)+COUNTIFS($AA$8:$AA$507,$AA251,$AG$8:$AG$507,$AG251,$AJ$8:$AJ$507,"&lt;"&amp;$AJ251)+1,Constants!$B$14),$Z251))</f>
        <v/>
      </c>
      <c r="AL251" s="97" t="str">
        <f aca="false">IF(ISBLANK($C251),"",IF($Z251=Constants!$B$7,IF(ISNUMBER(AH251),AH251-AK251,Constants!$B$14),$Z251))</f>
        <v/>
      </c>
      <c r="AM251" s="98"/>
      <c r="AN251" s="99" t="str">
        <f aca="false">IF(ISBLANK($C251),"",IF($Z251&lt;&gt;Constants!$B$7,$Z251,AD251))</f>
        <v/>
      </c>
      <c r="AO251" s="100" t="str">
        <f aca="false">IF(ISBLANK($C251),"",IF($Z251&lt;&gt;Constants!$B$7,$Z251,S251))</f>
        <v/>
      </c>
      <c r="AP251" s="101" t="str">
        <f aca="false">IF(ISBLANK($C251),"",IF($Z251&lt;&gt;Constants!$B$7,$Z251,AF251))</f>
        <v/>
      </c>
      <c r="AQ251" s="102" t="str">
        <f aca="false">IF(ISBLANK($C251),"",IF($Z251&lt;&gt;Constants!$B$7,$Z251,AA251))</f>
        <v/>
      </c>
      <c r="AR251" s="100" t="str">
        <f aca="false">IF(ISBLANK($C251),"",AL251)</f>
        <v/>
      </c>
      <c r="AS251" s="100" t="str">
        <f aca="false">IF(ISBLANK($C251),"",AK251)</f>
        <v/>
      </c>
      <c r="AT251" s="103" t="str">
        <f aca="false">IF(ISBLANK($C251),"",IF(AS251=Constants!$B$4,COUNTA($C$8:$C$507)+2,IF(AS251=Constants!$B$5,COUNTA($C$8:$C$507)+1,IF(AS251=Constants!$B$6,COUNTA($C$8:$C$507),AS251))))</f>
        <v/>
      </c>
      <c r="AU251" s="5"/>
      <c r="AV251" s="104" t="n">
        <f aca="false">IF(OR(ISNUMBER(AS251),AS251=Constants!$B$4,AS251=Constants!$B$6,AS251=Constants!$B$5),1,0)</f>
        <v>0</v>
      </c>
      <c r="AW251" s="104" t="n">
        <v>244</v>
      </c>
      <c r="AX251" s="104" t="str">
        <f aca="false">IF(ISBLANK($C251),"",IF(ISNUMBER(AT251),AT251+ROW($B251)/1000,""))</f>
        <v/>
      </c>
      <c r="AY251" s="104" t="str">
        <f aca="false">IF(ISNUMBER(AX251),RANK(AX251,$AX$8:$AX$507,1),"")</f>
        <v/>
      </c>
      <c r="AZ251" s="104" t="str">
        <f aca="false">IF(ISBLANK($C251),"",$B251)</f>
        <v/>
      </c>
      <c r="BA251" s="104" t="str">
        <f aca="false">IF(ISBLANK($C251),"",$C251)</f>
        <v/>
      </c>
      <c r="BB251" s="104" t="str">
        <f aca="false">IF(ISBLANK($C251),"",$D251)</f>
        <v/>
      </c>
      <c r="BC251" s="105" t="str">
        <f aca="false">AQ251</f>
        <v/>
      </c>
      <c r="BD251" s="106" t="str">
        <f aca="false">AP251</f>
        <v/>
      </c>
      <c r="BE251" s="104" t="str">
        <f aca="false">IF(ISBLANK($C251),"",AS251)</f>
        <v/>
      </c>
      <c r="BF251" s="107" t="str">
        <f aca="false">IF($AW251&gt;$AV$7,"",VLOOKUP($AW251,$AY$8:$BE$507,7,FALSE()))</f>
        <v/>
      </c>
      <c r="BG251" s="108" t="str">
        <f aca="false">IF($AW251&gt;$AV$7,"",VLOOKUP($AW251,$AY$8:$BE$507,2,FALSE()))</f>
        <v/>
      </c>
      <c r="BH251" s="108" t="str">
        <f aca="false">IF($AW251&gt;$AV$7,"",VLOOKUP($AW251,$AY$8:$BE$507,3,FALSE()))</f>
        <v/>
      </c>
      <c r="BI251" s="108" t="str">
        <f aca="false">IF($AW251&gt;$AV$7,"",VLOOKUP($AW251,$AY$8:$BE$507,4,FALSE()))</f>
        <v/>
      </c>
      <c r="BJ251" s="108" t="str">
        <f aca="false">IF($AW251&gt;$AV$7,"",VLOOKUP($AW251,$AY$8:$BE$507,5,FALSE()))</f>
        <v/>
      </c>
      <c r="BK251" s="109" t="str">
        <f aca="false">IF($AW251&gt;$AV$7,"",VLOOKUP($AW251,$AY$8:$BE$507,6,FALSE()))</f>
        <v/>
      </c>
      <c r="BL251" s="50"/>
    </row>
    <row r="252" customFormat="false" ht="15.75" hidden="false" customHeight="false" outlineLevel="0" collapsed="false">
      <c r="A252" s="5"/>
      <c r="B252" s="124"/>
      <c r="C252" s="125"/>
      <c r="D252" s="110"/>
      <c r="E252" s="130"/>
      <c r="F252" s="135"/>
      <c r="G252" s="88"/>
      <c r="H252" s="136"/>
      <c r="I252" s="137"/>
      <c r="J252" s="91"/>
      <c r="K252" s="92"/>
      <c r="L252" s="137"/>
      <c r="M252" s="93"/>
      <c r="N252" s="94"/>
      <c r="O252" s="130"/>
      <c r="P252" s="96"/>
      <c r="Q252" s="97" t="str">
        <f aca="false">IF(ISBLANK($C252),"",IF(E252=Constants!$B$2, TRUE(), IF(E252=Constants!$B$3, FALSE(), TRUE())))</f>
        <v/>
      </c>
      <c r="R252" s="97" t="str">
        <f aca="false">IF(ISBLANK($C252),"",IF(F252=Constants!$B$2, TRUE(), IF(F252=Constants!$B$3, FALSE(), TRUE())))</f>
        <v/>
      </c>
      <c r="S252" s="97" t="str">
        <f aca="false">IF(ISBLANK($C252),"",IF(G252=Constants!$B$15,Constants!$B$8,IF(G252=Constants!$B$16,Constants!$B$9,Constants!$B$10)))</f>
        <v/>
      </c>
      <c r="T252" s="97" t="str">
        <f aca="false">IF(ISBLANK($C252),"",IF(H252=Constants!$B$2, TRUE(), IF(H252=Constants!$B$3, FALSE(), TRUE())))</f>
        <v/>
      </c>
      <c r="U252" s="97" t="str">
        <f aca="false">IF(ISBLANK($C252),"",IF(I252=Constants!$B$19,Constants!$B$19,Constants!$B$18))</f>
        <v/>
      </c>
      <c r="V252" s="97" t="str">
        <f aca="false">IF(ISBLANK($C252),"",IF(COUNTA(J252:K252)=0,"",IF(AND(OR(ISBLANK(J252),AND(ISNUMBER(J252),J252&gt;=0)),OR(ISBLANK(K252),AND(ISNUMBER(K252),K252&gt;=0))),60*IF(ISBLANK(J252),0,J252)+IF(ISBLANK(K252),0,K252),"")))</f>
        <v/>
      </c>
      <c r="W252" s="97" t="str">
        <f aca="false">IF(ISBLANK($C252),"",IF(L252=Constants!$B$19,Constants!$B$19,Constants!$B$18))</f>
        <v/>
      </c>
      <c r="X252" s="97" t="str">
        <f aca="false">IF(ISBLANK($C252),"",IF(COUNTA(M252:N252)=0,"",IF(AND(OR(ISBLANK(M252),AND(ISNUMBER(M252),M252&gt;=0)),OR(ISBLANK(N252),AND(ISNUMBER(N252),N252&gt;=0))),60*IF(ISBLANK(M252),0,M252)+IF(ISBLANK(N252),0,N252),"")))</f>
        <v/>
      </c>
      <c r="Y252" s="97" t="str">
        <f aca="false">IF(ISBLANK($C252),"",IF(O252=Constants!$B$2, TRUE(), IF(O252=Constants!$B$3, FALSE(), FALSE())))</f>
        <v/>
      </c>
      <c r="Z252" s="97" t="str">
        <f aca="false">IF(ISBLANK($C252),"",IF(Y252,Constants!$B$4,IF(COUNTA(E252:N252)=0,Constants!$B$5,IF(COUNTA(J252:K252,M252:N252)=0,Constants!$B$6,Constants!$B$7))))</f>
        <v/>
      </c>
      <c r="AA252" s="97" t="str">
        <f aca="false">IF(ISBLANK($C252),"",IF($Z252&lt;&gt;Constants!$B$7,$Z252,IF(OR(NOT(T252),AND(NOT(Q252),COUNTIFS(U252:W252,Constants!$B$18,V252:X252,"&gt;=0")&gt;0),AND(NOT(R252),COUNTIFS(U252:W252,Constants!$B$19,V252:X252,"&gt;=0")&gt;0)),Constants!$B$12,Constants!$B$11)))</f>
        <v/>
      </c>
      <c r="AB252" s="97" t="str">
        <f aca="false">IF($Z252=Constants!$B$7,IF(V252="",Constants!$B$13,V252),"")</f>
        <v/>
      </c>
      <c r="AC252" s="97" t="str">
        <f aca="false">IF($Z252=Constants!$B$7,IF(X252="",Constants!$B$13,X252),"")</f>
        <v/>
      </c>
      <c r="AD252" s="97" t="str">
        <f aca="false">IF($Z252=Constants!$B$7,IF($AB252&gt;=$AC252,1,2),"")</f>
        <v/>
      </c>
      <c r="AE252" s="97" t="str">
        <f aca="false">IF($Z252=Constants!$B$7,LARGE(AB252:AC252,1),"")</f>
        <v/>
      </c>
      <c r="AF252" s="97" t="str">
        <f aca="false">IF(ISBLANK($C252),"",IF($Z252&lt;&gt;Constants!$B$7,$Z252,AE252*S252))</f>
        <v/>
      </c>
      <c r="AG252" s="97" t="str">
        <f aca="false">IF(ISBLANK($C252),"",IF($Z252=Constants!$B$7,IF(ISNUMBER(AF252),RANK(AF252,$AF$8:$AF$507),Constants!$B$14),$Z252))</f>
        <v/>
      </c>
      <c r="AH252" s="97" t="str">
        <f aca="false">IF(ISBLANK($C252),"",IF($Z252=Constants!$B$7,IF(ISNUMBER(AG252),COUNTIFS($AA$8:$AA$507,"&lt;"&amp;$AA252)+COUNTIFS($AA$8:$AA$507,$AA252,$AG$8:$AG$507,"&lt;"&amp;$AG252)+1,Constants!$B$14),$Z252))</f>
        <v/>
      </c>
      <c r="AI252" s="97" t="str">
        <f aca="false">IF(ISBLANK($C252),"",IF($Z252=Constants!$B$7,LARGE(AB252:AC252,2)*S252,""))</f>
        <v/>
      </c>
      <c r="AJ252" s="97" t="str">
        <f aca="false">IF(ISBLANK($C252),"",IF($Z252=Constants!$B$7,RANK(AI252,$AI$8:$AI$507),$Z252))</f>
        <v/>
      </c>
      <c r="AK252" s="97" t="str">
        <f aca="false">IF(ISBLANK($C252),"",IF($Z252=Constants!$B$7,IF(ISNUMBER(AG252),COUNTIFS($AA$8:$AA$507,"&lt;"&amp;$AA252)+COUNTIFS($AA$8:$AA$507,$AA252,$AG$8:$AG$507,"&lt;"&amp;$AG252)+COUNTIFS($AA$8:$AA$507,$AA252,$AG$8:$AG$507,$AG252,$AJ$8:$AJ$507,"&lt;"&amp;$AJ252)+1,Constants!$B$14),$Z252))</f>
        <v/>
      </c>
      <c r="AL252" s="97" t="str">
        <f aca="false">IF(ISBLANK($C252),"",IF($Z252=Constants!$B$7,IF(ISNUMBER(AH252),AH252-AK252,Constants!$B$14),$Z252))</f>
        <v/>
      </c>
      <c r="AM252" s="98"/>
      <c r="AN252" s="99" t="str">
        <f aca="false">IF(ISBLANK($C252),"",IF($Z252&lt;&gt;Constants!$B$7,$Z252,AD252))</f>
        <v/>
      </c>
      <c r="AO252" s="100" t="str">
        <f aca="false">IF(ISBLANK($C252),"",IF($Z252&lt;&gt;Constants!$B$7,$Z252,S252))</f>
        <v/>
      </c>
      <c r="AP252" s="101" t="str">
        <f aca="false">IF(ISBLANK($C252),"",IF($Z252&lt;&gt;Constants!$B$7,$Z252,AF252))</f>
        <v/>
      </c>
      <c r="AQ252" s="102" t="str">
        <f aca="false">IF(ISBLANK($C252),"",IF($Z252&lt;&gt;Constants!$B$7,$Z252,AA252))</f>
        <v/>
      </c>
      <c r="AR252" s="100" t="str">
        <f aca="false">IF(ISBLANK($C252),"",AL252)</f>
        <v/>
      </c>
      <c r="AS252" s="100" t="str">
        <f aca="false">IF(ISBLANK($C252),"",AK252)</f>
        <v/>
      </c>
      <c r="AT252" s="103" t="str">
        <f aca="false">IF(ISBLANK($C252),"",IF(AS252=Constants!$B$4,COUNTA($C$8:$C$507)+2,IF(AS252=Constants!$B$5,COUNTA($C$8:$C$507)+1,IF(AS252=Constants!$B$6,COUNTA($C$8:$C$507),AS252))))</f>
        <v/>
      </c>
      <c r="AU252" s="5"/>
      <c r="AV252" s="104" t="n">
        <f aca="false">IF(OR(ISNUMBER(AS252),AS252=Constants!$B$4,AS252=Constants!$B$6,AS252=Constants!$B$5),1,0)</f>
        <v>0</v>
      </c>
      <c r="AW252" s="104" t="n">
        <v>245</v>
      </c>
      <c r="AX252" s="104" t="str">
        <f aca="false">IF(ISBLANK($C252),"",IF(ISNUMBER(AT252),AT252+ROW($B252)/1000,""))</f>
        <v/>
      </c>
      <c r="AY252" s="104" t="str">
        <f aca="false">IF(ISNUMBER(AX252),RANK(AX252,$AX$8:$AX$507,1),"")</f>
        <v/>
      </c>
      <c r="AZ252" s="104" t="str">
        <f aca="false">IF(ISBLANK($C252),"",$B252)</f>
        <v/>
      </c>
      <c r="BA252" s="104" t="str">
        <f aca="false">IF(ISBLANK($C252),"",$C252)</f>
        <v/>
      </c>
      <c r="BB252" s="104" t="str">
        <f aca="false">IF(ISBLANK($C252),"",$D252)</f>
        <v/>
      </c>
      <c r="BC252" s="105" t="str">
        <f aca="false">AQ252</f>
        <v/>
      </c>
      <c r="BD252" s="106" t="str">
        <f aca="false">AP252</f>
        <v/>
      </c>
      <c r="BE252" s="104" t="str">
        <f aca="false">IF(ISBLANK($C252),"",AS252)</f>
        <v/>
      </c>
      <c r="BF252" s="107" t="str">
        <f aca="false">IF($AW252&gt;$AV$7,"",VLOOKUP($AW252,$AY$8:$BE$507,7,FALSE()))</f>
        <v/>
      </c>
      <c r="BG252" s="108" t="str">
        <f aca="false">IF($AW252&gt;$AV$7,"",VLOOKUP($AW252,$AY$8:$BE$507,2,FALSE()))</f>
        <v/>
      </c>
      <c r="BH252" s="108" t="str">
        <f aca="false">IF($AW252&gt;$AV$7,"",VLOOKUP($AW252,$AY$8:$BE$507,3,FALSE()))</f>
        <v/>
      </c>
      <c r="BI252" s="108" t="str">
        <f aca="false">IF($AW252&gt;$AV$7,"",VLOOKUP($AW252,$AY$8:$BE$507,4,FALSE()))</f>
        <v/>
      </c>
      <c r="BJ252" s="108" t="str">
        <f aca="false">IF($AW252&gt;$AV$7,"",VLOOKUP($AW252,$AY$8:$BE$507,5,FALSE()))</f>
        <v/>
      </c>
      <c r="BK252" s="109" t="str">
        <f aca="false">IF($AW252&gt;$AV$7,"",VLOOKUP($AW252,$AY$8:$BE$507,6,FALSE()))</f>
        <v/>
      </c>
      <c r="BL252" s="50"/>
    </row>
    <row r="253" customFormat="false" ht="15.75" hidden="false" customHeight="false" outlineLevel="0" collapsed="false">
      <c r="A253" s="5"/>
      <c r="B253" s="124"/>
      <c r="C253" s="125"/>
      <c r="D253" s="110"/>
      <c r="E253" s="130"/>
      <c r="F253" s="135"/>
      <c r="G253" s="88"/>
      <c r="H253" s="136"/>
      <c r="I253" s="137"/>
      <c r="J253" s="91"/>
      <c r="K253" s="92"/>
      <c r="L253" s="137"/>
      <c r="M253" s="93"/>
      <c r="N253" s="94"/>
      <c r="O253" s="130"/>
      <c r="P253" s="96"/>
      <c r="Q253" s="97" t="str">
        <f aca="false">IF(ISBLANK($C253),"",IF(E253=Constants!$B$2, TRUE(), IF(E253=Constants!$B$3, FALSE(), TRUE())))</f>
        <v/>
      </c>
      <c r="R253" s="97" t="str">
        <f aca="false">IF(ISBLANK($C253),"",IF(F253=Constants!$B$2, TRUE(), IF(F253=Constants!$B$3, FALSE(), TRUE())))</f>
        <v/>
      </c>
      <c r="S253" s="97" t="str">
        <f aca="false">IF(ISBLANK($C253),"",IF(G253=Constants!$B$15,Constants!$B$8,IF(G253=Constants!$B$16,Constants!$B$9,Constants!$B$10)))</f>
        <v/>
      </c>
      <c r="T253" s="97" t="str">
        <f aca="false">IF(ISBLANK($C253),"",IF(H253=Constants!$B$2, TRUE(), IF(H253=Constants!$B$3, FALSE(), TRUE())))</f>
        <v/>
      </c>
      <c r="U253" s="97" t="str">
        <f aca="false">IF(ISBLANK($C253),"",IF(I253=Constants!$B$19,Constants!$B$19,Constants!$B$18))</f>
        <v/>
      </c>
      <c r="V253" s="97" t="str">
        <f aca="false">IF(ISBLANK($C253),"",IF(COUNTA(J253:K253)=0,"",IF(AND(OR(ISBLANK(J253),AND(ISNUMBER(J253),J253&gt;=0)),OR(ISBLANK(K253),AND(ISNUMBER(K253),K253&gt;=0))),60*IF(ISBLANK(J253),0,J253)+IF(ISBLANK(K253),0,K253),"")))</f>
        <v/>
      </c>
      <c r="W253" s="97" t="str">
        <f aca="false">IF(ISBLANK($C253),"",IF(L253=Constants!$B$19,Constants!$B$19,Constants!$B$18))</f>
        <v/>
      </c>
      <c r="X253" s="97" t="str">
        <f aca="false">IF(ISBLANK($C253),"",IF(COUNTA(M253:N253)=0,"",IF(AND(OR(ISBLANK(M253),AND(ISNUMBER(M253),M253&gt;=0)),OR(ISBLANK(N253),AND(ISNUMBER(N253),N253&gt;=0))),60*IF(ISBLANK(M253),0,M253)+IF(ISBLANK(N253),0,N253),"")))</f>
        <v/>
      </c>
      <c r="Y253" s="97" t="str">
        <f aca="false">IF(ISBLANK($C253),"",IF(O253=Constants!$B$2, TRUE(), IF(O253=Constants!$B$3, FALSE(), FALSE())))</f>
        <v/>
      </c>
      <c r="Z253" s="97" t="str">
        <f aca="false">IF(ISBLANK($C253),"",IF(Y253,Constants!$B$4,IF(COUNTA(E253:N253)=0,Constants!$B$5,IF(COUNTA(J253:K253,M253:N253)=0,Constants!$B$6,Constants!$B$7))))</f>
        <v/>
      </c>
      <c r="AA253" s="97" t="str">
        <f aca="false">IF(ISBLANK($C253),"",IF($Z253&lt;&gt;Constants!$B$7,$Z253,IF(OR(NOT(T253),AND(NOT(Q253),COUNTIFS(U253:W253,Constants!$B$18,V253:X253,"&gt;=0")&gt;0),AND(NOT(R253),COUNTIFS(U253:W253,Constants!$B$19,V253:X253,"&gt;=0")&gt;0)),Constants!$B$12,Constants!$B$11)))</f>
        <v/>
      </c>
      <c r="AB253" s="97" t="str">
        <f aca="false">IF($Z253=Constants!$B$7,IF(V253="",Constants!$B$13,V253),"")</f>
        <v/>
      </c>
      <c r="AC253" s="97" t="str">
        <f aca="false">IF($Z253=Constants!$B$7,IF(X253="",Constants!$B$13,X253),"")</f>
        <v/>
      </c>
      <c r="AD253" s="97" t="str">
        <f aca="false">IF($Z253=Constants!$B$7,IF($AB253&gt;=$AC253,1,2),"")</f>
        <v/>
      </c>
      <c r="AE253" s="97" t="str">
        <f aca="false">IF($Z253=Constants!$B$7,LARGE(AB253:AC253,1),"")</f>
        <v/>
      </c>
      <c r="AF253" s="97" t="str">
        <f aca="false">IF(ISBLANK($C253),"",IF($Z253&lt;&gt;Constants!$B$7,$Z253,AE253*S253))</f>
        <v/>
      </c>
      <c r="AG253" s="97" t="str">
        <f aca="false">IF(ISBLANK($C253),"",IF($Z253=Constants!$B$7,IF(ISNUMBER(AF253),RANK(AF253,$AF$8:$AF$507),Constants!$B$14),$Z253))</f>
        <v/>
      </c>
      <c r="AH253" s="97" t="str">
        <f aca="false">IF(ISBLANK($C253),"",IF($Z253=Constants!$B$7,IF(ISNUMBER(AG253),COUNTIFS($AA$8:$AA$507,"&lt;"&amp;$AA253)+COUNTIFS($AA$8:$AA$507,$AA253,$AG$8:$AG$507,"&lt;"&amp;$AG253)+1,Constants!$B$14),$Z253))</f>
        <v/>
      </c>
      <c r="AI253" s="97" t="str">
        <f aca="false">IF(ISBLANK($C253),"",IF($Z253=Constants!$B$7,LARGE(AB253:AC253,2)*S253,""))</f>
        <v/>
      </c>
      <c r="AJ253" s="97" t="str">
        <f aca="false">IF(ISBLANK($C253),"",IF($Z253=Constants!$B$7,RANK(AI253,$AI$8:$AI$507),$Z253))</f>
        <v/>
      </c>
      <c r="AK253" s="97" t="str">
        <f aca="false">IF(ISBLANK($C253),"",IF($Z253=Constants!$B$7,IF(ISNUMBER(AG253),COUNTIFS($AA$8:$AA$507,"&lt;"&amp;$AA253)+COUNTIFS($AA$8:$AA$507,$AA253,$AG$8:$AG$507,"&lt;"&amp;$AG253)+COUNTIFS($AA$8:$AA$507,$AA253,$AG$8:$AG$507,$AG253,$AJ$8:$AJ$507,"&lt;"&amp;$AJ253)+1,Constants!$B$14),$Z253))</f>
        <v/>
      </c>
      <c r="AL253" s="97" t="str">
        <f aca="false">IF(ISBLANK($C253),"",IF($Z253=Constants!$B$7,IF(ISNUMBER(AH253),AH253-AK253,Constants!$B$14),$Z253))</f>
        <v/>
      </c>
      <c r="AM253" s="98"/>
      <c r="AN253" s="99" t="str">
        <f aca="false">IF(ISBLANK($C253),"",IF($Z253&lt;&gt;Constants!$B$7,$Z253,AD253))</f>
        <v/>
      </c>
      <c r="AO253" s="100" t="str">
        <f aca="false">IF(ISBLANK($C253),"",IF($Z253&lt;&gt;Constants!$B$7,$Z253,S253))</f>
        <v/>
      </c>
      <c r="AP253" s="101" t="str">
        <f aca="false">IF(ISBLANK($C253),"",IF($Z253&lt;&gt;Constants!$B$7,$Z253,AF253))</f>
        <v/>
      </c>
      <c r="AQ253" s="102" t="str">
        <f aca="false">IF(ISBLANK($C253),"",IF($Z253&lt;&gt;Constants!$B$7,$Z253,AA253))</f>
        <v/>
      </c>
      <c r="AR253" s="100" t="str">
        <f aca="false">IF(ISBLANK($C253),"",AL253)</f>
        <v/>
      </c>
      <c r="AS253" s="100" t="str">
        <f aca="false">IF(ISBLANK($C253),"",AK253)</f>
        <v/>
      </c>
      <c r="AT253" s="103" t="str">
        <f aca="false">IF(ISBLANK($C253),"",IF(AS253=Constants!$B$4,COUNTA($C$8:$C$507)+2,IF(AS253=Constants!$B$5,COUNTA($C$8:$C$507)+1,IF(AS253=Constants!$B$6,COUNTA($C$8:$C$507),AS253))))</f>
        <v/>
      </c>
      <c r="AU253" s="5"/>
      <c r="AV253" s="104" t="n">
        <f aca="false">IF(OR(ISNUMBER(AS253),AS253=Constants!$B$4,AS253=Constants!$B$6,AS253=Constants!$B$5),1,0)</f>
        <v>0</v>
      </c>
      <c r="AW253" s="104" t="n">
        <v>246</v>
      </c>
      <c r="AX253" s="104" t="str">
        <f aca="false">IF(ISBLANK($C253),"",IF(ISNUMBER(AT253),AT253+ROW($B253)/1000,""))</f>
        <v/>
      </c>
      <c r="AY253" s="104" t="str">
        <f aca="false">IF(ISNUMBER(AX253),RANK(AX253,$AX$8:$AX$507,1),"")</f>
        <v/>
      </c>
      <c r="AZ253" s="104" t="str">
        <f aca="false">IF(ISBLANK($C253),"",$B253)</f>
        <v/>
      </c>
      <c r="BA253" s="104" t="str">
        <f aca="false">IF(ISBLANK($C253),"",$C253)</f>
        <v/>
      </c>
      <c r="BB253" s="104" t="str">
        <f aca="false">IF(ISBLANK($C253),"",$D253)</f>
        <v/>
      </c>
      <c r="BC253" s="105" t="str">
        <f aca="false">AQ253</f>
        <v/>
      </c>
      <c r="BD253" s="106" t="str">
        <f aca="false">AP253</f>
        <v/>
      </c>
      <c r="BE253" s="104" t="str">
        <f aca="false">IF(ISBLANK($C253),"",AS253)</f>
        <v/>
      </c>
      <c r="BF253" s="107" t="str">
        <f aca="false">IF($AW253&gt;$AV$7,"",VLOOKUP($AW253,$AY$8:$BE$507,7,FALSE()))</f>
        <v/>
      </c>
      <c r="BG253" s="108" t="str">
        <f aca="false">IF($AW253&gt;$AV$7,"",VLOOKUP($AW253,$AY$8:$BE$507,2,FALSE()))</f>
        <v/>
      </c>
      <c r="BH253" s="108" t="str">
        <f aca="false">IF($AW253&gt;$AV$7,"",VLOOKUP($AW253,$AY$8:$BE$507,3,FALSE()))</f>
        <v/>
      </c>
      <c r="BI253" s="108" t="str">
        <f aca="false">IF($AW253&gt;$AV$7,"",VLOOKUP($AW253,$AY$8:$BE$507,4,FALSE()))</f>
        <v/>
      </c>
      <c r="BJ253" s="108" t="str">
        <f aca="false">IF($AW253&gt;$AV$7,"",VLOOKUP($AW253,$AY$8:$BE$507,5,FALSE()))</f>
        <v/>
      </c>
      <c r="BK253" s="109" t="str">
        <f aca="false">IF($AW253&gt;$AV$7,"",VLOOKUP($AW253,$AY$8:$BE$507,6,FALSE()))</f>
        <v/>
      </c>
      <c r="BL253" s="50"/>
    </row>
    <row r="254" customFormat="false" ht="15.75" hidden="false" customHeight="false" outlineLevel="0" collapsed="false">
      <c r="A254" s="5"/>
      <c r="B254" s="131"/>
      <c r="C254" s="52"/>
      <c r="D254" s="53"/>
      <c r="E254" s="80"/>
      <c r="F254" s="132"/>
      <c r="G254" s="56"/>
      <c r="H254" s="133"/>
      <c r="I254" s="134"/>
      <c r="J254" s="59"/>
      <c r="K254" s="60"/>
      <c r="L254" s="134"/>
      <c r="M254" s="61"/>
      <c r="N254" s="62"/>
      <c r="O254" s="80"/>
      <c r="P254" s="64"/>
      <c r="Q254" s="65" t="str">
        <f aca="false">IF(ISBLANK($C254),"",IF(E254=Constants!$B$2, TRUE(), IF(E254=Constants!$B$3, FALSE(), TRUE())))</f>
        <v/>
      </c>
      <c r="R254" s="65" t="str">
        <f aca="false">IF(ISBLANK($C254),"",IF(F254=Constants!$B$2, TRUE(), IF(F254=Constants!$B$3, FALSE(), TRUE())))</f>
        <v/>
      </c>
      <c r="S254" s="65" t="str">
        <f aca="false">IF(ISBLANK($C254),"",IF(G254=Constants!$B$15,Constants!$B$8,IF(G254=Constants!$B$16,Constants!$B$9,Constants!$B$10)))</f>
        <v/>
      </c>
      <c r="T254" s="65" t="str">
        <f aca="false">IF(ISBLANK($C254),"",IF(H254=Constants!$B$2, TRUE(), IF(H254=Constants!$B$3, FALSE(), TRUE())))</f>
        <v/>
      </c>
      <c r="U254" s="65" t="str">
        <f aca="false">IF(ISBLANK($C254),"",IF(I254=Constants!$B$19,Constants!$B$19,Constants!$B$18))</f>
        <v/>
      </c>
      <c r="V254" s="65" t="str">
        <f aca="false">IF(ISBLANK($C254),"",IF(COUNTA(J254:K254)=0,"",IF(AND(OR(ISBLANK(J254),AND(ISNUMBER(J254),J254&gt;=0)),OR(ISBLANK(K254),AND(ISNUMBER(K254),K254&gt;=0))),60*IF(ISBLANK(J254),0,J254)+IF(ISBLANK(K254),0,K254),"")))</f>
        <v/>
      </c>
      <c r="W254" s="65" t="str">
        <f aca="false">IF(ISBLANK($C254),"",IF(L254=Constants!$B$19,Constants!$B$19,Constants!$B$18))</f>
        <v/>
      </c>
      <c r="X254" s="65" t="str">
        <f aca="false">IF(ISBLANK($C254),"",IF(COUNTA(M254:N254)=0,"",IF(AND(OR(ISBLANK(M254),AND(ISNUMBER(M254),M254&gt;=0)),OR(ISBLANK(N254),AND(ISNUMBER(N254),N254&gt;=0))),60*IF(ISBLANK(M254),0,M254)+IF(ISBLANK(N254),0,N254),"")))</f>
        <v/>
      </c>
      <c r="Y254" s="65" t="str">
        <f aca="false">IF(ISBLANK($C254),"",IF(O254=Constants!$B$2, TRUE(), IF(O254=Constants!$B$3, FALSE(), FALSE())))</f>
        <v/>
      </c>
      <c r="Z254" s="65" t="str">
        <f aca="false">IF(ISBLANK($C254),"",IF(Y254,Constants!$B$4,IF(COUNTA(E254:N254)=0,Constants!$B$5,IF(COUNTA(J254:K254,M254:N254)=0,Constants!$B$6,Constants!$B$7))))</f>
        <v/>
      </c>
      <c r="AA254" s="65" t="str">
        <f aca="false">IF(ISBLANK($C254),"",IF($Z254&lt;&gt;Constants!$B$7,$Z254,IF(OR(NOT(T254),AND(NOT(Q254),COUNTIFS(U254:W254,Constants!$B$18,V254:X254,"&gt;=0")&gt;0),AND(NOT(R254),COUNTIFS(U254:W254,Constants!$B$19,V254:X254,"&gt;=0")&gt;0)),Constants!$B$12,Constants!$B$11)))</f>
        <v/>
      </c>
      <c r="AB254" s="65" t="str">
        <f aca="false">IF($Z254=Constants!$B$7,IF(V254="",Constants!$B$13,V254),"")</f>
        <v/>
      </c>
      <c r="AC254" s="65" t="str">
        <f aca="false">IF($Z254=Constants!$B$7,IF(X254="",Constants!$B$13,X254),"")</f>
        <v/>
      </c>
      <c r="AD254" s="65" t="str">
        <f aca="false">IF($Z254=Constants!$B$7,IF($AB254&gt;=$AC254,1,2),"")</f>
        <v/>
      </c>
      <c r="AE254" s="65" t="str">
        <f aca="false">IF($Z254=Constants!$B$7,LARGE(AB254:AC254,1),"")</f>
        <v/>
      </c>
      <c r="AF254" s="65" t="str">
        <f aca="false">IF(ISBLANK($C254),"",IF($Z254&lt;&gt;Constants!$B$7,$Z254,AE254*S254))</f>
        <v/>
      </c>
      <c r="AG254" s="65" t="str">
        <f aca="false">IF(ISBLANK($C254),"",IF($Z254=Constants!$B$7,IF(ISNUMBER(AF254),RANK(AF254,$AF$8:$AF$507),Constants!$B$14),$Z254))</f>
        <v/>
      </c>
      <c r="AH254" s="65" t="str">
        <f aca="false">IF(ISBLANK($C254),"",IF($Z254=Constants!$B$7,IF(ISNUMBER(AG254),COUNTIFS($AA$8:$AA$507,"&lt;"&amp;$AA254)+COUNTIFS($AA$8:$AA$507,$AA254,$AG$8:$AG$507,"&lt;"&amp;$AG254)+1,Constants!$B$14),$Z254))</f>
        <v/>
      </c>
      <c r="AI254" s="65" t="str">
        <f aca="false">IF(ISBLANK($C254),"",IF($Z254=Constants!$B$7,LARGE(AB254:AC254,2)*S254,""))</f>
        <v/>
      </c>
      <c r="AJ254" s="65" t="str">
        <f aca="false">IF(ISBLANK($C254),"",IF($Z254=Constants!$B$7,RANK(AI254,$AI$8:$AI$507),$Z254))</f>
        <v/>
      </c>
      <c r="AK254" s="65" t="str">
        <f aca="false">IF(ISBLANK($C254),"",IF($Z254=Constants!$B$7,IF(ISNUMBER(AG254),COUNTIFS($AA$8:$AA$507,"&lt;"&amp;$AA254)+COUNTIFS($AA$8:$AA$507,$AA254,$AG$8:$AG$507,"&lt;"&amp;$AG254)+COUNTIFS($AA$8:$AA$507,$AA254,$AG$8:$AG$507,$AG254,$AJ$8:$AJ$507,"&lt;"&amp;$AJ254)+1,Constants!$B$14),$Z254))</f>
        <v/>
      </c>
      <c r="AL254" s="65" t="str">
        <f aca="false">IF(ISBLANK($C254),"",IF($Z254=Constants!$B$7,IF(ISNUMBER(AH254),AH254-AK254,Constants!$B$14),$Z254))</f>
        <v/>
      </c>
      <c r="AM254" s="67"/>
      <c r="AN254" s="68" t="str">
        <f aca="false">IF(ISBLANK($C254),"",IF($Z254&lt;&gt;Constants!$B$7,$Z254,AD254))</f>
        <v/>
      </c>
      <c r="AO254" s="69" t="str">
        <f aca="false">IF(ISBLANK($C254),"",IF($Z254&lt;&gt;Constants!$B$7,$Z254,S254))</f>
        <v/>
      </c>
      <c r="AP254" s="70" t="str">
        <f aca="false">IF(ISBLANK($C254),"",IF($Z254&lt;&gt;Constants!$B$7,$Z254,AF254))</f>
        <v/>
      </c>
      <c r="AQ254" s="71" t="str">
        <f aca="false">IF(ISBLANK($C254),"",IF($Z254&lt;&gt;Constants!$B$7,$Z254,AA254))</f>
        <v/>
      </c>
      <c r="AR254" s="69" t="str">
        <f aca="false">IF(ISBLANK($C254),"",AL254)</f>
        <v/>
      </c>
      <c r="AS254" s="69" t="str">
        <f aca="false">IF(ISBLANK($C254),"",AK254)</f>
        <v/>
      </c>
      <c r="AT254" s="72" t="str">
        <f aca="false">IF(ISBLANK($C254),"",IF(AS254=Constants!$B$4,COUNTA($C$8:$C$507)+2,IF(AS254=Constants!$B$5,COUNTA($C$8:$C$507)+1,IF(AS254=Constants!$B$6,COUNTA($C$8:$C$507),AS254))))</f>
        <v/>
      </c>
      <c r="AU254" s="5"/>
      <c r="AV254" s="73" t="n">
        <f aca="false">IF(OR(ISNUMBER(AS254),AS254=Constants!$B$4,AS254=Constants!$B$6,AS254=Constants!$B$5),1,0)</f>
        <v>0</v>
      </c>
      <c r="AW254" s="73" t="n">
        <v>247</v>
      </c>
      <c r="AX254" s="73" t="str">
        <f aca="false">IF(ISBLANK($C254),"",IF(ISNUMBER(AT254),AT254+ROW($B254)/1000,""))</f>
        <v/>
      </c>
      <c r="AY254" s="73" t="str">
        <f aca="false">IF(ISNUMBER(AX254),RANK(AX254,$AX$8:$AX$507,1),"")</f>
        <v/>
      </c>
      <c r="AZ254" s="73" t="str">
        <f aca="false">IF(ISBLANK($C254),"",$B254)</f>
        <v/>
      </c>
      <c r="BA254" s="73" t="str">
        <f aca="false">IF(ISBLANK($C254),"",$C254)</f>
        <v/>
      </c>
      <c r="BB254" s="73" t="str">
        <f aca="false">IF(ISBLANK($C254),"",$D254)</f>
        <v/>
      </c>
      <c r="BC254" s="74" t="str">
        <f aca="false">AQ254</f>
        <v/>
      </c>
      <c r="BD254" s="75" t="str">
        <f aca="false">AP254</f>
        <v/>
      </c>
      <c r="BE254" s="73" t="str">
        <f aca="false">IF(ISBLANK($C254),"",AS254)</f>
        <v/>
      </c>
      <c r="BF254" s="76" t="str">
        <f aca="false">IF($AW254&gt;$AV$7,"",VLOOKUP($AW254,$AY$8:$BE$507,7,FALSE()))</f>
        <v/>
      </c>
      <c r="BG254" s="77" t="str">
        <f aca="false">IF($AW254&gt;$AV$7,"",VLOOKUP($AW254,$AY$8:$BE$507,2,FALSE()))</f>
        <v/>
      </c>
      <c r="BH254" s="77" t="str">
        <f aca="false">IF($AW254&gt;$AV$7,"",VLOOKUP($AW254,$AY$8:$BE$507,3,FALSE()))</f>
        <v/>
      </c>
      <c r="BI254" s="77" t="str">
        <f aca="false">IF($AW254&gt;$AV$7,"",VLOOKUP($AW254,$AY$8:$BE$507,4,FALSE()))</f>
        <v/>
      </c>
      <c r="BJ254" s="77" t="str">
        <f aca="false">IF($AW254&gt;$AV$7,"",VLOOKUP($AW254,$AY$8:$BE$507,5,FALSE()))</f>
        <v/>
      </c>
      <c r="BK254" s="78" t="str">
        <f aca="false">IF($AW254&gt;$AV$7,"",VLOOKUP($AW254,$AY$8:$BE$507,6,FALSE()))</f>
        <v/>
      </c>
      <c r="BL254" s="50"/>
    </row>
    <row r="255" customFormat="false" ht="15.75" hidden="false" customHeight="false" outlineLevel="0" collapsed="false">
      <c r="A255" s="5"/>
      <c r="B255" s="131"/>
      <c r="C255" s="52"/>
      <c r="D255" s="53"/>
      <c r="E255" s="80"/>
      <c r="F255" s="132"/>
      <c r="G255" s="56"/>
      <c r="H255" s="133"/>
      <c r="I255" s="134"/>
      <c r="J255" s="59"/>
      <c r="K255" s="60"/>
      <c r="L255" s="134"/>
      <c r="M255" s="61"/>
      <c r="N255" s="62"/>
      <c r="O255" s="80"/>
      <c r="P255" s="64"/>
      <c r="Q255" s="65" t="str">
        <f aca="false">IF(ISBLANK($C255),"",IF(E255=Constants!$B$2, TRUE(), IF(E255=Constants!$B$3, FALSE(), TRUE())))</f>
        <v/>
      </c>
      <c r="R255" s="65" t="str">
        <f aca="false">IF(ISBLANK($C255),"",IF(F255=Constants!$B$2, TRUE(), IF(F255=Constants!$B$3, FALSE(), TRUE())))</f>
        <v/>
      </c>
      <c r="S255" s="65" t="str">
        <f aca="false">IF(ISBLANK($C255),"",IF(G255=Constants!$B$15,Constants!$B$8,IF(G255=Constants!$B$16,Constants!$B$9,Constants!$B$10)))</f>
        <v/>
      </c>
      <c r="T255" s="65" t="str">
        <f aca="false">IF(ISBLANK($C255),"",IF(H255=Constants!$B$2, TRUE(), IF(H255=Constants!$B$3, FALSE(), TRUE())))</f>
        <v/>
      </c>
      <c r="U255" s="65" t="str">
        <f aca="false">IF(ISBLANK($C255),"",IF(I255=Constants!$B$19,Constants!$B$19,Constants!$B$18))</f>
        <v/>
      </c>
      <c r="V255" s="65" t="str">
        <f aca="false">IF(ISBLANK($C255),"",IF(COUNTA(J255:K255)=0,"",IF(AND(OR(ISBLANK(J255),AND(ISNUMBER(J255),J255&gt;=0)),OR(ISBLANK(K255),AND(ISNUMBER(K255),K255&gt;=0))),60*IF(ISBLANK(J255),0,J255)+IF(ISBLANK(K255),0,K255),"")))</f>
        <v/>
      </c>
      <c r="W255" s="65" t="str">
        <f aca="false">IF(ISBLANK($C255),"",IF(L255=Constants!$B$19,Constants!$B$19,Constants!$B$18))</f>
        <v/>
      </c>
      <c r="X255" s="65" t="str">
        <f aca="false">IF(ISBLANK($C255),"",IF(COUNTA(M255:N255)=0,"",IF(AND(OR(ISBLANK(M255),AND(ISNUMBER(M255),M255&gt;=0)),OR(ISBLANK(N255),AND(ISNUMBER(N255),N255&gt;=0))),60*IF(ISBLANK(M255),0,M255)+IF(ISBLANK(N255),0,N255),"")))</f>
        <v/>
      </c>
      <c r="Y255" s="65" t="str">
        <f aca="false">IF(ISBLANK($C255),"",IF(O255=Constants!$B$2, TRUE(), IF(O255=Constants!$B$3, FALSE(), FALSE())))</f>
        <v/>
      </c>
      <c r="Z255" s="65" t="str">
        <f aca="false">IF(ISBLANK($C255),"",IF(Y255,Constants!$B$4,IF(COUNTA(E255:N255)=0,Constants!$B$5,IF(COUNTA(J255:K255,M255:N255)=0,Constants!$B$6,Constants!$B$7))))</f>
        <v/>
      </c>
      <c r="AA255" s="65" t="str">
        <f aca="false">IF(ISBLANK($C255),"",IF($Z255&lt;&gt;Constants!$B$7,$Z255,IF(OR(NOT(T255),AND(NOT(Q255),COUNTIFS(U255:W255,Constants!$B$18,V255:X255,"&gt;=0")&gt;0),AND(NOT(R255),COUNTIFS(U255:W255,Constants!$B$19,V255:X255,"&gt;=0")&gt;0)),Constants!$B$12,Constants!$B$11)))</f>
        <v/>
      </c>
      <c r="AB255" s="65" t="str">
        <f aca="false">IF($Z255=Constants!$B$7,IF(V255="",Constants!$B$13,V255),"")</f>
        <v/>
      </c>
      <c r="AC255" s="65" t="str">
        <f aca="false">IF($Z255=Constants!$B$7,IF(X255="",Constants!$B$13,X255),"")</f>
        <v/>
      </c>
      <c r="AD255" s="65" t="str">
        <f aca="false">IF($Z255=Constants!$B$7,IF($AB255&gt;=$AC255,1,2),"")</f>
        <v/>
      </c>
      <c r="AE255" s="65" t="str">
        <f aca="false">IF($Z255=Constants!$B$7,LARGE(AB255:AC255,1),"")</f>
        <v/>
      </c>
      <c r="AF255" s="65" t="str">
        <f aca="false">IF(ISBLANK($C255),"",IF($Z255&lt;&gt;Constants!$B$7,$Z255,AE255*S255))</f>
        <v/>
      </c>
      <c r="AG255" s="65" t="str">
        <f aca="false">IF(ISBLANK($C255),"",IF($Z255=Constants!$B$7,IF(ISNUMBER(AF255),RANK(AF255,$AF$8:$AF$507),Constants!$B$14),$Z255))</f>
        <v/>
      </c>
      <c r="AH255" s="65" t="str">
        <f aca="false">IF(ISBLANK($C255),"",IF($Z255=Constants!$B$7,IF(ISNUMBER(AG255),COUNTIFS($AA$8:$AA$507,"&lt;"&amp;$AA255)+COUNTIFS($AA$8:$AA$507,$AA255,$AG$8:$AG$507,"&lt;"&amp;$AG255)+1,Constants!$B$14),$Z255))</f>
        <v/>
      </c>
      <c r="AI255" s="65" t="str">
        <f aca="false">IF(ISBLANK($C255),"",IF($Z255=Constants!$B$7,LARGE(AB255:AC255,2)*S255,""))</f>
        <v/>
      </c>
      <c r="AJ255" s="65" t="str">
        <f aca="false">IF(ISBLANK($C255),"",IF($Z255=Constants!$B$7,RANK(AI255,$AI$8:$AI$507),$Z255))</f>
        <v/>
      </c>
      <c r="AK255" s="65" t="str">
        <f aca="false">IF(ISBLANK($C255),"",IF($Z255=Constants!$B$7,IF(ISNUMBER(AG255),COUNTIFS($AA$8:$AA$507,"&lt;"&amp;$AA255)+COUNTIFS($AA$8:$AA$507,$AA255,$AG$8:$AG$507,"&lt;"&amp;$AG255)+COUNTIFS($AA$8:$AA$507,$AA255,$AG$8:$AG$507,$AG255,$AJ$8:$AJ$507,"&lt;"&amp;$AJ255)+1,Constants!$B$14),$Z255))</f>
        <v/>
      </c>
      <c r="AL255" s="65" t="str">
        <f aca="false">IF(ISBLANK($C255),"",IF($Z255=Constants!$B$7,IF(ISNUMBER(AH255),AH255-AK255,Constants!$B$14),$Z255))</f>
        <v/>
      </c>
      <c r="AM255" s="67"/>
      <c r="AN255" s="68" t="str">
        <f aca="false">IF(ISBLANK($C255),"",IF($Z255&lt;&gt;Constants!$B$7,$Z255,AD255))</f>
        <v/>
      </c>
      <c r="AO255" s="69" t="str">
        <f aca="false">IF(ISBLANK($C255),"",IF($Z255&lt;&gt;Constants!$B$7,$Z255,S255))</f>
        <v/>
      </c>
      <c r="AP255" s="70" t="str">
        <f aca="false">IF(ISBLANK($C255),"",IF($Z255&lt;&gt;Constants!$B$7,$Z255,AF255))</f>
        <v/>
      </c>
      <c r="AQ255" s="71" t="str">
        <f aca="false">IF(ISBLANK($C255),"",IF($Z255&lt;&gt;Constants!$B$7,$Z255,AA255))</f>
        <v/>
      </c>
      <c r="AR255" s="69" t="str">
        <f aca="false">IF(ISBLANK($C255),"",AL255)</f>
        <v/>
      </c>
      <c r="AS255" s="69" t="str">
        <f aca="false">IF(ISBLANK($C255),"",AK255)</f>
        <v/>
      </c>
      <c r="AT255" s="72" t="str">
        <f aca="false">IF(ISBLANK($C255),"",IF(AS255=Constants!$B$4,COUNTA($C$8:$C$507)+2,IF(AS255=Constants!$B$5,COUNTA($C$8:$C$507)+1,IF(AS255=Constants!$B$6,COUNTA($C$8:$C$507),AS255))))</f>
        <v/>
      </c>
      <c r="AU255" s="5"/>
      <c r="AV255" s="73" t="n">
        <f aca="false">IF(OR(ISNUMBER(AS255),AS255=Constants!$B$4,AS255=Constants!$B$6,AS255=Constants!$B$5),1,0)</f>
        <v>0</v>
      </c>
      <c r="AW255" s="73" t="n">
        <v>248</v>
      </c>
      <c r="AX255" s="73" t="str">
        <f aca="false">IF(ISBLANK($C255),"",IF(ISNUMBER(AT255),AT255+ROW($B255)/1000,""))</f>
        <v/>
      </c>
      <c r="AY255" s="73" t="str">
        <f aca="false">IF(ISNUMBER(AX255),RANK(AX255,$AX$8:$AX$507,1),"")</f>
        <v/>
      </c>
      <c r="AZ255" s="73" t="str">
        <f aca="false">IF(ISBLANK($C255),"",$B255)</f>
        <v/>
      </c>
      <c r="BA255" s="73" t="str">
        <f aca="false">IF(ISBLANK($C255),"",$C255)</f>
        <v/>
      </c>
      <c r="BB255" s="73" t="str">
        <f aca="false">IF(ISBLANK($C255),"",$D255)</f>
        <v/>
      </c>
      <c r="BC255" s="74" t="str">
        <f aca="false">AQ255</f>
        <v/>
      </c>
      <c r="BD255" s="75" t="str">
        <f aca="false">AP255</f>
        <v/>
      </c>
      <c r="BE255" s="73" t="str">
        <f aca="false">IF(ISBLANK($C255),"",AS255)</f>
        <v/>
      </c>
      <c r="BF255" s="76" t="str">
        <f aca="false">IF($AW255&gt;$AV$7,"",VLOOKUP($AW255,$AY$8:$BE$507,7,FALSE()))</f>
        <v/>
      </c>
      <c r="BG255" s="77" t="str">
        <f aca="false">IF($AW255&gt;$AV$7,"",VLOOKUP($AW255,$AY$8:$BE$507,2,FALSE()))</f>
        <v/>
      </c>
      <c r="BH255" s="77" t="str">
        <f aca="false">IF($AW255&gt;$AV$7,"",VLOOKUP($AW255,$AY$8:$BE$507,3,FALSE()))</f>
        <v/>
      </c>
      <c r="BI255" s="77" t="str">
        <f aca="false">IF($AW255&gt;$AV$7,"",VLOOKUP($AW255,$AY$8:$BE$507,4,FALSE()))</f>
        <v/>
      </c>
      <c r="BJ255" s="77" t="str">
        <f aca="false">IF($AW255&gt;$AV$7,"",VLOOKUP($AW255,$AY$8:$BE$507,5,FALSE()))</f>
        <v/>
      </c>
      <c r="BK255" s="78" t="str">
        <f aca="false">IF($AW255&gt;$AV$7,"",VLOOKUP($AW255,$AY$8:$BE$507,6,FALSE()))</f>
        <v/>
      </c>
      <c r="BL255" s="50"/>
    </row>
    <row r="256" customFormat="false" ht="15.75" hidden="false" customHeight="false" outlineLevel="0" collapsed="false">
      <c r="A256" s="5"/>
      <c r="B256" s="131"/>
      <c r="C256" s="52"/>
      <c r="D256" s="53"/>
      <c r="E256" s="80"/>
      <c r="F256" s="132"/>
      <c r="G256" s="56"/>
      <c r="H256" s="133"/>
      <c r="I256" s="134"/>
      <c r="J256" s="59"/>
      <c r="K256" s="60"/>
      <c r="L256" s="134"/>
      <c r="M256" s="61"/>
      <c r="N256" s="62"/>
      <c r="O256" s="80"/>
      <c r="P256" s="64"/>
      <c r="Q256" s="65" t="str">
        <f aca="false">IF(ISBLANK($C256),"",IF(E256=Constants!$B$2, TRUE(), IF(E256=Constants!$B$3, FALSE(), TRUE())))</f>
        <v/>
      </c>
      <c r="R256" s="65" t="str">
        <f aca="false">IF(ISBLANK($C256),"",IF(F256=Constants!$B$2, TRUE(), IF(F256=Constants!$B$3, FALSE(), TRUE())))</f>
        <v/>
      </c>
      <c r="S256" s="65" t="str">
        <f aca="false">IF(ISBLANK($C256),"",IF(G256=Constants!$B$15,Constants!$B$8,IF(G256=Constants!$B$16,Constants!$B$9,Constants!$B$10)))</f>
        <v/>
      </c>
      <c r="T256" s="65" t="str">
        <f aca="false">IF(ISBLANK($C256),"",IF(H256=Constants!$B$2, TRUE(), IF(H256=Constants!$B$3, FALSE(), TRUE())))</f>
        <v/>
      </c>
      <c r="U256" s="65" t="str">
        <f aca="false">IF(ISBLANK($C256),"",IF(I256=Constants!$B$19,Constants!$B$19,Constants!$B$18))</f>
        <v/>
      </c>
      <c r="V256" s="65" t="str">
        <f aca="false">IF(ISBLANK($C256),"",IF(COUNTA(J256:K256)=0,"",IF(AND(OR(ISBLANK(J256),AND(ISNUMBER(J256),J256&gt;=0)),OR(ISBLANK(K256),AND(ISNUMBER(K256),K256&gt;=0))),60*IF(ISBLANK(J256),0,J256)+IF(ISBLANK(K256),0,K256),"")))</f>
        <v/>
      </c>
      <c r="W256" s="65" t="str">
        <f aca="false">IF(ISBLANK($C256),"",IF(L256=Constants!$B$19,Constants!$B$19,Constants!$B$18))</f>
        <v/>
      </c>
      <c r="X256" s="65" t="str">
        <f aca="false">IF(ISBLANK($C256),"",IF(COUNTA(M256:N256)=0,"",IF(AND(OR(ISBLANK(M256),AND(ISNUMBER(M256),M256&gt;=0)),OR(ISBLANK(N256),AND(ISNUMBER(N256),N256&gt;=0))),60*IF(ISBLANK(M256),0,M256)+IF(ISBLANK(N256),0,N256),"")))</f>
        <v/>
      </c>
      <c r="Y256" s="65" t="str">
        <f aca="false">IF(ISBLANK($C256),"",IF(O256=Constants!$B$2, TRUE(), IF(O256=Constants!$B$3, FALSE(), FALSE())))</f>
        <v/>
      </c>
      <c r="Z256" s="65" t="str">
        <f aca="false">IF(ISBLANK($C256),"",IF(Y256,Constants!$B$4,IF(COUNTA(E256:N256)=0,Constants!$B$5,IF(COUNTA(J256:K256,M256:N256)=0,Constants!$B$6,Constants!$B$7))))</f>
        <v/>
      </c>
      <c r="AA256" s="65" t="str">
        <f aca="false">IF(ISBLANK($C256),"",IF($Z256&lt;&gt;Constants!$B$7,$Z256,IF(OR(NOT(T256),AND(NOT(Q256),COUNTIFS(U256:W256,Constants!$B$18,V256:X256,"&gt;=0")&gt;0),AND(NOT(R256),COUNTIFS(U256:W256,Constants!$B$19,V256:X256,"&gt;=0")&gt;0)),Constants!$B$12,Constants!$B$11)))</f>
        <v/>
      </c>
      <c r="AB256" s="65" t="str">
        <f aca="false">IF($Z256=Constants!$B$7,IF(V256="",Constants!$B$13,V256),"")</f>
        <v/>
      </c>
      <c r="AC256" s="65" t="str">
        <f aca="false">IF($Z256=Constants!$B$7,IF(X256="",Constants!$B$13,X256),"")</f>
        <v/>
      </c>
      <c r="AD256" s="65" t="str">
        <f aca="false">IF($Z256=Constants!$B$7,IF($AB256&gt;=$AC256,1,2),"")</f>
        <v/>
      </c>
      <c r="AE256" s="65" t="str">
        <f aca="false">IF($Z256=Constants!$B$7,LARGE(AB256:AC256,1),"")</f>
        <v/>
      </c>
      <c r="AF256" s="65" t="str">
        <f aca="false">IF(ISBLANK($C256),"",IF($Z256&lt;&gt;Constants!$B$7,$Z256,AE256*S256))</f>
        <v/>
      </c>
      <c r="AG256" s="65" t="str">
        <f aca="false">IF(ISBLANK($C256),"",IF($Z256=Constants!$B$7,IF(ISNUMBER(AF256),RANK(AF256,$AF$8:$AF$507),Constants!$B$14),$Z256))</f>
        <v/>
      </c>
      <c r="AH256" s="65" t="str">
        <f aca="false">IF(ISBLANK($C256),"",IF($Z256=Constants!$B$7,IF(ISNUMBER(AG256),COUNTIFS($AA$8:$AA$507,"&lt;"&amp;$AA256)+COUNTIFS($AA$8:$AA$507,$AA256,$AG$8:$AG$507,"&lt;"&amp;$AG256)+1,Constants!$B$14),$Z256))</f>
        <v/>
      </c>
      <c r="AI256" s="65" t="str">
        <f aca="false">IF(ISBLANK($C256),"",IF($Z256=Constants!$B$7,LARGE(AB256:AC256,2)*S256,""))</f>
        <v/>
      </c>
      <c r="AJ256" s="65" t="str">
        <f aca="false">IF(ISBLANK($C256),"",IF($Z256=Constants!$B$7,RANK(AI256,$AI$8:$AI$507),$Z256))</f>
        <v/>
      </c>
      <c r="AK256" s="65" t="str">
        <f aca="false">IF(ISBLANK($C256),"",IF($Z256=Constants!$B$7,IF(ISNUMBER(AG256),COUNTIFS($AA$8:$AA$507,"&lt;"&amp;$AA256)+COUNTIFS($AA$8:$AA$507,$AA256,$AG$8:$AG$507,"&lt;"&amp;$AG256)+COUNTIFS($AA$8:$AA$507,$AA256,$AG$8:$AG$507,$AG256,$AJ$8:$AJ$507,"&lt;"&amp;$AJ256)+1,Constants!$B$14),$Z256))</f>
        <v/>
      </c>
      <c r="AL256" s="65" t="str">
        <f aca="false">IF(ISBLANK($C256),"",IF($Z256=Constants!$B$7,IF(ISNUMBER(AH256),AH256-AK256,Constants!$B$14),$Z256))</f>
        <v/>
      </c>
      <c r="AM256" s="67"/>
      <c r="AN256" s="68" t="str">
        <f aca="false">IF(ISBLANK($C256),"",IF($Z256&lt;&gt;Constants!$B$7,$Z256,AD256))</f>
        <v/>
      </c>
      <c r="AO256" s="69" t="str">
        <f aca="false">IF(ISBLANK($C256),"",IF($Z256&lt;&gt;Constants!$B$7,$Z256,S256))</f>
        <v/>
      </c>
      <c r="AP256" s="70" t="str">
        <f aca="false">IF(ISBLANK($C256),"",IF($Z256&lt;&gt;Constants!$B$7,$Z256,AF256))</f>
        <v/>
      </c>
      <c r="AQ256" s="71" t="str">
        <f aca="false">IF(ISBLANK($C256),"",IF($Z256&lt;&gt;Constants!$B$7,$Z256,AA256))</f>
        <v/>
      </c>
      <c r="AR256" s="69" t="str">
        <f aca="false">IF(ISBLANK($C256),"",AL256)</f>
        <v/>
      </c>
      <c r="AS256" s="69" t="str">
        <f aca="false">IF(ISBLANK($C256),"",AK256)</f>
        <v/>
      </c>
      <c r="AT256" s="72" t="str">
        <f aca="false">IF(ISBLANK($C256),"",IF(AS256=Constants!$B$4,COUNTA($C$8:$C$507)+2,IF(AS256=Constants!$B$5,COUNTA($C$8:$C$507)+1,IF(AS256=Constants!$B$6,COUNTA($C$8:$C$507),AS256))))</f>
        <v/>
      </c>
      <c r="AU256" s="5"/>
      <c r="AV256" s="73" t="n">
        <f aca="false">IF(OR(ISNUMBER(AS256),AS256=Constants!$B$4,AS256=Constants!$B$6,AS256=Constants!$B$5),1,0)</f>
        <v>0</v>
      </c>
      <c r="AW256" s="73" t="n">
        <v>249</v>
      </c>
      <c r="AX256" s="73" t="str">
        <f aca="false">IF(ISBLANK($C256),"",IF(ISNUMBER(AT256),AT256+ROW($B256)/1000,""))</f>
        <v/>
      </c>
      <c r="AY256" s="73" t="str">
        <f aca="false">IF(ISNUMBER(AX256),RANK(AX256,$AX$8:$AX$507,1),"")</f>
        <v/>
      </c>
      <c r="AZ256" s="73" t="str">
        <f aca="false">IF(ISBLANK($C256),"",$B256)</f>
        <v/>
      </c>
      <c r="BA256" s="73" t="str">
        <f aca="false">IF(ISBLANK($C256),"",$C256)</f>
        <v/>
      </c>
      <c r="BB256" s="73" t="str">
        <f aca="false">IF(ISBLANK($C256),"",$D256)</f>
        <v/>
      </c>
      <c r="BC256" s="74" t="str">
        <f aca="false">AQ256</f>
        <v/>
      </c>
      <c r="BD256" s="75" t="str">
        <f aca="false">AP256</f>
        <v/>
      </c>
      <c r="BE256" s="73" t="str">
        <f aca="false">IF(ISBLANK($C256),"",AS256)</f>
        <v/>
      </c>
      <c r="BF256" s="76" t="str">
        <f aca="false">IF($AW256&gt;$AV$7,"",VLOOKUP($AW256,$AY$8:$BE$507,7,FALSE()))</f>
        <v/>
      </c>
      <c r="BG256" s="77" t="str">
        <f aca="false">IF($AW256&gt;$AV$7,"",VLOOKUP($AW256,$AY$8:$BE$507,2,FALSE()))</f>
        <v/>
      </c>
      <c r="BH256" s="77" t="str">
        <f aca="false">IF($AW256&gt;$AV$7,"",VLOOKUP($AW256,$AY$8:$BE$507,3,FALSE()))</f>
        <v/>
      </c>
      <c r="BI256" s="77" t="str">
        <f aca="false">IF($AW256&gt;$AV$7,"",VLOOKUP($AW256,$AY$8:$BE$507,4,FALSE()))</f>
        <v/>
      </c>
      <c r="BJ256" s="77" t="str">
        <f aca="false">IF($AW256&gt;$AV$7,"",VLOOKUP($AW256,$AY$8:$BE$507,5,FALSE()))</f>
        <v/>
      </c>
      <c r="BK256" s="78" t="str">
        <f aca="false">IF($AW256&gt;$AV$7,"",VLOOKUP($AW256,$AY$8:$BE$507,6,FALSE()))</f>
        <v/>
      </c>
      <c r="BL256" s="50"/>
    </row>
    <row r="257" customFormat="false" ht="15.75" hidden="false" customHeight="false" outlineLevel="0" collapsed="false">
      <c r="A257" s="5"/>
      <c r="B257" s="124"/>
      <c r="C257" s="125"/>
      <c r="D257" s="110"/>
      <c r="E257" s="130"/>
      <c r="F257" s="135"/>
      <c r="G257" s="88"/>
      <c r="H257" s="136"/>
      <c r="I257" s="137"/>
      <c r="J257" s="91"/>
      <c r="K257" s="92"/>
      <c r="L257" s="137"/>
      <c r="M257" s="93"/>
      <c r="N257" s="94"/>
      <c r="O257" s="130"/>
      <c r="P257" s="96"/>
      <c r="Q257" s="97" t="str">
        <f aca="false">IF(ISBLANK($C257),"",IF(E257=Constants!$B$2, TRUE(), IF(E257=Constants!$B$3, FALSE(), TRUE())))</f>
        <v/>
      </c>
      <c r="R257" s="97" t="str">
        <f aca="false">IF(ISBLANK($C257),"",IF(F257=Constants!$B$2, TRUE(), IF(F257=Constants!$B$3, FALSE(), TRUE())))</f>
        <v/>
      </c>
      <c r="S257" s="97" t="str">
        <f aca="false">IF(ISBLANK($C257),"",IF(G257=Constants!$B$15,Constants!$B$8,IF(G257=Constants!$B$16,Constants!$B$9,Constants!$B$10)))</f>
        <v/>
      </c>
      <c r="T257" s="97" t="str">
        <f aca="false">IF(ISBLANK($C257),"",IF(H257=Constants!$B$2, TRUE(), IF(H257=Constants!$B$3, FALSE(), TRUE())))</f>
        <v/>
      </c>
      <c r="U257" s="97" t="str">
        <f aca="false">IF(ISBLANK($C257),"",IF(I257=Constants!$B$19,Constants!$B$19,Constants!$B$18))</f>
        <v/>
      </c>
      <c r="V257" s="97" t="str">
        <f aca="false">IF(ISBLANK($C257),"",IF(COUNTA(J257:K257)=0,"",IF(AND(OR(ISBLANK(J257),AND(ISNUMBER(J257),J257&gt;=0)),OR(ISBLANK(K257),AND(ISNUMBER(K257),K257&gt;=0))),60*IF(ISBLANK(J257),0,J257)+IF(ISBLANK(K257),0,K257),"")))</f>
        <v/>
      </c>
      <c r="W257" s="97" t="str">
        <f aca="false">IF(ISBLANK($C257),"",IF(L257=Constants!$B$19,Constants!$B$19,Constants!$B$18))</f>
        <v/>
      </c>
      <c r="X257" s="97" t="str">
        <f aca="false">IF(ISBLANK($C257),"",IF(COUNTA(M257:N257)=0,"",IF(AND(OR(ISBLANK(M257),AND(ISNUMBER(M257),M257&gt;=0)),OR(ISBLANK(N257),AND(ISNUMBER(N257),N257&gt;=0))),60*IF(ISBLANK(M257),0,M257)+IF(ISBLANK(N257),0,N257),"")))</f>
        <v/>
      </c>
      <c r="Y257" s="97" t="str">
        <f aca="false">IF(ISBLANK($C257),"",IF(O257=Constants!$B$2, TRUE(), IF(O257=Constants!$B$3, FALSE(), FALSE())))</f>
        <v/>
      </c>
      <c r="Z257" s="97" t="str">
        <f aca="false">IF(ISBLANK($C257),"",IF(Y257,Constants!$B$4,IF(COUNTA(E257:N257)=0,Constants!$B$5,IF(COUNTA(J257:K257,M257:N257)=0,Constants!$B$6,Constants!$B$7))))</f>
        <v/>
      </c>
      <c r="AA257" s="97" t="str">
        <f aca="false">IF(ISBLANK($C257),"",IF($Z257&lt;&gt;Constants!$B$7,$Z257,IF(OR(NOT(T257),AND(NOT(Q257),COUNTIFS(U257:W257,Constants!$B$18,V257:X257,"&gt;=0")&gt;0),AND(NOT(R257),COUNTIFS(U257:W257,Constants!$B$19,V257:X257,"&gt;=0")&gt;0)),Constants!$B$12,Constants!$B$11)))</f>
        <v/>
      </c>
      <c r="AB257" s="97" t="str">
        <f aca="false">IF($Z257=Constants!$B$7,IF(V257="",Constants!$B$13,V257),"")</f>
        <v/>
      </c>
      <c r="AC257" s="97" t="str">
        <f aca="false">IF($Z257=Constants!$B$7,IF(X257="",Constants!$B$13,X257),"")</f>
        <v/>
      </c>
      <c r="AD257" s="97" t="str">
        <f aca="false">IF($Z257=Constants!$B$7,IF($AB257&gt;=$AC257,1,2),"")</f>
        <v/>
      </c>
      <c r="AE257" s="97" t="str">
        <f aca="false">IF($Z257=Constants!$B$7,LARGE(AB257:AC257,1),"")</f>
        <v/>
      </c>
      <c r="AF257" s="97" t="str">
        <f aca="false">IF(ISBLANK($C257),"",IF($Z257&lt;&gt;Constants!$B$7,$Z257,AE257*S257))</f>
        <v/>
      </c>
      <c r="AG257" s="97" t="str">
        <f aca="false">IF(ISBLANK($C257),"",IF($Z257=Constants!$B$7,IF(ISNUMBER(AF257),RANK(AF257,$AF$8:$AF$507),Constants!$B$14),$Z257))</f>
        <v/>
      </c>
      <c r="AH257" s="97" t="str">
        <f aca="false">IF(ISBLANK($C257),"",IF($Z257=Constants!$B$7,IF(ISNUMBER(AG257),COUNTIFS($AA$8:$AA$507,"&lt;"&amp;$AA257)+COUNTIFS($AA$8:$AA$507,$AA257,$AG$8:$AG$507,"&lt;"&amp;$AG257)+1,Constants!$B$14),$Z257))</f>
        <v/>
      </c>
      <c r="AI257" s="97" t="str">
        <f aca="false">IF(ISBLANK($C257),"",IF($Z257=Constants!$B$7,LARGE(AB257:AC257,2)*S257,""))</f>
        <v/>
      </c>
      <c r="AJ257" s="97" t="str">
        <f aca="false">IF(ISBLANK($C257),"",IF($Z257=Constants!$B$7,RANK(AI257,$AI$8:$AI$507),$Z257))</f>
        <v/>
      </c>
      <c r="AK257" s="97" t="str">
        <f aca="false">IF(ISBLANK($C257),"",IF($Z257=Constants!$B$7,IF(ISNUMBER(AG257),COUNTIFS($AA$8:$AA$507,"&lt;"&amp;$AA257)+COUNTIFS($AA$8:$AA$507,$AA257,$AG$8:$AG$507,"&lt;"&amp;$AG257)+COUNTIFS($AA$8:$AA$507,$AA257,$AG$8:$AG$507,$AG257,$AJ$8:$AJ$507,"&lt;"&amp;$AJ257)+1,Constants!$B$14),$Z257))</f>
        <v/>
      </c>
      <c r="AL257" s="97" t="str">
        <f aca="false">IF(ISBLANK($C257),"",IF($Z257=Constants!$B$7,IF(ISNUMBER(AH257),AH257-AK257,Constants!$B$14),$Z257))</f>
        <v/>
      </c>
      <c r="AM257" s="98"/>
      <c r="AN257" s="99" t="str">
        <f aca="false">IF(ISBLANK($C257),"",IF($Z257&lt;&gt;Constants!$B$7,$Z257,AD257))</f>
        <v/>
      </c>
      <c r="AO257" s="100" t="str">
        <f aca="false">IF(ISBLANK($C257),"",IF($Z257&lt;&gt;Constants!$B$7,$Z257,S257))</f>
        <v/>
      </c>
      <c r="AP257" s="101" t="str">
        <f aca="false">IF(ISBLANK($C257),"",IF($Z257&lt;&gt;Constants!$B$7,$Z257,AF257))</f>
        <v/>
      </c>
      <c r="AQ257" s="102" t="str">
        <f aca="false">IF(ISBLANK($C257),"",IF($Z257&lt;&gt;Constants!$B$7,$Z257,AA257))</f>
        <v/>
      </c>
      <c r="AR257" s="100" t="str">
        <f aca="false">IF(ISBLANK($C257),"",AL257)</f>
        <v/>
      </c>
      <c r="AS257" s="100" t="str">
        <f aca="false">IF(ISBLANK($C257),"",AK257)</f>
        <v/>
      </c>
      <c r="AT257" s="103" t="str">
        <f aca="false">IF(ISBLANK($C257),"",IF(AS257=Constants!$B$4,COUNTA($C$8:$C$507)+2,IF(AS257=Constants!$B$5,COUNTA($C$8:$C$507)+1,IF(AS257=Constants!$B$6,COUNTA($C$8:$C$507),AS257))))</f>
        <v/>
      </c>
      <c r="AU257" s="5"/>
      <c r="AV257" s="104" t="n">
        <f aca="false">IF(OR(ISNUMBER(AS257),AS257=Constants!$B$4,AS257=Constants!$B$6,AS257=Constants!$B$5),1,0)</f>
        <v>0</v>
      </c>
      <c r="AW257" s="104" t="n">
        <v>250</v>
      </c>
      <c r="AX257" s="104" t="str">
        <f aca="false">IF(ISBLANK($C257),"",IF(ISNUMBER(AT257),AT257+ROW($B257)/1000,""))</f>
        <v/>
      </c>
      <c r="AY257" s="104" t="str">
        <f aca="false">IF(ISNUMBER(AX257),RANK(AX257,$AX$8:$AX$507,1),"")</f>
        <v/>
      </c>
      <c r="AZ257" s="104" t="str">
        <f aca="false">IF(ISBLANK($C257),"",$B257)</f>
        <v/>
      </c>
      <c r="BA257" s="104" t="str">
        <f aca="false">IF(ISBLANK($C257),"",$C257)</f>
        <v/>
      </c>
      <c r="BB257" s="104" t="str">
        <f aca="false">IF(ISBLANK($C257),"",$D257)</f>
        <v/>
      </c>
      <c r="BC257" s="105" t="str">
        <f aca="false">AQ257</f>
        <v/>
      </c>
      <c r="BD257" s="106" t="str">
        <f aca="false">AP257</f>
        <v/>
      </c>
      <c r="BE257" s="104" t="str">
        <f aca="false">IF(ISBLANK($C257),"",AS257)</f>
        <v/>
      </c>
      <c r="BF257" s="107" t="str">
        <f aca="false">IF($AW257&gt;$AV$7,"",VLOOKUP($AW257,$AY$8:$BE$507,7,FALSE()))</f>
        <v/>
      </c>
      <c r="BG257" s="108" t="str">
        <f aca="false">IF($AW257&gt;$AV$7,"",VLOOKUP($AW257,$AY$8:$BE$507,2,FALSE()))</f>
        <v/>
      </c>
      <c r="BH257" s="108" t="str">
        <f aca="false">IF($AW257&gt;$AV$7,"",VLOOKUP($AW257,$AY$8:$BE$507,3,FALSE()))</f>
        <v/>
      </c>
      <c r="BI257" s="108" t="str">
        <f aca="false">IF($AW257&gt;$AV$7,"",VLOOKUP($AW257,$AY$8:$BE$507,4,FALSE()))</f>
        <v/>
      </c>
      <c r="BJ257" s="108" t="str">
        <f aca="false">IF($AW257&gt;$AV$7,"",VLOOKUP($AW257,$AY$8:$BE$507,5,FALSE()))</f>
        <v/>
      </c>
      <c r="BK257" s="109" t="str">
        <f aca="false">IF($AW257&gt;$AV$7,"",VLOOKUP($AW257,$AY$8:$BE$507,6,FALSE()))</f>
        <v/>
      </c>
      <c r="BL257" s="50"/>
    </row>
    <row r="258" customFormat="false" ht="15.75" hidden="false" customHeight="false" outlineLevel="0" collapsed="false">
      <c r="A258" s="5"/>
      <c r="B258" s="124"/>
      <c r="C258" s="125"/>
      <c r="D258" s="110"/>
      <c r="E258" s="130"/>
      <c r="F258" s="135"/>
      <c r="G258" s="88"/>
      <c r="H258" s="136"/>
      <c r="I258" s="137"/>
      <c r="J258" s="91"/>
      <c r="K258" s="92"/>
      <c r="L258" s="137"/>
      <c r="M258" s="93"/>
      <c r="N258" s="94"/>
      <c r="O258" s="130"/>
      <c r="P258" s="96"/>
      <c r="Q258" s="97" t="str">
        <f aca="false">IF(ISBLANK($C258),"",IF(E258=Constants!$B$2, TRUE(), IF(E258=Constants!$B$3, FALSE(), TRUE())))</f>
        <v/>
      </c>
      <c r="R258" s="97" t="str">
        <f aca="false">IF(ISBLANK($C258),"",IF(F258=Constants!$B$2, TRUE(), IF(F258=Constants!$B$3, FALSE(), TRUE())))</f>
        <v/>
      </c>
      <c r="S258" s="97" t="str">
        <f aca="false">IF(ISBLANK($C258),"",IF(G258=Constants!$B$15,Constants!$B$8,IF(G258=Constants!$B$16,Constants!$B$9,Constants!$B$10)))</f>
        <v/>
      </c>
      <c r="T258" s="97" t="str">
        <f aca="false">IF(ISBLANK($C258),"",IF(H258=Constants!$B$2, TRUE(), IF(H258=Constants!$B$3, FALSE(), TRUE())))</f>
        <v/>
      </c>
      <c r="U258" s="97" t="str">
        <f aca="false">IF(ISBLANK($C258),"",IF(I258=Constants!$B$19,Constants!$B$19,Constants!$B$18))</f>
        <v/>
      </c>
      <c r="V258" s="97" t="str">
        <f aca="false">IF(ISBLANK($C258),"",IF(COUNTA(J258:K258)=0,"",IF(AND(OR(ISBLANK(J258),AND(ISNUMBER(J258),J258&gt;=0)),OR(ISBLANK(K258),AND(ISNUMBER(K258),K258&gt;=0))),60*IF(ISBLANK(J258),0,J258)+IF(ISBLANK(K258),0,K258),"")))</f>
        <v/>
      </c>
      <c r="W258" s="97" t="str">
        <f aca="false">IF(ISBLANK($C258),"",IF(L258=Constants!$B$19,Constants!$B$19,Constants!$B$18))</f>
        <v/>
      </c>
      <c r="X258" s="97" t="str">
        <f aca="false">IF(ISBLANK($C258),"",IF(COUNTA(M258:N258)=0,"",IF(AND(OR(ISBLANK(M258),AND(ISNUMBER(M258),M258&gt;=0)),OR(ISBLANK(N258),AND(ISNUMBER(N258),N258&gt;=0))),60*IF(ISBLANK(M258),0,M258)+IF(ISBLANK(N258),0,N258),"")))</f>
        <v/>
      </c>
      <c r="Y258" s="97" t="str">
        <f aca="false">IF(ISBLANK($C258),"",IF(O258=Constants!$B$2, TRUE(), IF(O258=Constants!$B$3, FALSE(), FALSE())))</f>
        <v/>
      </c>
      <c r="Z258" s="97" t="str">
        <f aca="false">IF(ISBLANK($C258),"",IF(Y258,Constants!$B$4,IF(COUNTA(E258:N258)=0,Constants!$B$5,IF(COUNTA(J258:K258,M258:N258)=0,Constants!$B$6,Constants!$B$7))))</f>
        <v/>
      </c>
      <c r="AA258" s="97" t="str">
        <f aca="false">IF(ISBLANK($C258),"",IF($Z258&lt;&gt;Constants!$B$7,$Z258,IF(OR(NOT(T258),AND(NOT(Q258),COUNTIFS(U258:W258,Constants!$B$18,V258:X258,"&gt;=0")&gt;0),AND(NOT(R258),COUNTIFS(U258:W258,Constants!$B$19,V258:X258,"&gt;=0")&gt;0)),Constants!$B$12,Constants!$B$11)))</f>
        <v/>
      </c>
      <c r="AB258" s="97" t="str">
        <f aca="false">IF($Z258=Constants!$B$7,IF(V258="",Constants!$B$13,V258),"")</f>
        <v/>
      </c>
      <c r="AC258" s="97" t="str">
        <f aca="false">IF($Z258=Constants!$B$7,IF(X258="",Constants!$B$13,X258),"")</f>
        <v/>
      </c>
      <c r="AD258" s="97" t="str">
        <f aca="false">IF($Z258=Constants!$B$7,IF($AB258&gt;=$AC258,1,2),"")</f>
        <v/>
      </c>
      <c r="AE258" s="97" t="str">
        <f aca="false">IF($Z258=Constants!$B$7,LARGE(AB258:AC258,1),"")</f>
        <v/>
      </c>
      <c r="AF258" s="97" t="str">
        <f aca="false">IF(ISBLANK($C258),"",IF($Z258&lt;&gt;Constants!$B$7,$Z258,AE258*S258))</f>
        <v/>
      </c>
      <c r="AG258" s="97" t="str">
        <f aca="false">IF(ISBLANK($C258),"",IF($Z258=Constants!$B$7,IF(ISNUMBER(AF258),RANK(AF258,$AF$8:$AF$507),Constants!$B$14),$Z258))</f>
        <v/>
      </c>
      <c r="AH258" s="97" t="str">
        <f aca="false">IF(ISBLANK($C258),"",IF($Z258=Constants!$B$7,IF(ISNUMBER(AG258),COUNTIFS($AA$8:$AA$507,"&lt;"&amp;$AA258)+COUNTIFS($AA$8:$AA$507,$AA258,$AG$8:$AG$507,"&lt;"&amp;$AG258)+1,Constants!$B$14),$Z258))</f>
        <v/>
      </c>
      <c r="AI258" s="97" t="str">
        <f aca="false">IF(ISBLANK($C258),"",IF($Z258=Constants!$B$7,LARGE(AB258:AC258,2)*S258,""))</f>
        <v/>
      </c>
      <c r="AJ258" s="97" t="str">
        <f aca="false">IF(ISBLANK($C258),"",IF($Z258=Constants!$B$7,RANK(AI258,$AI$8:$AI$507),$Z258))</f>
        <v/>
      </c>
      <c r="AK258" s="97" t="str">
        <f aca="false">IF(ISBLANK($C258),"",IF($Z258=Constants!$B$7,IF(ISNUMBER(AG258),COUNTIFS($AA$8:$AA$507,"&lt;"&amp;$AA258)+COUNTIFS($AA$8:$AA$507,$AA258,$AG$8:$AG$507,"&lt;"&amp;$AG258)+COUNTIFS($AA$8:$AA$507,$AA258,$AG$8:$AG$507,$AG258,$AJ$8:$AJ$507,"&lt;"&amp;$AJ258)+1,Constants!$B$14),$Z258))</f>
        <v/>
      </c>
      <c r="AL258" s="97" t="str">
        <f aca="false">IF(ISBLANK($C258),"",IF($Z258=Constants!$B$7,IF(ISNUMBER(AH258),AH258-AK258,Constants!$B$14),$Z258))</f>
        <v/>
      </c>
      <c r="AM258" s="98"/>
      <c r="AN258" s="99" t="str">
        <f aca="false">IF(ISBLANK($C258),"",IF($Z258&lt;&gt;Constants!$B$7,$Z258,AD258))</f>
        <v/>
      </c>
      <c r="AO258" s="100" t="str">
        <f aca="false">IF(ISBLANK($C258),"",IF($Z258&lt;&gt;Constants!$B$7,$Z258,S258))</f>
        <v/>
      </c>
      <c r="AP258" s="101" t="str">
        <f aca="false">IF(ISBLANK($C258),"",IF($Z258&lt;&gt;Constants!$B$7,$Z258,AF258))</f>
        <v/>
      </c>
      <c r="AQ258" s="102" t="str">
        <f aca="false">IF(ISBLANK($C258),"",IF($Z258&lt;&gt;Constants!$B$7,$Z258,AA258))</f>
        <v/>
      </c>
      <c r="AR258" s="100" t="str">
        <f aca="false">IF(ISBLANK($C258),"",AL258)</f>
        <v/>
      </c>
      <c r="AS258" s="100" t="str">
        <f aca="false">IF(ISBLANK($C258),"",AK258)</f>
        <v/>
      </c>
      <c r="AT258" s="103" t="str">
        <f aca="false">IF(ISBLANK($C258),"",IF(AS258=Constants!$B$4,COUNTA($C$8:$C$507)+2,IF(AS258=Constants!$B$5,COUNTA($C$8:$C$507)+1,IF(AS258=Constants!$B$6,COUNTA($C$8:$C$507),AS258))))</f>
        <v/>
      </c>
      <c r="AU258" s="5"/>
      <c r="AV258" s="104" t="n">
        <f aca="false">IF(OR(ISNUMBER(AS258),AS258=Constants!$B$4,AS258=Constants!$B$6,AS258=Constants!$B$5),1,0)</f>
        <v>0</v>
      </c>
      <c r="AW258" s="104" t="n">
        <v>251</v>
      </c>
      <c r="AX258" s="104" t="str">
        <f aca="false">IF(ISBLANK($C258),"",IF(ISNUMBER(AT258),AT258+ROW($B258)/1000,""))</f>
        <v/>
      </c>
      <c r="AY258" s="104" t="str">
        <f aca="false">IF(ISNUMBER(AX258),RANK(AX258,$AX$8:$AX$507,1),"")</f>
        <v/>
      </c>
      <c r="AZ258" s="104" t="str">
        <f aca="false">IF(ISBLANK($C258),"",$B258)</f>
        <v/>
      </c>
      <c r="BA258" s="104" t="str">
        <f aca="false">IF(ISBLANK($C258),"",$C258)</f>
        <v/>
      </c>
      <c r="BB258" s="104" t="str">
        <f aca="false">IF(ISBLANK($C258),"",$D258)</f>
        <v/>
      </c>
      <c r="BC258" s="105" t="str">
        <f aca="false">AQ258</f>
        <v/>
      </c>
      <c r="BD258" s="106" t="str">
        <f aca="false">AP258</f>
        <v/>
      </c>
      <c r="BE258" s="104" t="str">
        <f aca="false">IF(ISBLANK($C258),"",AS258)</f>
        <v/>
      </c>
      <c r="BF258" s="107" t="str">
        <f aca="false">IF($AW258&gt;$AV$7,"",VLOOKUP($AW258,$AY$8:$BE$507,7,FALSE()))</f>
        <v/>
      </c>
      <c r="BG258" s="108" t="str">
        <f aca="false">IF($AW258&gt;$AV$7,"",VLOOKUP($AW258,$AY$8:$BE$507,2,FALSE()))</f>
        <v/>
      </c>
      <c r="BH258" s="108" t="str">
        <f aca="false">IF($AW258&gt;$AV$7,"",VLOOKUP($AW258,$AY$8:$BE$507,3,FALSE()))</f>
        <v/>
      </c>
      <c r="BI258" s="108" t="str">
        <f aca="false">IF($AW258&gt;$AV$7,"",VLOOKUP($AW258,$AY$8:$BE$507,4,FALSE()))</f>
        <v/>
      </c>
      <c r="BJ258" s="108" t="str">
        <f aca="false">IF($AW258&gt;$AV$7,"",VLOOKUP($AW258,$AY$8:$BE$507,5,FALSE()))</f>
        <v/>
      </c>
      <c r="BK258" s="109" t="str">
        <f aca="false">IF($AW258&gt;$AV$7,"",VLOOKUP($AW258,$AY$8:$BE$507,6,FALSE()))</f>
        <v/>
      </c>
      <c r="BL258" s="50"/>
    </row>
    <row r="259" customFormat="false" ht="15.75" hidden="false" customHeight="false" outlineLevel="0" collapsed="false">
      <c r="A259" s="5"/>
      <c r="B259" s="124"/>
      <c r="C259" s="125"/>
      <c r="D259" s="110"/>
      <c r="E259" s="130"/>
      <c r="F259" s="135"/>
      <c r="G259" s="88"/>
      <c r="H259" s="136"/>
      <c r="I259" s="137"/>
      <c r="J259" s="91"/>
      <c r="K259" s="92"/>
      <c r="L259" s="137"/>
      <c r="M259" s="93"/>
      <c r="N259" s="94"/>
      <c r="O259" s="130"/>
      <c r="P259" s="96"/>
      <c r="Q259" s="97" t="str">
        <f aca="false">IF(ISBLANK($C259),"",IF(E259=Constants!$B$2, TRUE(), IF(E259=Constants!$B$3, FALSE(), TRUE())))</f>
        <v/>
      </c>
      <c r="R259" s="97" t="str">
        <f aca="false">IF(ISBLANK($C259),"",IF(F259=Constants!$B$2, TRUE(), IF(F259=Constants!$B$3, FALSE(), TRUE())))</f>
        <v/>
      </c>
      <c r="S259" s="97" t="str">
        <f aca="false">IF(ISBLANK($C259),"",IF(G259=Constants!$B$15,Constants!$B$8,IF(G259=Constants!$B$16,Constants!$B$9,Constants!$B$10)))</f>
        <v/>
      </c>
      <c r="T259" s="97" t="str">
        <f aca="false">IF(ISBLANK($C259),"",IF(H259=Constants!$B$2, TRUE(), IF(H259=Constants!$B$3, FALSE(), TRUE())))</f>
        <v/>
      </c>
      <c r="U259" s="97" t="str">
        <f aca="false">IF(ISBLANK($C259),"",IF(I259=Constants!$B$19,Constants!$B$19,Constants!$B$18))</f>
        <v/>
      </c>
      <c r="V259" s="97" t="str">
        <f aca="false">IF(ISBLANK($C259),"",IF(COUNTA(J259:K259)=0,"",IF(AND(OR(ISBLANK(J259),AND(ISNUMBER(J259),J259&gt;=0)),OR(ISBLANK(K259),AND(ISNUMBER(K259),K259&gt;=0))),60*IF(ISBLANK(J259),0,J259)+IF(ISBLANK(K259),0,K259),"")))</f>
        <v/>
      </c>
      <c r="W259" s="97" t="str">
        <f aca="false">IF(ISBLANK($C259),"",IF(L259=Constants!$B$19,Constants!$B$19,Constants!$B$18))</f>
        <v/>
      </c>
      <c r="X259" s="97" t="str">
        <f aca="false">IF(ISBLANK($C259),"",IF(COUNTA(M259:N259)=0,"",IF(AND(OR(ISBLANK(M259),AND(ISNUMBER(M259),M259&gt;=0)),OR(ISBLANK(N259),AND(ISNUMBER(N259),N259&gt;=0))),60*IF(ISBLANK(M259),0,M259)+IF(ISBLANK(N259),0,N259),"")))</f>
        <v/>
      </c>
      <c r="Y259" s="97" t="str">
        <f aca="false">IF(ISBLANK($C259),"",IF(O259=Constants!$B$2, TRUE(), IF(O259=Constants!$B$3, FALSE(), FALSE())))</f>
        <v/>
      </c>
      <c r="Z259" s="97" t="str">
        <f aca="false">IF(ISBLANK($C259),"",IF(Y259,Constants!$B$4,IF(COUNTA(E259:N259)=0,Constants!$B$5,IF(COUNTA(J259:K259,M259:N259)=0,Constants!$B$6,Constants!$B$7))))</f>
        <v/>
      </c>
      <c r="AA259" s="97" t="str">
        <f aca="false">IF(ISBLANK($C259),"",IF($Z259&lt;&gt;Constants!$B$7,$Z259,IF(OR(NOT(T259),AND(NOT(Q259),COUNTIFS(U259:W259,Constants!$B$18,V259:X259,"&gt;=0")&gt;0),AND(NOT(R259),COUNTIFS(U259:W259,Constants!$B$19,V259:X259,"&gt;=0")&gt;0)),Constants!$B$12,Constants!$B$11)))</f>
        <v/>
      </c>
      <c r="AB259" s="97" t="str">
        <f aca="false">IF($Z259=Constants!$B$7,IF(V259="",Constants!$B$13,V259),"")</f>
        <v/>
      </c>
      <c r="AC259" s="97" t="str">
        <f aca="false">IF($Z259=Constants!$B$7,IF(X259="",Constants!$B$13,X259),"")</f>
        <v/>
      </c>
      <c r="AD259" s="97" t="str">
        <f aca="false">IF($Z259=Constants!$B$7,IF($AB259&gt;=$AC259,1,2),"")</f>
        <v/>
      </c>
      <c r="AE259" s="97" t="str">
        <f aca="false">IF($Z259=Constants!$B$7,LARGE(AB259:AC259,1),"")</f>
        <v/>
      </c>
      <c r="AF259" s="97" t="str">
        <f aca="false">IF(ISBLANK($C259),"",IF($Z259&lt;&gt;Constants!$B$7,$Z259,AE259*S259))</f>
        <v/>
      </c>
      <c r="AG259" s="97" t="str">
        <f aca="false">IF(ISBLANK($C259),"",IF($Z259=Constants!$B$7,IF(ISNUMBER(AF259),RANK(AF259,$AF$8:$AF$507),Constants!$B$14),$Z259))</f>
        <v/>
      </c>
      <c r="AH259" s="97" t="str">
        <f aca="false">IF(ISBLANK($C259),"",IF($Z259=Constants!$B$7,IF(ISNUMBER(AG259),COUNTIFS($AA$8:$AA$507,"&lt;"&amp;$AA259)+COUNTIFS($AA$8:$AA$507,$AA259,$AG$8:$AG$507,"&lt;"&amp;$AG259)+1,Constants!$B$14),$Z259))</f>
        <v/>
      </c>
      <c r="AI259" s="97" t="str">
        <f aca="false">IF(ISBLANK($C259),"",IF($Z259=Constants!$B$7,LARGE(AB259:AC259,2)*S259,""))</f>
        <v/>
      </c>
      <c r="AJ259" s="97" t="str">
        <f aca="false">IF(ISBLANK($C259),"",IF($Z259=Constants!$B$7,RANK(AI259,$AI$8:$AI$507),$Z259))</f>
        <v/>
      </c>
      <c r="AK259" s="97" t="str">
        <f aca="false">IF(ISBLANK($C259),"",IF($Z259=Constants!$B$7,IF(ISNUMBER(AG259),COUNTIFS($AA$8:$AA$507,"&lt;"&amp;$AA259)+COUNTIFS($AA$8:$AA$507,$AA259,$AG$8:$AG$507,"&lt;"&amp;$AG259)+COUNTIFS($AA$8:$AA$507,$AA259,$AG$8:$AG$507,$AG259,$AJ$8:$AJ$507,"&lt;"&amp;$AJ259)+1,Constants!$B$14),$Z259))</f>
        <v/>
      </c>
      <c r="AL259" s="97" t="str">
        <f aca="false">IF(ISBLANK($C259),"",IF($Z259=Constants!$B$7,IF(ISNUMBER(AH259),AH259-AK259,Constants!$B$14),$Z259))</f>
        <v/>
      </c>
      <c r="AM259" s="98"/>
      <c r="AN259" s="99" t="str">
        <f aca="false">IF(ISBLANK($C259),"",IF($Z259&lt;&gt;Constants!$B$7,$Z259,AD259))</f>
        <v/>
      </c>
      <c r="AO259" s="100" t="str">
        <f aca="false">IF(ISBLANK($C259),"",IF($Z259&lt;&gt;Constants!$B$7,$Z259,S259))</f>
        <v/>
      </c>
      <c r="AP259" s="101" t="str">
        <f aca="false">IF(ISBLANK($C259),"",IF($Z259&lt;&gt;Constants!$B$7,$Z259,AF259))</f>
        <v/>
      </c>
      <c r="AQ259" s="102" t="str">
        <f aca="false">IF(ISBLANK($C259),"",IF($Z259&lt;&gt;Constants!$B$7,$Z259,AA259))</f>
        <v/>
      </c>
      <c r="AR259" s="100" t="str">
        <f aca="false">IF(ISBLANK($C259),"",AL259)</f>
        <v/>
      </c>
      <c r="AS259" s="100" t="str">
        <f aca="false">IF(ISBLANK($C259),"",AK259)</f>
        <v/>
      </c>
      <c r="AT259" s="103" t="str">
        <f aca="false">IF(ISBLANK($C259),"",IF(AS259=Constants!$B$4,COUNTA($C$8:$C$507)+2,IF(AS259=Constants!$B$5,COUNTA($C$8:$C$507)+1,IF(AS259=Constants!$B$6,COUNTA($C$8:$C$507),AS259))))</f>
        <v/>
      </c>
      <c r="AU259" s="5"/>
      <c r="AV259" s="104" t="n">
        <f aca="false">IF(OR(ISNUMBER(AS259),AS259=Constants!$B$4,AS259=Constants!$B$6,AS259=Constants!$B$5),1,0)</f>
        <v>0</v>
      </c>
      <c r="AW259" s="104" t="n">
        <v>252</v>
      </c>
      <c r="AX259" s="104" t="str">
        <f aca="false">IF(ISBLANK($C259),"",IF(ISNUMBER(AT259),AT259+ROW($B259)/1000,""))</f>
        <v/>
      </c>
      <c r="AY259" s="104" t="str">
        <f aca="false">IF(ISNUMBER(AX259),RANK(AX259,$AX$8:$AX$507,1),"")</f>
        <v/>
      </c>
      <c r="AZ259" s="104" t="str">
        <f aca="false">IF(ISBLANK($C259),"",$B259)</f>
        <v/>
      </c>
      <c r="BA259" s="104" t="str">
        <f aca="false">IF(ISBLANK($C259),"",$C259)</f>
        <v/>
      </c>
      <c r="BB259" s="104" t="str">
        <f aca="false">IF(ISBLANK($C259),"",$D259)</f>
        <v/>
      </c>
      <c r="BC259" s="105" t="str">
        <f aca="false">AQ259</f>
        <v/>
      </c>
      <c r="BD259" s="106" t="str">
        <f aca="false">AP259</f>
        <v/>
      </c>
      <c r="BE259" s="104" t="str">
        <f aca="false">IF(ISBLANK($C259),"",AS259)</f>
        <v/>
      </c>
      <c r="BF259" s="107" t="str">
        <f aca="false">IF($AW259&gt;$AV$7,"",VLOOKUP($AW259,$AY$8:$BE$507,7,FALSE()))</f>
        <v/>
      </c>
      <c r="BG259" s="108" t="str">
        <f aca="false">IF($AW259&gt;$AV$7,"",VLOOKUP($AW259,$AY$8:$BE$507,2,FALSE()))</f>
        <v/>
      </c>
      <c r="BH259" s="108" t="str">
        <f aca="false">IF($AW259&gt;$AV$7,"",VLOOKUP($AW259,$AY$8:$BE$507,3,FALSE()))</f>
        <v/>
      </c>
      <c r="BI259" s="108" t="str">
        <f aca="false">IF($AW259&gt;$AV$7,"",VLOOKUP($AW259,$AY$8:$BE$507,4,FALSE()))</f>
        <v/>
      </c>
      <c r="BJ259" s="108" t="str">
        <f aca="false">IF($AW259&gt;$AV$7,"",VLOOKUP($AW259,$AY$8:$BE$507,5,FALSE()))</f>
        <v/>
      </c>
      <c r="BK259" s="109" t="str">
        <f aca="false">IF($AW259&gt;$AV$7,"",VLOOKUP($AW259,$AY$8:$BE$507,6,FALSE()))</f>
        <v/>
      </c>
      <c r="BL259" s="50"/>
    </row>
    <row r="260" customFormat="false" ht="15.75" hidden="false" customHeight="false" outlineLevel="0" collapsed="false">
      <c r="A260" s="5"/>
      <c r="B260" s="131"/>
      <c r="C260" s="52"/>
      <c r="D260" s="53"/>
      <c r="E260" s="80"/>
      <c r="F260" s="132"/>
      <c r="G260" s="56"/>
      <c r="H260" s="133"/>
      <c r="I260" s="134"/>
      <c r="J260" s="59"/>
      <c r="K260" s="60"/>
      <c r="L260" s="134"/>
      <c r="M260" s="61"/>
      <c r="N260" s="62"/>
      <c r="O260" s="80"/>
      <c r="P260" s="64"/>
      <c r="Q260" s="65" t="str">
        <f aca="false">IF(ISBLANK($C260),"",IF(E260=Constants!$B$2, TRUE(), IF(E260=Constants!$B$3, FALSE(), TRUE())))</f>
        <v/>
      </c>
      <c r="R260" s="65" t="str">
        <f aca="false">IF(ISBLANK($C260),"",IF(F260=Constants!$B$2, TRUE(), IF(F260=Constants!$B$3, FALSE(), TRUE())))</f>
        <v/>
      </c>
      <c r="S260" s="65" t="str">
        <f aca="false">IF(ISBLANK($C260),"",IF(G260=Constants!$B$15,Constants!$B$8,IF(G260=Constants!$B$16,Constants!$B$9,Constants!$B$10)))</f>
        <v/>
      </c>
      <c r="T260" s="65" t="str">
        <f aca="false">IF(ISBLANK($C260),"",IF(H260=Constants!$B$2, TRUE(), IF(H260=Constants!$B$3, FALSE(), TRUE())))</f>
        <v/>
      </c>
      <c r="U260" s="65" t="str">
        <f aca="false">IF(ISBLANK($C260),"",IF(I260=Constants!$B$19,Constants!$B$19,Constants!$B$18))</f>
        <v/>
      </c>
      <c r="V260" s="65" t="str">
        <f aca="false">IF(ISBLANK($C260),"",IF(COUNTA(J260:K260)=0,"",IF(AND(OR(ISBLANK(J260),AND(ISNUMBER(J260),J260&gt;=0)),OR(ISBLANK(K260),AND(ISNUMBER(K260),K260&gt;=0))),60*IF(ISBLANK(J260),0,J260)+IF(ISBLANK(K260),0,K260),"")))</f>
        <v/>
      </c>
      <c r="W260" s="65" t="str">
        <f aca="false">IF(ISBLANK($C260),"",IF(L260=Constants!$B$19,Constants!$B$19,Constants!$B$18))</f>
        <v/>
      </c>
      <c r="X260" s="65" t="str">
        <f aca="false">IF(ISBLANK($C260),"",IF(COUNTA(M260:N260)=0,"",IF(AND(OR(ISBLANK(M260),AND(ISNUMBER(M260),M260&gt;=0)),OR(ISBLANK(N260),AND(ISNUMBER(N260),N260&gt;=0))),60*IF(ISBLANK(M260),0,M260)+IF(ISBLANK(N260),0,N260),"")))</f>
        <v/>
      </c>
      <c r="Y260" s="65" t="str">
        <f aca="false">IF(ISBLANK($C260),"",IF(O260=Constants!$B$2, TRUE(), IF(O260=Constants!$B$3, FALSE(), FALSE())))</f>
        <v/>
      </c>
      <c r="Z260" s="65" t="str">
        <f aca="false">IF(ISBLANK($C260),"",IF(Y260,Constants!$B$4,IF(COUNTA(E260:N260)=0,Constants!$B$5,IF(COUNTA(J260:K260,M260:N260)=0,Constants!$B$6,Constants!$B$7))))</f>
        <v/>
      </c>
      <c r="AA260" s="65" t="str">
        <f aca="false">IF(ISBLANK($C260),"",IF($Z260&lt;&gt;Constants!$B$7,$Z260,IF(OR(NOT(T260),AND(NOT(Q260),COUNTIFS(U260:W260,Constants!$B$18,V260:X260,"&gt;=0")&gt;0),AND(NOT(R260),COUNTIFS(U260:W260,Constants!$B$19,V260:X260,"&gt;=0")&gt;0)),Constants!$B$12,Constants!$B$11)))</f>
        <v/>
      </c>
      <c r="AB260" s="65" t="str">
        <f aca="false">IF($Z260=Constants!$B$7,IF(V260="",Constants!$B$13,V260),"")</f>
        <v/>
      </c>
      <c r="AC260" s="65" t="str">
        <f aca="false">IF($Z260=Constants!$B$7,IF(X260="",Constants!$B$13,X260),"")</f>
        <v/>
      </c>
      <c r="AD260" s="65" t="str">
        <f aca="false">IF($Z260=Constants!$B$7,IF($AB260&gt;=$AC260,1,2),"")</f>
        <v/>
      </c>
      <c r="AE260" s="65" t="str">
        <f aca="false">IF($Z260=Constants!$B$7,LARGE(AB260:AC260,1),"")</f>
        <v/>
      </c>
      <c r="AF260" s="65" t="str">
        <f aca="false">IF(ISBLANK($C260),"",IF($Z260&lt;&gt;Constants!$B$7,$Z260,AE260*S260))</f>
        <v/>
      </c>
      <c r="AG260" s="65" t="str">
        <f aca="false">IF(ISBLANK($C260),"",IF($Z260=Constants!$B$7,IF(ISNUMBER(AF260),RANK(AF260,$AF$8:$AF$507),Constants!$B$14),$Z260))</f>
        <v/>
      </c>
      <c r="AH260" s="65" t="str">
        <f aca="false">IF(ISBLANK($C260),"",IF($Z260=Constants!$B$7,IF(ISNUMBER(AG260),COUNTIFS($AA$8:$AA$507,"&lt;"&amp;$AA260)+COUNTIFS($AA$8:$AA$507,$AA260,$AG$8:$AG$507,"&lt;"&amp;$AG260)+1,Constants!$B$14),$Z260))</f>
        <v/>
      </c>
      <c r="AI260" s="65" t="str">
        <f aca="false">IF(ISBLANK($C260),"",IF($Z260=Constants!$B$7,LARGE(AB260:AC260,2)*S260,""))</f>
        <v/>
      </c>
      <c r="AJ260" s="65" t="str">
        <f aca="false">IF(ISBLANK($C260),"",IF($Z260=Constants!$B$7,RANK(AI260,$AI$8:$AI$507),$Z260))</f>
        <v/>
      </c>
      <c r="AK260" s="65" t="str">
        <f aca="false">IF(ISBLANK($C260),"",IF($Z260=Constants!$B$7,IF(ISNUMBER(AG260),COUNTIFS($AA$8:$AA$507,"&lt;"&amp;$AA260)+COUNTIFS($AA$8:$AA$507,$AA260,$AG$8:$AG$507,"&lt;"&amp;$AG260)+COUNTIFS($AA$8:$AA$507,$AA260,$AG$8:$AG$507,$AG260,$AJ$8:$AJ$507,"&lt;"&amp;$AJ260)+1,Constants!$B$14),$Z260))</f>
        <v/>
      </c>
      <c r="AL260" s="65" t="str">
        <f aca="false">IF(ISBLANK($C260),"",IF($Z260=Constants!$B$7,IF(ISNUMBER(AH260),AH260-AK260,Constants!$B$14),$Z260))</f>
        <v/>
      </c>
      <c r="AM260" s="67"/>
      <c r="AN260" s="68" t="str">
        <f aca="false">IF(ISBLANK($C260),"",IF($Z260&lt;&gt;Constants!$B$7,$Z260,AD260))</f>
        <v/>
      </c>
      <c r="AO260" s="69" t="str">
        <f aca="false">IF(ISBLANK($C260),"",IF($Z260&lt;&gt;Constants!$B$7,$Z260,S260))</f>
        <v/>
      </c>
      <c r="AP260" s="70" t="str">
        <f aca="false">IF(ISBLANK($C260),"",IF($Z260&lt;&gt;Constants!$B$7,$Z260,AF260))</f>
        <v/>
      </c>
      <c r="AQ260" s="71" t="str">
        <f aca="false">IF(ISBLANK($C260),"",IF($Z260&lt;&gt;Constants!$B$7,$Z260,AA260))</f>
        <v/>
      </c>
      <c r="AR260" s="69" t="str">
        <f aca="false">IF(ISBLANK($C260),"",AL260)</f>
        <v/>
      </c>
      <c r="AS260" s="69" t="str">
        <f aca="false">IF(ISBLANK($C260),"",AK260)</f>
        <v/>
      </c>
      <c r="AT260" s="72" t="str">
        <f aca="false">IF(ISBLANK($C260),"",IF(AS260=Constants!$B$4,COUNTA($C$8:$C$507)+2,IF(AS260=Constants!$B$5,COUNTA($C$8:$C$507)+1,IF(AS260=Constants!$B$6,COUNTA($C$8:$C$507),AS260))))</f>
        <v/>
      </c>
      <c r="AU260" s="5"/>
      <c r="AV260" s="73" t="n">
        <f aca="false">IF(OR(ISNUMBER(AS260),AS260=Constants!$B$4,AS260=Constants!$B$6,AS260=Constants!$B$5),1,0)</f>
        <v>0</v>
      </c>
      <c r="AW260" s="73" t="n">
        <v>253</v>
      </c>
      <c r="AX260" s="73" t="str">
        <f aca="false">IF(ISBLANK($C260),"",IF(ISNUMBER(AT260),AT260+ROW($B260)/1000,""))</f>
        <v/>
      </c>
      <c r="AY260" s="73" t="str">
        <f aca="false">IF(ISNUMBER(AX260),RANK(AX260,$AX$8:$AX$507,1),"")</f>
        <v/>
      </c>
      <c r="AZ260" s="73" t="str">
        <f aca="false">IF(ISBLANK($C260),"",$B260)</f>
        <v/>
      </c>
      <c r="BA260" s="73" t="str">
        <f aca="false">IF(ISBLANK($C260),"",$C260)</f>
        <v/>
      </c>
      <c r="BB260" s="73" t="str">
        <f aca="false">IF(ISBLANK($C260),"",$D260)</f>
        <v/>
      </c>
      <c r="BC260" s="74" t="str">
        <f aca="false">AQ260</f>
        <v/>
      </c>
      <c r="BD260" s="75" t="str">
        <f aca="false">AP260</f>
        <v/>
      </c>
      <c r="BE260" s="73" t="str">
        <f aca="false">IF(ISBLANK($C260),"",AS260)</f>
        <v/>
      </c>
      <c r="BF260" s="76" t="str">
        <f aca="false">IF($AW260&gt;$AV$7,"",VLOOKUP($AW260,$AY$8:$BE$507,7,FALSE()))</f>
        <v/>
      </c>
      <c r="BG260" s="77" t="str">
        <f aca="false">IF($AW260&gt;$AV$7,"",VLOOKUP($AW260,$AY$8:$BE$507,2,FALSE()))</f>
        <v/>
      </c>
      <c r="BH260" s="77" t="str">
        <f aca="false">IF($AW260&gt;$AV$7,"",VLOOKUP($AW260,$AY$8:$BE$507,3,FALSE()))</f>
        <v/>
      </c>
      <c r="BI260" s="77" t="str">
        <f aca="false">IF($AW260&gt;$AV$7,"",VLOOKUP($AW260,$AY$8:$BE$507,4,FALSE()))</f>
        <v/>
      </c>
      <c r="BJ260" s="77" t="str">
        <f aca="false">IF($AW260&gt;$AV$7,"",VLOOKUP($AW260,$AY$8:$BE$507,5,FALSE()))</f>
        <v/>
      </c>
      <c r="BK260" s="78" t="str">
        <f aca="false">IF($AW260&gt;$AV$7,"",VLOOKUP($AW260,$AY$8:$BE$507,6,FALSE()))</f>
        <v/>
      </c>
      <c r="BL260" s="50"/>
    </row>
    <row r="261" customFormat="false" ht="15.75" hidden="false" customHeight="false" outlineLevel="0" collapsed="false">
      <c r="A261" s="5"/>
      <c r="B261" s="131"/>
      <c r="C261" s="52"/>
      <c r="D261" s="53"/>
      <c r="E261" s="80"/>
      <c r="F261" s="132"/>
      <c r="G261" s="56"/>
      <c r="H261" s="133"/>
      <c r="I261" s="134"/>
      <c r="J261" s="59"/>
      <c r="K261" s="60"/>
      <c r="L261" s="134"/>
      <c r="M261" s="61"/>
      <c r="N261" s="62"/>
      <c r="O261" s="80"/>
      <c r="P261" s="64"/>
      <c r="Q261" s="65" t="str">
        <f aca="false">IF(ISBLANK($C261),"",IF(E261=Constants!$B$2, TRUE(), IF(E261=Constants!$B$3, FALSE(), TRUE())))</f>
        <v/>
      </c>
      <c r="R261" s="65" t="str">
        <f aca="false">IF(ISBLANK($C261),"",IF(F261=Constants!$B$2, TRUE(), IF(F261=Constants!$B$3, FALSE(), TRUE())))</f>
        <v/>
      </c>
      <c r="S261" s="65" t="str">
        <f aca="false">IF(ISBLANK($C261),"",IF(G261=Constants!$B$15,Constants!$B$8,IF(G261=Constants!$B$16,Constants!$B$9,Constants!$B$10)))</f>
        <v/>
      </c>
      <c r="T261" s="65" t="str">
        <f aca="false">IF(ISBLANK($C261),"",IF(H261=Constants!$B$2, TRUE(), IF(H261=Constants!$B$3, FALSE(), TRUE())))</f>
        <v/>
      </c>
      <c r="U261" s="65" t="str">
        <f aca="false">IF(ISBLANK($C261),"",IF(I261=Constants!$B$19,Constants!$B$19,Constants!$B$18))</f>
        <v/>
      </c>
      <c r="V261" s="65" t="str">
        <f aca="false">IF(ISBLANK($C261),"",IF(COUNTA(J261:K261)=0,"",IF(AND(OR(ISBLANK(J261),AND(ISNUMBER(J261),J261&gt;=0)),OR(ISBLANK(K261),AND(ISNUMBER(K261),K261&gt;=0))),60*IF(ISBLANK(J261),0,J261)+IF(ISBLANK(K261),0,K261),"")))</f>
        <v/>
      </c>
      <c r="W261" s="65" t="str">
        <f aca="false">IF(ISBLANK($C261),"",IF(L261=Constants!$B$19,Constants!$B$19,Constants!$B$18))</f>
        <v/>
      </c>
      <c r="X261" s="65" t="str">
        <f aca="false">IF(ISBLANK($C261),"",IF(COUNTA(M261:N261)=0,"",IF(AND(OR(ISBLANK(M261),AND(ISNUMBER(M261),M261&gt;=0)),OR(ISBLANK(N261),AND(ISNUMBER(N261),N261&gt;=0))),60*IF(ISBLANK(M261),0,M261)+IF(ISBLANK(N261),0,N261),"")))</f>
        <v/>
      </c>
      <c r="Y261" s="65" t="str">
        <f aca="false">IF(ISBLANK($C261),"",IF(O261=Constants!$B$2, TRUE(), IF(O261=Constants!$B$3, FALSE(), FALSE())))</f>
        <v/>
      </c>
      <c r="Z261" s="65" t="str">
        <f aca="false">IF(ISBLANK($C261),"",IF(Y261,Constants!$B$4,IF(COUNTA(E261:N261)=0,Constants!$B$5,IF(COUNTA(J261:K261,M261:N261)=0,Constants!$B$6,Constants!$B$7))))</f>
        <v/>
      </c>
      <c r="AA261" s="65" t="str">
        <f aca="false">IF(ISBLANK($C261),"",IF($Z261&lt;&gt;Constants!$B$7,$Z261,IF(OR(NOT(T261),AND(NOT(Q261),COUNTIFS(U261:W261,Constants!$B$18,V261:X261,"&gt;=0")&gt;0),AND(NOT(R261),COUNTIFS(U261:W261,Constants!$B$19,V261:X261,"&gt;=0")&gt;0)),Constants!$B$12,Constants!$B$11)))</f>
        <v/>
      </c>
      <c r="AB261" s="65" t="str">
        <f aca="false">IF($Z261=Constants!$B$7,IF(V261="",Constants!$B$13,V261),"")</f>
        <v/>
      </c>
      <c r="AC261" s="65" t="str">
        <f aca="false">IF($Z261=Constants!$B$7,IF(X261="",Constants!$B$13,X261),"")</f>
        <v/>
      </c>
      <c r="AD261" s="65" t="str">
        <f aca="false">IF($Z261=Constants!$B$7,IF($AB261&gt;=$AC261,1,2),"")</f>
        <v/>
      </c>
      <c r="AE261" s="65" t="str">
        <f aca="false">IF($Z261=Constants!$B$7,LARGE(AB261:AC261,1),"")</f>
        <v/>
      </c>
      <c r="AF261" s="65" t="str">
        <f aca="false">IF(ISBLANK($C261),"",IF($Z261&lt;&gt;Constants!$B$7,$Z261,AE261*S261))</f>
        <v/>
      </c>
      <c r="AG261" s="65" t="str">
        <f aca="false">IF(ISBLANK($C261),"",IF($Z261=Constants!$B$7,IF(ISNUMBER(AF261),RANK(AF261,$AF$8:$AF$507),Constants!$B$14),$Z261))</f>
        <v/>
      </c>
      <c r="AH261" s="65" t="str">
        <f aca="false">IF(ISBLANK($C261),"",IF($Z261=Constants!$B$7,IF(ISNUMBER(AG261),COUNTIFS($AA$8:$AA$507,"&lt;"&amp;$AA261)+COUNTIFS($AA$8:$AA$507,$AA261,$AG$8:$AG$507,"&lt;"&amp;$AG261)+1,Constants!$B$14),$Z261))</f>
        <v/>
      </c>
      <c r="AI261" s="65" t="str">
        <f aca="false">IF(ISBLANK($C261),"",IF($Z261=Constants!$B$7,LARGE(AB261:AC261,2)*S261,""))</f>
        <v/>
      </c>
      <c r="AJ261" s="65" t="str">
        <f aca="false">IF(ISBLANK($C261),"",IF($Z261=Constants!$B$7,RANK(AI261,$AI$8:$AI$507),$Z261))</f>
        <v/>
      </c>
      <c r="AK261" s="65" t="str">
        <f aca="false">IF(ISBLANK($C261),"",IF($Z261=Constants!$B$7,IF(ISNUMBER(AG261),COUNTIFS($AA$8:$AA$507,"&lt;"&amp;$AA261)+COUNTIFS($AA$8:$AA$507,$AA261,$AG$8:$AG$507,"&lt;"&amp;$AG261)+COUNTIFS($AA$8:$AA$507,$AA261,$AG$8:$AG$507,$AG261,$AJ$8:$AJ$507,"&lt;"&amp;$AJ261)+1,Constants!$B$14),$Z261))</f>
        <v/>
      </c>
      <c r="AL261" s="65" t="str">
        <f aca="false">IF(ISBLANK($C261),"",IF($Z261=Constants!$B$7,IF(ISNUMBER(AH261),AH261-AK261,Constants!$B$14),$Z261))</f>
        <v/>
      </c>
      <c r="AM261" s="67"/>
      <c r="AN261" s="68" t="str">
        <f aca="false">IF(ISBLANK($C261),"",IF($Z261&lt;&gt;Constants!$B$7,$Z261,AD261))</f>
        <v/>
      </c>
      <c r="AO261" s="69" t="str">
        <f aca="false">IF(ISBLANK($C261),"",IF($Z261&lt;&gt;Constants!$B$7,$Z261,S261))</f>
        <v/>
      </c>
      <c r="AP261" s="70" t="str">
        <f aca="false">IF(ISBLANK($C261),"",IF($Z261&lt;&gt;Constants!$B$7,$Z261,AF261))</f>
        <v/>
      </c>
      <c r="AQ261" s="71" t="str">
        <f aca="false">IF(ISBLANK($C261),"",IF($Z261&lt;&gt;Constants!$B$7,$Z261,AA261))</f>
        <v/>
      </c>
      <c r="AR261" s="69" t="str">
        <f aca="false">IF(ISBLANK($C261),"",AL261)</f>
        <v/>
      </c>
      <c r="AS261" s="69" t="str">
        <f aca="false">IF(ISBLANK($C261),"",AK261)</f>
        <v/>
      </c>
      <c r="AT261" s="72" t="str">
        <f aca="false">IF(ISBLANK($C261),"",IF(AS261=Constants!$B$4,COUNTA($C$8:$C$507)+2,IF(AS261=Constants!$B$5,COUNTA($C$8:$C$507)+1,IF(AS261=Constants!$B$6,COUNTA($C$8:$C$507),AS261))))</f>
        <v/>
      </c>
      <c r="AU261" s="5"/>
      <c r="AV261" s="73" t="n">
        <f aca="false">IF(OR(ISNUMBER(AS261),AS261=Constants!$B$4,AS261=Constants!$B$6,AS261=Constants!$B$5),1,0)</f>
        <v>0</v>
      </c>
      <c r="AW261" s="73" t="n">
        <v>254</v>
      </c>
      <c r="AX261" s="73" t="str">
        <f aca="false">IF(ISBLANK($C261),"",IF(ISNUMBER(AT261),AT261+ROW($B261)/1000,""))</f>
        <v/>
      </c>
      <c r="AY261" s="73" t="str">
        <f aca="false">IF(ISNUMBER(AX261),RANK(AX261,$AX$8:$AX$507,1),"")</f>
        <v/>
      </c>
      <c r="AZ261" s="73" t="str">
        <f aca="false">IF(ISBLANK($C261),"",$B261)</f>
        <v/>
      </c>
      <c r="BA261" s="73" t="str">
        <f aca="false">IF(ISBLANK($C261),"",$C261)</f>
        <v/>
      </c>
      <c r="BB261" s="73" t="str">
        <f aca="false">IF(ISBLANK($C261),"",$D261)</f>
        <v/>
      </c>
      <c r="BC261" s="74" t="str">
        <f aca="false">AQ261</f>
        <v/>
      </c>
      <c r="BD261" s="75" t="str">
        <f aca="false">AP261</f>
        <v/>
      </c>
      <c r="BE261" s="73" t="str">
        <f aca="false">IF(ISBLANK($C261),"",AS261)</f>
        <v/>
      </c>
      <c r="BF261" s="76" t="str">
        <f aca="false">IF($AW261&gt;$AV$7,"",VLOOKUP($AW261,$AY$8:$BE$507,7,FALSE()))</f>
        <v/>
      </c>
      <c r="BG261" s="77" t="str">
        <f aca="false">IF($AW261&gt;$AV$7,"",VLOOKUP($AW261,$AY$8:$BE$507,2,FALSE()))</f>
        <v/>
      </c>
      <c r="BH261" s="77" t="str">
        <f aca="false">IF($AW261&gt;$AV$7,"",VLOOKUP($AW261,$AY$8:$BE$507,3,FALSE()))</f>
        <v/>
      </c>
      <c r="BI261" s="77" t="str">
        <f aca="false">IF($AW261&gt;$AV$7,"",VLOOKUP($AW261,$AY$8:$BE$507,4,FALSE()))</f>
        <v/>
      </c>
      <c r="BJ261" s="77" t="str">
        <f aca="false">IF($AW261&gt;$AV$7,"",VLOOKUP($AW261,$AY$8:$BE$507,5,FALSE()))</f>
        <v/>
      </c>
      <c r="BK261" s="78" t="str">
        <f aca="false">IF($AW261&gt;$AV$7,"",VLOOKUP($AW261,$AY$8:$BE$507,6,FALSE()))</f>
        <v/>
      </c>
      <c r="BL261" s="50"/>
    </row>
    <row r="262" customFormat="false" ht="15.75" hidden="false" customHeight="false" outlineLevel="0" collapsed="false">
      <c r="A262" s="5"/>
      <c r="B262" s="131"/>
      <c r="C262" s="52"/>
      <c r="D262" s="53"/>
      <c r="E262" s="80"/>
      <c r="F262" s="132"/>
      <c r="G262" s="56"/>
      <c r="H262" s="133"/>
      <c r="I262" s="134"/>
      <c r="J262" s="59"/>
      <c r="K262" s="60"/>
      <c r="L262" s="134"/>
      <c r="M262" s="61"/>
      <c r="N262" s="62"/>
      <c r="O262" s="80"/>
      <c r="P262" s="64"/>
      <c r="Q262" s="65" t="str">
        <f aca="false">IF(ISBLANK($C262),"",IF(E262=Constants!$B$2, TRUE(), IF(E262=Constants!$B$3, FALSE(), TRUE())))</f>
        <v/>
      </c>
      <c r="R262" s="65" t="str">
        <f aca="false">IF(ISBLANK($C262),"",IF(F262=Constants!$B$2, TRUE(), IF(F262=Constants!$B$3, FALSE(), TRUE())))</f>
        <v/>
      </c>
      <c r="S262" s="65" t="str">
        <f aca="false">IF(ISBLANK($C262),"",IF(G262=Constants!$B$15,Constants!$B$8,IF(G262=Constants!$B$16,Constants!$B$9,Constants!$B$10)))</f>
        <v/>
      </c>
      <c r="T262" s="65" t="str">
        <f aca="false">IF(ISBLANK($C262),"",IF(H262=Constants!$B$2, TRUE(), IF(H262=Constants!$B$3, FALSE(), TRUE())))</f>
        <v/>
      </c>
      <c r="U262" s="65" t="str">
        <f aca="false">IF(ISBLANK($C262),"",IF(I262=Constants!$B$19,Constants!$B$19,Constants!$B$18))</f>
        <v/>
      </c>
      <c r="V262" s="65" t="str">
        <f aca="false">IF(ISBLANK($C262),"",IF(COUNTA(J262:K262)=0,"",IF(AND(OR(ISBLANK(J262),AND(ISNUMBER(J262),J262&gt;=0)),OR(ISBLANK(K262),AND(ISNUMBER(K262),K262&gt;=0))),60*IF(ISBLANK(J262),0,J262)+IF(ISBLANK(K262),0,K262),"")))</f>
        <v/>
      </c>
      <c r="W262" s="65" t="str">
        <f aca="false">IF(ISBLANK($C262),"",IF(L262=Constants!$B$19,Constants!$B$19,Constants!$B$18))</f>
        <v/>
      </c>
      <c r="X262" s="65" t="str">
        <f aca="false">IF(ISBLANK($C262),"",IF(COUNTA(M262:N262)=0,"",IF(AND(OR(ISBLANK(M262),AND(ISNUMBER(M262),M262&gt;=0)),OR(ISBLANK(N262),AND(ISNUMBER(N262),N262&gt;=0))),60*IF(ISBLANK(M262),0,M262)+IF(ISBLANK(N262),0,N262),"")))</f>
        <v/>
      </c>
      <c r="Y262" s="65" t="str">
        <f aca="false">IF(ISBLANK($C262),"",IF(O262=Constants!$B$2, TRUE(), IF(O262=Constants!$B$3, FALSE(), FALSE())))</f>
        <v/>
      </c>
      <c r="Z262" s="65" t="str">
        <f aca="false">IF(ISBLANK($C262),"",IF(Y262,Constants!$B$4,IF(COUNTA(E262:N262)=0,Constants!$B$5,IF(COUNTA(J262:K262,M262:N262)=0,Constants!$B$6,Constants!$B$7))))</f>
        <v/>
      </c>
      <c r="AA262" s="65" t="str">
        <f aca="false">IF(ISBLANK($C262),"",IF($Z262&lt;&gt;Constants!$B$7,$Z262,IF(OR(NOT(T262),AND(NOT(Q262),COUNTIFS(U262:W262,Constants!$B$18,V262:X262,"&gt;=0")&gt;0),AND(NOT(R262),COUNTIFS(U262:W262,Constants!$B$19,V262:X262,"&gt;=0")&gt;0)),Constants!$B$12,Constants!$B$11)))</f>
        <v/>
      </c>
      <c r="AB262" s="65" t="str">
        <f aca="false">IF($Z262=Constants!$B$7,IF(V262="",Constants!$B$13,V262),"")</f>
        <v/>
      </c>
      <c r="AC262" s="65" t="str">
        <f aca="false">IF($Z262=Constants!$B$7,IF(X262="",Constants!$B$13,X262),"")</f>
        <v/>
      </c>
      <c r="AD262" s="65" t="str">
        <f aca="false">IF($Z262=Constants!$B$7,IF($AB262&gt;=$AC262,1,2),"")</f>
        <v/>
      </c>
      <c r="AE262" s="65" t="str">
        <f aca="false">IF($Z262=Constants!$B$7,LARGE(AB262:AC262,1),"")</f>
        <v/>
      </c>
      <c r="AF262" s="65" t="str">
        <f aca="false">IF(ISBLANK($C262),"",IF($Z262&lt;&gt;Constants!$B$7,$Z262,AE262*S262))</f>
        <v/>
      </c>
      <c r="AG262" s="65" t="str">
        <f aca="false">IF(ISBLANK($C262),"",IF($Z262=Constants!$B$7,IF(ISNUMBER(AF262),RANK(AF262,$AF$8:$AF$507),Constants!$B$14),$Z262))</f>
        <v/>
      </c>
      <c r="AH262" s="65" t="str">
        <f aca="false">IF(ISBLANK($C262),"",IF($Z262=Constants!$B$7,IF(ISNUMBER(AG262),COUNTIFS($AA$8:$AA$507,"&lt;"&amp;$AA262)+COUNTIFS($AA$8:$AA$507,$AA262,$AG$8:$AG$507,"&lt;"&amp;$AG262)+1,Constants!$B$14),$Z262))</f>
        <v/>
      </c>
      <c r="AI262" s="65" t="str">
        <f aca="false">IF(ISBLANK($C262),"",IF($Z262=Constants!$B$7,LARGE(AB262:AC262,2)*S262,""))</f>
        <v/>
      </c>
      <c r="AJ262" s="65" t="str">
        <f aca="false">IF(ISBLANK($C262),"",IF($Z262=Constants!$B$7,RANK(AI262,$AI$8:$AI$507),$Z262))</f>
        <v/>
      </c>
      <c r="AK262" s="65" t="str">
        <f aca="false">IF(ISBLANK($C262),"",IF($Z262=Constants!$B$7,IF(ISNUMBER(AG262),COUNTIFS($AA$8:$AA$507,"&lt;"&amp;$AA262)+COUNTIFS($AA$8:$AA$507,$AA262,$AG$8:$AG$507,"&lt;"&amp;$AG262)+COUNTIFS($AA$8:$AA$507,$AA262,$AG$8:$AG$507,$AG262,$AJ$8:$AJ$507,"&lt;"&amp;$AJ262)+1,Constants!$B$14),$Z262))</f>
        <v/>
      </c>
      <c r="AL262" s="65" t="str">
        <f aca="false">IF(ISBLANK($C262),"",IF($Z262=Constants!$B$7,IF(ISNUMBER(AH262),AH262-AK262,Constants!$B$14),$Z262))</f>
        <v/>
      </c>
      <c r="AM262" s="67"/>
      <c r="AN262" s="68" t="str">
        <f aca="false">IF(ISBLANK($C262),"",IF($Z262&lt;&gt;Constants!$B$7,$Z262,AD262))</f>
        <v/>
      </c>
      <c r="AO262" s="69" t="str">
        <f aca="false">IF(ISBLANK($C262),"",IF($Z262&lt;&gt;Constants!$B$7,$Z262,S262))</f>
        <v/>
      </c>
      <c r="AP262" s="70" t="str">
        <f aca="false">IF(ISBLANK($C262),"",IF($Z262&lt;&gt;Constants!$B$7,$Z262,AF262))</f>
        <v/>
      </c>
      <c r="AQ262" s="71" t="str">
        <f aca="false">IF(ISBLANK($C262),"",IF($Z262&lt;&gt;Constants!$B$7,$Z262,AA262))</f>
        <v/>
      </c>
      <c r="AR262" s="69" t="str">
        <f aca="false">IF(ISBLANK($C262),"",AL262)</f>
        <v/>
      </c>
      <c r="AS262" s="69" t="str">
        <f aca="false">IF(ISBLANK($C262),"",AK262)</f>
        <v/>
      </c>
      <c r="AT262" s="72" t="str">
        <f aca="false">IF(ISBLANK($C262),"",IF(AS262=Constants!$B$4,COUNTA($C$8:$C$507)+2,IF(AS262=Constants!$B$5,COUNTA($C$8:$C$507)+1,IF(AS262=Constants!$B$6,COUNTA($C$8:$C$507),AS262))))</f>
        <v/>
      </c>
      <c r="AU262" s="5"/>
      <c r="AV262" s="73" t="n">
        <f aca="false">IF(OR(ISNUMBER(AS262),AS262=Constants!$B$4,AS262=Constants!$B$6,AS262=Constants!$B$5),1,0)</f>
        <v>0</v>
      </c>
      <c r="AW262" s="73" t="n">
        <v>255</v>
      </c>
      <c r="AX262" s="73" t="str">
        <f aca="false">IF(ISBLANK($C262),"",IF(ISNUMBER(AT262),AT262+ROW($B262)/1000,""))</f>
        <v/>
      </c>
      <c r="AY262" s="73" t="str">
        <f aca="false">IF(ISNUMBER(AX262),RANK(AX262,$AX$8:$AX$507,1),"")</f>
        <v/>
      </c>
      <c r="AZ262" s="73" t="str">
        <f aca="false">IF(ISBLANK($C262),"",$B262)</f>
        <v/>
      </c>
      <c r="BA262" s="73" t="str">
        <f aca="false">IF(ISBLANK($C262),"",$C262)</f>
        <v/>
      </c>
      <c r="BB262" s="73" t="str">
        <f aca="false">IF(ISBLANK($C262),"",$D262)</f>
        <v/>
      </c>
      <c r="BC262" s="74" t="str">
        <f aca="false">AQ262</f>
        <v/>
      </c>
      <c r="BD262" s="75" t="str">
        <f aca="false">AP262</f>
        <v/>
      </c>
      <c r="BE262" s="73" t="str">
        <f aca="false">IF(ISBLANK($C262),"",AS262)</f>
        <v/>
      </c>
      <c r="BF262" s="76" t="str">
        <f aca="false">IF($AW262&gt;$AV$7,"",VLOOKUP($AW262,$AY$8:$BE$507,7,FALSE()))</f>
        <v/>
      </c>
      <c r="BG262" s="77" t="str">
        <f aca="false">IF($AW262&gt;$AV$7,"",VLOOKUP($AW262,$AY$8:$BE$507,2,FALSE()))</f>
        <v/>
      </c>
      <c r="BH262" s="77" t="str">
        <f aca="false">IF($AW262&gt;$AV$7,"",VLOOKUP($AW262,$AY$8:$BE$507,3,FALSE()))</f>
        <v/>
      </c>
      <c r="BI262" s="77" t="str">
        <f aca="false">IF($AW262&gt;$AV$7,"",VLOOKUP($AW262,$AY$8:$BE$507,4,FALSE()))</f>
        <v/>
      </c>
      <c r="BJ262" s="77" t="str">
        <f aca="false">IF($AW262&gt;$AV$7,"",VLOOKUP($AW262,$AY$8:$BE$507,5,FALSE()))</f>
        <v/>
      </c>
      <c r="BK262" s="78" t="str">
        <f aca="false">IF($AW262&gt;$AV$7,"",VLOOKUP($AW262,$AY$8:$BE$507,6,FALSE()))</f>
        <v/>
      </c>
      <c r="BL262" s="50"/>
    </row>
    <row r="263" customFormat="false" ht="15.75" hidden="false" customHeight="false" outlineLevel="0" collapsed="false">
      <c r="A263" s="5"/>
      <c r="B263" s="124"/>
      <c r="C263" s="125"/>
      <c r="D263" s="110"/>
      <c r="E263" s="130"/>
      <c r="F263" s="135"/>
      <c r="G263" s="88"/>
      <c r="H263" s="136"/>
      <c r="I263" s="137"/>
      <c r="J263" s="91"/>
      <c r="K263" s="92"/>
      <c r="L263" s="137"/>
      <c r="M263" s="93"/>
      <c r="N263" s="94"/>
      <c r="O263" s="130"/>
      <c r="P263" s="96"/>
      <c r="Q263" s="97" t="str">
        <f aca="false">IF(ISBLANK($C263),"",IF(E263=Constants!$B$2, TRUE(), IF(E263=Constants!$B$3, FALSE(), TRUE())))</f>
        <v/>
      </c>
      <c r="R263" s="97" t="str">
        <f aca="false">IF(ISBLANK($C263),"",IF(F263=Constants!$B$2, TRUE(), IF(F263=Constants!$B$3, FALSE(), TRUE())))</f>
        <v/>
      </c>
      <c r="S263" s="97" t="str">
        <f aca="false">IF(ISBLANK($C263),"",IF(G263=Constants!$B$15,Constants!$B$8,IF(G263=Constants!$B$16,Constants!$B$9,Constants!$B$10)))</f>
        <v/>
      </c>
      <c r="T263" s="97" t="str">
        <f aca="false">IF(ISBLANK($C263),"",IF(H263=Constants!$B$2, TRUE(), IF(H263=Constants!$B$3, FALSE(), TRUE())))</f>
        <v/>
      </c>
      <c r="U263" s="97" t="str">
        <f aca="false">IF(ISBLANK($C263),"",IF(I263=Constants!$B$19,Constants!$B$19,Constants!$B$18))</f>
        <v/>
      </c>
      <c r="V263" s="97" t="str">
        <f aca="false">IF(ISBLANK($C263),"",IF(COUNTA(J263:K263)=0,"",IF(AND(OR(ISBLANK(J263),AND(ISNUMBER(J263),J263&gt;=0)),OR(ISBLANK(K263),AND(ISNUMBER(K263),K263&gt;=0))),60*IF(ISBLANK(J263),0,J263)+IF(ISBLANK(K263),0,K263),"")))</f>
        <v/>
      </c>
      <c r="W263" s="97" t="str">
        <f aca="false">IF(ISBLANK($C263),"",IF(L263=Constants!$B$19,Constants!$B$19,Constants!$B$18))</f>
        <v/>
      </c>
      <c r="X263" s="97" t="str">
        <f aca="false">IF(ISBLANK($C263),"",IF(COUNTA(M263:N263)=0,"",IF(AND(OR(ISBLANK(M263),AND(ISNUMBER(M263),M263&gt;=0)),OR(ISBLANK(N263),AND(ISNUMBER(N263),N263&gt;=0))),60*IF(ISBLANK(M263),0,M263)+IF(ISBLANK(N263),0,N263),"")))</f>
        <v/>
      </c>
      <c r="Y263" s="97" t="str">
        <f aca="false">IF(ISBLANK($C263),"",IF(O263=Constants!$B$2, TRUE(), IF(O263=Constants!$B$3, FALSE(), FALSE())))</f>
        <v/>
      </c>
      <c r="Z263" s="97" t="str">
        <f aca="false">IF(ISBLANK($C263),"",IF(Y263,Constants!$B$4,IF(COUNTA(E263:N263)=0,Constants!$B$5,IF(COUNTA(J263:K263,M263:N263)=0,Constants!$B$6,Constants!$B$7))))</f>
        <v/>
      </c>
      <c r="AA263" s="97" t="str">
        <f aca="false">IF(ISBLANK($C263),"",IF($Z263&lt;&gt;Constants!$B$7,$Z263,IF(OR(NOT(T263),AND(NOT(Q263),COUNTIFS(U263:W263,Constants!$B$18,V263:X263,"&gt;=0")&gt;0),AND(NOT(R263),COUNTIFS(U263:W263,Constants!$B$19,V263:X263,"&gt;=0")&gt;0)),Constants!$B$12,Constants!$B$11)))</f>
        <v/>
      </c>
      <c r="AB263" s="97" t="str">
        <f aca="false">IF($Z263=Constants!$B$7,IF(V263="",Constants!$B$13,V263),"")</f>
        <v/>
      </c>
      <c r="AC263" s="97" t="str">
        <f aca="false">IF($Z263=Constants!$B$7,IF(X263="",Constants!$B$13,X263),"")</f>
        <v/>
      </c>
      <c r="AD263" s="97" t="str">
        <f aca="false">IF($Z263=Constants!$B$7,IF($AB263&gt;=$AC263,1,2),"")</f>
        <v/>
      </c>
      <c r="AE263" s="97" t="str">
        <f aca="false">IF($Z263=Constants!$B$7,LARGE(AB263:AC263,1),"")</f>
        <v/>
      </c>
      <c r="AF263" s="97" t="str">
        <f aca="false">IF(ISBLANK($C263),"",IF($Z263&lt;&gt;Constants!$B$7,$Z263,AE263*S263))</f>
        <v/>
      </c>
      <c r="AG263" s="97" t="str">
        <f aca="false">IF(ISBLANK($C263),"",IF($Z263=Constants!$B$7,IF(ISNUMBER(AF263),RANK(AF263,$AF$8:$AF$507),Constants!$B$14),$Z263))</f>
        <v/>
      </c>
      <c r="AH263" s="97" t="str">
        <f aca="false">IF(ISBLANK($C263),"",IF($Z263=Constants!$B$7,IF(ISNUMBER(AG263),COUNTIFS($AA$8:$AA$507,"&lt;"&amp;$AA263)+COUNTIFS($AA$8:$AA$507,$AA263,$AG$8:$AG$507,"&lt;"&amp;$AG263)+1,Constants!$B$14),$Z263))</f>
        <v/>
      </c>
      <c r="AI263" s="97" t="str">
        <f aca="false">IF(ISBLANK($C263),"",IF($Z263=Constants!$B$7,LARGE(AB263:AC263,2)*S263,""))</f>
        <v/>
      </c>
      <c r="AJ263" s="97" t="str">
        <f aca="false">IF(ISBLANK($C263),"",IF($Z263=Constants!$B$7,RANK(AI263,$AI$8:$AI$507),$Z263))</f>
        <v/>
      </c>
      <c r="AK263" s="97" t="str">
        <f aca="false">IF(ISBLANK($C263),"",IF($Z263=Constants!$B$7,IF(ISNUMBER(AG263),COUNTIFS($AA$8:$AA$507,"&lt;"&amp;$AA263)+COUNTIFS($AA$8:$AA$507,$AA263,$AG$8:$AG$507,"&lt;"&amp;$AG263)+COUNTIFS($AA$8:$AA$507,$AA263,$AG$8:$AG$507,$AG263,$AJ$8:$AJ$507,"&lt;"&amp;$AJ263)+1,Constants!$B$14),$Z263))</f>
        <v/>
      </c>
      <c r="AL263" s="97" t="str">
        <f aca="false">IF(ISBLANK($C263),"",IF($Z263=Constants!$B$7,IF(ISNUMBER(AH263),AH263-AK263,Constants!$B$14),$Z263))</f>
        <v/>
      </c>
      <c r="AM263" s="98"/>
      <c r="AN263" s="99" t="str">
        <f aca="false">IF(ISBLANK($C263),"",IF($Z263&lt;&gt;Constants!$B$7,$Z263,AD263))</f>
        <v/>
      </c>
      <c r="AO263" s="100" t="str">
        <f aca="false">IF(ISBLANK($C263),"",IF($Z263&lt;&gt;Constants!$B$7,$Z263,S263))</f>
        <v/>
      </c>
      <c r="AP263" s="101" t="str">
        <f aca="false">IF(ISBLANK($C263),"",IF($Z263&lt;&gt;Constants!$B$7,$Z263,AF263))</f>
        <v/>
      </c>
      <c r="AQ263" s="102" t="str">
        <f aca="false">IF(ISBLANK($C263),"",IF($Z263&lt;&gt;Constants!$B$7,$Z263,AA263))</f>
        <v/>
      </c>
      <c r="AR263" s="100" t="str">
        <f aca="false">IF(ISBLANK($C263),"",AL263)</f>
        <v/>
      </c>
      <c r="AS263" s="100" t="str">
        <f aca="false">IF(ISBLANK($C263),"",AK263)</f>
        <v/>
      </c>
      <c r="AT263" s="103" t="str">
        <f aca="false">IF(ISBLANK($C263),"",IF(AS263=Constants!$B$4,COUNTA($C$8:$C$507)+2,IF(AS263=Constants!$B$5,COUNTA($C$8:$C$507)+1,IF(AS263=Constants!$B$6,COUNTA($C$8:$C$507),AS263))))</f>
        <v/>
      </c>
      <c r="AU263" s="5"/>
      <c r="AV263" s="104" t="n">
        <f aca="false">IF(OR(ISNUMBER(AS263),AS263=Constants!$B$4,AS263=Constants!$B$6,AS263=Constants!$B$5),1,0)</f>
        <v>0</v>
      </c>
      <c r="AW263" s="104" t="n">
        <v>256</v>
      </c>
      <c r="AX263" s="104" t="str">
        <f aca="false">IF(ISBLANK($C263),"",IF(ISNUMBER(AT263),AT263+ROW($B263)/1000,""))</f>
        <v/>
      </c>
      <c r="AY263" s="104" t="str">
        <f aca="false">IF(ISNUMBER(AX263),RANK(AX263,$AX$8:$AX$507,1),"")</f>
        <v/>
      </c>
      <c r="AZ263" s="104" t="str">
        <f aca="false">IF(ISBLANK($C263),"",$B263)</f>
        <v/>
      </c>
      <c r="BA263" s="104" t="str">
        <f aca="false">IF(ISBLANK($C263),"",$C263)</f>
        <v/>
      </c>
      <c r="BB263" s="104" t="str">
        <f aca="false">IF(ISBLANK($C263),"",$D263)</f>
        <v/>
      </c>
      <c r="BC263" s="105" t="str">
        <f aca="false">AQ263</f>
        <v/>
      </c>
      <c r="BD263" s="106" t="str">
        <f aca="false">AP263</f>
        <v/>
      </c>
      <c r="BE263" s="104" t="str">
        <f aca="false">IF(ISBLANK($C263),"",AS263)</f>
        <v/>
      </c>
      <c r="BF263" s="107" t="str">
        <f aca="false">IF($AW263&gt;$AV$7,"",VLOOKUP($AW263,$AY$8:$BE$507,7,FALSE()))</f>
        <v/>
      </c>
      <c r="BG263" s="108" t="str">
        <f aca="false">IF($AW263&gt;$AV$7,"",VLOOKUP($AW263,$AY$8:$BE$507,2,FALSE()))</f>
        <v/>
      </c>
      <c r="BH263" s="108" t="str">
        <f aca="false">IF($AW263&gt;$AV$7,"",VLOOKUP($AW263,$AY$8:$BE$507,3,FALSE()))</f>
        <v/>
      </c>
      <c r="BI263" s="108" t="str">
        <f aca="false">IF($AW263&gt;$AV$7,"",VLOOKUP($AW263,$AY$8:$BE$507,4,FALSE()))</f>
        <v/>
      </c>
      <c r="BJ263" s="108" t="str">
        <f aca="false">IF($AW263&gt;$AV$7,"",VLOOKUP($AW263,$AY$8:$BE$507,5,FALSE()))</f>
        <v/>
      </c>
      <c r="BK263" s="109" t="str">
        <f aca="false">IF($AW263&gt;$AV$7,"",VLOOKUP($AW263,$AY$8:$BE$507,6,FALSE()))</f>
        <v/>
      </c>
      <c r="BL263" s="50"/>
    </row>
    <row r="264" customFormat="false" ht="15.75" hidden="false" customHeight="false" outlineLevel="0" collapsed="false">
      <c r="A264" s="5"/>
      <c r="B264" s="124"/>
      <c r="C264" s="125"/>
      <c r="D264" s="110"/>
      <c r="E264" s="130"/>
      <c r="F264" s="135"/>
      <c r="G264" s="88"/>
      <c r="H264" s="136"/>
      <c r="I264" s="137"/>
      <c r="J264" s="91"/>
      <c r="K264" s="92"/>
      <c r="L264" s="137"/>
      <c r="M264" s="93"/>
      <c r="N264" s="94"/>
      <c r="O264" s="130"/>
      <c r="P264" s="96"/>
      <c r="Q264" s="97" t="str">
        <f aca="false">IF(ISBLANK($C264),"",IF(E264=Constants!$B$2, TRUE(), IF(E264=Constants!$B$3, FALSE(), TRUE())))</f>
        <v/>
      </c>
      <c r="R264" s="97" t="str">
        <f aca="false">IF(ISBLANK($C264),"",IF(F264=Constants!$B$2, TRUE(), IF(F264=Constants!$B$3, FALSE(), TRUE())))</f>
        <v/>
      </c>
      <c r="S264" s="97" t="str">
        <f aca="false">IF(ISBLANK($C264),"",IF(G264=Constants!$B$15,Constants!$B$8,IF(G264=Constants!$B$16,Constants!$B$9,Constants!$B$10)))</f>
        <v/>
      </c>
      <c r="T264" s="97" t="str">
        <f aca="false">IF(ISBLANK($C264),"",IF(H264=Constants!$B$2, TRUE(), IF(H264=Constants!$B$3, FALSE(), TRUE())))</f>
        <v/>
      </c>
      <c r="U264" s="97" t="str">
        <f aca="false">IF(ISBLANK($C264),"",IF(I264=Constants!$B$19,Constants!$B$19,Constants!$B$18))</f>
        <v/>
      </c>
      <c r="V264" s="97" t="str">
        <f aca="false">IF(ISBLANK($C264),"",IF(COUNTA(J264:K264)=0,"",IF(AND(OR(ISBLANK(J264),AND(ISNUMBER(J264),J264&gt;=0)),OR(ISBLANK(K264),AND(ISNUMBER(K264),K264&gt;=0))),60*IF(ISBLANK(J264),0,J264)+IF(ISBLANK(K264),0,K264),"")))</f>
        <v/>
      </c>
      <c r="W264" s="97" t="str">
        <f aca="false">IF(ISBLANK($C264),"",IF(L264=Constants!$B$19,Constants!$B$19,Constants!$B$18))</f>
        <v/>
      </c>
      <c r="X264" s="97" t="str">
        <f aca="false">IF(ISBLANK($C264),"",IF(COUNTA(M264:N264)=0,"",IF(AND(OR(ISBLANK(M264),AND(ISNUMBER(M264),M264&gt;=0)),OR(ISBLANK(N264),AND(ISNUMBER(N264),N264&gt;=0))),60*IF(ISBLANK(M264),0,M264)+IF(ISBLANK(N264),0,N264),"")))</f>
        <v/>
      </c>
      <c r="Y264" s="97" t="str">
        <f aca="false">IF(ISBLANK($C264),"",IF(O264=Constants!$B$2, TRUE(), IF(O264=Constants!$B$3, FALSE(), FALSE())))</f>
        <v/>
      </c>
      <c r="Z264" s="97" t="str">
        <f aca="false">IF(ISBLANK($C264),"",IF(Y264,Constants!$B$4,IF(COUNTA(E264:N264)=0,Constants!$B$5,IF(COUNTA(J264:K264,M264:N264)=0,Constants!$B$6,Constants!$B$7))))</f>
        <v/>
      </c>
      <c r="AA264" s="97" t="str">
        <f aca="false">IF(ISBLANK($C264),"",IF($Z264&lt;&gt;Constants!$B$7,$Z264,IF(OR(NOT(T264),AND(NOT(Q264),COUNTIFS(U264:W264,Constants!$B$18,V264:X264,"&gt;=0")&gt;0),AND(NOT(R264),COUNTIFS(U264:W264,Constants!$B$19,V264:X264,"&gt;=0")&gt;0)),Constants!$B$12,Constants!$B$11)))</f>
        <v/>
      </c>
      <c r="AB264" s="97" t="str">
        <f aca="false">IF($Z264=Constants!$B$7,IF(V264="",Constants!$B$13,V264),"")</f>
        <v/>
      </c>
      <c r="AC264" s="97" t="str">
        <f aca="false">IF($Z264=Constants!$B$7,IF(X264="",Constants!$B$13,X264),"")</f>
        <v/>
      </c>
      <c r="AD264" s="97" t="str">
        <f aca="false">IF($Z264=Constants!$B$7,IF($AB264&gt;=$AC264,1,2),"")</f>
        <v/>
      </c>
      <c r="AE264" s="97" t="str">
        <f aca="false">IF($Z264=Constants!$B$7,LARGE(AB264:AC264,1),"")</f>
        <v/>
      </c>
      <c r="AF264" s="97" t="str">
        <f aca="false">IF(ISBLANK($C264),"",IF($Z264&lt;&gt;Constants!$B$7,$Z264,AE264*S264))</f>
        <v/>
      </c>
      <c r="AG264" s="97" t="str">
        <f aca="false">IF(ISBLANK($C264),"",IF($Z264=Constants!$B$7,IF(ISNUMBER(AF264),RANK(AF264,$AF$8:$AF$507),Constants!$B$14),$Z264))</f>
        <v/>
      </c>
      <c r="AH264" s="97" t="str">
        <f aca="false">IF(ISBLANK($C264),"",IF($Z264=Constants!$B$7,IF(ISNUMBER(AG264),COUNTIFS($AA$8:$AA$507,"&lt;"&amp;$AA264)+COUNTIFS($AA$8:$AA$507,$AA264,$AG$8:$AG$507,"&lt;"&amp;$AG264)+1,Constants!$B$14),$Z264))</f>
        <v/>
      </c>
      <c r="AI264" s="97" t="str">
        <f aca="false">IF(ISBLANK($C264),"",IF($Z264=Constants!$B$7,LARGE(AB264:AC264,2)*S264,""))</f>
        <v/>
      </c>
      <c r="AJ264" s="97" t="str">
        <f aca="false">IF(ISBLANK($C264),"",IF($Z264=Constants!$B$7,RANK(AI264,$AI$8:$AI$507),$Z264))</f>
        <v/>
      </c>
      <c r="AK264" s="97" t="str">
        <f aca="false">IF(ISBLANK($C264),"",IF($Z264=Constants!$B$7,IF(ISNUMBER(AG264),COUNTIFS($AA$8:$AA$507,"&lt;"&amp;$AA264)+COUNTIFS($AA$8:$AA$507,$AA264,$AG$8:$AG$507,"&lt;"&amp;$AG264)+COUNTIFS($AA$8:$AA$507,$AA264,$AG$8:$AG$507,$AG264,$AJ$8:$AJ$507,"&lt;"&amp;$AJ264)+1,Constants!$B$14),$Z264))</f>
        <v/>
      </c>
      <c r="AL264" s="97" t="str">
        <f aca="false">IF(ISBLANK($C264),"",IF($Z264=Constants!$B$7,IF(ISNUMBER(AH264),AH264-AK264,Constants!$B$14),$Z264))</f>
        <v/>
      </c>
      <c r="AM264" s="98"/>
      <c r="AN264" s="99" t="str">
        <f aca="false">IF(ISBLANK($C264),"",IF($Z264&lt;&gt;Constants!$B$7,$Z264,AD264))</f>
        <v/>
      </c>
      <c r="AO264" s="100" t="str">
        <f aca="false">IF(ISBLANK($C264),"",IF($Z264&lt;&gt;Constants!$B$7,$Z264,S264))</f>
        <v/>
      </c>
      <c r="AP264" s="101" t="str">
        <f aca="false">IF(ISBLANK($C264),"",IF($Z264&lt;&gt;Constants!$B$7,$Z264,AF264))</f>
        <v/>
      </c>
      <c r="AQ264" s="102" t="str">
        <f aca="false">IF(ISBLANK($C264),"",IF($Z264&lt;&gt;Constants!$B$7,$Z264,AA264))</f>
        <v/>
      </c>
      <c r="AR264" s="100" t="str">
        <f aca="false">IF(ISBLANK($C264),"",AL264)</f>
        <v/>
      </c>
      <c r="AS264" s="100" t="str">
        <f aca="false">IF(ISBLANK($C264),"",AK264)</f>
        <v/>
      </c>
      <c r="AT264" s="103" t="str">
        <f aca="false">IF(ISBLANK($C264),"",IF(AS264=Constants!$B$4,COUNTA($C$8:$C$507)+2,IF(AS264=Constants!$B$5,COUNTA($C$8:$C$507)+1,IF(AS264=Constants!$B$6,COUNTA($C$8:$C$507),AS264))))</f>
        <v/>
      </c>
      <c r="AU264" s="5"/>
      <c r="AV264" s="104" t="n">
        <f aca="false">IF(OR(ISNUMBER(AS264),AS264=Constants!$B$4,AS264=Constants!$B$6,AS264=Constants!$B$5),1,0)</f>
        <v>0</v>
      </c>
      <c r="AW264" s="104" t="n">
        <v>257</v>
      </c>
      <c r="AX264" s="104" t="str">
        <f aca="false">IF(ISBLANK($C264),"",IF(ISNUMBER(AT264),AT264+ROW($B264)/1000,""))</f>
        <v/>
      </c>
      <c r="AY264" s="104" t="str">
        <f aca="false">IF(ISNUMBER(AX264),RANK(AX264,$AX$8:$AX$507,1),"")</f>
        <v/>
      </c>
      <c r="AZ264" s="104" t="str">
        <f aca="false">IF(ISBLANK($C264),"",$B264)</f>
        <v/>
      </c>
      <c r="BA264" s="104" t="str">
        <f aca="false">IF(ISBLANK($C264),"",$C264)</f>
        <v/>
      </c>
      <c r="BB264" s="104" t="str">
        <f aca="false">IF(ISBLANK($C264),"",$D264)</f>
        <v/>
      </c>
      <c r="BC264" s="105" t="str">
        <f aca="false">AQ264</f>
        <v/>
      </c>
      <c r="BD264" s="106" t="str">
        <f aca="false">AP264</f>
        <v/>
      </c>
      <c r="BE264" s="104" t="str">
        <f aca="false">IF(ISBLANK($C264),"",AS264)</f>
        <v/>
      </c>
      <c r="BF264" s="107" t="str">
        <f aca="false">IF($AW264&gt;$AV$7,"",VLOOKUP($AW264,$AY$8:$BE$507,7,FALSE()))</f>
        <v/>
      </c>
      <c r="BG264" s="108" t="str">
        <f aca="false">IF($AW264&gt;$AV$7,"",VLOOKUP($AW264,$AY$8:$BE$507,2,FALSE()))</f>
        <v/>
      </c>
      <c r="BH264" s="108" t="str">
        <f aca="false">IF($AW264&gt;$AV$7,"",VLOOKUP($AW264,$AY$8:$BE$507,3,FALSE()))</f>
        <v/>
      </c>
      <c r="BI264" s="108" t="str">
        <f aca="false">IF($AW264&gt;$AV$7,"",VLOOKUP($AW264,$AY$8:$BE$507,4,FALSE()))</f>
        <v/>
      </c>
      <c r="BJ264" s="108" t="str">
        <f aca="false">IF($AW264&gt;$AV$7,"",VLOOKUP($AW264,$AY$8:$BE$507,5,FALSE()))</f>
        <v/>
      </c>
      <c r="BK264" s="109" t="str">
        <f aca="false">IF($AW264&gt;$AV$7,"",VLOOKUP($AW264,$AY$8:$BE$507,6,FALSE()))</f>
        <v/>
      </c>
      <c r="BL264" s="50"/>
    </row>
    <row r="265" customFormat="false" ht="15.75" hidden="false" customHeight="false" outlineLevel="0" collapsed="false">
      <c r="A265" s="5"/>
      <c r="B265" s="124"/>
      <c r="C265" s="125"/>
      <c r="D265" s="110"/>
      <c r="E265" s="130"/>
      <c r="F265" s="135"/>
      <c r="G265" s="88"/>
      <c r="H265" s="136"/>
      <c r="I265" s="137"/>
      <c r="J265" s="91"/>
      <c r="K265" s="92"/>
      <c r="L265" s="137"/>
      <c r="M265" s="93"/>
      <c r="N265" s="94"/>
      <c r="O265" s="130"/>
      <c r="P265" s="96"/>
      <c r="Q265" s="97" t="str">
        <f aca="false">IF(ISBLANK($C265),"",IF(E265=Constants!$B$2, TRUE(), IF(E265=Constants!$B$3, FALSE(), TRUE())))</f>
        <v/>
      </c>
      <c r="R265" s="97" t="str">
        <f aca="false">IF(ISBLANK($C265),"",IF(F265=Constants!$B$2, TRUE(), IF(F265=Constants!$B$3, FALSE(), TRUE())))</f>
        <v/>
      </c>
      <c r="S265" s="97" t="str">
        <f aca="false">IF(ISBLANK($C265),"",IF(G265=Constants!$B$15,Constants!$B$8,IF(G265=Constants!$B$16,Constants!$B$9,Constants!$B$10)))</f>
        <v/>
      </c>
      <c r="T265" s="97" t="str">
        <f aca="false">IF(ISBLANK($C265),"",IF(H265=Constants!$B$2, TRUE(), IF(H265=Constants!$B$3, FALSE(), TRUE())))</f>
        <v/>
      </c>
      <c r="U265" s="97" t="str">
        <f aca="false">IF(ISBLANK($C265),"",IF(I265=Constants!$B$19,Constants!$B$19,Constants!$B$18))</f>
        <v/>
      </c>
      <c r="V265" s="97" t="str">
        <f aca="false">IF(ISBLANK($C265),"",IF(COUNTA(J265:K265)=0,"",IF(AND(OR(ISBLANK(J265),AND(ISNUMBER(J265),J265&gt;=0)),OR(ISBLANK(K265),AND(ISNUMBER(K265),K265&gt;=0))),60*IF(ISBLANK(J265),0,J265)+IF(ISBLANK(K265),0,K265),"")))</f>
        <v/>
      </c>
      <c r="W265" s="97" t="str">
        <f aca="false">IF(ISBLANK($C265),"",IF(L265=Constants!$B$19,Constants!$B$19,Constants!$B$18))</f>
        <v/>
      </c>
      <c r="X265" s="97" t="str">
        <f aca="false">IF(ISBLANK($C265),"",IF(COUNTA(M265:N265)=0,"",IF(AND(OR(ISBLANK(M265),AND(ISNUMBER(M265),M265&gt;=0)),OR(ISBLANK(N265),AND(ISNUMBER(N265),N265&gt;=0))),60*IF(ISBLANK(M265),0,M265)+IF(ISBLANK(N265),0,N265),"")))</f>
        <v/>
      </c>
      <c r="Y265" s="97" t="str">
        <f aca="false">IF(ISBLANK($C265),"",IF(O265=Constants!$B$2, TRUE(), IF(O265=Constants!$B$3, FALSE(), FALSE())))</f>
        <v/>
      </c>
      <c r="Z265" s="97" t="str">
        <f aca="false">IF(ISBLANK($C265),"",IF(Y265,Constants!$B$4,IF(COUNTA(E265:N265)=0,Constants!$B$5,IF(COUNTA(J265:K265,M265:N265)=0,Constants!$B$6,Constants!$B$7))))</f>
        <v/>
      </c>
      <c r="AA265" s="97" t="str">
        <f aca="false">IF(ISBLANK($C265),"",IF($Z265&lt;&gt;Constants!$B$7,$Z265,IF(OR(NOT(T265),AND(NOT(Q265),COUNTIFS(U265:W265,Constants!$B$18,V265:X265,"&gt;=0")&gt;0),AND(NOT(R265),COUNTIFS(U265:W265,Constants!$B$19,V265:X265,"&gt;=0")&gt;0)),Constants!$B$12,Constants!$B$11)))</f>
        <v/>
      </c>
      <c r="AB265" s="97" t="str">
        <f aca="false">IF($Z265=Constants!$B$7,IF(V265="",Constants!$B$13,V265),"")</f>
        <v/>
      </c>
      <c r="AC265" s="97" t="str">
        <f aca="false">IF($Z265=Constants!$B$7,IF(X265="",Constants!$B$13,X265),"")</f>
        <v/>
      </c>
      <c r="AD265" s="97" t="str">
        <f aca="false">IF($Z265=Constants!$B$7,IF($AB265&gt;=$AC265,1,2),"")</f>
        <v/>
      </c>
      <c r="AE265" s="97" t="str">
        <f aca="false">IF($Z265=Constants!$B$7,LARGE(AB265:AC265,1),"")</f>
        <v/>
      </c>
      <c r="AF265" s="97" t="str">
        <f aca="false">IF(ISBLANK($C265),"",IF($Z265&lt;&gt;Constants!$B$7,$Z265,AE265*S265))</f>
        <v/>
      </c>
      <c r="AG265" s="97" t="str">
        <f aca="false">IF(ISBLANK($C265),"",IF($Z265=Constants!$B$7,IF(ISNUMBER(AF265),RANK(AF265,$AF$8:$AF$507),Constants!$B$14),$Z265))</f>
        <v/>
      </c>
      <c r="AH265" s="97" t="str">
        <f aca="false">IF(ISBLANK($C265),"",IF($Z265=Constants!$B$7,IF(ISNUMBER(AG265),COUNTIFS($AA$8:$AA$507,"&lt;"&amp;$AA265)+COUNTIFS($AA$8:$AA$507,$AA265,$AG$8:$AG$507,"&lt;"&amp;$AG265)+1,Constants!$B$14),$Z265))</f>
        <v/>
      </c>
      <c r="AI265" s="97" t="str">
        <f aca="false">IF(ISBLANK($C265),"",IF($Z265=Constants!$B$7,LARGE(AB265:AC265,2)*S265,""))</f>
        <v/>
      </c>
      <c r="AJ265" s="97" t="str">
        <f aca="false">IF(ISBLANK($C265),"",IF($Z265=Constants!$B$7,RANK(AI265,$AI$8:$AI$507),$Z265))</f>
        <v/>
      </c>
      <c r="AK265" s="97" t="str">
        <f aca="false">IF(ISBLANK($C265),"",IF($Z265=Constants!$B$7,IF(ISNUMBER(AG265),COUNTIFS($AA$8:$AA$507,"&lt;"&amp;$AA265)+COUNTIFS($AA$8:$AA$507,$AA265,$AG$8:$AG$507,"&lt;"&amp;$AG265)+COUNTIFS($AA$8:$AA$507,$AA265,$AG$8:$AG$507,$AG265,$AJ$8:$AJ$507,"&lt;"&amp;$AJ265)+1,Constants!$B$14),$Z265))</f>
        <v/>
      </c>
      <c r="AL265" s="97" t="str">
        <f aca="false">IF(ISBLANK($C265),"",IF($Z265=Constants!$B$7,IF(ISNUMBER(AH265),AH265-AK265,Constants!$B$14),$Z265))</f>
        <v/>
      </c>
      <c r="AM265" s="98"/>
      <c r="AN265" s="99" t="str">
        <f aca="false">IF(ISBLANK($C265),"",IF($Z265&lt;&gt;Constants!$B$7,$Z265,AD265))</f>
        <v/>
      </c>
      <c r="AO265" s="100" t="str">
        <f aca="false">IF(ISBLANK($C265),"",IF($Z265&lt;&gt;Constants!$B$7,$Z265,S265))</f>
        <v/>
      </c>
      <c r="AP265" s="101" t="str">
        <f aca="false">IF(ISBLANK($C265),"",IF($Z265&lt;&gt;Constants!$B$7,$Z265,AF265))</f>
        <v/>
      </c>
      <c r="AQ265" s="102" t="str">
        <f aca="false">IF(ISBLANK($C265),"",IF($Z265&lt;&gt;Constants!$B$7,$Z265,AA265))</f>
        <v/>
      </c>
      <c r="AR265" s="100" t="str">
        <f aca="false">IF(ISBLANK($C265),"",AL265)</f>
        <v/>
      </c>
      <c r="AS265" s="100" t="str">
        <f aca="false">IF(ISBLANK($C265),"",AK265)</f>
        <v/>
      </c>
      <c r="AT265" s="103" t="str">
        <f aca="false">IF(ISBLANK($C265),"",IF(AS265=Constants!$B$4,COUNTA($C$8:$C$507)+2,IF(AS265=Constants!$B$5,COUNTA($C$8:$C$507)+1,IF(AS265=Constants!$B$6,COUNTA($C$8:$C$507),AS265))))</f>
        <v/>
      </c>
      <c r="AU265" s="5"/>
      <c r="AV265" s="104" t="n">
        <f aca="false">IF(OR(ISNUMBER(AS265),AS265=Constants!$B$4,AS265=Constants!$B$6,AS265=Constants!$B$5),1,0)</f>
        <v>0</v>
      </c>
      <c r="AW265" s="104" t="n">
        <v>258</v>
      </c>
      <c r="AX265" s="104" t="str">
        <f aca="false">IF(ISBLANK($C265),"",IF(ISNUMBER(AT265),AT265+ROW($B265)/1000,""))</f>
        <v/>
      </c>
      <c r="AY265" s="104" t="str">
        <f aca="false">IF(ISNUMBER(AX265),RANK(AX265,$AX$8:$AX$507,1),"")</f>
        <v/>
      </c>
      <c r="AZ265" s="104" t="str">
        <f aca="false">IF(ISBLANK($C265),"",$B265)</f>
        <v/>
      </c>
      <c r="BA265" s="104" t="str">
        <f aca="false">IF(ISBLANK($C265),"",$C265)</f>
        <v/>
      </c>
      <c r="BB265" s="104" t="str">
        <f aca="false">IF(ISBLANK($C265),"",$D265)</f>
        <v/>
      </c>
      <c r="BC265" s="105" t="str">
        <f aca="false">AQ265</f>
        <v/>
      </c>
      <c r="BD265" s="106" t="str">
        <f aca="false">AP265</f>
        <v/>
      </c>
      <c r="BE265" s="104" t="str">
        <f aca="false">IF(ISBLANK($C265),"",AS265)</f>
        <v/>
      </c>
      <c r="BF265" s="107" t="str">
        <f aca="false">IF($AW265&gt;$AV$7,"",VLOOKUP($AW265,$AY$8:$BE$507,7,FALSE()))</f>
        <v/>
      </c>
      <c r="BG265" s="108" t="str">
        <f aca="false">IF($AW265&gt;$AV$7,"",VLOOKUP($AW265,$AY$8:$BE$507,2,FALSE()))</f>
        <v/>
      </c>
      <c r="BH265" s="108" t="str">
        <f aca="false">IF($AW265&gt;$AV$7,"",VLOOKUP($AW265,$AY$8:$BE$507,3,FALSE()))</f>
        <v/>
      </c>
      <c r="BI265" s="108" t="str">
        <f aca="false">IF($AW265&gt;$AV$7,"",VLOOKUP($AW265,$AY$8:$BE$507,4,FALSE()))</f>
        <v/>
      </c>
      <c r="BJ265" s="108" t="str">
        <f aca="false">IF($AW265&gt;$AV$7,"",VLOOKUP($AW265,$AY$8:$BE$507,5,FALSE()))</f>
        <v/>
      </c>
      <c r="BK265" s="109" t="str">
        <f aca="false">IF($AW265&gt;$AV$7,"",VLOOKUP($AW265,$AY$8:$BE$507,6,FALSE()))</f>
        <v/>
      </c>
      <c r="BL265" s="50"/>
    </row>
    <row r="266" customFormat="false" ht="15.75" hidden="false" customHeight="false" outlineLevel="0" collapsed="false">
      <c r="A266" s="5"/>
      <c r="B266" s="131"/>
      <c r="C266" s="52"/>
      <c r="D266" s="53"/>
      <c r="E266" s="80"/>
      <c r="F266" s="132"/>
      <c r="G266" s="56"/>
      <c r="H266" s="133"/>
      <c r="I266" s="134"/>
      <c r="J266" s="59"/>
      <c r="K266" s="60"/>
      <c r="L266" s="134"/>
      <c r="M266" s="61"/>
      <c r="N266" s="62"/>
      <c r="O266" s="80"/>
      <c r="P266" s="64"/>
      <c r="Q266" s="65" t="str">
        <f aca="false">IF(ISBLANK($C266),"",IF(E266=Constants!$B$2, TRUE(), IF(E266=Constants!$B$3, FALSE(), TRUE())))</f>
        <v/>
      </c>
      <c r="R266" s="65" t="str">
        <f aca="false">IF(ISBLANK($C266),"",IF(F266=Constants!$B$2, TRUE(), IF(F266=Constants!$B$3, FALSE(), TRUE())))</f>
        <v/>
      </c>
      <c r="S266" s="65" t="str">
        <f aca="false">IF(ISBLANK($C266),"",IF(G266=Constants!$B$15,Constants!$B$8,IF(G266=Constants!$B$16,Constants!$B$9,Constants!$B$10)))</f>
        <v/>
      </c>
      <c r="T266" s="65" t="str">
        <f aca="false">IF(ISBLANK($C266),"",IF(H266=Constants!$B$2, TRUE(), IF(H266=Constants!$B$3, FALSE(), TRUE())))</f>
        <v/>
      </c>
      <c r="U266" s="65" t="str">
        <f aca="false">IF(ISBLANK($C266),"",IF(I266=Constants!$B$19,Constants!$B$19,Constants!$B$18))</f>
        <v/>
      </c>
      <c r="V266" s="65" t="str">
        <f aca="false">IF(ISBLANK($C266),"",IF(COUNTA(J266:K266)=0,"",IF(AND(OR(ISBLANK(J266),AND(ISNUMBER(J266),J266&gt;=0)),OR(ISBLANK(K266),AND(ISNUMBER(K266),K266&gt;=0))),60*IF(ISBLANK(J266),0,J266)+IF(ISBLANK(K266),0,K266),"")))</f>
        <v/>
      </c>
      <c r="W266" s="65" t="str">
        <f aca="false">IF(ISBLANK($C266),"",IF(L266=Constants!$B$19,Constants!$B$19,Constants!$B$18))</f>
        <v/>
      </c>
      <c r="X266" s="65" t="str">
        <f aca="false">IF(ISBLANK($C266),"",IF(COUNTA(M266:N266)=0,"",IF(AND(OR(ISBLANK(M266),AND(ISNUMBER(M266),M266&gt;=0)),OR(ISBLANK(N266),AND(ISNUMBER(N266),N266&gt;=0))),60*IF(ISBLANK(M266),0,M266)+IF(ISBLANK(N266),0,N266),"")))</f>
        <v/>
      </c>
      <c r="Y266" s="65" t="str">
        <f aca="false">IF(ISBLANK($C266),"",IF(O266=Constants!$B$2, TRUE(), IF(O266=Constants!$B$3, FALSE(), FALSE())))</f>
        <v/>
      </c>
      <c r="Z266" s="65" t="str">
        <f aca="false">IF(ISBLANK($C266),"",IF(Y266,Constants!$B$4,IF(COUNTA(E266:N266)=0,Constants!$B$5,IF(COUNTA(J266:K266,M266:N266)=0,Constants!$B$6,Constants!$B$7))))</f>
        <v/>
      </c>
      <c r="AA266" s="65" t="str">
        <f aca="false">IF(ISBLANK($C266),"",IF($Z266&lt;&gt;Constants!$B$7,$Z266,IF(OR(NOT(T266),AND(NOT(Q266),COUNTIFS(U266:W266,Constants!$B$18,V266:X266,"&gt;=0")&gt;0),AND(NOT(R266),COUNTIFS(U266:W266,Constants!$B$19,V266:X266,"&gt;=0")&gt;0)),Constants!$B$12,Constants!$B$11)))</f>
        <v/>
      </c>
      <c r="AB266" s="65" t="str">
        <f aca="false">IF($Z266=Constants!$B$7,IF(V266="",Constants!$B$13,V266),"")</f>
        <v/>
      </c>
      <c r="AC266" s="65" t="str">
        <f aca="false">IF($Z266=Constants!$B$7,IF(X266="",Constants!$B$13,X266),"")</f>
        <v/>
      </c>
      <c r="AD266" s="65" t="str">
        <f aca="false">IF($Z266=Constants!$B$7,IF($AB266&gt;=$AC266,1,2),"")</f>
        <v/>
      </c>
      <c r="AE266" s="65" t="str">
        <f aca="false">IF($Z266=Constants!$B$7,LARGE(AB266:AC266,1),"")</f>
        <v/>
      </c>
      <c r="AF266" s="65" t="str">
        <f aca="false">IF(ISBLANK($C266),"",IF($Z266&lt;&gt;Constants!$B$7,$Z266,AE266*S266))</f>
        <v/>
      </c>
      <c r="AG266" s="65" t="str">
        <f aca="false">IF(ISBLANK($C266),"",IF($Z266=Constants!$B$7,IF(ISNUMBER(AF266),RANK(AF266,$AF$8:$AF$507),Constants!$B$14),$Z266))</f>
        <v/>
      </c>
      <c r="AH266" s="65" t="str">
        <f aca="false">IF(ISBLANK($C266),"",IF($Z266=Constants!$B$7,IF(ISNUMBER(AG266),COUNTIFS($AA$8:$AA$507,"&lt;"&amp;$AA266)+COUNTIFS($AA$8:$AA$507,$AA266,$AG$8:$AG$507,"&lt;"&amp;$AG266)+1,Constants!$B$14),$Z266))</f>
        <v/>
      </c>
      <c r="AI266" s="65" t="str">
        <f aca="false">IF(ISBLANK($C266),"",IF($Z266=Constants!$B$7,LARGE(AB266:AC266,2)*S266,""))</f>
        <v/>
      </c>
      <c r="AJ266" s="65" t="str">
        <f aca="false">IF(ISBLANK($C266),"",IF($Z266=Constants!$B$7,RANK(AI266,$AI$8:$AI$507),$Z266))</f>
        <v/>
      </c>
      <c r="AK266" s="65" t="str">
        <f aca="false">IF(ISBLANK($C266),"",IF($Z266=Constants!$B$7,IF(ISNUMBER(AG266),COUNTIFS($AA$8:$AA$507,"&lt;"&amp;$AA266)+COUNTIFS($AA$8:$AA$507,$AA266,$AG$8:$AG$507,"&lt;"&amp;$AG266)+COUNTIFS($AA$8:$AA$507,$AA266,$AG$8:$AG$507,$AG266,$AJ$8:$AJ$507,"&lt;"&amp;$AJ266)+1,Constants!$B$14),$Z266))</f>
        <v/>
      </c>
      <c r="AL266" s="65" t="str">
        <f aca="false">IF(ISBLANK($C266),"",IF($Z266=Constants!$B$7,IF(ISNUMBER(AH266),AH266-AK266,Constants!$B$14),$Z266))</f>
        <v/>
      </c>
      <c r="AM266" s="67"/>
      <c r="AN266" s="68" t="str">
        <f aca="false">IF(ISBLANK($C266),"",IF($Z266&lt;&gt;Constants!$B$7,$Z266,AD266))</f>
        <v/>
      </c>
      <c r="AO266" s="69" t="str">
        <f aca="false">IF(ISBLANK($C266),"",IF($Z266&lt;&gt;Constants!$B$7,$Z266,S266))</f>
        <v/>
      </c>
      <c r="AP266" s="70" t="str">
        <f aca="false">IF(ISBLANK($C266),"",IF($Z266&lt;&gt;Constants!$B$7,$Z266,AF266))</f>
        <v/>
      </c>
      <c r="AQ266" s="71" t="str">
        <f aca="false">IF(ISBLANK($C266),"",IF($Z266&lt;&gt;Constants!$B$7,$Z266,AA266))</f>
        <v/>
      </c>
      <c r="AR266" s="69" t="str">
        <f aca="false">IF(ISBLANK($C266),"",AL266)</f>
        <v/>
      </c>
      <c r="AS266" s="69" t="str">
        <f aca="false">IF(ISBLANK($C266),"",AK266)</f>
        <v/>
      </c>
      <c r="AT266" s="72" t="str">
        <f aca="false">IF(ISBLANK($C266),"",IF(AS266=Constants!$B$4,COUNTA($C$8:$C$507)+2,IF(AS266=Constants!$B$5,COUNTA($C$8:$C$507)+1,IF(AS266=Constants!$B$6,COUNTA($C$8:$C$507),AS266))))</f>
        <v/>
      </c>
      <c r="AU266" s="5"/>
      <c r="AV266" s="73" t="n">
        <f aca="false">IF(OR(ISNUMBER(AS266),AS266=Constants!$B$4,AS266=Constants!$B$6,AS266=Constants!$B$5),1,0)</f>
        <v>0</v>
      </c>
      <c r="AW266" s="73" t="n">
        <v>259</v>
      </c>
      <c r="AX266" s="73" t="str">
        <f aca="false">IF(ISBLANK($C266),"",IF(ISNUMBER(AT266),AT266+ROW($B266)/1000,""))</f>
        <v/>
      </c>
      <c r="AY266" s="73" t="str">
        <f aca="false">IF(ISNUMBER(AX266),RANK(AX266,$AX$8:$AX$507,1),"")</f>
        <v/>
      </c>
      <c r="AZ266" s="73" t="str">
        <f aca="false">IF(ISBLANK($C266),"",$B266)</f>
        <v/>
      </c>
      <c r="BA266" s="73" t="str">
        <f aca="false">IF(ISBLANK($C266),"",$C266)</f>
        <v/>
      </c>
      <c r="BB266" s="73" t="str">
        <f aca="false">IF(ISBLANK($C266),"",$D266)</f>
        <v/>
      </c>
      <c r="BC266" s="74" t="str">
        <f aca="false">AQ266</f>
        <v/>
      </c>
      <c r="BD266" s="75" t="str">
        <f aca="false">AP266</f>
        <v/>
      </c>
      <c r="BE266" s="73" t="str">
        <f aca="false">IF(ISBLANK($C266),"",AS266)</f>
        <v/>
      </c>
      <c r="BF266" s="76" t="str">
        <f aca="false">IF($AW266&gt;$AV$7,"",VLOOKUP($AW266,$AY$8:$BE$507,7,FALSE()))</f>
        <v/>
      </c>
      <c r="BG266" s="77" t="str">
        <f aca="false">IF($AW266&gt;$AV$7,"",VLOOKUP($AW266,$AY$8:$BE$507,2,FALSE()))</f>
        <v/>
      </c>
      <c r="BH266" s="77" t="str">
        <f aca="false">IF($AW266&gt;$AV$7,"",VLOOKUP($AW266,$AY$8:$BE$507,3,FALSE()))</f>
        <v/>
      </c>
      <c r="BI266" s="77" t="str">
        <f aca="false">IF($AW266&gt;$AV$7,"",VLOOKUP($AW266,$AY$8:$BE$507,4,FALSE()))</f>
        <v/>
      </c>
      <c r="BJ266" s="77" t="str">
        <f aca="false">IF($AW266&gt;$AV$7,"",VLOOKUP($AW266,$AY$8:$BE$507,5,FALSE()))</f>
        <v/>
      </c>
      <c r="BK266" s="78" t="str">
        <f aca="false">IF($AW266&gt;$AV$7,"",VLOOKUP($AW266,$AY$8:$BE$507,6,FALSE()))</f>
        <v/>
      </c>
      <c r="BL266" s="50"/>
    </row>
    <row r="267" customFormat="false" ht="15.75" hidden="false" customHeight="false" outlineLevel="0" collapsed="false">
      <c r="A267" s="5"/>
      <c r="B267" s="131"/>
      <c r="C267" s="52"/>
      <c r="D267" s="53"/>
      <c r="E267" s="80"/>
      <c r="F267" s="132"/>
      <c r="G267" s="56"/>
      <c r="H267" s="133"/>
      <c r="I267" s="134"/>
      <c r="J267" s="59"/>
      <c r="K267" s="60"/>
      <c r="L267" s="134"/>
      <c r="M267" s="61"/>
      <c r="N267" s="62"/>
      <c r="O267" s="80"/>
      <c r="P267" s="64"/>
      <c r="Q267" s="65" t="str">
        <f aca="false">IF(ISBLANK($C267),"",IF(E267=Constants!$B$2, TRUE(), IF(E267=Constants!$B$3, FALSE(), TRUE())))</f>
        <v/>
      </c>
      <c r="R267" s="65" t="str">
        <f aca="false">IF(ISBLANK($C267),"",IF(F267=Constants!$B$2, TRUE(), IF(F267=Constants!$B$3, FALSE(), TRUE())))</f>
        <v/>
      </c>
      <c r="S267" s="65" t="str">
        <f aca="false">IF(ISBLANK($C267),"",IF(G267=Constants!$B$15,Constants!$B$8,IF(G267=Constants!$B$16,Constants!$B$9,Constants!$B$10)))</f>
        <v/>
      </c>
      <c r="T267" s="65" t="str">
        <f aca="false">IF(ISBLANK($C267),"",IF(H267=Constants!$B$2, TRUE(), IF(H267=Constants!$B$3, FALSE(), TRUE())))</f>
        <v/>
      </c>
      <c r="U267" s="65" t="str">
        <f aca="false">IF(ISBLANK($C267),"",IF(I267=Constants!$B$19,Constants!$B$19,Constants!$B$18))</f>
        <v/>
      </c>
      <c r="V267" s="65" t="str">
        <f aca="false">IF(ISBLANK($C267),"",IF(COUNTA(J267:K267)=0,"",IF(AND(OR(ISBLANK(J267),AND(ISNUMBER(J267),J267&gt;=0)),OR(ISBLANK(K267),AND(ISNUMBER(K267),K267&gt;=0))),60*IF(ISBLANK(J267),0,J267)+IF(ISBLANK(K267),0,K267),"")))</f>
        <v/>
      </c>
      <c r="W267" s="65" t="str">
        <f aca="false">IF(ISBLANK($C267),"",IF(L267=Constants!$B$19,Constants!$B$19,Constants!$B$18))</f>
        <v/>
      </c>
      <c r="X267" s="65" t="str">
        <f aca="false">IF(ISBLANK($C267),"",IF(COUNTA(M267:N267)=0,"",IF(AND(OR(ISBLANK(M267),AND(ISNUMBER(M267),M267&gt;=0)),OR(ISBLANK(N267),AND(ISNUMBER(N267),N267&gt;=0))),60*IF(ISBLANK(M267),0,M267)+IF(ISBLANK(N267),0,N267),"")))</f>
        <v/>
      </c>
      <c r="Y267" s="65" t="str">
        <f aca="false">IF(ISBLANK($C267),"",IF(O267=Constants!$B$2, TRUE(), IF(O267=Constants!$B$3, FALSE(), FALSE())))</f>
        <v/>
      </c>
      <c r="Z267" s="65" t="str">
        <f aca="false">IF(ISBLANK($C267),"",IF(Y267,Constants!$B$4,IF(COUNTA(E267:N267)=0,Constants!$B$5,IF(COUNTA(J267:K267,M267:N267)=0,Constants!$B$6,Constants!$B$7))))</f>
        <v/>
      </c>
      <c r="AA267" s="65" t="str">
        <f aca="false">IF(ISBLANK($C267),"",IF($Z267&lt;&gt;Constants!$B$7,$Z267,IF(OR(NOT(T267),AND(NOT(Q267),COUNTIFS(U267:W267,Constants!$B$18,V267:X267,"&gt;=0")&gt;0),AND(NOT(R267),COUNTIFS(U267:W267,Constants!$B$19,V267:X267,"&gt;=0")&gt;0)),Constants!$B$12,Constants!$B$11)))</f>
        <v/>
      </c>
      <c r="AB267" s="65" t="str">
        <f aca="false">IF($Z267=Constants!$B$7,IF(V267="",Constants!$B$13,V267),"")</f>
        <v/>
      </c>
      <c r="AC267" s="65" t="str">
        <f aca="false">IF($Z267=Constants!$B$7,IF(X267="",Constants!$B$13,X267),"")</f>
        <v/>
      </c>
      <c r="AD267" s="65" t="str">
        <f aca="false">IF($Z267=Constants!$B$7,IF($AB267&gt;=$AC267,1,2),"")</f>
        <v/>
      </c>
      <c r="AE267" s="65" t="str">
        <f aca="false">IF($Z267=Constants!$B$7,LARGE(AB267:AC267,1),"")</f>
        <v/>
      </c>
      <c r="AF267" s="65" t="str">
        <f aca="false">IF(ISBLANK($C267),"",IF($Z267&lt;&gt;Constants!$B$7,$Z267,AE267*S267))</f>
        <v/>
      </c>
      <c r="AG267" s="65" t="str">
        <f aca="false">IF(ISBLANK($C267),"",IF($Z267=Constants!$B$7,IF(ISNUMBER(AF267),RANK(AF267,$AF$8:$AF$507),Constants!$B$14),$Z267))</f>
        <v/>
      </c>
      <c r="AH267" s="65" t="str">
        <f aca="false">IF(ISBLANK($C267),"",IF($Z267=Constants!$B$7,IF(ISNUMBER(AG267),COUNTIFS($AA$8:$AA$507,"&lt;"&amp;$AA267)+COUNTIFS($AA$8:$AA$507,$AA267,$AG$8:$AG$507,"&lt;"&amp;$AG267)+1,Constants!$B$14),$Z267))</f>
        <v/>
      </c>
      <c r="AI267" s="65" t="str">
        <f aca="false">IF(ISBLANK($C267),"",IF($Z267=Constants!$B$7,LARGE(AB267:AC267,2)*S267,""))</f>
        <v/>
      </c>
      <c r="AJ267" s="65" t="str">
        <f aca="false">IF(ISBLANK($C267),"",IF($Z267=Constants!$B$7,RANK(AI267,$AI$8:$AI$507),$Z267))</f>
        <v/>
      </c>
      <c r="AK267" s="65" t="str">
        <f aca="false">IF(ISBLANK($C267),"",IF($Z267=Constants!$B$7,IF(ISNUMBER(AG267),COUNTIFS($AA$8:$AA$507,"&lt;"&amp;$AA267)+COUNTIFS($AA$8:$AA$507,$AA267,$AG$8:$AG$507,"&lt;"&amp;$AG267)+COUNTIFS($AA$8:$AA$507,$AA267,$AG$8:$AG$507,$AG267,$AJ$8:$AJ$507,"&lt;"&amp;$AJ267)+1,Constants!$B$14),$Z267))</f>
        <v/>
      </c>
      <c r="AL267" s="65" t="str">
        <f aca="false">IF(ISBLANK($C267),"",IF($Z267=Constants!$B$7,IF(ISNUMBER(AH267),AH267-AK267,Constants!$B$14),$Z267))</f>
        <v/>
      </c>
      <c r="AM267" s="67"/>
      <c r="AN267" s="68" t="str">
        <f aca="false">IF(ISBLANK($C267),"",IF($Z267&lt;&gt;Constants!$B$7,$Z267,AD267))</f>
        <v/>
      </c>
      <c r="AO267" s="69" t="str">
        <f aca="false">IF(ISBLANK($C267),"",IF($Z267&lt;&gt;Constants!$B$7,$Z267,S267))</f>
        <v/>
      </c>
      <c r="AP267" s="70" t="str">
        <f aca="false">IF(ISBLANK($C267),"",IF($Z267&lt;&gt;Constants!$B$7,$Z267,AF267))</f>
        <v/>
      </c>
      <c r="AQ267" s="71" t="str">
        <f aca="false">IF(ISBLANK($C267),"",IF($Z267&lt;&gt;Constants!$B$7,$Z267,AA267))</f>
        <v/>
      </c>
      <c r="AR267" s="69" t="str">
        <f aca="false">IF(ISBLANK($C267),"",AL267)</f>
        <v/>
      </c>
      <c r="AS267" s="69" t="str">
        <f aca="false">IF(ISBLANK($C267),"",AK267)</f>
        <v/>
      </c>
      <c r="AT267" s="72" t="str">
        <f aca="false">IF(ISBLANK($C267),"",IF(AS267=Constants!$B$4,COUNTA($C$8:$C$507)+2,IF(AS267=Constants!$B$5,COUNTA($C$8:$C$507)+1,IF(AS267=Constants!$B$6,COUNTA($C$8:$C$507),AS267))))</f>
        <v/>
      </c>
      <c r="AU267" s="5"/>
      <c r="AV267" s="73" t="n">
        <f aca="false">IF(OR(ISNUMBER(AS267),AS267=Constants!$B$4,AS267=Constants!$B$6,AS267=Constants!$B$5),1,0)</f>
        <v>0</v>
      </c>
      <c r="AW267" s="73" t="n">
        <v>260</v>
      </c>
      <c r="AX267" s="73" t="str">
        <f aca="false">IF(ISBLANK($C267),"",IF(ISNUMBER(AT267),AT267+ROW($B267)/1000,""))</f>
        <v/>
      </c>
      <c r="AY267" s="73" t="str">
        <f aca="false">IF(ISNUMBER(AX267),RANK(AX267,$AX$8:$AX$507,1),"")</f>
        <v/>
      </c>
      <c r="AZ267" s="73" t="str">
        <f aca="false">IF(ISBLANK($C267),"",$B267)</f>
        <v/>
      </c>
      <c r="BA267" s="73" t="str">
        <f aca="false">IF(ISBLANK($C267),"",$C267)</f>
        <v/>
      </c>
      <c r="BB267" s="73" t="str">
        <f aca="false">IF(ISBLANK($C267),"",$D267)</f>
        <v/>
      </c>
      <c r="BC267" s="74" t="str">
        <f aca="false">AQ267</f>
        <v/>
      </c>
      <c r="BD267" s="75" t="str">
        <f aca="false">AP267</f>
        <v/>
      </c>
      <c r="BE267" s="73" t="str">
        <f aca="false">IF(ISBLANK($C267),"",AS267)</f>
        <v/>
      </c>
      <c r="BF267" s="76" t="str">
        <f aca="false">IF($AW267&gt;$AV$7,"",VLOOKUP($AW267,$AY$8:$BE$507,7,FALSE()))</f>
        <v/>
      </c>
      <c r="BG267" s="77" t="str">
        <f aca="false">IF($AW267&gt;$AV$7,"",VLOOKUP($AW267,$AY$8:$BE$507,2,FALSE()))</f>
        <v/>
      </c>
      <c r="BH267" s="77" t="str">
        <f aca="false">IF($AW267&gt;$AV$7,"",VLOOKUP($AW267,$AY$8:$BE$507,3,FALSE()))</f>
        <v/>
      </c>
      <c r="BI267" s="77" t="str">
        <f aca="false">IF($AW267&gt;$AV$7,"",VLOOKUP($AW267,$AY$8:$BE$507,4,FALSE()))</f>
        <v/>
      </c>
      <c r="BJ267" s="77" t="str">
        <f aca="false">IF($AW267&gt;$AV$7,"",VLOOKUP($AW267,$AY$8:$BE$507,5,FALSE()))</f>
        <v/>
      </c>
      <c r="BK267" s="78" t="str">
        <f aca="false">IF($AW267&gt;$AV$7,"",VLOOKUP($AW267,$AY$8:$BE$507,6,FALSE()))</f>
        <v/>
      </c>
      <c r="BL267" s="50"/>
    </row>
    <row r="268" customFormat="false" ht="15.75" hidden="false" customHeight="false" outlineLevel="0" collapsed="false">
      <c r="A268" s="5"/>
      <c r="B268" s="131"/>
      <c r="C268" s="52"/>
      <c r="D268" s="53"/>
      <c r="E268" s="80"/>
      <c r="F268" s="132"/>
      <c r="G268" s="56"/>
      <c r="H268" s="133"/>
      <c r="I268" s="134"/>
      <c r="J268" s="59"/>
      <c r="K268" s="60"/>
      <c r="L268" s="134"/>
      <c r="M268" s="61"/>
      <c r="N268" s="62"/>
      <c r="O268" s="80"/>
      <c r="P268" s="64"/>
      <c r="Q268" s="65" t="str">
        <f aca="false">IF(ISBLANK($C268),"",IF(E268=Constants!$B$2, TRUE(), IF(E268=Constants!$B$3, FALSE(), TRUE())))</f>
        <v/>
      </c>
      <c r="R268" s="65" t="str">
        <f aca="false">IF(ISBLANK($C268),"",IF(F268=Constants!$B$2, TRUE(), IF(F268=Constants!$B$3, FALSE(), TRUE())))</f>
        <v/>
      </c>
      <c r="S268" s="65" t="str">
        <f aca="false">IF(ISBLANK($C268),"",IF(G268=Constants!$B$15,Constants!$B$8,IF(G268=Constants!$B$16,Constants!$B$9,Constants!$B$10)))</f>
        <v/>
      </c>
      <c r="T268" s="65" t="str">
        <f aca="false">IF(ISBLANK($C268),"",IF(H268=Constants!$B$2, TRUE(), IF(H268=Constants!$B$3, FALSE(), TRUE())))</f>
        <v/>
      </c>
      <c r="U268" s="65" t="str">
        <f aca="false">IF(ISBLANK($C268),"",IF(I268=Constants!$B$19,Constants!$B$19,Constants!$B$18))</f>
        <v/>
      </c>
      <c r="V268" s="65" t="str">
        <f aca="false">IF(ISBLANK($C268),"",IF(COUNTA(J268:K268)=0,"",IF(AND(OR(ISBLANK(J268),AND(ISNUMBER(J268),J268&gt;=0)),OR(ISBLANK(K268),AND(ISNUMBER(K268),K268&gt;=0))),60*IF(ISBLANK(J268),0,J268)+IF(ISBLANK(K268),0,K268),"")))</f>
        <v/>
      </c>
      <c r="W268" s="65" t="str">
        <f aca="false">IF(ISBLANK($C268),"",IF(L268=Constants!$B$19,Constants!$B$19,Constants!$B$18))</f>
        <v/>
      </c>
      <c r="X268" s="65" t="str">
        <f aca="false">IF(ISBLANK($C268),"",IF(COUNTA(M268:N268)=0,"",IF(AND(OR(ISBLANK(M268),AND(ISNUMBER(M268),M268&gt;=0)),OR(ISBLANK(N268),AND(ISNUMBER(N268),N268&gt;=0))),60*IF(ISBLANK(M268),0,M268)+IF(ISBLANK(N268),0,N268),"")))</f>
        <v/>
      </c>
      <c r="Y268" s="65" t="str">
        <f aca="false">IF(ISBLANK($C268),"",IF(O268=Constants!$B$2, TRUE(), IF(O268=Constants!$B$3, FALSE(), FALSE())))</f>
        <v/>
      </c>
      <c r="Z268" s="65" t="str">
        <f aca="false">IF(ISBLANK($C268),"",IF(Y268,Constants!$B$4,IF(COUNTA(E268:N268)=0,Constants!$B$5,IF(COUNTA(J268:K268,M268:N268)=0,Constants!$B$6,Constants!$B$7))))</f>
        <v/>
      </c>
      <c r="AA268" s="65" t="str">
        <f aca="false">IF(ISBLANK($C268),"",IF($Z268&lt;&gt;Constants!$B$7,$Z268,IF(OR(NOT(T268),AND(NOT(Q268),COUNTIFS(U268:W268,Constants!$B$18,V268:X268,"&gt;=0")&gt;0),AND(NOT(R268),COUNTIFS(U268:W268,Constants!$B$19,V268:X268,"&gt;=0")&gt;0)),Constants!$B$12,Constants!$B$11)))</f>
        <v/>
      </c>
      <c r="AB268" s="65" t="str">
        <f aca="false">IF($Z268=Constants!$B$7,IF(V268="",Constants!$B$13,V268),"")</f>
        <v/>
      </c>
      <c r="AC268" s="65" t="str">
        <f aca="false">IF($Z268=Constants!$B$7,IF(X268="",Constants!$B$13,X268),"")</f>
        <v/>
      </c>
      <c r="AD268" s="65" t="str">
        <f aca="false">IF($Z268=Constants!$B$7,IF($AB268&gt;=$AC268,1,2),"")</f>
        <v/>
      </c>
      <c r="AE268" s="65" t="str">
        <f aca="false">IF($Z268=Constants!$B$7,LARGE(AB268:AC268,1),"")</f>
        <v/>
      </c>
      <c r="AF268" s="65" t="str">
        <f aca="false">IF(ISBLANK($C268),"",IF($Z268&lt;&gt;Constants!$B$7,$Z268,AE268*S268))</f>
        <v/>
      </c>
      <c r="AG268" s="65" t="str">
        <f aca="false">IF(ISBLANK($C268),"",IF($Z268=Constants!$B$7,IF(ISNUMBER(AF268),RANK(AF268,$AF$8:$AF$507),Constants!$B$14),$Z268))</f>
        <v/>
      </c>
      <c r="AH268" s="65" t="str">
        <f aca="false">IF(ISBLANK($C268),"",IF($Z268=Constants!$B$7,IF(ISNUMBER(AG268),COUNTIFS($AA$8:$AA$507,"&lt;"&amp;$AA268)+COUNTIFS($AA$8:$AA$507,$AA268,$AG$8:$AG$507,"&lt;"&amp;$AG268)+1,Constants!$B$14),$Z268))</f>
        <v/>
      </c>
      <c r="AI268" s="65" t="str">
        <f aca="false">IF(ISBLANK($C268),"",IF($Z268=Constants!$B$7,LARGE(AB268:AC268,2)*S268,""))</f>
        <v/>
      </c>
      <c r="AJ268" s="65" t="str">
        <f aca="false">IF(ISBLANK($C268),"",IF($Z268=Constants!$B$7,RANK(AI268,$AI$8:$AI$507),$Z268))</f>
        <v/>
      </c>
      <c r="AK268" s="65" t="str">
        <f aca="false">IF(ISBLANK($C268),"",IF($Z268=Constants!$B$7,IF(ISNUMBER(AG268),COUNTIFS($AA$8:$AA$507,"&lt;"&amp;$AA268)+COUNTIFS($AA$8:$AA$507,$AA268,$AG$8:$AG$507,"&lt;"&amp;$AG268)+COUNTIFS($AA$8:$AA$507,$AA268,$AG$8:$AG$507,$AG268,$AJ$8:$AJ$507,"&lt;"&amp;$AJ268)+1,Constants!$B$14),$Z268))</f>
        <v/>
      </c>
      <c r="AL268" s="65" t="str">
        <f aca="false">IF(ISBLANK($C268),"",IF($Z268=Constants!$B$7,IF(ISNUMBER(AH268),AH268-AK268,Constants!$B$14),$Z268))</f>
        <v/>
      </c>
      <c r="AM268" s="67"/>
      <c r="AN268" s="68" t="str">
        <f aca="false">IF(ISBLANK($C268),"",IF($Z268&lt;&gt;Constants!$B$7,$Z268,AD268))</f>
        <v/>
      </c>
      <c r="AO268" s="69" t="str">
        <f aca="false">IF(ISBLANK($C268),"",IF($Z268&lt;&gt;Constants!$B$7,$Z268,S268))</f>
        <v/>
      </c>
      <c r="AP268" s="70" t="str">
        <f aca="false">IF(ISBLANK($C268),"",IF($Z268&lt;&gt;Constants!$B$7,$Z268,AF268))</f>
        <v/>
      </c>
      <c r="AQ268" s="71" t="str">
        <f aca="false">IF(ISBLANK($C268),"",IF($Z268&lt;&gt;Constants!$B$7,$Z268,AA268))</f>
        <v/>
      </c>
      <c r="AR268" s="69" t="str">
        <f aca="false">IF(ISBLANK($C268),"",AL268)</f>
        <v/>
      </c>
      <c r="AS268" s="69" t="str">
        <f aca="false">IF(ISBLANK($C268),"",AK268)</f>
        <v/>
      </c>
      <c r="AT268" s="72" t="str">
        <f aca="false">IF(ISBLANK($C268),"",IF(AS268=Constants!$B$4,COUNTA($C$8:$C$507)+2,IF(AS268=Constants!$B$5,COUNTA($C$8:$C$507)+1,IF(AS268=Constants!$B$6,COUNTA($C$8:$C$507),AS268))))</f>
        <v/>
      </c>
      <c r="AU268" s="5"/>
      <c r="AV268" s="73" t="n">
        <f aca="false">IF(OR(ISNUMBER(AS268),AS268=Constants!$B$4,AS268=Constants!$B$6,AS268=Constants!$B$5),1,0)</f>
        <v>0</v>
      </c>
      <c r="AW268" s="73" t="n">
        <v>261</v>
      </c>
      <c r="AX268" s="73" t="str">
        <f aca="false">IF(ISBLANK($C268),"",IF(ISNUMBER(AT268),AT268+ROW($B268)/1000,""))</f>
        <v/>
      </c>
      <c r="AY268" s="73" t="str">
        <f aca="false">IF(ISNUMBER(AX268),RANK(AX268,$AX$8:$AX$507,1),"")</f>
        <v/>
      </c>
      <c r="AZ268" s="73" t="str">
        <f aca="false">IF(ISBLANK($C268),"",$B268)</f>
        <v/>
      </c>
      <c r="BA268" s="73" t="str">
        <f aca="false">IF(ISBLANK($C268),"",$C268)</f>
        <v/>
      </c>
      <c r="BB268" s="73" t="str">
        <f aca="false">IF(ISBLANK($C268),"",$D268)</f>
        <v/>
      </c>
      <c r="BC268" s="74" t="str">
        <f aca="false">AQ268</f>
        <v/>
      </c>
      <c r="BD268" s="75" t="str">
        <f aca="false">AP268</f>
        <v/>
      </c>
      <c r="BE268" s="73" t="str">
        <f aca="false">IF(ISBLANK($C268),"",AS268)</f>
        <v/>
      </c>
      <c r="BF268" s="76" t="str">
        <f aca="false">IF($AW268&gt;$AV$7,"",VLOOKUP($AW268,$AY$8:$BE$507,7,FALSE()))</f>
        <v/>
      </c>
      <c r="BG268" s="77" t="str">
        <f aca="false">IF($AW268&gt;$AV$7,"",VLOOKUP($AW268,$AY$8:$BE$507,2,FALSE()))</f>
        <v/>
      </c>
      <c r="BH268" s="77" t="str">
        <f aca="false">IF($AW268&gt;$AV$7,"",VLOOKUP($AW268,$AY$8:$BE$507,3,FALSE()))</f>
        <v/>
      </c>
      <c r="BI268" s="77" t="str">
        <f aca="false">IF($AW268&gt;$AV$7,"",VLOOKUP($AW268,$AY$8:$BE$507,4,FALSE()))</f>
        <v/>
      </c>
      <c r="BJ268" s="77" t="str">
        <f aca="false">IF($AW268&gt;$AV$7,"",VLOOKUP($AW268,$AY$8:$BE$507,5,FALSE()))</f>
        <v/>
      </c>
      <c r="BK268" s="78" t="str">
        <f aca="false">IF($AW268&gt;$AV$7,"",VLOOKUP($AW268,$AY$8:$BE$507,6,FALSE()))</f>
        <v/>
      </c>
      <c r="BL268" s="50"/>
    </row>
    <row r="269" customFormat="false" ht="15.75" hidden="false" customHeight="false" outlineLevel="0" collapsed="false">
      <c r="A269" s="5"/>
      <c r="B269" s="124"/>
      <c r="C269" s="125"/>
      <c r="D269" s="110"/>
      <c r="E269" s="130"/>
      <c r="F269" s="135"/>
      <c r="G269" s="88"/>
      <c r="H269" s="136"/>
      <c r="I269" s="137"/>
      <c r="J269" s="91"/>
      <c r="K269" s="92"/>
      <c r="L269" s="137"/>
      <c r="M269" s="93"/>
      <c r="N269" s="94"/>
      <c r="O269" s="130"/>
      <c r="P269" s="96"/>
      <c r="Q269" s="97" t="str">
        <f aca="false">IF(ISBLANK($C269),"",IF(E269=Constants!$B$2, TRUE(), IF(E269=Constants!$B$3, FALSE(), TRUE())))</f>
        <v/>
      </c>
      <c r="R269" s="97" t="str">
        <f aca="false">IF(ISBLANK($C269),"",IF(F269=Constants!$B$2, TRUE(), IF(F269=Constants!$B$3, FALSE(), TRUE())))</f>
        <v/>
      </c>
      <c r="S269" s="97" t="str">
        <f aca="false">IF(ISBLANK($C269),"",IF(G269=Constants!$B$15,Constants!$B$8,IF(G269=Constants!$B$16,Constants!$B$9,Constants!$B$10)))</f>
        <v/>
      </c>
      <c r="T269" s="97" t="str">
        <f aca="false">IF(ISBLANK($C269),"",IF(H269=Constants!$B$2, TRUE(), IF(H269=Constants!$B$3, FALSE(), TRUE())))</f>
        <v/>
      </c>
      <c r="U269" s="97" t="str">
        <f aca="false">IF(ISBLANK($C269),"",IF(I269=Constants!$B$19,Constants!$B$19,Constants!$B$18))</f>
        <v/>
      </c>
      <c r="V269" s="97" t="str">
        <f aca="false">IF(ISBLANK($C269),"",IF(COUNTA(J269:K269)=0,"",IF(AND(OR(ISBLANK(J269),AND(ISNUMBER(J269),J269&gt;=0)),OR(ISBLANK(K269),AND(ISNUMBER(K269),K269&gt;=0))),60*IF(ISBLANK(J269),0,J269)+IF(ISBLANK(K269),0,K269),"")))</f>
        <v/>
      </c>
      <c r="W269" s="97" t="str">
        <f aca="false">IF(ISBLANK($C269),"",IF(L269=Constants!$B$19,Constants!$B$19,Constants!$B$18))</f>
        <v/>
      </c>
      <c r="X269" s="97" t="str">
        <f aca="false">IF(ISBLANK($C269),"",IF(COUNTA(M269:N269)=0,"",IF(AND(OR(ISBLANK(M269),AND(ISNUMBER(M269),M269&gt;=0)),OR(ISBLANK(N269),AND(ISNUMBER(N269),N269&gt;=0))),60*IF(ISBLANK(M269),0,M269)+IF(ISBLANK(N269),0,N269),"")))</f>
        <v/>
      </c>
      <c r="Y269" s="97" t="str">
        <f aca="false">IF(ISBLANK($C269),"",IF(O269=Constants!$B$2, TRUE(), IF(O269=Constants!$B$3, FALSE(), FALSE())))</f>
        <v/>
      </c>
      <c r="Z269" s="97" t="str">
        <f aca="false">IF(ISBLANK($C269),"",IF(Y269,Constants!$B$4,IF(COUNTA(E269:N269)=0,Constants!$B$5,IF(COUNTA(J269:K269,M269:N269)=0,Constants!$B$6,Constants!$B$7))))</f>
        <v/>
      </c>
      <c r="AA269" s="97" t="str">
        <f aca="false">IF(ISBLANK($C269),"",IF($Z269&lt;&gt;Constants!$B$7,$Z269,IF(OR(NOT(T269),AND(NOT(Q269),COUNTIFS(U269:W269,Constants!$B$18,V269:X269,"&gt;=0")&gt;0),AND(NOT(R269),COUNTIFS(U269:W269,Constants!$B$19,V269:X269,"&gt;=0")&gt;0)),Constants!$B$12,Constants!$B$11)))</f>
        <v/>
      </c>
      <c r="AB269" s="97" t="str">
        <f aca="false">IF($Z269=Constants!$B$7,IF(V269="",Constants!$B$13,V269),"")</f>
        <v/>
      </c>
      <c r="AC269" s="97" t="str">
        <f aca="false">IF($Z269=Constants!$B$7,IF(X269="",Constants!$B$13,X269),"")</f>
        <v/>
      </c>
      <c r="AD269" s="97" t="str">
        <f aca="false">IF($Z269=Constants!$B$7,IF($AB269&gt;=$AC269,1,2),"")</f>
        <v/>
      </c>
      <c r="AE269" s="97" t="str">
        <f aca="false">IF($Z269=Constants!$B$7,LARGE(AB269:AC269,1),"")</f>
        <v/>
      </c>
      <c r="AF269" s="97" t="str">
        <f aca="false">IF(ISBLANK($C269),"",IF($Z269&lt;&gt;Constants!$B$7,$Z269,AE269*S269))</f>
        <v/>
      </c>
      <c r="AG269" s="97" t="str">
        <f aca="false">IF(ISBLANK($C269),"",IF($Z269=Constants!$B$7,IF(ISNUMBER(AF269),RANK(AF269,$AF$8:$AF$507),Constants!$B$14),$Z269))</f>
        <v/>
      </c>
      <c r="AH269" s="97" t="str">
        <f aca="false">IF(ISBLANK($C269),"",IF($Z269=Constants!$B$7,IF(ISNUMBER(AG269),COUNTIFS($AA$8:$AA$507,"&lt;"&amp;$AA269)+COUNTIFS($AA$8:$AA$507,$AA269,$AG$8:$AG$507,"&lt;"&amp;$AG269)+1,Constants!$B$14),$Z269))</f>
        <v/>
      </c>
      <c r="AI269" s="97" t="str">
        <f aca="false">IF(ISBLANK($C269),"",IF($Z269=Constants!$B$7,LARGE(AB269:AC269,2)*S269,""))</f>
        <v/>
      </c>
      <c r="AJ269" s="97" t="str">
        <f aca="false">IF(ISBLANK($C269),"",IF($Z269=Constants!$B$7,RANK(AI269,$AI$8:$AI$507),$Z269))</f>
        <v/>
      </c>
      <c r="AK269" s="97" t="str">
        <f aca="false">IF(ISBLANK($C269),"",IF($Z269=Constants!$B$7,IF(ISNUMBER(AG269),COUNTIFS($AA$8:$AA$507,"&lt;"&amp;$AA269)+COUNTIFS($AA$8:$AA$507,$AA269,$AG$8:$AG$507,"&lt;"&amp;$AG269)+COUNTIFS($AA$8:$AA$507,$AA269,$AG$8:$AG$507,$AG269,$AJ$8:$AJ$507,"&lt;"&amp;$AJ269)+1,Constants!$B$14),$Z269))</f>
        <v/>
      </c>
      <c r="AL269" s="97" t="str">
        <f aca="false">IF(ISBLANK($C269),"",IF($Z269=Constants!$B$7,IF(ISNUMBER(AH269),AH269-AK269,Constants!$B$14),$Z269))</f>
        <v/>
      </c>
      <c r="AM269" s="98"/>
      <c r="AN269" s="99" t="str">
        <f aca="false">IF(ISBLANK($C269),"",IF($Z269&lt;&gt;Constants!$B$7,$Z269,AD269))</f>
        <v/>
      </c>
      <c r="AO269" s="100" t="str">
        <f aca="false">IF(ISBLANK($C269),"",IF($Z269&lt;&gt;Constants!$B$7,$Z269,S269))</f>
        <v/>
      </c>
      <c r="AP269" s="101" t="str">
        <f aca="false">IF(ISBLANK($C269),"",IF($Z269&lt;&gt;Constants!$B$7,$Z269,AF269))</f>
        <v/>
      </c>
      <c r="AQ269" s="102" t="str">
        <f aca="false">IF(ISBLANK($C269),"",IF($Z269&lt;&gt;Constants!$B$7,$Z269,AA269))</f>
        <v/>
      </c>
      <c r="AR269" s="100" t="str">
        <f aca="false">IF(ISBLANK($C269),"",AL269)</f>
        <v/>
      </c>
      <c r="AS269" s="100" t="str">
        <f aca="false">IF(ISBLANK($C269),"",AK269)</f>
        <v/>
      </c>
      <c r="AT269" s="103" t="str">
        <f aca="false">IF(ISBLANK($C269),"",IF(AS269=Constants!$B$4,COUNTA($C$8:$C$507)+2,IF(AS269=Constants!$B$5,COUNTA($C$8:$C$507)+1,IF(AS269=Constants!$B$6,COUNTA($C$8:$C$507),AS269))))</f>
        <v/>
      </c>
      <c r="AU269" s="5"/>
      <c r="AV269" s="104" t="n">
        <f aca="false">IF(OR(ISNUMBER(AS269),AS269=Constants!$B$4,AS269=Constants!$B$6,AS269=Constants!$B$5),1,0)</f>
        <v>0</v>
      </c>
      <c r="AW269" s="104" t="n">
        <v>262</v>
      </c>
      <c r="AX269" s="104" t="str">
        <f aca="false">IF(ISBLANK($C269),"",IF(ISNUMBER(AT269),AT269+ROW($B269)/1000,""))</f>
        <v/>
      </c>
      <c r="AY269" s="104" t="str">
        <f aca="false">IF(ISNUMBER(AX269),RANK(AX269,$AX$8:$AX$507,1),"")</f>
        <v/>
      </c>
      <c r="AZ269" s="104" t="str">
        <f aca="false">IF(ISBLANK($C269),"",$B269)</f>
        <v/>
      </c>
      <c r="BA269" s="104" t="str">
        <f aca="false">IF(ISBLANK($C269),"",$C269)</f>
        <v/>
      </c>
      <c r="BB269" s="104" t="str">
        <f aca="false">IF(ISBLANK($C269),"",$D269)</f>
        <v/>
      </c>
      <c r="BC269" s="105" t="str">
        <f aca="false">AQ269</f>
        <v/>
      </c>
      <c r="BD269" s="106" t="str">
        <f aca="false">AP269</f>
        <v/>
      </c>
      <c r="BE269" s="104" t="str">
        <f aca="false">IF(ISBLANK($C269),"",AS269)</f>
        <v/>
      </c>
      <c r="BF269" s="107" t="str">
        <f aca="false">IF($AW269&gt;$AV$7,"",VLOOKUP($AW269,$AY$8:$BE$507,7,FALSE()))</f>
        <v/>
      </c>
      <c r="BG269" s="108" t="str">
        <f aca="false">IF($AW269&gt;$AV$7,"",VLOOKUP($AW269,$AY$8:$BE$507,2,FALSE()))</f>
        <v/>
      </c>
      <c r="BH269" s="108" t="str">
        <f aca="false">IF($AW269&gt;$AV$7,"",VLOOKUP($AW269,$AY$8:$BE$507,3,FALSE()))</f>
        <v/>
      </c>
      <c r="BI269" s="108" t="str">
        <f aca="false">IF($AW269&gt;$AV$7,"",VLOOKUP($AW269,$AY$8:$BE$507,4,FALSE()))</f>
        <v/>
      </c>
      <c r="BJ269" s="108" t="str">
        <f aca="false">IF($AW269&gt;$AV$7,"",VLOOKUP($AW269,$AY$8:$BE$507,5,FALSE()))</f>
        <v/>
      </c>
      <c r="BK269" s="109" t="str">
        <f aca="false">IF($AW269&gt;$AV$7,"",VLOOKUP($AW269,$AY$8:$BE$507,6,FALSE()))</f>
        <v/>
      </c>
      <c r="BL269" s="50"/>
    </row>
    <row r="270" customFormat="false" ht="15.75" hidden="false" customHeight="false" outlineLevel="0" collapsed="false">
      <c r="A270" s="5"/>
      <c r="B270" s="124"/>
      <c r="C270" s="125"/>
      <c r="D270" s="110"/>
      <c r="E270" s="130"/>
      <c r="F270" s="135"/>
      <c r="G270" s="88"/>
      <c r="H270" s="136"/>
      <c r="I270" s="137"/>
      <c r="J270" s="91"/>
      <c r="K270" s="92"/>
      <c r="L270" s="137"/>
      <c r="M270" s="93"/>
      <c r="N270" s="94"/>
      <c r="O270" s="130"/>
      <c r="P270" s="96"/>
      <c r="Q270" s="97" t="str">
        <f aca="false">IF(ISBLANK($C270),"",IF(E270=Constants!$B$2, TRUE(), IF(E270=Constants!$B$3, FALSE(), TRUE())))</f>
        <v/>
      </c>
      <c r="R270" s="97" t="str">
        <f aca="false">IF(ISBLANK($C270),"",IF(F270=Constants!$B$2, TRUE(), IF(F270=Constants!$B$3, FALSE(), TRUE())))</f>
        <v/>
      </c>
      <c r="S270" s="97" t="str">
        <f aca="false">IF(ISBLANK($C270),"",IF(G270=Constants!$B$15,Constants!$B$8,IF(G270=Constants!$B$16,Constants!$B$9,Constants!$B$10)))</f>
        <v/>
      </c>
      <c r="T270" s="97" t="str">
        <f aca="false">IF(ISBLANK($C270),"",IF(H270=Constants!$B$2, TRUE(), IF(H270=Constants!$B$3, FALSE(), TRUE())))</f>
        <v/>
      </c>
      <c r="U270" s="97" t="str">
        <f aca="false">IF(ISBLANK($C270),"",IF(I270=Constants!$B$19,Constants!$B$19,Constants!$B$18))</f>
        <v/>
      </c>
      <c r="V270" s="97" t="str">
        <f aca="false">IF(ISBLANK($C270),"",IF(COUNTA(J270:K270)=0,"",IF(AND(OR(ISBLANK(J270),AND(ISNUMBER(J270),J270&gt;=0)),OR(ISBLANK(K270),AND(ISNUMBER(K270),K270&gt;=0))),60*IF(ISBLANK(J270),0,J270)+IF(ISBLANK(K270),0,K270),"")))</f>
        <v/>
      </c>
      <c r="W270" s="97" t="str">
        <f aca="false">IF(ISBLANK($C270),"",IF(L270=Constants!$B$19,Constants!$B$19,Constants!$B$18))</f>
        <v/>
      </c>
      <c r="X270" s="97" t="str">
        <f aca="false">IF(ISBLANK($C270),"",IF(COUNTA(M270:N270)=0,"",IF(AND(OR(ISBLANK(M270),AND(ISNUMBER(M270),M270&gt;=0)),OR(ISBLANK(N270),AND(ISNUMBER(N270),N270&gt;=0))),60*IF(ISBLANK(M270),0,M270)+IF(ISBLANK(N270),0,N270),"")))</f>
        <v/>
      </c>
      <c r="Y270" s="97" t="str">
        <f aca="false">IF(ISBLANK($C270),"",IF(O270=Constants!$B$2, TRUE(), IF(O270=Constants!$B$3, FALSE(), FALSE())))</f>
        <v/>
      </c>
      <c r="Z270" s="97" t="str">
        <f aca="false">IF(ISBLANK($C270),"",IF(Y270,Constants!$B$4,IF(COUNTA(E270:N270)=0,Constants!$B$5,IF(COUNTA(J270:K270,M270:N270)=0,Constants!$B$6,Constants!$B$7))))</f>
        <v/>
      </c>
      <c r="AA270" s="97" t="str">
        <f aca="false">IF(ISBLANK($C270),"",IF($Z270&lt;&gt;Constants!$B$7,$Z270,IF(OR(NOT(T270),AND(NOT(Q270),COUNTIFS(U270:W270,Constants!$B$18,V270:X270,"&gt;=0")&gt;0),AND(NOT(R270),COUNTIFS(U270:W270,Constants!$B$19,V270:X270,"&gt;=0")&gt;0)),Constants!$B$12,Constants!$B$11)))</f>
        <v/>
      </c>
      <c r="AB270" s="97" t="str">
        <f aca="false">IF($Z270=Constants!$B$7,IF(V270="",Constants!$B$13,V270),"")</f>
        <v/>
      </c>
      <c r="AC270" s="97" t="str">
        <f aca="false">IF($Z270=Constants!$B$7,IF(X270="",Constants!$B$13,X270),"")</f>
        <v/>
      </c>
      <c r="AD270" s="97" t="str">
        <f aca="false">IF($Z270=Constants!$B$7,IF($AB270&gt;=$AC270,1,2),"")</f>
        <v/>
      </c>
      <c r="AE270" s="97" t="str">
        <f aca="false">IF($Z270=Constants!$B$7,LARGE(AB270:AC270,1),"")</f>
        <v/>
      </c>
      <c r="AF270" s="97" t="str">
        <f aca="false">IF(ISBLANK($C270),"",IF($Z270&lt;&gt;Constants!$B$7,$Z270,AE270*S270))</f>
        <v/>
      </c>
      <c r="AG270" s="97" t="str">
        <f aca="false">IF(ISBLANK($C270),"",IF($Z270=Constants!$B$7,IF(ISNUMBER(AF270),RANK(AF270,$AF$8:$AF$507),Constants!$B$14),$Z270))</f>
        <v/>
      </c>
      <c r="AH270" s="97" t="str">
        <f aca="false">IF(ISBLANK($C270),"",IF($Z270=Constants!$B$7,IF(ISNUMBER(AG270),COUNTIFS($AA$8:$AA$507,"&lt;"&amp;$AA270)+COUNTIFS($AA$8:$AA$507,$AA270,$AG$8:$AG$507,"&lt;"&amp;$AG270)+1,Constants!$B$14),$Z270))</f>
        <v/>
      </c>
      <c r="AI270" s="97" t="str">
        <f aca="false">IF(ISBLANK($C270),"",IF($Z270=Constants!$B$7,LARGE(AB270:AC270,2)*S270,""))</f>
        <v/>
      </c>
      <c r="AJ270" s="97" t="str">
        <f aca="false">IF(ISBLANK($C270),"",IF($Z270=Constants!$B$7,RANK(AI270,$AI$8:$AI$507),$Z270))</f>
        <v/>
      </c>
      <c r="AK270" s="97" t="str">
        <f aca="false">IF(ISBLANK($C270),"",IF($Z270=Constants!$B$7,IF(ISNUMBER(AG270),COUNTIFS($AA$8:$AA$507,"&lt;"&amp;$AA270)+COUNTIFS($AA$8:$AA$507,$AA270,$AG$8:$AG$507,"&lt;"&amp;$AG270)+COUNTIFS($AA$8:$AA$507,$AA270,$AG$8:$AG$507,$AG270,$AJ$8:$AJ$507,"&lt;"&amp;$AJ270)+1,Constants!$B$14),$Z270))</f>
        <v/>
      </c>
      <c r="AL270" s="97" t="str">
        <f aca="false">IF(ISBLANK($C270),"",IF($Z270=Constants!$B$7,IF(ISNUMBER(AH270),AH270-AK270,Constants!$B$14),$Z270))</f>
        <v/>
      </c>
      <c r="AM270" s="98"/>
      <c r="AN270" s="99" t="str">
        <f aca="false">IF(ISBLANK($C270),"",IF($Z270&lt;&gt;Constants!$B$7,$Z270,AD270))</f>
        <v/>
      </c>
      <c r="AO270" s="100" t="str">
        <f aca="false">IF(ISBLANK($C270),"",IF($Z270&lt;&gt;Constants!$B$7,$Z270,S270))</f>
        <v/>
      </c>
      <c r="AP270" s="101" t="str">
        <f aca="false">IF(ISBLANK($C270),"",IF($Z270&lt;&gt;Constants!$B$7,$Z270,AF270))</f>
        <v/>
      </c>
      <c r="AQ270" s="102" t="str">
        <f aca="false">IF(ISBLANK($C270),"",IF($Z270&lt;&gt;Constants!$B$7,$Z270,AA270))</f>
        <v/>
      </c>
      <c r="AR270" s="100" t="str">
        <f aca="false">IF(ISBLANK($C270),"",AL270)</f>
        <v/>
      </c>
      <c r="AS270" s="100" t="str">
        <f aca="false">IF(ISBLANK($C270),"",AK270)</f>
        <v/>
      </c>
      <c r="AT270" s="103" t="str">
        <f aca="false">IF(ISBLANK($C270),"",IF(AS270=Constants!$B$4,COUNTA($C$8:$C$507)+2,IF(AS270=Constants!$B$5,COUNTA($C$8:$C$507)+1,IF(AS270=Constants!$B$6,COUNTA($C$8:$C$507),AS270))))</f>
        <v/>
      </c>
      <c r="AU270" s="5"/>
      <c r="AV270" s="104" t="n">
        <f aca="false">IF(OR(ISNUMBER(AS270),AS270=Constants!$B$4,AS270=Constants!$B$6,AS270=Constants!$B$5),1,0)</f>
        <v>0</v>
      </c>
      <c r="AW270" s="104" t="n">
        <v>263</v>
      </c>
      <c r="AX270" s="104" t="str">
        <f aca="false">IF(ISBLANK($C270),"",IF(ISNUMBER(AT270),AT270+ROW($B270)/1000,""))</f>
        <v/>
      </c>
      <c r="AY270" s="104" t="str">
        <f aca="false">IF(ISNUMBER(AX270),RANK(AX270,$AX$8:$AX$507,1),"")</f>
        <v/>
      </c>
      <c r="AZ270" s="104" t="str">
        <f aca="false">IF(ISBLANK($C270),"",$B270)</f>
        <v/>
      </c>
      <c r="BA270" s="104" t="str">
        <f aca="false">IF(ISBLANK($C270),"",$C270)</f>
        <v/>
      </c>
      <c r="BB270" s="104" t="str">
        <f aca="false">IF(ISBLANK($C270),"",$D270)</f>
        <v/>
      </c>
      <c r="BC270" s="105" t="str">
        <f aca="false">AQ270</f>
        <v/>
      </c>
      <c r="BD270" s="106" t="str">
        <f aca="false">AP270</f>
        <v/>
      </c>
      <c r="BE270" s="104" t="str">
        <f aca="false">IF(ISBLANK($C270),"",AS270)</f>
        <v/>
      </c>
      <c r="BF270" s="107" t="str">
        <f aca="false">IF($AW270&gt;$AV$7,"",VLOOKUP($AW270,$AY$8:$BE$507,7,FALSE()))</f>
        <v/>
      </c>
      <c r="BG270" s="108" t="str">
        <f aca="false">IF($AW270&gt;$AV$7,"",VLOOKUP($AW270,$AY$8:$BE$507,2,FALSE()))</f>
        <v/>
      </c>
      <c r="BH270" s="108" t="str">
        <f aca="false">IF($AW270&gt;$AV$7,"",VLOOKUP($AW270,$AY$8:$BE$507,3,FALSE()))</f>
        <v/>
      </c>
      <c r="BI270" s="108" t="str">
        <f aca="false">IF($AW270&gt;$AV$7,"",VLOOKUP($AW270,$AY$8:$BE$507,4,FALSE()))</f>
        <v/>
      </c>
      <c r="BJ270" s="108" t="str">
        <f aca="false">IF($AW270&gt;$AV$7,"",VLOOKUP($AW270,$AY$8:$BE$507,5,FALSE()))</f>
        <v/>
      </c>
      <c r="BK270" s="109" t="str">
        <f aca="false">IF($AW270&gt;$AV$7,"",VLOOKUP($AW270,$AY$8:$BE$507,6,FALSE()))</f>
        <v/>
      </c>
      <c r="BL270" s="50"/>
    </row>
    <row r="271" customFormat="false" ht="15.75" hidden="false" customHeight="false" outlineLevel="0" collapsed="false">
      <c r="A271" s="5"/>
      <c r="B271" s="124"/>
      <c r="C271" s="125"/>
      <c r="D271" s="110"/>
      <c r="E271" s="130"/>
      <c r="F271" s="135"/>
      <c r="G271" s="88"/>
      <c r="H271" s="136"/>
      <c r="I271" s="137"/>
      <c r="J271" s="91"/>
      <c r="K271" s="92"/>
      <c r="L271" s="137"/>
      <c r="M271" s="93"/>
      <c r="N271" s="94"/>
      <c r="O271" s="130"/>
      <c r="P271" s="96"/>
      <c r="Q271" s="97" t="str">
        <f aca="false">IF(ISBLANK($C271),"",IF(E271=Constants!$B$2, TRUE(), IF(E271=Constants!$B$3, FALSE(), TRUE())))</f>
        <v/>
      </c>
      <c r="R271" s="97" t="str">
        <f aca="false">IF(ISBLANK($C271),"",IF(F271=Constants!$B$2, TRUE(), IF(F271=Constants!$B$3, FALSE(), TRUE())))</f>
        <v/>
      </c>
      <c r="S271" s="97" t="str">
        <f aca="false">IF(ISBLANK($C271),"",IF(G271=Constants!$B$15,Constants!$B$8,IF(G271=Constants!$B$16,Constants!$B$9,Constants!$B$10)))</f>
        <v/>
      </c>
      <c r="T271" s="97" t="str">
        <f aca="false">IF(ISBLANK($C271),"",IF(H271=Constants!$B$2, TRUE(), IF(H271=Constants!$B$3, FALSE(), TRUE())))</f>
        <v/>
      </c>
      <c r="U271" s="97" t="str">
        <f aca="false">IF(ISBLANK($C271),"",IF(I271=Constants!$B$19,Constants!$B$19,Constants!$B$18))</f>
        <v/>
      </c>
      <c r="V271" s="97" t="str">
        <f aca="false">IF(ISBLANK($C271),"",IF(COUNTA(J271:K271)=0,"",IF(AND(OR(ISBLANK(J271),AND(ISNUMBER(J271),J271&gt;=0)),OR(ISBLANK(K271),AND(ISNUMBER(K271),K271&gt;=0))),60*IF(ISBLANK(J271),0,J271)+IF(ISBLANK(K271),0,K271),"")))</f>
        <v/>
      </c>
      <c r="W271" s="97" t="str">
        <f aca="false">IF(ISBLANK($C271),"",IF(L271=Constants!$B$19,Constants!$B$19,Constants!$B$18))</f>
        <v/>
      </c>
      <c r="X271" s="97" t="str">
        <f aca="false">IF(ISBLANK($C271),"",IF(COUNTA(M271:N271)=0,"",IF(AND(OR(ISBLANK(M271),AND(ISNUMBER(M271),M271&gt;=0)),OR(ISBLANK(N271),AND(ISNUMBER(N271),N271&gt;=0))),60*IF(ISBLANK(M271),0,M271)+IF(ISBLANK(N271),0,N271),"")))</f>
        <v/>
      </c>
      <c r="Y271" s="97" t="str">
        <f aca="false">IF(ISBLANK($C271),"",IF(O271=Constants!$B$2, TRUE(), IF(O271=Constants!$B$3, FALSE(), FALSE())))</f>
        <v/>
      </c>
      <c r="Z271" s="97" t="str">
        <f aca="false">IF(ISBLANK($C271),"",IF(Y271,Constants!$B$4,IF(COUNTA(E271:N271)=0,Constants!$B$5,IF(COUNTA(J271:K271,M271:N271)=0,Constants!$B$6,Constants!$B$7))))</f>
        <v/>
      </c>
      <c r="AA271" s="97" t="str">
        <f aca="false">IF(ISBLANK($C271),"",IF($Z271&lt;&gt;Constants!$B$7,$Z271,IF(OR(NOT(T271),AND(NOT(Q271),COUNTIFS(U271:W271,Constants!$B$18,V271:X271,"&gt;=0")&gt;0),AND(NOT(R271),COUNTIFS(U271:W271,Constants!$B$19,V271:X271,"&gt;=0")&gt;0)),Constants!$B$12,Constants!$B$11)))</f>
        <v/>
      </c>
      <c r="AB271" s="97" t="str">
        <f aca="false">IF($Z271=Constants!$B$7,IF(V271="",Constants!$B$13,V271),"")</f>
        <v/>
      </c>
      <c r="AC271" s="97" t="str">
        <f aca="false">IF($Z271=Constants!$B$7,IF(X271="",Constants!$B$13,X271),"")</f>
        <v/>
      </c>
      <c r="AD271" s="97" t="str">
        <f aca="false">IF($Z271=Constants!$B$7,IF($AB271&gt;=$AC271,1,2),"")</f>
        <v/>
      </c>
      <c r="AE271" s="97" t="str">
        <f aca="false">IF($Z271=Constants!$B$7,LARGE(AB271:AC271,1),"")</f>
        <v/>
      </c>
      <c r="AF271" s="97" t="str">
        <f aca="false">IF(ISBLANK($C271),"",IF($Z271&lt;&gt;Constants!$B$7,$Z271,AE271*S271))</f>
        <v/>
      </c>
      <c r="AG271" s="97" t="str">
        <f aca="false">IF(ISBLANK($C271),"",IF($Z271=Constants!$B$7,IF(ISNUMBER(AF271),RANK(AF271,$AF$8:$AF$507),Constants!$B$14),$Z271))</f>
        <v/>
      </c>
      <c r="AH271" s="97" t="str">
        <f aca="false">IF(ISBLANK($C271),"",IF($Z271=Constants!$B$7,IF(ISNUMBER(AG271),COUNTIFS($AA$8:$AA$507,"&lt;"&amp;$AA271)+COUNTIFS($AA$8:$AA$507,$AA271,$AG$8:$AG$507,"&lt;"&amp;$AG271)+1,Constants!$B$14),$Z271))</f>
        <v/>
      </c>
      <c r="AI271" s="97" t="str">
        <f aca="false">IF(ISBLANK($C271),"",IF($Z271=Constants!$B$7,LARGE(AB271:AC271,2)*S271,""))</f>
        <v/>
      </c>
      <c r="AJ271" s="97" t="str">
        <f aca="false">IF(ISBLANK($C271),"",IF($Z271=Constants!$B$7,RANK(AI271,$AI$8:$AI$507),$Z271))</f>
        <v/>
      </c>
      <c r="AK271" s="97" t="str">
        <f aca="false">IF(ISBLANK($C271),"",IF($Z271=Constants!$B$7,IF(ISNUMBER(AG271),COUNTIFS($AA$8:$AA$507,"&lt;"&amp;$AA271)+COUNTIFS($AA$8:$AA$507,$AA271,$AG$8:$AG$507,"&lt;"&amp;$AG271)+COUNTIFS($AA$8:$AA$507,$AA271,$AG$8:$AG$507,$AG271,$AJ$8:$AJ$507,"&lt;"&amp;$AJ271)+1,Constants!$B$14),$Z271))</f>
        <v/>
      </c>
      <c r="AL271" s="97" t="str">
        <f aca="false">IF(ISBLANK($C271),"",IF($Z271=Constants!$B$7,IF(ISNUMBER(AH271),AH271-AK271,Constants!$B$14),$Z271))</f>
        <v/>
      </c>
      <c r="AM271" s="98"/>
      <c r="AN271" s="99" t="str">
        <f aca="false">IF(ISBLANK($C271),"",IF($Z271&lt;&gt;Constants!$B$7,$Z271,AD271))</f>
        <v/>
      </c>
      <c r="AO271" s="100" t="str">
        <f aca="false">IF(ISBLANK($C271),"",IF($Z271&lt;&gt;Constants!$B$7,$Z271,S271))</f>
        <v/>
      </c>
      <c r="AP271" s="101" t="str">
        <f aca="false">IF(ISBLANK($C271),"",IF($Z271&lt;&gt;Constants!$B$7,$Z271,AF271))</f>
        <v/>
      </c>
      <c r="AQ271" s="102" t="str">
        <f aca="false">IF(ISBLANK($C271),"",IF($Z271&lt;&gt;Constants!$B$7,$Z271,AA271))</f>
        <v/>
      </c>
      <c r="AR271" s="100" t="str">
        <f aca="false">IF(ISBLANK($C271),"",AL271)</f>
        <v/>
      </c>
      <c r="AS271" s="100" t="str">
        <f aca="false">IF(ISBLANK($C271),"",AK271)</f>
        <v/>
      </c>
      <c r="AT271" s="103" t="str">
        <f aca="false">IF(ISBLANK($C271),"",IF(AS271=Constants!$B$4,COUNTA($C$8:$C$507)+2,IF(AS271=Constants!$B$5,COUNTA($C$8:$C$507)+1,IF(AS271=Constants!$B$6,COUNTA($C$8:$C$507),AS271))))</f>
        <v/>
      </c>
      <c r="AU271" s="5"/>
      <c r="AV271" s="104" t="n">
        <f aca="false">IF(OR(ISNUMBER(AS271),AS271=Constants!$B$4,AS271=Constants!$B$6,AS271=Constants!$B$5),1,0)</f>
        <v>0</v>
      </c>
      <c r="AW271" s="104" t="n">
        <v>264</v>
      </c>
      <c r="AX271" s="104" t="str">
        <f aca="false">IF(ISBLANK($C271),"",IF(ISNUMBER(AT271),AT271+ROW($B271)/1000,""))</f>
        <v/>
      </c>
      <c r="AY271" s="104" t="str">
        <f aca="false">IF(ISNUMBER(AX271),RANK(AX271,$AX$8:$AX$507,1),"")</f>
        <v/>
      </c>
      <c r="AZ271" s="104" t="str">
        <f aca="false">IF(ISBLANK($C271),"",$B271)</f>
        <v/>
      </c>
      <c r="BA271" s="104" t="str">
        <f aca="false">IF(ISBLANK($C271),"",$C271)</f>
        <v/>
      </c>
      <c r="BB271" s="104" t="str">
        <f aca="false">IF(ISBLANK($C271),"",$D271)</f>
        <v/>
      </c>
      <c r="BC271" s="105" t="str">
        <f aca="false">AQ271</f>
        <v/>
      </c>
      <c r="BD271" s="106" t="str">
        <f aca="false">AP271</f>
        <v/>
      </c>
      <c r="BE271" s="104" t="str">
        <f aca="false">IF(ISBLANK($C271),"",AS271)</f>
        <v/>
      </c>
      <c r="BF271" s="107" t="str">
        <f aca="false">IF($AW271&gt;$AV$7,"",VLOOKUP($AW271,$AY$8:$BE$507,7,FALSE()))</f>
        <v/>
      </c>
      <c r="BG271" s="108" t="str">
        <f aca="false">IF($AW271&gt;$AV$7,"",VLOOKUP($AW271,$AY$8:$BE$507,2,FALSE()))</f>
        <v/>
      </c>
      <c r="BH271" s="108" t="str">
        <f aca="false">IF($AW271&gt;$AV$7,"",VLOOKUP($AW271,$AY$8:$BE$507,3,FALSE()))</f>
        <v/>
      </c>
      <c r="BI271" s="108" t="str">
        <f aca="false">IF($AW271&gt;$AV$7,"",VLOOKUP($AW271,$AY$8:$BE$507,4,FALSE()))</f>
        <v/>
      </c>
      <c r="BJ271" s="108" t="str">
        <f aca="false">IF($AW271&gt;$AV$7,"",VLOOKUP($AW271,$AY$8:$BE$507,5,FALSE()))</f>
        <v/>
      </c>
      <c r="BK271" s="109" t="str">
        <f aca="false">IF($AW271&gt;$AV$7,"",VLOOKUP($AW271,$AY$8:$BE$507,6,FALSE()))</f>
        <v/>
      </c>
      <c r="BL271" s="50"/>
    </row>
    <row r="272" customFormat="false" ht="15.75" hidden="false" customHeight="false" outlineLevel="0" collapsed="false">
      <c r="A272" s="5"/>
      <c r="B272" s="131"/>
      <c r="C272" s="52"/>
      <c r="D272" s="53"/>
      <c r="E272" s="80"/>
      <c r="F272" s="132"/>
      <c r="G272" s="56"/>
      <c r="H272" s="133"/>
      <c r="I272" s="134"/>
      <c r="J272" s="59"/>
      <c r="K272" s="60"/>
      <c r="L272" s="134"/>
      <c r="M272" s="61"/>
      <c r="N272" s="62"/>
      <c r="O272" s="80"/>
      <c r="P272" s="64"/>
      <c r="Q272" s="65" t="str">
        <f aca="false">IF(ISBLANK($C272),"",IF(E272=Constants!$B$2, TRUE(), IF(E272=Constants!$B$3, FALSE(), TRUE())))</f>
        <v/>
      </c>
      <c r="R272" s="65" t="str">
        <f aca="false">IF(ISBLANK($C272),"",IF(F272=Constants!$B$2, TRUE(), IF(F272=Constants!$B$3, FALSE(), TRUE())))</f>
        <v/>
      </c>
      <c r="S272" s="65" t="str">
        <f aca="false">IF(ISBLANK($C272),"",IF(G272=Constants!$B$15,Constants!$B$8,IF(G272=Constants!$B$16,Constants!$B$9,Constants!$B$10)))</f>
        <v/>
      </c>
      <c r="T272" s="65" t="str">
        <f aca="false">IF(ISBLANK($C272),"",IF(H272=Constants!$B$2, TRUE(), IF(H272=Constants!$B$3, FALSE(), TRUE())))</f>
        <v/>
      </c>
      <c r="U272" s="65" t="str">
        <f aca="false">IF(ISBLANK($C272),"",IF(I272=Constants!$B$19,Constants!$B$19,Constants!$B$18))</f>
        <v/>
      </c>
      <c r="V272" s="65" t="str">
        <f aca="false">IF(ISBLANK($C272),"",IF(COUNTA(J272:K272)=0,"",IF(AND(OR(ISBLANK(J272),AND(ISNUMBER(J272),J272&gt;=0)),OR(ISBLANK(K272),AND(ISNUMBER(K272),K272&gt;=0))),60*IF(ISBLANK(J272),0,J272)+IF(ISBLANK(K272),0,K272),"")))</f>
        <v/>
      </c>
      <c r="W272" s="65" t="str">
        <f aca="false">IF(ISBLANK($C272),"",IF(L272=Constants!$B$19,Constants!$B$19,Constants!$B$18))</f>
        <v/>
      </c>
      <c r="X272" s="65" t="str">
        <f aca="false">IF(ISBLANK($C272),"",IF(COUNTA(M272:N272)=0,"",IF(AND(OR(ISBLANK(M272),AND(ISNUMBER(M272),M272&gt;=0)),OR(ISBLANK(N272),AND(ISNUMBER(N272),N272&gt;=0))),60*IF(ISBLANK(M272),0,M272)+IF(ISBLANK(N272),0,N272),"")))</f>
        <v/>
      </c>
      <c r="Y272" s="65" t="str">
        <f aca="false">IF(ISBLANK($C272),"",IF(O272=Constants!$B$2, TRUE(), IF(O272=Constants!$B$3, FALSE(), FALSE())))</f>
        <v/>
      </c>
      <c r="Z272" s="65" t="str">
        <f aca="false">IF(ISBLANK($C272),"",IF(Y272,Constants!$B$4,IF(COUNTA(E272:N272)=0,Constants!$B$5,IF(COUNTA(J272:K272,M272:N272)=0,Constants!$B$6,Constants!$B$7))))</f>
        <v/>
      </c>
      <c r="AA272" s="65" t="str">
        <f aca="false">IF(ISBLANK($C272),"",IF($Z272&lt;&gt;Constants!$B$7,$Z272,IF(OR(NOT(T272),AND(NOT(Q272),COUNTIFS(U272:W272,Constants!$B$18,V272:X272,"&gt;=0")&gt;0),AND(NOT(R272),COUNTIFS(U272:W272,Constants!$B$19,V272:X272,"&gt;=0")&gt;0)),Constants!$B$12,Constants!$B$11)))</f>
        <v/>
      </c>
      <c r="AB272" s="65" t="str">
        <f aca="false">IF($Z272=Constants!$B$7,IF(V272="",Constants!$B$13,V272),"")</f>
        <v/>
      </c>
      <c r="AC272" s="65" t="str">
        <f aca="false">IF($Z272=Constants!$B$7,IF(X272="",Constants!$B$13,X272),"")</f>
        <v/>
      </c>
      <c r="AD272" s="65" t="str">
        <f aca="false">IF($Z272=Constants!$B$7,IF($AB272&gt;=$AC272,1,2),"")</f>
        <v/>
      </c>
      <c r="AE272" s="65" t="str">
        <f aca="false">IF($Z272=Constants!$B$7,LARGE(AB272:AC272,1),"")</f>
        <v/>
      </c>
      <c r="AF272" s="65" t="str">
        <f aca="false">IF(ISBLANK($C272),"",IF($Z272&lt;&gt;Constants!$B$7,$Z272,AE272*S272))</f>
        <v/>
      </c>
      <c r="AG272" s="65" t="str">
        <f aca="false">IF(ISBLANK($C272),"",IF($Z272=Constants!$B$7,IF(ISNUMBER(AF272),RANK(AF272,$AF$8:$AF$507),Constants!$B$14),$Z272))</f>
        <v/>
      </c>
      <c r="AH272" s="65" t="str">
        <f aca="false">IF(ISBLANK($C272),"",IF($Z272=Constants!$B$7,IF(ISNUMBER(AG272),COUNTIFS($AA$8:$AA$507,"&lt;"&amp;$AA272)+COUNTIFS($AA$8:$AA$507,$AA272,$AG$8:$AG$507,"&lt;"&amp;$AG272)+1,Constants!$B$14),$Z272))</f>
        <v/>
      </c>
      <c r="AI272" s="65" t="str">
        <f aca="false">IF(ISBLANK($C272),"",IF($Z272=Constants!$B$7,LARGE(AB272:AC272,2)*S272,""))</f>
        <v/>
      </c>
      <c r="AJ272" s="65" t="str">
        <f aca="false">IF(ISBLANK($C272),"",IF($Z272=Constants!$B$7,RANK(AI272,$AI$8:$AI$507),$Z272))</f>
        <v/>
      </c>
      <c r="AK272" s="65" t="str">
        <f aca="false">IF(ISBLANK($C272),"",IF($Z272=Constants!$B$7,IF(ISNUMBER(AG272),COUNTIFS($AA$8:$AA$507,"&lt;"&amp;$AA272)+COUNTIFS($AA$8:$AA$507,$AA272,$AG$8:$AG$507,"&lt;"&amp;$AG272)+COUNTIFS($AA$8:$AA$507,$AA272,$AG$8:$AG$507,$AG272,$AJ$8:$AJ$507,"&lt;"&amp;$AJ272)+1,Constants!$B$14),$Z272))</f>
        <v/>
      </c>
      <c r="AL272" s="65" t="str">
        <f aca="false">IF(ISBLANK($C272),"",IF($Z272=Constants!$B$7,IF(ISNUMBER(AH272),AH272-AK272,Constants!$B$14),$Z272))</f>
        <v/>
      </c>
      <c r="AM272" s="67"/>
      <c r="AN272" s="68" t="str">
        <f aca="false">IF(ISBLANK($C272),"",IF($Z272&lt;&gt;Constants!$B$7,$Z272,AD272))</f>
        <v/>
      </c>
      <c r="AO272" s="69" t="str">
        <f aca="false">IF(ISBLANK($C272),"",IF($Z272&lt;&gt;Constants!$B$7,$Z272,S272))</f>
        <v/>
      </c>
      <c r="AP272" s="70" t="str">
        <f aca="false">IF(ISBLANK($C272),"",IF($Z272&lt;&gt;Constants!$B$7,$Z272,AF272))</f>
        <v/>
      </c>
      <c r="AQ272" s="71" t="str">
        <f aca="false">IF(ISBLANK($C272),"",IF($Z272&lt;&gt;Constants!$B$7,$Z272,AA272))</f>
        <v/>
      </c>
      <c r="AR272" s="69" t="str">
        <f aca="false">IF(ISBLANK($C272),"",AL272)</f>
        <v/>
      </c>
      <c r="AS272" s="69" t="str">
        <f aca="false">IF(ISBLANK($C272),"",AK272)</f>
        <v/>
      </c>
      <c r="AT272" s="72" t="str">
        <f aca="false">IF(ISBLANK($C272),"",IF(AS272=Constants!$B$4,COUNTA($C$8:$C$507)+2,IF(AS272=Constants!$B$5,COUNTA($C$8:$C$507)+1,IF(AS272=Constants!$B$6,COUNTA($C$8:$C$507),AS272))))</f>
        <v/>
      </c>
      <c r="AU272" s="5"/>
      <c r="AV272" s="73" t="n">
        <f aca="false">IF(OR(ISNUMBER(AS272),AS272=Constants!$B$4,AS272=Constants!$B$6,AS272=Constants!$B$5),1,0)</f>
        <v>0</v>
      </c>
      <c r="AW272" s="73" t="n">
        <v>265</v>
      </c>
      <c r="AX272" s="73" t="str">
        <f aca="false">IF(ISBLANK($C272),"",IF(ISNUMBER(AT272),AT272+ROW($B272)/1000,""))</f>
        <v/>
      </c>
      <c r="AY272" s="73" t="str">
        <f aca="false">IF(ISNUMBER(AX272),RANK(AX272,$AX$8:$AX$507,1),"")</f>
        <v/>
      </c>
      <c r="AZ272" s="73" t="str">
        <f aca="false">IF(ISBLANK($C272),"",$B272)</f>
        <v/>
      </c>
      <c r="BA272" s="73" t="str">
        <f aca="false">IF(ISBLANK($C272),"",$C272)</f>
        <v/>
      </c>
      <c r="BB272" s="73" t="str">
        <f aca="false">IF(ISBLANK($C272),"",$D272)</f>
        <v/>
      </c>
      <c r="BC272" s="74" t="str">
        <f aca="false">AQ272</f>
        <v/>
      </c>
      <c r="BD272" s="75" t="str">
        <f aca="false">AP272</f>
        <v/>
      </c>
      <c r="BE272" s="73" t="str">
        <f aca="false">IF(ISBLANK($C272),"",AS272)</f>
        <v/>
      </c>
      <c r="BF272" s="76" t="str">
        <f aca="false">IF($AW272&gt;$AV$7,"",VLOOKUP($AW272,$AY$8:$BE$507,7,FALSE()))</f>
        <v/>
      </c>
      <c r="BG272" s="77" t="str">
        <f aca="false">IF($AW272&gt;$AV$7,"",VLOOKUP($AW272,$AY$8:$BE$507,2,FALSE()))</f>
        <v/>
      </c>
      <c r="BH272" s="77" t="str">
        <f aca="false">IF($AW272&gt;$AV$7,"",VLOOKUP($AW272,$AY$8:$BE$507,3,FALSE()))</f>
        <v/>
      </c>
      <c r="BI272" s="77" t="str">
        <f aca="false">IF($AW272&gt;$AV$7,"",VLOOKUP($AW272,$AY$8:$BE$507,4,FALSE()))</f>
        <v/>
      </c>
      <c r="BJ272" s="77" t="str">
        <f aca="false">IF($AW272&gt;$AV$7,"",VLOOKUP($AW272,$AY$8:$BE$507,5,FALSE()))</f>
        <v/>
      </c>
      <c r="BK272" s="78" t="str">
        <f aca="false">IF($AW272&gt;$AV$7,"",VLOOKUP($AW272,$AY$8:$BE$507,6,FALSE()))</f>
        <v/>
      </c>
      <c r="BL272" s="50"/>
    </row>
    <row r="273" customFormat="false" ht="15.75" hidden="false" customHeight="false" outlineLevel="0" collapsed="false">
      <c r="A273" s="5"/>
      <c r="B273" s="131"/>
      <c r="C273" s="52"/>
      <c r="D273" s="53"/>
      <c r="E273" s="80"/>
      <c r="F273" s="132"/>
      <c r="G273" s="56"/>
      <c r="H273" s="133"/>
      <c r="I273" s="134"/>
      <c r="J273" s="59"/>
      <c r="K273" s="60"/>
      <c r="L273" s="134"/>
      <c r="M273" s="61"/>
      <c r="N273" s="62"/>
      <c r="O273" s="80"/>
      <c r="P273" s="64"/>
      <c r="Q273" s="65" t="str">
        <f aca="false">IF(ISBLANK($C273),"",IF(E273=Constants!$B$2, TRUE(), IF(E273=Constants!$B$3, FALSE(), TRUE())))</f>
        <v/>
      </c>
      <c r="R273" s="65" t="str">
        <f aca="false">IF(ISBLANK($C273),"",IF(F273=Constants!$B$2, TRUE(), IF(F273=Constants!$B$3, FALSE(), TRUE())))</f>
        <v/>
      </c>
      <c r="S273" s="65" t="str">
        <f aca="false">IF(ISBLANK($C273),"",IF(G273=Constants!$B$15,Constants!$B$8,IF(G273=Constants!$B$16,Constants!$B$9,Constants!$B$10)))</f>
        <v/>
      </c>
      <c r="T273" s="65" t="str">
        <f aca="false">IF(ISBLANK($C273),"",IF(H273=Constants!$B$2, TRUE(), IF(H273=Constants!$B$3, FALSE(), TRUE())))</f>
        <v/>
      </c>
      <c r="U273" s="65" t="str">
        <f aca="false">IF(ISBLANK($C273),"",IF(I273=Constants!$B$19,Constants!$B$19,Constants!$B$18))</f>
        <v/>
      </c>
      <c r="V273" s="65" t="str">
        <f aca="false">IF(ISBLANK($C273),"",IF(COUNTA(J273:K273)=0,"",IF(AND(OR(ISBLANK(J273),AND(ISNUMBER(J273),J273&gt;=0)),OR(ISBLANK(K273),AND(ISNUMBER(K273),K273&gt;=0))),60*IF(ISBLANK(J273),0,J273)+IF(ISBLANK(K273),0,K273),"")))</f>
        <v/>
      </c>
      <c r="W273" s="65" t="str">
        <f aca="false">IF(ISBLANK($C273),"",IF(L273=Constants!$B$19,Constants!$B$19,Constants!$B$18))</f>
        <v/>
      </c>
      <c r="X273" s="65" t="str">
        <f aca="false">IF(ISBLANK($C273),"",IF(COUNTA(M273:N273)=0,"",IF(AND(OR(ISBLANK(M273),AND(ISNUMBER(M273),M273&gt;=0)),OR(ISBLANK(N273),AND(ISNUMBER(N273),N273&gt;=0))),60*IF(ISBLANK(M273),0,M273)+IF(ISBLANK(N273),0,N273),"")))</f>
        <v/>
      </c>
      <c r="Y273" s="65" t="str">
        <f aca="false">IF(ISBLANK($C273),"",IF(O273=Constants!$B$2, TRUE(), IF(O273=Constants!$B$3, FALSE(), FALSE())))</f>
        <v/>
      </c>
      <c r="Z273" s="65" t="str">
        <f aca="false">IF(ISBLANK($C273),"",IF(Y273,Constants!$B$4,IF(COUNTA(E273:N273)=0,Constants!$B$5,IF(COUNTA(J273:K273,M273:N273)=0,Constants!$B$6,Constants!$B$7))))</f>
        <v/>
      </c>
      <c r="AA273" s="65" t="str">
        <f aca="false">IF(ISBLANK($C273),"",IF($Z273&lt;&gt;Constants!$B$7,$Z273,IF(OR(NOT(T273),AND(NOT(Q273),COUNTIFS(U273:W273,Constants!$B$18,V273:X273,"&gt;=0")&gt;0),AND(NOT(R273),COUNTIFS(U273:W273,Constants!$B$19,V273:X273,"&gt;=0")&gt;0)),Constants!$B$12,Constants!$B$11)))</f>
        <v/>
      </c>
      <c r="AB273" s="65" t="str">
        <f aca="false">IF($Z273=Constants!$B$7,IF(V273="",Constants!$B$13,V273),"")</f>
        <v/>
      </c>
      <c r="AC273" s="65" t="str">
        <f aca="false">IF($Z273=Constants!$B$7,IF(X273="",Constants!$B$13,X273),"")</f>
        <v/>
      </c>
      <c r="AD273" s="65" t="str">
        <f aca="false">IF($Z273=Constants!$B$7,IF($AB273&gt;=$AC273,1,2),"")</f>
        <v/>
      </c>
      <c r="AE273" s="65" t="str">
        <f aca="false">IF($Z273=Constants!$B$7,LARGE(AB273:AC273,1),"")</f>
        <v/>
      </c>
      <c r="AF273" s="65" t="str">
        <f aca="false">IF(ISBLANK($C273),"",IF($Z273&lt;&gt;Constants!$B$7,$Z273,AE273*S273))</f>
        <v/>
      </c>
      <c r="AG273" s="65" t="str">
        <f aca="false">IF(ISBLANK($C273),"",IF($Z273=Constants!$B$7,IF(ISNUMBER(AF273),RANK(AF273,$AF$8:$AF$507),Constants!$B$14),$Z273))</f>
        <v/>
      </c>
      <c r="AH273" s="65" t="str">
        <f aca="false">IF(ISBLANK($C273),"",IF($Z273=Constants!$B$7,IF(ISNUMBER(AG273),COUNTIFS($AA$8:$AA$507,"&lt;"&amp;$AA273)+COUNTIFS($AA$8:$AA$507,$AA273,$AG$8:$AG$507,"&lt;"&amp;$AG273)+1,Constants!$B$14),$Z273))</f>
        <v/>
      </c>
      <c r="AI273" s="65" t="str">
        <f aca="false">IF(ISBLANK($C273),"",IF($Z273=Constants!$B$7,LARGE(AB273:AC273,2)*S273,""))</f>
        <v/>
      </c>
      <c r="AJ273" s="65" t="str">
        <f aca="false">IF(ISBLANK($C273),"",IF($Z273=Constants!$B$7,RANK(AI273,$AI$8:$AI$507),$Z273))</f>
        <v/>
      </c>
      <c r="AK273" s="65" t="str">
        <f aca="false">IF(ISBLANK($C273),"",IF($Z273=Constants!$B$7,IF(ISNUMBER(AG273),COUNTIFS($AA$8:$AA$507,"&lt;"&amp;$AA273)+COUNTIFS($AA$8:$AA$507,$AA273,$AG$8:$AG$507,"&lt;"&amp;$AG273)+COUNTIFS($AA$8:$AA$507,$AA273,$AG$8:$AG$507,$AG273,$AJ$8:$AJ$507,"&lt;"&amp;$AJ273)+1,Constants!$B$14),$Z273))</f>
        <v/>
      </c>
      <c r="AL273" s="65" t="str">
        <f aca="false">IF(ISBLANK($C273),"",IF($Z273=Constants!$B$7,IF(ISNUMBER(AH273),AH273-AK273,Constants!$B$14),$Z273))</f>
        <v/>
      </c>
      <c r="AM273" s="67"/>
      <c r="AN273" s="68" t="str">
        <f aca="false">IF(ISBLANK($C273),"",IF($Z273&lt;&gt;Constants!$B$7,$Z273,AD273))</f>
        <v/>
      </c>
      <c r="AO273" s="69" t="str">
        <f aca="false">IF(ISBLANK($C273),"",IF($Z273&lt;&gt;Constants!$B$7,$Z273,S273))</f>
        <v/>
      </c>
      <c r="AP273" s="70" t="str">
        <f aca="false">IF(ISBLANK($C273),"",IF($Z273&lt;&gt;Constants!$B$7,$Z273,AF273))</f>
        <v/>
      </c>
      <c r="AQ273" s="71" t="str">
        <f aca="false">IF(ISBLANK($C273),"",IF($Z273&lt;&gt;Constants!$B$7,$Z273,AA273))</f>
        <v/>
      </c>
      <c r="AR273" s="69" t="str">
        <f aca="false">IF(ISBLANK($C273),"",AL273)</f>
        <v/>
      </c>
      <c r="AS273" s="69" t="str">
        <f aca="false">IF(ISBLANK($C273),"",AK273)</f>
        <v/>
      </c>
      <c r="AT273" s="72" t="str">
        <f aca="false">IF(ISBLANK($C273),"",IF(AS273=Constants!$B$4,COUNTA($C$8:$C$507)+2,IF(AS273=Constants!$B$5,COUNTA($C$8:$C$507)+1,IF(AS273=Constants!$B$6,COUNTA($C$8:$C$507),AS273))))</f>
        <v/>
      </c>
      <c r="AU273" s="5"/>
      <c r="AV273" s="73" t="n">
        <f aca="false">IF(OR(ISNUMBER(AS273),AS273=Constants!$B$4,AS273=Constants!$B$6,AS273=Constants!$B$5),1,0)</f>
        <v>0</v>
      </c>
      <c r="AW273" s="73" t="n">
        <v>266</v>
      </c>
      <c r="AX273" s="73" t="str">
        <f aca="false">IF(ISBLANK($C273),"",IF(ISNUMBER(AT273),AT273+ROW($B273)/1000,""))</f>
        <v/>
      </c>
      <c r="AY273" s="73" t="str">
        <f aca="false">IF(ISNUMBER(AX273),RANK(AX273,$AX$8:$AX$507,1),"")</f>
        <v/>
      </c>
      <c r="AZ273" s="73" t="str">
        <f aca="false">IF(ISBLANK($C273),"",$B273)</f>
        <v/>
      </c>
      <c r="BA273" s="73" t="str">
        <f aca="false">IF(ISBLANK($C273),"",$C273)</f>
        <v/>
      </c>
      <c r="BB273" s="73" t="str">
        <f aca="false">IF(ISBLANK($C273),"",$D273)</f>
        <v/>
      </c>
      <c r="BC273" s="74" t="str">
        <f aca="false">AQ273</f>
        <v/>
      </c>
      <c r="BD273" s="75" t="str">
        <f aca="false">AP273</f>
        <v/>
      </c>
      <c r="BE273" s="73" t="str">
        <f aca="false">IF(ISBLANK($C273),"",AS273)</f>
        <v/>
      </c>
      <c r="BF273" s="76" t="str">
        <f aca="false">IF($AW273&gt;$AV$7,"",VLOOKUP($AW273,$AY$8:$BE$507,7,FALSE()))</f>
        <v/>
      </c>
      <c r="BG273" s="77" t="str">
        <f aca="false">IF($AW273&gt;$AV$7,"",VLOOKUP($AW273,$AY$8:$BE$507,2,FALSE()))</f>
        <v/>
      </c>
      <c r="BH273" s="77" t="str">
        <f aca="false">IF($AW273&gt;$AV$7,"",VLOOKUP($AW273,$AY$8:$BE$507,3,FALSE()))</f>
        <v/>
      </c>
      <c r="BI273" s="77" t="str">
        <f aca="false">IF($AW273&gt;$AV$7,"",VLOOKUP($AW273,$AY$8:$BE$507,4,FALSE()))</f>
        <v/>
      </c>
      <c r="BJ273" s="77" t="str">
        <f aca="false">IF($AW273&gt;$AV$7,"",VLOOKUP($AW273,$AY$8:$BE$507,5,FALSE()))</f>
        <v/>
      </c>
      <c r="BK273" s="78" t="str">
        <f aca="false">IF($AW273&gt;$AV$7,"",VLOOKUP($AW273,$AY$8:$BE$507,6,FALSE()))</f>
        <v/>
      </c>
      <c r="BL273" s="50"/>
    </row>
    <row r="274" customFormat="false" ht="15.75" hidden="false" customHeight="false" outlineLevel="0" collapsed="false">
      <c r="A274" s="5"/>
      <c r="B274" s="131"/>
      <c r="C274" s="52"/>
      <c r="D274" s="53"/>
      <c r="E274" s="80"/>
      <c r="F274" s="132"/>
      <c r="G274" s="56"/>
      <c r="H274" s="133"/>
      <c r="I274" s="134"/>
      <c r="J274" s="59"/>
      <c r="K274" s="60"/>
      <c r="L274" s="134"/>
      <c r="M274" s="61"/>
      <c r="N274" s="62"/>
      <c r="O274" s="80"/>
      <c r="P274" s="64"/>
      <c r="Q274" s="65" t="str">
        <f aca="false">IF(ISBLANK($C274),"",IF(E274=Constants!$B$2, TRUE(), IF(E274=Constants!$B$3, FALSE(), TRUE())))</f>
        <v/>
      </c>
      <c r="R274" s="65" t="str">
        <f aca="false">IF(ISBLANK($C274),"",IF(F274=Constants!$B$2, TRUE(), IF(F274=Constants!$B$3, FALSE(), TRUE())))</f>
        <v/>
      </c>
      <c r="S274" s="65" t="str">
        <f aca="false">IF(ISBLANK($C274),"",IF(G274=Constants!$B$15,Constants!$B$8,IF(G274=Constants!$B$16,Constants!$B$9,Constants!$B$10)))</f>
        <v/>
      </c>
      <c r="T274" s="65" t="str">
        <f aca="false">IF(ISBLANK($C274),"",IF(H274=Constants!$B$2, TRUE(), IF(H274=Constants!$B$3, FALSE(), TRUE())))</f>
        <v/>
      </c>
      <c r="U274" s="65" t="str">
        <f aca="false">IF(ISBLANK($C274),"",IF(I274=Constants!$B$19,Constants!$B$19,Constants!$B$18))</f>
        <v/>
      </c>
      <c r="V274" s="65" t="str">
        <f aca="false">IF(ISBLANK($C274),"",IF(COUNTA(J274:K274)=0,"",IF(AND(OR(ISBLANK(J274),AND(ISNUMBER(J274),J274&gt;=0)),OR(ISBLANK(K274),AND(ISNUMBER(K274),K274&gt;=0))),60*IF(ISBLANK(J274),0,J274)+IF(ISBLANK(K274),0,K274),"")))</f>
        <v/>
      </c>
      <c r="W274" s="65" t="str">
        <f aca="false">IF(ISBLANK($C274),"",IF(L274=Constants!$B$19,Constants!$B$19,Constants!$B$18))</f>
        <v/>
      </c>
      <c r="X274" s="65" t="str">
        <f aca="false">IF(ISBLANK($C274),"",IF(COUNTA(M274:N274)=0,"",IF(AND(OR(ISBLANK(M274),AND(ISNUMBER(M274),M274&gt;=0)),OR(ISBLANK(N274),AND(ISNUMBER(N274),N274&gt;=0))),60*IF(ISBLANK(M274),0,M274)+IF(ISBLANK(N274),0,N274),"")))</f>
        <v/>
      </c>
      <c r="Y274" s="65" t="str">
        <f aca="false">IF(ISBLANK($C274),"",IF(O274=Constants!$B$2, TRUE(), IF(O274=Constants!$B$3, FALSE(), FALSE())))</f>
        <v/>
      </c>
      <c r="Z274" s="65" t="str">
        <f aca="false">IF(ISBLANK($C274),"",IF(Y274,Constants!$B$4,IF(COUNTA(E274:N274)=0,Constants!$B$5,IF(COUNTA(J274:K274,M274:N274)=0,Constants!$B$6,Constants!$B$7))))</f>
        <v/>
      </c>
      <c r="AA274" s="65" t="str">
        <f aca="false">IF(ISBLANK($C274),"",IF($Z274&lt;&gt;Constants!$B$7,$Z274,IF(OR(NOT(T274),AND(NOT(Q274),COUNTIFS(U274:W274,Constants!$B$18,V274:X274,"&gt;=0")&gt;0),AND(NOT(R274),COUNTIFS(U274:W274,Constants!$B$19,V274:X274,"&gt;=0")&gt;0)),Constants!$B$12,Constants!$B$11)))</f>
        <v/>
      </c>
      <c r="AB274" s="65" t="str">
        <f aca="false">IF($Z274=Constants!$B$7,IF(V274="",Constants!$B$13,V274),"")</f>
        <v/>
      </c>
      <c r="AC274" s="65" t="str">
        <f aca="false">IF($Z274=Constants!$B$7,IF(X274="",Constants!$B$13,X274),"")</f>
        <v/>
      </c>
      <c r="AD274" s="65" t="str">
        <f aca="false">IF($Z274=Constants!$B$7,IF($AB274&gt;=$AC274,1,2),"")</f>
        <v/>
      </c>
      <c r="AE274" s="65" t="str">
        <f aca="false">IF($Z274=Constants!$B$7,LARGE(AB274:AC274,1),"")</f>
        <v/>
      </c>
      <c r="AF274" s="65" t="str">
        <f aca="false">IF(ISBLANK($C274),"",IF($Z274&lt;&gt;Constants!$B$7,$Z274,AE274*S274))</f>
        <v/>
      </c>
      <c r="AG274" s="65" t="str">
        <f aca="false">IF(ISBLANK($C274),"",IF($Z274=Constants!$B$7,IF(ISNUMBER(AF274),RANK(AF274,$AF$8:$AF$507),Constants!$B$14),$Z274))</f>
        <v/>
      </c>
      <c r="AH274" s="65" t="str">
        <f aca="false">IF(ISBLANK($C274),"",IF($Z274=Constants!$B$7,IF(ISNUMBER(AG274),COUNTIFS($AA$8:$AA$507,"&lt;"&amp;$AA274)+COUNTIFS($AA$8:$AA$507,$AA274,$AG$8:$AG$507,"&lt;"&amp;$AG274)+1,Constants!$B$14),$Z274))</f>
        <v/>
      </c>
      <c r="AI274" s="65" t="str">
        <f aca="false">IF(ISBLANK($C274),"",IF($Z274=Constants!$B$7,LARGE(AB274:AC274,2)*S274,""))</f>
        <v/>
      </c>
      <c r="AJ274" s="65" t="str">
        <f aca="false">IF(ISBLANK($C274),"",IF($Z274=Constants!$B$7,RANK(AI274,$AI$8:$AI$507),$Z274))</f>
        <v/>
      </c>
      <c r="AK274" s="65" t="str">
        <f aca="false">IF(ISBLANK($C274),"",IF($Z274=Constants!$B$7,IF(ISNUMBER(AG274),COUNTIFS($AA$8:$AA$507,"&lt;"&amp;$AA274)+COUNTIFS($AA$8:$AA$507,$AA274,$AG$8:$AG$507,"&lt;"&amp;$AG274)+COUNTIFS($AA$8:$AA$507,$AA274,$AG$8:$AG$507,$AG274,$AJ$8:$AJ$507,"&lt;"&amp;$AJ274)+1,Constants!$B$14),$Z274))</f>
        <v/>
      </c>
      <c r="AL274" s="65" t="str">
        <f aca="false">IF(ISBLANK($C274),"",IF($Z274=Constants!$B$7,IF(ISNUMBER(AH274),AH274-AK274,Constants!$B$14),$Z274))</f>
        <v/>
      </c>
      <c r="AM274" s="67"/>
      <c r="AN274" s="68" t="str">
        <f aca="false">IF(ISBLANK($C274),"",IF($Z274&lt;&gt;Constants!$B$7,$Z274,AD274))</f>
        <v/>
      </c>
      <c r="AO274" s="69" t="str">
        <f aca="false">IF(ISBLANK($C274),"",IF($Z274&lt;&gt;Constants!$B$7,$Z274,S274))</f>
        <v/>
      </c>
      <c r="AP274" s="70" t="str">
        <f aca="false">IF(ISBLANK($C274),"",IF($Z274&lt;&gt;Constants!$B$7,$Z274,AF274))</f>
        <v/>
      </c>
      <c r="AQ274" s="71" t="str">
        <f aca="false">IF(ISBLANK($C274),"",IF($Z274&lt;&gt;Constants!$B$7,$Z274,AA274))</f>
        <v/>
      </c>
      <c r="AR274" s="69" t="str">
        <f aca="false">IF(ISBLANK($C274),"",AL274)</f>
        <v/>
      </c>
      <c r="AS274" s="69" t="str">
        <f aca="false">IF(ISBLANK($C274),"",AK274)</f>
        <v/>
      </c>
      <c r="AT274" s="72" t="str">
        <f aca="false">IF(ISBLANK($C274),"",IF(AS274=Constants!$B$4,COUNTA($C$8:$C$507)+2,IF(AS274=Constants!$B$5,COUNTA($C$8:$C$507)+1,IF(AS274=Constants!$B$6,COUNTA($C$8:$C$507),AS274))))</f>
        <v/>
      </c>
      <c r="AU274" s="5"/>
      <c r="AV274" s="73" t="n">
        <f aca="false">IF(OR(ISNUMBER(AS274),AS274=Constants!$B$4,AS274=Constants!$B$6,AS274=Constants!$B$5),1,0)</f>
        <v>0</v>
      </c>
      <c r="AW274" s="73" t="n">
        <v>267</v>
      </c>
      <c r="AX274" s="73" t="str">
        <f aca="false">IF(ISBLANK($C274),"",IF(ISNUMBER(AT274),AT274+ROW($B274)/1000,""))</f>
        <v/>
      </c>
      <c r="AY274" s="73" t="str">
        <f aca="false">IF(ISNUMBER(AX274),RANK(AX274,$AX$8:$AX$507,1),"")</f>
        <v/>
      </c>
      <c r="AZ274" s="73" t="str">
        <f aca="false">IF(ISBLANK($C274),"",$B274)</f>
        <v/>
      </c>
      <c r="BA274" s="73" t="str">
        <f aca="false">IF(ISBLANK($C274),"",$C274)</f>
        <v/>
      </c>
      <c r="BB274" s="73" t="str">
        <f aca="false">IF(ISBLANK($C274),"",$D274)</f>
        <v/>
      </c>
      <c r="BC274" s="74" t="str">
        <f aca="false">AQ274</f>
        <v/>
      </c>
      <c r="BD274" s="75" t="str">
        <f aca="false">AP274</f>
        <v/>
      </c>
      <c r="BE274" s="73" t="str">
        <f aca="false">IF(ISBLANK($C274),"",AS274)</f>
        <v/>
      </c>
      <c r="BF274" s="76" t="str">
        <f aca="false">IF($AW274&gt;$AV$7,"",VLOOKUP($AW274,$AY$8:$BE$507,7,FALSE()))</f>
        <v/>
      </c>
      <c r="BG274" s="77" t="str">
        <f aca="false">IF($AW274&gt;$AV$7,"",VLOOKUP($AW274,$AY$8:$BE$507,2,FALSE()))</f>
        <v/>
      </c>
      <c r="BH274" s="77" t="str">
        <f aca="false">IF($AW274&gt;$AV$7,"",VLOOKUP($AW274,$AY$8:$BE$507,3,FALSE()))</f>
        <v/>
      </c>
      <c r="BI274" s="77" t="str">
        <f aca="false">IF($AW274&gt;$AV$7,"",VLOOKUP($AW274,$AY$8:$BE$507,4,FALSE()))</f>
        <v/>
      </c>
      <c r="BJ274" s="77" t="str">
        <f aca="false">IF($AW274&gt;$AV$7,"",VLOOKUP($AW274,$AY$8:$BE$507,5,FALSE()))</f>
        <v/>
      </c>
      <c r="BK274" s="78" t="str">
        <f aca="false">IF($AW274&gt;$AV$7,"",VLOOKUP($AW274,$AY$8:$BE$507,6,FALSE()))</f>
        <v/>
      </c>
      <c r="BL274" s="50"/>
    </row>
    <row r="275" customFormat="false" ht="15.75" hidden="false" customHeight="false" outlineLevel="0" collapsed="false">
      <c r="A275" s="5"/>
      <c r="B275" s="124"/>
      <c r="C275" s="125"/>
      <c r="D275" s="110"/>
      <c r="E275" s="130"/>
      <c r="F275" s="135"/>
      <c r="G275" s="88"/>
      <c r="H275" s="136"/>
      <c r="I275" s="137"/>
      <c r="J275" s="91"/>
      <c r="K275" s="92"/>
      <c r="L275" s="137"/>
      <c r="M275" s="93"/>
      <c r="N275" s="94"/>
      <c r="O275" s="130"/>
      <c r="P275" s="96"/>
      <c r="Q275" s="97" t="str">
        <f aca="false">IF(ISBLANK($C275),"",IF(E275=Constants!$B$2, TRUE(), IF(E275=Constants!$B$3, FALSE(), TRUE())))</f>
        <v/>
      </c>
      <c r="R275" s="97" t="str">
        <f aca="false">IF(ISBLANK($C275),"",IF(F275=Constants!$B$2, TRUE(), IF(F275=Constants!$B$3, FALSE(), TRUE())))</f>
        <v/>
      </c>
      <c r="S275" s="97" t="str">
        <f aca="false">IF(ISBLANK($C275),"",IF(G275=Constants!$B$15,Constants!$B$8,IF(G275=Constants!$B$16,Constants!$B$9,Constants!$B$10)))</f>
        <v/>
      </c>
      <c r="T275" s="97" t="str">
        <f aca="false">IF(ISBLANK($C275),"",IF(H275=Constants!$B$2, TRUE(), IF(H275=Constants!$B$3, FALSE(), TRUE())))</f>
        <v/>
      </c>
      <c r="U275" s="97" t="str">
        <f aca="false">IF(ISBLANK($C275),"",IF(I275=Constants!$B$19,Constants!$B$19,Constants!$B$18))</f>
        <v/>
      </c>
      <c r="V275" s="97" t="str">
        <f aca="false">IF(ISBLANK($C275),"",IF(COUNTA(J275:K275)=0,"",IF(AND(OR(ISBLANK(J275),AND(ISNUMBER(J275),J275&gt;=0)),OR(ISBLANK(K275),AND(ISNUMBER(K275),K275&gt;=0))),60*IF(ISBLANK(J275),0,J275)+IF(ISBLANK(K275),0,K275),"")))</f>
        <v/>
      </c>
      <c r="W275" s="97" t="str">
        <f aca="false">IF(ISBLANK($C275),"",IF(L275=Constants!$B$19,Constants!$B$19,Constants!$B$18))</f>
        <v/>
      </c>
      <c r="X275" s="97" t="str">
        <f aca="false">IF(ISBLANK($C275),"",IF(COUNTA(M275:N275)=0,"",IF(AND(OR(ISBLANK(M275),AND(ISNUMBER(M275),M275&gt;=0)),OR(ISBLANK(N275),AND(ISNUMBER(N275),N275&gt;=0))),60*IF(ISBLANK(M275),0,M275)+IF(ISBLANK(N275),0,N275),"")))</f>
        <v/>
      </c>
      <c r="Y275" s="97" t="str">
        <f aca="false">IF(ISBLANK($C275),"",IF(O275=Constants!$B$2, TRUE(), IF(O275=Constants!$B$3, FALSE(), FALSE())))</f>
        <v/>
      </c>
      <c r="Z275" s="97" t="str">
        <f aca="false">IF(ISBLANK($C275),"",IF(Y275,Constants!$B$4,IF(COUNTA(E275:N275)=0,Constants!$B$5,IF(COUNTA(J275:K275,M275:N275)=0,Constants!$B$6,Constants!$B$7))))</f>
        <v/>
      </c>
      <c r="AA275" s="97" t="str">
        <f aca="false">IF(ISBLANK($C275),"",IF($Z275&lt;&gt;Constants!$B$7,$Z275,IF(OR(NOT(T275),AND(NOT(Q275),COUNTIFS(U275:W275,Constants!$B$18,V275:X275,"&gt;=0")&gt;0),AND(NOT(R275),COUNTIFS(U275:W275,Constants!$B$19,V275:X275,"&gt;=0")&gt;0)),Constants!$B$12,Constants!$B$11)))</f>
        <v/>
      </c>
      <c r="AB275" s="97" t="str">
        <f aca="false">IF($Z275=Constants!$B$7,IF(V275="",Constants!$B$13,V275),"")</f>
        <v/>
      </c>
      <c r="AC275" s="97" t="str">
        <f aca="false">IF($Z275=Constants!$B$7,IF(X275="",Constants!$B$13,X275),"")</f>
        <v/>
      </c>
      <c r="AD275" s="97" t="str">
        <f aca="false">IF($Z275=Constants!$B$7,IF($AB275&gt;=$AC275,1,2),"")</f>
        <v/>
      </c>
      <c r="AE275" s="97" t="str">
        <f aca="false">IF($Z275=Constants!$B$7,LARGE(AB275:AC275,1),"")</f>
        <v/>
      </c>
      <c r="AF275" s="97" t="str">
        <f aca="false">IF(ISBLANK($C275),"",IF($Z275&lt;&gt;Constants!$B$7,$Z275,AE275*S275))</f>
        <v/>
      </c>
      <c r="AG275" s="97" t="str">
        <f aca="false">IF(ISBLANK($C275),"",IF($Z275=Constants!$B$7,IF(ISNUMBER(AF275),RANK(AF275,$AF$8:$AF$507),Constants!$B$14),$Z275))</f>
        <v/>
      </c>
      <c r="AH275" s="97" t="str">
        <f aca="false">IF(ISBLANK($C275),"",IF($Z275=Constants!$B$7,IF(ISNUMBER(AG275),COUNTIFS($AA$8:$AA$507,"&lt;"&amp;$AA275)+COUNTIFS($AA$8:$AA$507,$AA275,$AG$8:$AG$507,"&lt;"&amp;$AG275)+1,Constants!$B$14),$Z275))</f>
        <v/>
      </c>
      <c r="AI275" s="97" t="str">
        <f aca="false">IF(ISBLANK($C275),"",IF($Z275=Constants!$B$7,LARGE(AB275:AC275,2)*S275,""))</f>
        <v/>
      </c>
      <c r="AJ275" s="97" t="str">
        <f aca="false">IF(ISBLANK($C275),"",IF($Z275=Constants!$B$7,RANK(AI275,$AI$8:$AI$507),$Z275))</f>
        <v/>
      </c>
      <c r="AK275" s="97" t="str">
        <f aca="false">IF(ISBLANK($C275),"",IF($Z275=Constants!$B$7,IF(ISNUMBER(AG275),COUNTIFS($AA$8:$AA$507,"&lt;"&amp;$AA275)+COUNTIFS($AA$8:$AA$507,$AA275,$AG$8:$AG$507,"&lt;"&amp;$AG275)+COUNTIFS($AA$8:$AA$507,$AA275,$AG$8:$AG$507,$AG275,$AJ$8:$AJ$507,"&lt;"&amp;$AJ275)+1,Constants!$B$14),$Z275))</f>
        <v/>
      </c>
      <c r="AL275" s="97" t="str">
        <f aca="false">IF(ISBLANK($C275),"",IF($Z275=Constants!$B$7,IF(ISNUMBER(AH275),AH275-AK275,Constants!$B$14),$Z275))</f>
        <v/>
      </c>
      <c r="AM275" s="98"/>
      <c r="AN275" s="99" t="str">
        <f aca="false">IF(ISBLANK($C275),"",IF($Z275&lt;&gt;Constants!$B$7,$Z275,AD275))</f>
        <v/>
      </c>
      <c r="AO275" s="100" t="str">
        <f aca="false">IF(ISBLANK($C275),"",IF($Z275&lt;&gt;Constants!$B$7,$Z275,S275))</f>
        <v/>
      </c>
      <c r="AP275" s="101" t="str">
        <f aca="false">IF(ISBLANK($C275),"",IF($Z275&lt;&gt;Constants!$B$7,$Z275,AF275))</f>
        <v/>
      </c>
      <c r="AQ275" s="102" t="str">
        <f aca="false">IF(ISBLANK($C275),"",IF($Z275&lt;&gt;Constants!$B$7,$Z275,AA275))</f>
        <v/>
      </c>
      <c r="AR275" s="100" t="str">
        <f aca="false">IF(ISBLANK($C275),"",AL275)</f>
        <v/>
      </c>
      <c r="AS275" s="100" t="str">
        <f aca="false">IF(ISBLANK($C275),"",AK275)</f>
        <v/>
      </c>
      <c r="AT275" s="103" t="str">
        <f aca="false">IF(ISBLANK($C275),"",IF(AS275=Constants!$B$4,COUNTA($C$8:$C$507)+2,IF(AS275=Constants!$B$5,COUNTA($C$8:$C$507)+1,IF(AS275=Constants!$B$6,COUNTA($C$8:$C$507),AS275))))</f>
        <v/>
      </c>
      <c r="AU275" s="5"/>
      <c r="AV275" s="104" t="n">
        <f aca="false">IF(OR(ISNUMBER(AS275),AS275=Constants!$B$4,AS275=Constants!$B$6,AS275=Constants!$B$5),1,0)</f>
        <v>0</v>
      </c>
      <c r="AW275" s="104" t="n">
        <v>268</v>
      </c>
      <c r="AX275" s="104" t="str">
        <f aca="false">IF(ISBLANK($C275),"",IF(ISNUMBER(AT275),AT275+ROW($B275)/1000,""))</f>
        <v/>
      </c>
      <c r="AY275" s="104" t="str">
        <f aca="false">IF(ISNUMBER(AX275),RANK(AX275,$AX$8:$AX$507,1),"")</f>
        <v/>
      </c>
      <c r="AZ275" s="104" t="str">
        <f aca="false">IF(ISBLANK($C275),"",$B275)</f>
        <v/>
      </c>
      <c r="BA275" s="104" t="str">
        <f aca="false">IF(ISBLANK($C275),"",$C275)</f>
        <v/>
      </c>
      <c r="BB275" s="104" t="str">
        <f aca="false">IF(ISBLANK($C275),"",$D275)</f>
        <v/>
      </c>
      <c r="BC275" s="105" t="str">
        <f aca="false">AQ275</f>
        <v/>
      </c>
      <c r="BD275" s="106" t="str">
        <f aca="false">AP275</f>
        <v/>
      </c>
      <c r="BE275" s="104" t="str">
        <f aca="false">IF(ISBLANK($C275),"",AS275)</f>
        <v/>
      </c>
      <c r="BF275" s="107" t="str">
        <f aca="false">IF($AW275&gt;$AV$7,"",VLOOKUP($AW275,$AY$8:$BE$507,7,FALSE()))</f>
        <v/>
      </c>
      <c r="BG275" s="108" t="str">
        <f aca="false">IF($AW275&gt;$AV$7,"",VLOOKUP($AW275,$AY$8:$BE$507,2,FALSE()))</f>
        <v/>
      </c>
      <c r="BH275" s="108" t="str">
        <f aca="false">IF($AW275&gt;$AV$7,"",VLOOKUP($AW275,$AY$8:$BE$507,3,FALSE()))</f>
        <v/>
      </c>
      <c r="BI275" s="108" t="str">
        <f aca="false">IF($AW275&gt;$AV$7,"",VLOOKUP($AW275,$AY$8:$BE$507,4,FALSE()))</f>
        <v/>
      </c>
      <c r="BJ275" s="108" t="str">
        <f aca="false">IF($AW275&gt;$AV$7,"",VLOOKUP($AW275,$AY$8:$BE$507,5,FALSE()))</f>
        <v/>
      </c>
      <c r="BK275" s="109" t="str">
        <f aca="false">IF($AW275&gt;$AV$7,"",VLOOKUP($AW275,$AY$8:$BE$507,6,FALSE()))</f>
        <v/>
      </c>
      <c r="BL275" s="50"/>
    </row>
    <row r="276" customFormat="false" ht="15.75" hidden="false" customHeight="false" outlineLevel="0" collapsed="false">
      <c r="A276" s="5"/>
      <c r="B276" s="124"/>
      <c r="C276" s="125"/>
      <c r="D276" s="110"/>
      <c r="E276" s="130"/>
      <c r="F276" s="135"/>
      <c r="G276" s="88"/>
      <c r="H276" s="136"/>
      <c r="I276" s="137"/>
      <c r="J276" s="91"/>
      <c r="K276" s="92"/>
      <c r="L276" s="137"/>
      <c r="M276" s="93"/>
      <c r="N276" s="94"/>
      <c r="O276" s="130"/>
      <c r="P276" s="96"/>
      <c r="Q276" s="97" t="str">
        <f aca="false">IF(ISBLANK($C276),"",IF(E276=Constants!$B$2, TRUE(), IF(E276=Constants!$B$3, FALSE(), TRUE())))</f>
        <v/>
      </c>
      <c r="R276" s="97" t="str">
        <f aca="false">IF(ISBLANK($C276),"",IF(F276=Constants!$B$2, TRUE(), IF(F276=Constants!$B$3, FALSE(), TRUE())))</f>
        <v/>
      </c>
      <c r="S276" s="97" t="str">
        <f aca="false">IF(ISBLANK($C276),"",IF(G276=Constants!$B$15,Constants!$B$8,IF(G276=Constants!$B$16,Constants!$B$9,Constants!$B$10)))</f>
        <v/>
      </c>
      <c r="T276" s="97" t="str">
        <f aca="false">IF(ISBLANK($C276),"",IF(H276=Constants!$B$2, TRUE(), IF(H276=Constants!$B$3, FALSE(), TRUE())))</f>
        <v/>
      </c>
      <c r="U276" s="97" t="str">
        <f aca="false">IF(ISBLANK($C276),"",IF(I276=Constants!$B$19,Constants!$B$19,Constants!$B$18))</f>
        <v/>
      </c>
      <c r="V276" s="97" t="str">
        <f aca="false">IF(ISBLANK($C276),"",IF(COUNTA(J276:K276)=0,"",IF(AND(OR(ISBLANK(J276),AND(ISNUMBER(J276),J276&gt;=0)),OR(ISBLANK(K276),AND(ISNUMBER(K276),K276&gt;=0))),60*IF(ISBLANK(J276),0,J276)+IF(ISBLANK(K276),0,K276),"")))</f>
        <v/>
      </c>
      <c r="W276" s="97" t="str">
        <f aca="false">IF(ISBLANK($C276),"",IF(L276=Constants!$B$19,Constants!$B$19,Constants!$B$18))</f>
        <v/>
      </c>
      <c r="X276" s="97" t="str">
        <f aca="false">IF(ISBLANK($C276),"",IF(COUNTA(M276:N276)=0,"",IF(AND(OR(ISBLANK(M276),AND(ISNUMBER(M276),M276&gt;=0)),OR(ISBLANK(N276),AND(ISNUMBER(N276),N276&gt;=0))),60*IF(ISBLANK(M276),0,M276)+IF(ISBLANK(N276),0,N276),"")))</f>
        <v/>
      </c>
      <c r="Y276" s="97" t="str">
        <f aca="false">IF(ISBLANK($C276),"",IF(O276=Constants!$B$2, TRUE(), IF(O276=Constants!$B$3, FALSE(), FALSE())))</f>
        <v/>
      </c>
      <c r="Z276" s="97" t="str">
        <f aca="false">IF(ISBLANK($C276),"",IF(Y276,Constants!$B$4,IF(COUNTA(E276:N276)=0,Constants!$B$5,IF(COUNTA(J276:K276,M276:N276)=0,Constants!$B$6,Constants!$B$7))))</f>
        <v/>
      </c>
      <c r="AA276" s="97" t="str">
        <f aca="false">IF(ISBLANK($C276),"",IF($Z276&lt;&gt;Constants!$B$7,$Z276,IF(OR(NOT(T276),AND(NOT(Q276),COUNTIFS(U276:W276,Constants!$B$18,V276:X276,"&gt;=0")&gt;0),AND(NOT(R276),COUNTIFS(U276:W276,Constants!$B$19,V276:X276,"&gt;=0")&gt;0)),Constants!$B$12,Constants!$B$11)))</f>
        <v/>
      </c>
      <c r="AB276" s="97" t="str">
        <f aca="false">IF($Z276=Constants!$B$7,IF(V276="",Constants!$B$13,V276),"")</f>
        <v/>
      </c>
      <c r="AC276" s="97" t="str">
        <f aca="false">IF($Z276=Constants!$B$7,IF(X276="",Constants!$B$13,X276),"")</f>
        <v/>
      </c>
      <c r="AD276" s="97" t="str">
        <f aca="false">IF($Z276=Constants!$B$7,IF($AB276&gt;=$AC276,1,2),"")</f>
        <v/>
      </c>
      <c r="AE276" s="97" t="str">
        <f aca="false">IF($Z276=Constants!$B$7,LARGE(AB276:AC276,1),"")</f>
        <v/>
      </c>
      <c r="AF276" s="97" t="str">
        <f aca="false">IF(ISBLANK($C276),"",IF($Z276&lt;&gt;Constants!$B$7,$Z276,AE276*S276))</f>
        <v/>
      </c>
      <c r="AG276" s="97" t="str">
        <f aca="false">IF(ISBLANK($C276),"",IF($Z276=Constants!$B$7,IF(ISNUMBER(AF276),RANK(AF276,$AF$8:$AF$507),Constants!$B$14),$Z276))</f>
        <v/>
      </c>
      <c r="AH276" s="97" t="str">
        <f aca="false">IF(ISBLANK($C276),"",IF($Z276=Constants!$B$7,IF(ISNUMBER(AG276),COUNTIFS($AA$8:$AA$507,"&lt;"&amp;$AA276)+COUNTIFS($AA$8:$AA$507,$AA276,$AG$8:$AG$507,"&lt;"&amp;$AG276)+1,Constants!$B$14),$Z276))</f>
        <v/>
      </c>
      <c r="AI276" s="97" t="str">
        <f aca="false">IF(ISBLANK($C276),"",IF($Z276=Constants!$B$7,LARGE(AB276:AC276,2)*S276,""))</f>
        <v/>
      </c>
      <c r="AJ276" s="97" t="str">
        <f aca="false">IF(ISBLANK($C276),"",IF($Z276=Constants!$B$7,RANK(AI276,$AI$8:$AI$507),$Z276))</f>
        <v/>
      </c>
      <c r="AK276" s="97" t="str">
        <f aca="false">IF(ISBLANK($C276),"",IF($Z276=Constants!$B$7,IF(ISNUMBER(AG276),COUNTIFS($AA$8:$AA$507,"&lt;"&amp;$AA276)+COUNTIFS($AA$8:$AA$507,$AA276,$AG$8:$AG$507,"&lt;"&amp;$AG276)+COUNTIFS($AA$8:$AA$507,$AA276,$AG$8:$AG$507,$AG276,$AJ$8:$AJ$507,"&lt;"&amp;$AJ276)+1,Constants!$B$14),$Z276))</f>
        <v/>
      </c>
      <c r="AL276" s="97" t="str">
        <f aca="false">IF(ISBLANK($C276),"",IF($Z276=Constants!$B$7,IF(ISNUMBER(AH276),AH276-AK276,Constants!$B$14),$Z276))</f>
        <v/>
      </c>
      <c r="AM276" s="98"/>
      <c r="AN276" s="99" t="str">
        <f aca="false">IF(ISBLANK($C276),"",IF($Z276&lt;&gt;Constants!$B$7,$Z276,AD276))</f>
        <v/>
      </c>
      <c r="AO276" s="100" t="str">
        <f aca="false">IF(ISBLANK($C276),"",IF($Z276&lt;&gt;Constants!$B$7,$Z276,S276))</f>
        <v/>
      </c>
      <c r="AP276" s="101" t="str">
        <f aca="false">IF(ISBLANK($C276),"",IF($Z276&lt;&gt;Constants!$B$7,$Z276,AF276))</f>
        <v/>
      </c>
      <c r="AQ276" s="102" t="str">
        <f aca="false">IF(ISBLANK($C276),"",IF($Z276&lt;&gt;Constants!$B$7,$Z276,AA276))</f>
        <v/>
      </c>
      <c r="AR276" s="100" t="str">
        <f aca="false">IF(ISBLANK($C276),"",AL276)</f>
        <v/>
      </c>
      <c r="AS276" s="100" t="str">
        <f aca="false">IF(ISBLANK($C276),"",AK276)</f>
        <v/>
      </c>
      <c r="AT276" s="103" t="str">
        <f aca="false">IF(ISBLANK($C276),"",IF(AS276=Constants!$B$4,COUNTA($C$8:$C$507)+2,IF(AS276=Constants!$B$5,COUNTA($C$8:$C$507)+1,IF(AS276=Constants!$B$6,COUNTA($C$8:$C$507),AS276))))</f>
        <v/>
      </c>
      <c r="AU276" s="5"/>
      <c r="AV276" s="104" t="n">
        <f aca="false">IF(OR(ISNUMBER(AS276),AS276=Constants!$B$4,AS276=Constants!$B$6,AS276=Constants!$B$5),1,0)</f>
        <v>0</v>
      </c>
      <c r="AW276" s="104" t="n">
        <v>269</v>
      </c>
      <c r="AX276" s="104" t="str">
        <f aca="false">IF(ISBLANK($C276),"",IF(ISNUMBER(AT276),AT276+ROW($B276)/1000,""))</f>
        <v/>
      </c>
      <c r="AY276" s="104" t="str">
        <f aca="false">IF(ISNUMBER(AX276),RANK(AX276,$AX$8:$AX$507,1),"")</f>
        <v/>
      </c>
      <c r="AZ276" s="104" t="str">
        <f aca="false">IF(ISBLANK($C276),"",$B276)</f>
        <v/>
      </c>
      <c r="BA276" s="104" t="str">
        <f aca="false">IF(ISBLANK($C276),"",$C276)</f>
        <v/>
      </c>
      <c r="BB276" s="104" t="str">
        <f aca="false">IF(ISBLANK($C276),"",$D276)</f>
        <v/>
      </c>
      <c r="BC276" s="105" t="str">
        <f aca="false">AQ276</f>
        <v/>
      </c>
      <c r="BD276" s="106" t="str">
        <f aca="false">AP276</f>
        <v/>
      </c>
      <c r="BE276" s="104" t="str">
        <f aca="false">IF(ISBLANK($C276),"",AS276)</f>
        <v/>
      </c>
      <c r="BF276" s="107" t="str">
        <f aca="false">IF($AW276&gt;$AV$7,"",VLOOKUP($AW276,$AY$8:$BE$507,7,FALSE()))</f>
        <v/>
      </c>
      <c r="BG276" s="108" t="str">
        <f aca="false">IF($AW276&gt;$AV$7,"",VLOOKUP($AW276,$AY$8:$BE$507,2,FALSE()))</f>
        <v/>
      </c>
      <c r="BH276" s="108" t="str">
        <f aca="false">IF($AW276&gt;$AV$7,"",VLOOKUP($AW276,$AY$8:$BE$507,3,FALSE()))</f>
        <v/>
      </c>
      <c r="BI276" s="108" t="str">
        <f aca="false">IF($AW276&gt;$AV$7,"",VLOOKUP($AW276,$AY$8:$BE$507,4,FALSE()))</f>
        <v/>
      </c>
      <c r="BJ276" s="108" t="str">
        <f aca="false">IF($AW276&gt;$AV$7,"",VLOOKUP($AW276,$AY$8:$BE$507,5,FALSE()))</f>
        <v/>
      </c>
      <c r="BK276" s="109" t="str">
        <f aca="false">IF($AW276&gt;$AV$7,"",VLOOKUP($AW276,$AY$8:$BE$507,6,FALSE()))</f>
        <v/>
      </c>
      <c r="BL276" s="50"/>
    </row>
    <row r="277" customFormat="false" ht="15.75" hidden="false" customHeight="false" outlineLevel="0" collapsed="false">
      <c r="A277" s="5"/>
      <c r="B277" s="124"/>
      <c r="C277" s="125"/>
      <c r="D277" s="110"/>
      <c r="E277" s="130"/>
      <c r="F277" s="135"/>
      <c r="G277" s="88"/>
      <c r="H277" s="136"/>
      <c r="I277" s="137"/>
      <c r="J277" s="91"/>
      <c r="K277" s="92"/>
      <c r="L277" s="137"/>
      <c r="M277" s="93"/>
      <c r="N277" s="94"/>
      <c r="O277" s="130"/>
      <c r="P277" s="96"/>
      <c r="Q277" s="97" t="str">
        <f aca="false">IF(ISBLANK($C277),"",IF(E277=Constants!$B$2, TRUE(), IF(E277=Constants!$B$3, FALSE(), TRUE())))</f>
        <v/>
      </c>
      <c r="R277" s="97" t="str">
        <f aca="false">IF(ISBLANK($C277),"",IF(F277=Constants!$B$2, TRUE(), IF(F277=Constants!$B$3, FALSE(), TRUE())))</f>
        <v/>
      </c>
      <c r="S277" s="97" t="str">
        <f aca="false">IF(ISBLANK($C277),"",IF(G277=Constants!$B$15,Constants!$B$8,IF(G277=Constants!$B$16,Constants!$B$9,Constants!$B$10)))</f>
        <v/>
      </c>
      <c r="T277" s="97" t="str">
        <f aca="false">IF(ISBLANK($C277),"",IF(H277=Constants!$B$2, TRUE(), IF(H277=Constants!$B$3, FALSE(), TRUE())))</f>
        <v/>
      </c>
      <c r="U277" s="97" t="str">
        <f aca="false">IF(ISBLANK($C277),"",IF(I277=Constants!$B$19,Constants!$B$19,Constants!$B$18))</f>
        <v/>
      </c>
      <c r="V277" s="97" t="str">
        <f aca="false">IF(ISBLANK($C277),"",IF(COUNTA(J277:K277)=0,"",IF(AND(OR(ISBLANK(J277),AND(ISNUMBER(J277),J277&gt;=0)),OR(ISBLANK(K277),AND(ISNUMBER(K277),K277&gt;=0))),60*IF(ISBLANK(J277),0,J277)+IF(ISBLANK(K277),0,K277),"")))</f>
        <v/>
      </c>
      <c r="W277" s="97" t="str">
        <f aca="false">IF(ISBLANK($C277),"",IF(L277=Constants!$B$19,Constants!$B$19,Constants!$B$18))</f>
        <v/>
      </c>
      <c r="X277" s="97" t="str">
        <f aca="false">IF(ISBLANK($C277),"",IF(COUNTA(M277:N277)=0,"",IF(AND(OR(ISBLANK(M277),AND(ISNUMBER(M277),M277&gt;=0)),OR(ISBLANK(N277),AND(ISNUMBER(N277),N277&gt;=0))),60*IF(ISBLANK(M277),0,M277)+IF(ISBLANK(N277),0,N277),"")))</f>
        <v/>
      </c>
      <c r="Y277" s="97" t="str">
        <f aca="false">IF(ISBLANK($C277),"",IF(O277=Constants!$B$2, TRUE(), IF(O277=Constants!$B$3, FALSE(), FALSE())))</f>
        <v/>
      </c>
      <c r="Z277" s="97" t="str">
        <f aca="false">IF(ISBLANK($C277),"",IF(Y277,Constants!$B$4,IF(COUNTA(E277:N277)=0,Constants!$B$5,IF(COUNTA(J277:K277,M277:N277)=0,Constants!$B$6,Constants!$B$7))))</f>
        <v/>
      </c>
      <c r="AA277" s="97" t="str">
        <f aca="false">IF(ISBLANK($C277),"",IF($Z277&lt;&gt;Constants!$B$7,$Z277,IF(OR(NOT(T277),AND(NOT(Q277),COUNTIFS(U277:W277,Constants!$B$18,V277:X277,"&gt;=0")&gt;0),AND(NOT(R277),COUNTIFS(U277:W277,Constants!$B$19,V277:X277,"&gt;=0")&gt;0)),Constants!$B$12,Constants!$B$11)))</f>
        <v/>
      </c>
      <c r="AB277" s="97" t="str">
        <f aca="false">IF($Z277=Constants!$B$7,IF(V277="",Constants!$B$13,V277),"")</f>
        <v/>
      </c>
      <c r="AC277" s="97" t="str">
        <f aca="false">IF($Z277=Constants!$B$7,IF(X277="",Constants!$B$13,X277),"")</f>
        <v/>
      </c>
      <c r="AD277" s="97" t="str">
        <f aca="false">IF($Z277=Constants!$B$7,IF($AB277&gt;=$AC277,1,2),"")</f>
        <v/>
      </c>
      <c r="AE277" s="97" t="str">
        <f aca="false">IF($Z277=Constants!$B$7,LARGE(AB277:AC277,1),"")</f>
        <v/>
      </c>
      <c r="AF277" s="97" t="str">
        <f aca="false">IF(ISBLANK($C277),"",IF($Z277&lt;&gt;Constants!$B$7,$Z277,AE277*S277))</f>
        <v/>
      </c>
      <c r="AG277" s="97" t="str">
        <f aca="false">IF(ISBLANK($C277),"",IF($Z277=Constants!$B$7,IF(ISNUMBER(AF277),RANK(AF277,$AF$8:$AF$507),Constants!$B$14),$Z277))</f>
        <v/>
      </c>
      <c r="AH277" s="97" t="str">
        <f aca="false">IF(ISBLANK($C277),"",IF($Z277=Constants!$B$7,IF(ISNUMBER(AG277),COUNTIFS($AA$8:$AA$507,"&lt;"&amp;$AA277)+COUNTIFS($AA$8:$AA$507,$AA277,$AG$8:$AG$507,"&lt;"&amp;$AG277)+1,Constants!$B$14),$Z277))</f>
        <v/>
      </c>
      <c r="AI277" s="97" t="str">
        <f aca="false">IF(ISBLANK($C277),"",IF($Z277=Constants!$B$7,LARGE(AB277:AC277,2)*S277,""))</f>
        <v/>
      </c>
      <c r="AJ277" s="97" t="str">
        <f aca="false">IF(ISBLANK($C277),"",IF($Z277=Constants!$B$7,RANK(AI277,$AI$8:$AI$507),$Z277))</f>
        <v/>
      </c>
      <c r="AK277" s="97" t="str">
        <f aca="false">IF(ISBLANK($C277),"",IF($Z277=Constants!$B$7,IF(ISNUMBER(AG277),COUNTIFS($AA$8:$AA$507,"&lt;"&amp;$AA277)+COUNTIFS($AA$8:$AA$507,$AA277,$AG$8:$AG$507,"&lt;"&amp;$AG277)+COUNTIFS($AA$8:$AA$507,$AA277,$AG$8:$AG$507,$AG277,$AJ$8:$AJ$507,"&lt;"&amp;$AJ277)+1,Constants!$B$14),$Z277))</f>
        <v/>
      </c>
      <c r="AL277" s="97" t="str">
        <f aca="false">IF(ISBLANK($C277),"",IF($Z277=Constants!$B$7,IF(ISNUMBER(AH277),AH277-AK277,Constants!$B$14),$Z277))</f>
        <v/>
      </c>
      <c r="AM277" s="98"/>
      <c r="AN277" s="99" t="str">
        <f aca="false">IF(ISBLANK($C277),"",IF($Z277&lt;&gt;Constants!$B$7,$Z277,AD277))</f>
        <v/>
      </c>
      <c r="AO277" s="100" t="str">
        <f aca="false">IF(ISBLANK($C277),"",IF($Z277&lt;&gt;Constants!$B$7,$Z277,S277))</f>
        <v/>
      </c>
      <c r="AP277" s="101" t="str">
        <f aca="false">IF(ISBLANK($C277),"",IF($Z277&lt;&gt;Constants!$B$7,$Z277,AF277))</f>
        <v/>
      </c>
      <c r="AQ277" s="102" t="str">
        <f aca="false">IF(ISBLANK($C277),"",IF($Z277&lt;&gt;Constants!$B$7,$Z277,AA277))</f>
        <v/>
      </c>
      <c r="AR277" s="100" t="str">
        <f aca="false">IF(ISBLANK($C277),"",AL277)</f>
        <v/>
      </c>
      <c r="AS277" s="100" t="str">
        <f aca="false">IF(ISBLANK($C277),"",AK277)</f>
        <v/>
      </c>
      <c r="AT277" s="103" t="str">
        <f aca="false">IF(ISBLANK($C277),"",IF(AS277=Constants!$B$4,COUNTA($C$8:$C$507)+2,IF(AS277=Constants!$B$5,COUNTA($C$8:$C$507)+1,IF(AS277=Constants!$B$6,COUNTA($C$8:$C$507),AS277))))</f>
        <v/>
      </c>
      <c r="AU277" s="5"/>
      <c r="AV277" s="104" t="n">
        <f aca="false">IF(OR(ISNUMBER(AS277),AS277=Constants!$B$4,AS277=Constants!$B$6,AS277=Constants!$B$5),1,0)</f>
        <v>0</v>
      </c>
      <c r="AW277" s="104" t="n">
        <v>270</v>
      </c>
      <c r="AX277" s="104" t="str">
        <f aca="false">IF(ISBLANK($C277),"",IF(ISNUMBER(AT277),AT277+ROW($B277)/1000,""))</f>
        <v/>
      </c>
      <c r="AY277" s="104" t="str">
        <f aca="false">IF(ISNUMBER(AX277),RANK(AX277,$AX$8:$AX$507,1),"")</f>
        <v/>
      </c>
      <c r="AZ277" s="104" t="str">
        <f aca="false">IF(ISBLANK($C277),"",$B277)</f>
        <v/>
      </c>
      <c r="BA277" s="104" t="str">
        <f aca="false">IF(ISBLANK($C277),"",$C277)</f>
        <v/>
      </c>
      <c r="BB277" s="104" t="str">
        <f aca="false">IF(ISBLANK($C277),"",$D277)</f>
        <v/>
      </c>
      <c r="BC277" s="105" t="str">
        <f aca="false">AQ277</f>
        <v/>
      </c>
      <c r="BD277" s="106" t="str">
        <f aca="false">AP277</f>
        <v/>
      </c>
      <c r="BE277" s="104" t="str">
        <f aca="false">IF(ISBLANK($C277),"",AS277)</f>
        <v/>
      </c>
      <c r="BF277" s="107" t="str">
        <f aca="false">IF($AW277&gt;$AV$7,"",VLOOKUP($AW277,$AY$8:$BE$507,7,FALSE()))</f>
        <v/>
      </c>
      <c r="BG277" s="108" t="str">
        <f aca="false">IF($AW277&gt;$AV$7,"",VLOOKUP($AW277,$AY$8:$BE$507,2,FALSE()))</f>
        <v/>
      </c>
      <c r="BH277" s="108" t="str">
        <f aca="false">IF($AW277&gt;$AV$7,"",VLOOKUP($AW277,$AY$8:$BE$507,3,FALSE()))</f>
        <v/>
      </c>
      <c r="BI277" s="108" t="str">
        <f aca="false">IF($AW277&gt;$AV$7,"",VLOOKUP($AW277,$AY$8:$BE$507,4,FALSE()))</f>
        <v/>
      </c>
      <c r="BJ277" s="108" t="str">
        <f aca="false">IF($AW277&gt;$AV$7,"",VLOOKUP($AW277,$AY$8:$BE$507,5,FALSE()))</f>
        <v/>
      </c>
      <c r="BK277" s="109" t="str">
        <f aca="false">IF($AW277&gt;$AV$7,"",VLOOKUP($AW277,$AY$8:$BE$507,6,FALSE()))</f>
        <v/>
      </c>
      <c r="BL277" s="50"/>
    </row>
    <row r="278" customFormat="false" ht="15.75" hidden="false" customHeight="false" outlineLevel="0" collapsed="false">
      <c r="A278" s="5"/>
      <c r="B278" s="131"/>
      <c r="C278" s="52"/>
      <c r="D278" s="53"/>
      <c r="E278" s="80"/>
      <c r="F278" s="132"/>
      <c r="G278" s="56"/>
      <c r="H278" s="133"/>
      <c r="I278" s="134"/>
      <c r="J278" s="59"/>
      <c r="K278" s="60"/>
      <c r="L278" s="134"/>
      <c r="M278" s="61"/>
      <c r="N278" s="62"/>
      <c r="O278" s="80"/>
      <c r="P278" s="64"/>
      <c r="Q278" s="65" t="str">
        <f aca="false">IF(ISBLANK($C278),"",IF(E278=Constants!$B$2, TRUE(), IF(E278=Constants!$B$3, FALSE(), TRUE())))</f>
        <v/>
      </c>
      <c r="R278" s="65" t="str">
        <f aca="false">IF(ISBLANK($C278),"",IF(F278=Constants!$B$2, TRUE(), IF(F278=Constants!$B$3, FALSE(), TRUE())))</f>
        <v/>
      </c>
      <c r="S278" s="65" t="str">
        <f aca="false">IF(ISBLANK($C278),"",IF(G278=Constants!$B$15,Constants!$B$8,IF(G278=Constants!$B$16,Constants!$B$9,Constants!$B$10)))</f>
        <v/>
      </c>
      <c r="T278" s="65" t="str">
        <f aca="false">IF(ISBLANK($C278),"",IF(H278=Constants!$B$2, TRUE(), IF(H278=Constants!$B$3, FALSE(), TRUE())))</f>
        <v/>
      </c>
      <c r="U278" s="65" t="str">
        <f aca="false">IF(ISBLANK($C278),"",IF(I278=Constants!$B$19,Constants!$B$19,Constants!$B$18))</f>
        <v/>
      </c>
      <c r="V278" s="65" t="str">
        <f aca="false">IF(ISBLANK($C278),"",IF(COUNTA(J278:K278)=0,"",IF(AND(OR(ISBLANK(J278),AND(ISNUMBER(J278),J278&gt;=0)),OR(ISBLANK(K278),AND(ISNUMBER(K278),K278&gt;=0))),60*IF(ISBLANK(J278),0,J278)+IF(ISBLANK(K278),0,K278),"")))</f>
        <v/>
      </c>
      <c r="W278" s="65" t="str">
        <f aca="false">IF(ISBLANK($C278),"",IF(L278=Constants!$B$19,Constants!$B$19,Constants!$B$18))</f>
        <v/>
      </c>
      <c r="X278" s="65" t="str">
        <f aca="false">IF(ISBLANK($C278),"",IF(COUNTA(M278:N278)=0,"",IF(AND(OR(ISBLANK(M278),AND(ISNUMBER(M278),M278&gt;=0)),OR(ISBLANK(N278),AND(ISNUMBER(N278),N278&gt;=0))),60*IF(ISBLANK(M278),0,M278)+IF(ISBLANK(N278),0,N278),"")))</f>
        <v/>
      </c>
      <c r="Y278" s="65" t="str">
        <f aca="false">IF(ISBLANK($C278),"",IF(O278=Constants!$B$2, TRUE(), IF(O278=Constants!$B$3, FALSE(), FALSE())))</f>
        <v/>
      </c>
      <c r="Z278" s="65" t="str">
        <f aca="false">IF(ISBLANK($C278),"",IF(Y278,Constants!$B$4,IF(COUNTA(E278:N278)=0,Constants!$B$5,IF(COUNTA(J278:K278,M278:N278)=0,Constants!$B$6,Constants!$B$7))))</f>
        <v/>
      </c>
      <c r="AA278" s="65" t="str">
        <f aca="false">IF(ISBLANK($C278),"",IF($Z278&lt;&gt;Constants!$B$7,$Z278,IF(OR(NOT(T278),AND(NOT(Q278),COUNTIFS(U278:W278,Constants!$B$18,V278:X278,"&gt;=0")&gt;0),AND(NOT(R278),COUNTIFS(U278:W278,Constants!$B$19,V278:X278,"&gt;=0")&gt;0)),Constants!$B$12,Constants!$B$11)))</f>
        <v/>
      </c>
      <c r="AB278" s="65" t="str">
        <f aca="false">IF($Z278=Constants!$B$7,IF(V278="",Constants!$B$13,V278),"")</f>
        <v/>
      </c>
      <c r="AC278" s="65" t="str">
        <f aca="false">IF($Z278=Constants!$B$7,IF(X278="",Constants!$B$13,X278),"")</f>
        <v/>
      </c>
      <c r="AD278" s="65" t="str">
        <f aca="false">IF($Z278=Constants!$B$7,IF($AB278&gt;=$AC278,1,2),"")</f>
        <v/>
      </c>
      <c r="AE278" s="65" t="str">
        <f aca="false">IF($Z278=Constants!$B$7,LARGE(AB278:AC278,1),"")</f>
        <v/>
      </c>
      <c r="AF278" s="65" t="str">
        <f aca="false">IF(ISBLANK($C278),"",IF($Z278&lt;&gt;Constants!$B$7,$Z278,AE278*S278))</f>
        <v/>
      </c>
      <c r="AG278" s="65" t="str">
        <f aca="false">IF(ISBLANK($C278),"",IF($Z278=Constants!$B$7,IF(ISNUMBER(AF278),RANK(AF278,$AF$8:$AF$507),Constants!$B$14),$Z278))</f>
        <v/>
      </c>
      <c r="AH278" s="65" t="str">
        <f aca="false">IF(ISBLANK($C278),"",IF($Z278=Constants!$B$7,IF(ISNUMBER(AG278),COUNTIFS($AA$8:$AA$507,"&lt;"&amp;$AA278)+COUNTIFS($AA$8:$AA$507,$AA278,$AG$8:$AG$507,"&lt;"&amp;$AG278)+1,Constants!$B$14),$Z278))</f>
        <v/>
      </c>
      <c r="AI278" s="65" t="str">
        <f aca="false">IF(ISBLANK($C278),"",IF($Z278=Constants!$B$7,LARGE(AB278:AC278,2)*S278,""))</f>
        <v/>
      </c>
      <c r="AJ278" s="65" t="str">
        <f aca="false">IF(ISBLANK($C278),"",IF($Z278=Constants!$B$7,RANK(AI278,$AI$8:$AI$507),$Z278))</f>
        <v/>
      </c>
      <c r="AK278" s="65" t="str">
        <f aca="false">IF(ISBLANK($C278),"",IF($Z278=Constants!$B$7,IF(ISNUMBER(AG278),COUNTIFS($AA$8:$AA$507,"&lt;"&amp;$AA278)+COUNTIFS($AA$8:$AA$507,$AA278,$AG$8:$AG$507,"&lt;"&amp;$AG278)+COUNTIFS($AA$8:$AA$507,$AA278,$AG$8:$AG$507,$AG278,$AJ$8:$AJ$507,"&lt;"&amp;$AJ278)+1,Constants!$B$14),$Z278))</f>
        <v/>
      </c>
      <c r="AL278" s="65" t="str">
        <f aca="false">IF(ISBLANK($C278),"",IF($Z278=Constants!$B$7,IF(ISNUMBER(AH278),AH278-AK278,Constants!$B$14),$Z278))</f>
        <v/>
      </c>
      <c r="AM278" s="67"/>
      <c r="AN278" s="68" t="str">
        <f aca="false">IF(ISBLANK($C278),"",IF($Z278&lt;&gt;Constants!$B$7,$Z278,AD278))</f>
        <v/>
      </c>
      <c r="AO278" s="69" t="str">
        <f aca="false">IF(ISBLANK($C278),"",IF($Z278&lt;&gt;Constants!$B$7,$Z278,S278))</f>
        <v/>
      </c>
      <c r="AP278" s="70" t="str">
        <f aca="false">IF(ISBLANK($C278),"",IF($Z278&lt;&gt;Constants!$B$7,$Z278,AF278))</f>
        <v/>
      </c>
      <c r="AQ278" s="71" t="str">
        <f aca="false">IF(ISBLANK($C278),"",IF($Z278&lt;&gt;Constants!$B$7,$Z278,AA278))</f>
        <v/>
      </c>
      <c r="AR278" s="69" t="str">
        <f aca="false">IF(ISBLANK($C278),"",AL278)</f>
        <v/>
      </c>
      <c r="AS278" s="69" t="str">
        <f aca="false">IF(ISBLANK($C278),"",AK278)</f>
        <v/>
      </c>
      <c r="AT278" s="72" t="str">
        <f aca="false">IF(ISBLANK($C278),"",IF(AS278=Constants!$B$4,COUNTA($C$8:$C$507)+2,IF(AS278=Constants!$B$5,COUNTA($C$8:$C$507)+1,IF(AS278=Constants!$B$6,COUNTA($C$8:$C$507),AS278))))</f>
        <v/>
      </c>
      <c r="AU278" s="5"/>
      <c r="AV278" s="73" t="n">
        <f aca="false">IF(OR(ISNUMBER(AS278),AS278=Constants!$B$4,AS278=Constants!$B$6,AS278=Constants!$B$5),1,0)</f>
        <v>0</v>
      </c>
      <c r="AW278" s="73" t="n">
        <v>271</v>
      </c>
      <c r="AX278" s="73" t="str">
        <f aca="false">IF(ISBLANK($C278),"",IF(ISNUMBER(AT278),AT278+ROW($B278)/1000,""))</f>
        <v/>
      </c>
      <c r="AY278" s="73" t="str">
        <f aca="false">IF(ISNUMBER(AX278),RANK(AX278,$AX$8:$AX$507,1),"")</f>
        <v/>
      </c>
      <c r="AZ278" s="73" t="str">
        <f aca="false">IF(ISBLANK($C278),"",$B278)</f>
        <v/>
      </c>
      <c r="BA278" s="73" t="str">
        <f aca="false">IF(ISBLANK($C278),"",$C278)</f>
        <v/>
      </c>
      <c r="BB278" s="73" t="str">
        <f aca="false">IF(ISBLANK($C278),"",$D278)</f>
        <v/>
      </c>
      <c r="BC278" s="74" t="str">
        <f aca="false">AQ278</f>
        <v/>
      </c>
      <c r="BD278" s="75" t="str">
        <f aca="false">AP278</f>
        <v/>
      </c>
      <c r="BE278" s="73" t="str">
        <f aca="false">IF(ISBLANK($C278),"",AS278)</f>
        <v/>
      </c>
      <c r="BF278" s="76" t="str">
        <f aca="false">IF($AW278&gt;$AV$7,"",VLOOKUP($AW278,$AY$8:$BE$507,7,FALSE()))</f>
        <v/>
      </c>
      <c r="BG278" s="77" t="str">
        <f aca="false">IF($AW278&gt;$AV$7,"",VLOOKUP($AW278,$AY$8:$BE$507,2,FALSE()))</f>
        <v/>
      </c>
      <c r="BH278" s="77" t="str">
        <f aca="false">IF($AW278&gt;$AV$7,"",VLOOKUP($AW278,$AY$8:$BE$507,3,FALSE()))</f>
        <v/>
      </c>
      <c r="BI278" s="77" t="str">
        <f aca="false">IF($AW278&gt;$AV$7,"",VLOOKUP($AW278,$AY$8:$BE$507,4,FALSE()))</f>
        <v/>
      </c>
      <c r="BJ278" s="77" t="str">
        <f aca="false">IF($AW278&gt;$AV$7,"",VLOOKUP($AW278,$AY$8:$BE$507,5,FALSE()))</f>
        <v/>
      </c>
      <c r="BK278" s="78" t="str">
        <f aca="false">IF($AW278&gt;$AV$7,"",VLOOKUP($AW278,$AY$8:$BE$507,6,FALSE()))</f>
        <v/>
      </c>
      <c r="BL278" s="50"/>
    </row>
    <row r="279" customFormat="false" ht="15.75" hidden="false" customHeight="false" outlineLevel="0" collapsed="false">
      <c r="A279" s="5"/>
      <c r="B279" s="131"/>
      <c r="C279" s="52"/>
      <c r="D279" s="53"/>
      <c r="E279" s="80"/>
      <c r="F279" s="132"/>
      <c r="G279" s="56"/>
      <c r="H279" s="133"/>
      <c r="I279" s="134"/>
      <c r="J279" s="59"/>
      <c r="K279" s="60"/>
      <c r="L279" s="134"/>
      <c r="M279" s="61"/>
      <c r="N279" s="62"/>
      <c r="O279" s="80"/>
      <c r="P279" s="64"/>
      <c r="Q279" s="65" t="str">
        <f aca="false">IF(ISBLANK($C279),"",IF(E279=Constants!$B$2, TRUE(), IF(E279=Constants!$B$3, FALSE(), TRUE())))</f>
        <v/>
      </c>
      <c r="R279" s="65" t="str">
        <f aca="false">IF(ISBLANK($C279),"",IF(F279=Constants!$B$2, TRUE(), IF(F279=Constants!$B$3, FALSE(), TRUE())))</f>
        <v/>
      </c>
      <c r="S279" s="65" t="str">
        <f aca="false">IF(ISBLANK($C279),"",IF(G279=Constants!$B$15,Constants!$B$8,IF(G279=Constants!$B$16,Constants!$B$9,Constants!$B$10)))</f>
        <v/>
      </c>
      <c r="T279" s="65" t="str">
        <f aca="false">IF(ISBLANK($C279),"",IF(H279=Constants!$B$2, TRUE(), IF(H279=Constants!$B$3, FALSE(), TRUE())))</f>
        <v/>
      </c>
      <c r="U279" s="65" t="str">
        <f aca="false">IF(ISBLANK($C279),"",IF(I279=Constants!$B$19,Constants!$B$19,Constants!$B$18))</f>
        <v/>
      </c>
      <c r="V279" s="65" t="str">
        <f aca="false">IF(ISBLANK($C279),"",IF(COUNTA(J279:K279)=0,"",IF(AND(OR(ISBLANK(J279),AND(ISNUMBER(J279),J279&gt;=0)),OR(ISBLANK(K279),AND(ISNUMBER(K279),K279&gt;=0))),60*IF(ISBLANK(J279),0,J279)+IF(ISBLANK(K279),0,K279),"")))</f>
        <v/>
      </c>
      <c r="W279" s="65" t="str">
        <f aca="false">IF(ISBLANK($C279),"",IF(L279=Constants!$B$19,Constants!$B$19,Constants!$B$18))</f>
        <v/>
      </c>
      <c r="X279" s="65" t="str">
        <f aca="false">IF(ISBLANK($C279),"",IF(COUNTA(M279:N279)=0,"",IF(AND(OR(ISBLANK(M279),AND(ISNUMBER(M279),M279&gt;=0)),OR(ISBLANK(N279),AND(ISNUMBER(N279),N279&gt;=0))),60*IF(ISBLANK(M279),0,M279)+IF(ISBLANK(N279),0,N279),"")))</f>
        <v/>
      </c>
      <c r="Y279" s="65" t="str">
        <f aca="false">IF(ISBLANK($C279),"",IF(O279=Constants!$B$2, TRUE(), IF(O279=Constants!$B$3, FALSE(), FALSE())))</f>
        <v/>
      </c>
      <c r="Z279" s="65" t="str">
        <f aca="false">IF(ISBLANK($C279),"",IF(Y279,Constants!$B$4,IF(COUNTA(E279:N279)=0,Constants!$B$5,IF(COUNTA(J279:K279,M279:N279)=0,Constants!$B$6,Constants!$B$7))))</f>
        <v/>
      </c>
      <c r="AA279" s="65" t="str">
        <f aca="false">IF(ISBLANK($C279),"",IF($Z279&lt;&gt;Constants!$B$7,$Z279,IF(OR(NOT(T279),AND(NOT(Q279),COUNTIFS(U279:W279,Constants!$B$18,V279:X279,"&gt;=0")&gt;0),AND(NOT(R279),COUNTIFS(U279:W279,Constants!$B$19,V279:X279,"&gt;=0")&gt;0)),Constants!$B$12,Constants!$B$11)))</f>
        <v/>
      </c>
      <c r="AB279" s="65" t="str">
        <f aca="false">IF($Z279=Constants!$B$7,IF(V279="",Constants!$B$13,V279),"")</f>
        <v/>
      </c>
      <c r="AC279" s="65" t="str">
        <f aca="false">IF($Z279=Constants!$B$7,IF(X279="",Constants!$B$13,X279),"")</f>
        <v/>
      </c>
      <c r="AD279" s="65" t="str">
        <f aca="false">IF($Z279=Constants!$B$7,IF($AB279&gt;=$AC279,1,2),"")</f>
        <v/>
      </c>
      <c r="AE279" s="65" t="str">
        <f aca="false">IF($Z279=Constants!$B$7,LARGE(AB279:AC279,1),"")</f>
        <v/>
      </c>
      <c r="AF279" s="65" t="str">
        <f aca="false">IF(ISBLANK($C279),"",IF($Z279&lt;&gt;Constants!$B$7,$Z279,AE279*S279))</f>
        <v/>
      </c>
      <c r="AG279" s="65" t="str">
        <f aca="false">IF(ISBLANK($C279),"",IF($Z279=Constants!$B$7,IF(ISNUMBER(AF279),RANK(AF279,$AF$8:$AF$507),Constants!$B$14),$Z279))</f>
        <v/>
      </c>
      <c r="AH279" s="65" t="str">
        <f aca="false">IF(ISBLANK($C279),"",IF($Z279=Constants!$B$7,IF(ISNUMBER(AG279),COUNTIFS($AA$8:$AA$507,"&lt;"&amp;$AA279)+COUNTIFS($AA$8:$AA$507,$AA279,$AG$8:$AG$507,"&lt;"&amp;$AG279)+1,Constants!$B$14),$Z279))</f>
        <v/>
      </c>
      <c r="AI279" s="65" t="str">
        <f aca="false">IF(ISBLANK($C279),"",IF($Z279=Constants!$B$7,LARGE(AB279:AC279,2)*S279,""))</f>
        <v/>
      </c>
      <c r="AJ279" s="65" t="str">
        <f aca="false">IF(ISBLANK($C279),"",IF($Z279=Constants!$B$7,RANK(AI279,$AI$8:$AI$507),$Z279))</f>
        <v/>
      </c>
      <c r="AK279" s="65" t="str">
        <f aca="false">IF(ISBLANK($C279),"",IF($Z279=Constants!$B$7,IF(ISNUMBER(AG279),COUNTIFS($AA$8:$AA$507,"&lt;"&amp;$AA279)+COUNTIFS($AA$8:$AA$507,$AA279,$AG$8:$AG$507,"&lt;"&amp;$AG279)+COUNTIFS($AA$8:$AA$507,$AA279,$AG$8:$AG$507,$AG279,$AJ$8:$AJ$507,"&lt;"&amp;$AJ279)+1,Constants!$B$14),$Z279))</f>
        <v/>
      </c>
      <c r="AL279" s="65" t="str">
        <f aca="false">IF(ISBLANK($C279),"",IF($Z279=Constants!$B$7,IF(ISNUMBER(AH279),AH279-AK279,Constants!$B$14),$Z279))</f>
        <v/>
      </c>
      <c r="AM279" s="67"/>
      <c r="AN279" s="68" t="str">
        <f aca="false">IF(ISBLANK($C279),"",IF($Z279&lt;&gt;Constants!$B$7,$Z279,AD279))</f>
        <v/>
      </c>
      <c r="AO279" s="69" t="str">
        <f aca="false">IF(ISBLANK($C279),"",IF($Z279&lt;&gt;Constants!$B$7,$Z279,S279))</f>
        <v/>
      </c>
      <c r="AP279" s="70" t="str">
        <f aca="false">IF(ISBLANK($C279),"",IF($Z279&lt;&gt;Constants!$B$7,$Z279,AF279))</f>
        <v/>
      </c>
      <c r="AQ279" s="71" t="str">
        <f aca="false">IF(ISBLANK($C279),"",IF($Z279&lt;&gt;Constants!$B$7,$Z279,AA279))</f>
        <v/>
      </c>
      <c r="AR279" s="69" t="str">
        <f aca="false">IF(ISBLANK($C279),"",AL279)</f>
        <v/>
      </c>
      <c r="AS279" s="69" t="str">
        <f aca="false">IF(ISBLANK($C279),"",AK279)</f>
        <v/>
      </c>
      <c r="AT279" s="72" t="str">
        <f aca="false">IF(ISBLANK($C279),"",IF(AS279=Constants!$B$4,COUNTA($C$8:$C$507)+2,IF(AS279=Constants!$B$5,COUNTA($C$8:$C$507)+1,IF(AS279=Constants!$B$6,COUNTA($C$8:$C$507),AS279))))</f>
        <v/>
      </c>
      <c r="AU279" s="5"/>
      <c r="AV279" s="73" t="n">
        <f aca="false">IF(OR(ISNUMBER(AS279),AS279=Constants!$B$4,AS279=Constants!$B$6,AS279=Constants!$B$5),1,0)</f>
        <v>0</v>
      </c>
      <c r="AW279" s="73" t="n">
        <v>272</v>
      </c>
      <c r="AX279" s="73" t="str">
        <f aca="false">IF(ISBLANK($C279),"",IF(ISNUMBER(AT279),AT279+ROW($B279)/1000,""))</f>
        <v/>
      </c>
      <c r="AY279" s="73" t="str">
        <f aca="false">IF(ISNUMBER(AX279),RANK(AX279,$AX$8:$AX$507,1),"")</f>
        <v/>
      </c>
      <c r="AZ279" s="73" t="str">
        <f aca="false">IF(ISBLANK($C279),"",$B279)</f>
        <v/>
      </c>
      <c r="BA279" s="73" t="str">
        <f aca="false">IF(ISBLANK($C279),"",$C279)</f>
        <v/>
      </c>
      <c r="BB279" s="73" t="str">
        <f aca="false">IF(ISBLANK($C279),"",$D279)</f>
        <v/>
      </c>
      <c r="BC279" s="74" t="str">
        <f aca="false">AQ279</f>
        <v/>
      </c>
      <c r="BD279" s="75" t="str">
        <f aca="false">AP279</f>
        <v/>
      </c>
      <c r="BE279" s="73" t="str">
        <f aca="false">IF(ISBLANK($C279),"",AS279)</f>
        <v/>
      </c>
      <c r="BF279" s="76" t="str">
        <f aca="false">IF($AW279&gt;$AV$7,"",VLOOKUP($AW279,$AY$8:$BE$507,7,FALSE()))</f>
        <v/>
      </c>
      <c r="BG279" s="77" t="str">
        <f aca="false">IF($AW279&gt;$AV$7,"",VLOOKUP($AW279,$AY$8:$BE$507,2,FALSE()))</f>
        <v/>
      </c>
      <c r="BH279" s="77" t="str">
        <f aca="false">IF($AW279&gt;$AV$7,"",VLOOKUP($AW279,$AY$8:$BE$507,3,FALSE()))</f>
        <v/>
      </c>
      <c r="BI279" s="77" t="str">
        <f aca="false">IF($AW279&gt;$AV$7,"",VLOOKUP($AW279,$AY$8:$BE$507,4,FALSE()))</f>
        <v/>
      </c>
      <c r="BJ279" s="77" t="str">
        <f aca="false">IF($AW279&gt;$AV$7,"",VLOOKUP($AW279,$AY$8:$BE$507,5,FALSE()))</f>
        <v/>
      </c>
      <c r="BK279" s="78" t="str">
        <f aca="false">IF($AW279&gt;$AV$7,"",VLOOKUP($AW279,$AY$8:$BE$507,6,FALSE()))</f>
        <v/>
      </c>
      <c r="BL279" s="50"/>
    </row>
    <row r="280" customFormat="false" ht="15.75" hidden="false" customHeight="false" outlineLevel="0" collapsed="false">
      <c r="A280" s="5"/>
      <c r="B280" s="131"/>
      <c r="C280" s="52"/>
      <c r="D280" s="53"/>
      <c r="E280" s="80"/>
      <c r="F280" s="132"/>
      <c r="G280" s="56"/>
      <c r="H280" s="133"/>
      <c r="I280" s="134"/>
      <c r="J280" s="59"/>
      <c r="K280" s="60"/>
      <c r="L280" s="134"/>
      <c r="M280" s="61"/>
      <c r="N280" s="62"/>
      <c r="O280" s="80"/>
      <c r="P280" s="64"/>
      <c r="Q280" s="65" t="str">
        <f aca="false">IF(ISBLANK($C280),"",IF(E280=Constants!$B$2, TRUE(), IF(E280=Constants!$B$3, FALSE(), TRUE())))</f>
        <v/>
      </c>
      <c r="R280" s="65" t="str">
        <f aca="false">IF(ISBLANK($C280),"",IF(F280=Constants!$B$2, TRUE(), IF(F280=Constants!$B$3, FALSE(), TRUE())))</f>
        <v/>
      </c>
      <c r="S280" s="65" t="str">
        <f aca="false">IF(ISBLANK($C280),"",IF(G280=Constants!$B$15,Constants!$B$8,IF(G280=Constants!$B$16,Constants!$B$9,Constants!$B$10)))</f>
        <v/>
      </c>
      <c r="T280" s="65" t="str">
        <f aca="false">IF(ISBLANK($C280),"",IF(H280=Constants!$B$2, TRUE(), IF(H280=Constants!$B$3, FALSE(), TRUE())))</f>
        <v/>
      </c>
      <c r="U280" s="65" t="str">
        <f aca="false">IF(ISBLANK($C280),"",IF(I280=Constants!$B$19,Constants!$B$19,Constants!$B$18))</f>
        <v/>
      </c>
      <c r="V280" s="65" t="str">
        <f aca="false">IF(ISBLANK($C280),"",IF(COUNTA(J280:K280)=0,"",IF(AND(OR(ISBLANK(J280),AND(ISNUMBER(J280),J280&gt;=0)),OR(ISBLANK(K280),AND(ISNUMBER(K280),K280&gt;=0))),60*IF(ISBLANK(J280),0,J280)+IF(ISBLANK(K280),0,K280),"")))</f>
        <v/>
      </c>
      <c r="W280" s="65" t="str">
        <f aca="false">IF(ISBLANK($C280),"",IF(L280=Constants!$B$19,Constants!$B$19,Constants!$B$18))</f>
        <v/>
      </c>
      <c r="X280" s="65" t="str">
        <f aca="false">IF(ISBLANK($C280),"",IF(COUNTA(M280:N280)=0,"",IF(AND(OR(ISBLANK(M280),AND(ISNUMBER(M280),M280&gt;=0)),OR(ISBLANK(N280),AND(ISNUMBER(N280),N280&gt;=0))),60*IF(ISBLANK(M280),0,M280)+IF(ISBLANK(N280),0,N280),"")))</f>
        <v/>
      </c>
      <c r="Y280" s="65" t="str">
        <f aca="false">IF(ISBLANK($C280),"",IF(O280=Constants!$B$2, TRUE(), IF(O280=Constants!$B$3, FALSE(), FALSE())))</f>
        <v/>
      </c>
      <c r="Z280" s="65" t="str">
        <f aca="false">IF(ISBLANK($C280),"",IF(Y280,Constants!$B$4,IF(COUNTA(E280:N280)=0,Constants!$B$5,IF(COUNTA(J280:K280,M280:N280)=0,Constants!$B$6,Constants!$B$7))))</f>
        <v/>
      </c>
      <c r="AA280" s="65" t="str">
        <f aca="false">IF(ISBLANK($C280),"",IF($Z280&lt;&gt;Constants!$B$7,$Z280,IF(OR(NOT(T280),AND(NOT(Q280),COUNTIFS(U280:W280,Constants!$B$18,V280:X280,"&gt;=0")&gt;0),AND(NOT(R280),COUNTIFS(U280:W280,Constants!$B$19,V280:X280,"&gt;=0")&gt;0)),Constants!$B$12,Constants!$B$11)))</f>
        <v/>
      </c>
      <c r="AB280" s="65" t="str">
        <f aca="false">IF($Z280=Constants!$B$7,IF(V280="",Constants!$B$13,V280),"")</f>
        <v/>
      </c>
      <c r="AC280" s="65" t="str">
        <f aca="false">IF($Z280=Constants!$B$7,IF(X280="",Constants!$B$13,X280),"")</f>
        <v/>
      </c>
      <c r="AD280" s="65" t="str">
        <f aca="false">IF($Z280=Constants!$B$7,IF($AB280&gt;=$AC280,1,2),"")</f>
        <v/>
      </c>
      <c r="AE280" s="65" t="str">
        <f aca="false">IF($Z280=Constants!$B$7,LARGE(AB280:AC280,1),"")</f>
        <v/>
      </c>
      <c r="AF280" s="65" t="str">
        <f aca="false">IF(ISBLANK($C280),"",IF($Z280&lt;&gt;Constants!$B$7,$Z280,AE280*S280))</f>
        <v/>
      </c>
      <c r="AG280" s="65" t="str">
        <f aca="false">IF(ISBLANK($C280),"",IF($Z280=Constants!$B$7,IF(ISNUMBER(AF280),RANK(AF280,$AF$8:$AF$507),Constants!$B$14),$Z280))</f>
        <v/>
      </c>
      <c r="AH280" s="65" t="str">
        <f aca="false">IF(ISBLANK($C280),"",IF($Z280=Constants!$B$7,IF(ISNUMBER(AG280),COUNTIFS($AA$8:$AA$507,"&lt;"&amp;$AA280)+COUNTIFS($AA$8:$AA$507,$AA280,$AG$8:$AG$507,"&lt;"&amp;$AG280)+1,Constants!$B$14),$Z280))</f>
        <v/>
      </c>
      <c r="AI280" s="65" t="str">
        <f aca="false">IF(ISBLANK($C280),"",IF($Z280=Constants!$B$7,LARGE(AB280:AC280,2)*S280,""))</f>
        <v/>
      </c>
      <c r="AJ280" s="65" t="str">
        <f aca="false">IF(ISBLANK($C280),"",IF($Z280=Constants!$B$7,RANK(AI280,$AI$8:$AI$507),$Z280))</f>
        <v/>
      </c>
      <c r="AK280" s="65" t="str">
        <f aca="false">IF(ISBLANK($C280),"",IF($Z280=Constants!$B$7,IF(ISNUMBER(AG280),COUNTIFS($AA$8:$AA$507,"&lt;"&amp;$AA280)+COUNTIFS($AA$8:$AA$507,$AA280,$AG$8:$AG$507,"&lt;"&amp;$AG280)+COUNTIFS($AA$8:$AA$507,$AA280,$AG$8:$AG$507,$AG280,$AJ$8:$AJ$507,"&lt;"&amp;$AJ280)+1,Constants!$B$14),$Z280))</f>
        <v/>
      </c>
      <c r="AL280" s="65" t="str">
        <f aca="false">IF(ISBLANK($C280),"",IF($Z280=Constants!$B$7,IF(ISNUMBER(AH280),AH280-AK280,Constants!$B$14),$Z280))</f>
        <v/>
      </c>
      <c r="AM280" s="67"/>
      <c r="AN280" s="68" t="str">
        <f aca="false">IF(ISBLANK($C280),"",IF($Z280&lt;&gt;Constants!$B$7,$Z280,AD280))</f>
        <v/>
      </c>
      <c r="AO280" s="69" t="str">
        <f aca="false">IF(ISBLANK($C280),"",IF($Z280&lt;&gt;Constants!$B$7,$Z280,S280))</f>
        <v/>
      </c>
      <c r="AP280" s="70" t="str">
        <f aca="false">IF(ISBLANK($C280),"",IF($Z280&lt;&gt;Constants!$B$7,$Z280,AF280))</f>
        <v/>
      </c>
      <c r="AQ280" s="71" t="str">
        <f aca="false">IF(ISBLANK($C280),"",IF($Z280&lt;&gt;Constants!$B$7,$Z280,AA280))</f>
        <v/>
      </c>
      <c r="AR280" s="69" t="str">
        <f aca="false">IF(ISBLANK($C280),"",AL280)</f>
        <v/>
      </c>
      <c r="AS280" s="69" t="str">
        <f aca="false">IF(ISBLANK($C280),"",AK280)</f>
        <v/>
      </c>
      <c r="AT280" s="72" t="str">
        <f aca="false">IF(ISBLANK($C280),"",IF(AS280=Constants!$B$4,COUNTA($C$8:$C$507)+2,IF(AS280=Constants!$B$5,COUNTA($C$8:$C$507)+1,IF(AS280=Constants!$B$6,COUNTA($C$8:$C$507),AS280))))</f>
        <v/>
      </c>
      <c r="AU280" s="5"/>
      <c r="AV280" s="73" t="n">
        <f aca="false">IF(OR(ISNUMBER(AS280),AS280=Constants!$B$4,AS280=Constants!$B$6,AS280=Constants!$B$5),1,0)</f>
        <v>0</v>
      </c>
      <c r="AW280" s="73" t="n">
        <v>273</v>
      </c>
      <c r="AX280" s="73" t="str">
        <f aca="false">IF(ISBLANK($C280),"",IF(ISNUMBER(AT280),AT280+ROW($B280)/1000,""))</f>
        <v/>
      </c>
      <c r="AY280" s="73" t="str">
        <f aca="false">IF(ISNUMBER(AX280),RANK(AX280,$AX$8:$AX$507,1),"")</f>
        <v/>
      </c>
      <c r="AZ280" s="73" t="str">
        <f aca="false">IF(ISBLANK($C280),"",$B280)</f>
        <v/>
      </c>
      <c r="BA280" s="73" t="str">
        <f aca="false">IF(ISBLANK($C280),"",$C280)</f>
        <v/>
      </c>
      <c r="BB280" s="73" t="str">
        <f aca="false">IF(ISBLANK($C280),"",$D280)</f>
        <v/>
      </c>
      <c r="BC280" s="74" t="str">
        <f aca="false">AQ280</f>
        <v/>
      </c>
      <c r="BD280" s="75" t="str">
        <f aca="false">AP280</f>
        <v/>
      </c>
      <c r="BE280" s="73" t="str">
        <f aca="false">IF(ISBLANK($C280),"",AS280)</f>
        <v/>
      </c>
      <c r="BF280" s="76" t="str">
        <f aca="false">IF($AW280&gt;$AV$7,"",VLOOKUP($AW280,$AY$8:$BE$507,7,FALSE()))</f>
        <v/>
      </c>
      <c r="BG280" s="77" t="str">
        <f aca="false">IF($AW280&gt;$AV$7,"",VLOOKUP($AW280,$AY$8:$BE$507,2,FALSE()))</f>
        <v/>
      </c>
      <c r="BH280" s="77" t="str">
        <f aca="false">IF($AW280&gt;$AV$7,"",VLOOKUP($AW280,$AY$8:$BE$507,3,FALSE()))</f>
        <v/>
      </c>
      <c r="BI280" s="77" t="str">
        <f aca="false">IF($AW280&gt;$AV$7,"",VLOOKUP($AW280,$AY$8:$BE$507,4,FALSE()))</f>
        <v/>
      </c>
      <c r="BJ280" s="77" t="str">
        <f aca="false">IF($AW280&gt;$AV$7,"",VLOOKUP($AW280,$AY$8:$BE$507,5,FALSE()))</f>
        <v/>
      </c>
      <c r="BK280" s="78" t="str">
        <f aca="false">IF($AW280&gt;$AV$7,"",VLOOKUP($AW280,$AY$8:$BE$507,6,FALSE()))</f>
        <v/>
      </c>
      <c r="BL280" s="50"/>
    </row>
    <row r="281" customFormat="false" ht="15.75" hidden="false" customHeight="false" outlineLevel="0" collapsed="false">
      <c r="A281" s="5"/>
      <c r="B281" s="124"/>
      <c r="C281" s="125"/>
      <c r="D281" s="110"/>
      <c r="E281" s="130"/>
      <c r="F281" s="135"/>
      <c r="G281" s="88"/>
      <c r="H281" s="136"/>
      <c r="I281" s="137"/>
      <c r="J281" s="91"/>
      <c r="K281" s="92"/>
      <c r="L281" s="137"/>
      <c r="M281" s="93"/>
      <c r="N281" s="94"/>
      <c r="O281" s="130"/>
      <c r="P281" s="96"/>
      <c r="Q281" s="97" t="str">
        <f aca="false">IF(ISBLANK($C281),"",IF(E281=Constants!$B$2, TRUE(), IF(E281=Constants!$B$3, FALSE(), TRUE())))</f>
        <v/>
      </c>
      <c r="R281" s="97" t="str">
        <f aca="false">IF(ISBLANK($C281),"",IF(F281=Constants!$B$2, TRUE(), IF(F281=Constants!$B$3, FALSE(), TRUE())))</f>
        <v/>
      </c>
      <c r="S281" s="97" t="str">
        <f aca="false">IF(ISBLANK($C281),"",IF(G281=Constants!$B$15,Constants!$B$8,IF(G281=Constants!$B$16,Constants!$B$9,Constants!$B$10)))</f>
        <v/>
      </c>
      <c r="T281" s="97" t="str">
        <f aca="false">IF(ISBLANK($C281),"",IF(H281=Constants!$B$2, TRUE(), IF(H281=Constants!$B$3, FALSE(), TRUE())))</f>
        <v/>
      </c>
      <c r="U281" s="97" t="str">
        <f aca="false">IF(ISBLANK($C281),"",IF(I281=Constants!$B$19,Constants!$B$19,Constants!$B$18))</f>
        <v/>
      </c>
      <c r="V281" s="97" t="str">
        <f aca="false">IF(ISBLANK($C281),"",IF(COUNTA(J281:K281)=0,"",IF(AND(OR(ISBLANK(J281),AND(ISNUMBER(J281),J281&gt;=0)),OR(ISBLANK(K281),AND(ISNUMBER(K281),K281&gt;=0))),60*IF(ISBLANK(J281),0,J281)+IF(ISBLANK(K281),0,K281),"")))</f>
        <v/>
      </c>
      <c r="W281" s="97" t="str">
        <f aca="false">IF(ISBLANK($C281),"",IF(L281=Constants!$B$19,Constants!$B$19,Constants!$B$18))</f>
        <v/>
      </c>
      <c r="X281" s="97" t="str">
        <f aca="false">IF(ISBLANK($C281),"",IF(COUNTA(M281:N281)=0,"",IF(AND(OR(ISBLANK(M281),AND(ISNUMBER(M281),M281&gt;=0)),OR(ISBLANK(N281),AND(ISNUMBER(N281),N281&gt;=0))),60*IF(ISBLANK(M281),0,M281)+IF(ISBLANK(N281),0,N281),"")))</f>
        <v/>
      </c>
      <c r="Y281" s="97" t="str">
        <f aca="false">IF(ISBLANK($C281),"",IF(O281=Constants!$B$2, TRUE(), IF(O281=Constants!$B$3, FALSE(), FALSE())))</f>
        <v/>
      </c>
      <c r="Z281" s="97" t="str">
        <f aca="false">IF(ISBLANK($C281),"",IF(Y281,Constants!$B$4,IF(COUNTA(E281:N281)=0,Constants!$B$5,IF(COUNTA(J281:K281,M281:N281)=0,Constants!$B$6,Constants!$B$7))))</f>
        <v/>
      </c>
      <c r="AA281" s="97" t="str">
        <f aca="false">IF(ISBLANK($C281),"",IF($Z281&lt;&gt;Constants!$B$7,$Z281,IF(OR(NOT(T281),AND(NOT(Q281),COUNTIFS(U281:W281,Constants!$B$18,V281:X281,"&gt;=0")&gt;0),AND(NOT(R281),COUNTIFS(U281:W281,Constants!$B$19,V281:X281,"&gt;=0")&gt;0)),Constants!$B$12,Constants!$B$11)))</f>
        <v/>
      </c>
      <c r="AB281" s="97" t="str">
        <f aca="false">IF($Z281=Constants!$B$7,IF(V281="",Constants!$B$13,V281),"")</f>
        <v/>
      </c>
      <c r="AC281" s="97" t="str">
        <f aca="false">IF($Z281=Constants!$B$7,IF(X281="",Constants!$B$13,X281),"")</f>
        <v/>
      </c>
      <c r="AD281" s="97" t="str">
        <f aca="false">IF($Z281=Constants!$B$7,IF($AB281&gt;=$AC281,1,2),"")</f>
        <v/>
      </c>
      <c r="AE281" s="97" t="str">
        <f aca="false">IF($Z281=Constants!$B$7,LARGE(AB281:AC281,1),"")</f>
        <v/>
      </c>
      <c r="AF281" s="97" t="str">
        <f aca="false">IF(ISBLANK($C281),"",IF($Z281&lt;&gt;Constants!$B$7,$Z281,AE281*S281))</f>
        <v/>
      </c>
      <c r="AG281" s="97" t="str">
        <f aca="false">IF(ISBLANK($C281),"",IF($Z281=Constants!$B$7,IF(ISNUMBER(AF281),RANK(AF281,$AF$8:$AF$507),Constants!$B$14),$Z281))</f>
        <v/>
      </c>
      <c r="AH281" s="97" t="str">
        <f aca="false">IF(ISBLANK($C281),"",IF($Z281=Constants!$B$7,IF(ISNUMBER(AG281),COUNTIFS($AA$8:$AA$507,"&lt;"&amp;$AA281)+COUNTIFS($AA$8:$AA$507,$AA281,$AG$8:$AG$507,"&lt;"&amp;$AG281)+1,Constants!$B$14),$Z281))</f>
        <v/>
      </c>
      <c r="AI281" s="97" t="str">
        <f aca="false">IF(ISBLANK($C281),"",IF($Z281=Constants!$B$7,LARGE(AB281:AC281,2)*S281,""))</f>
        <v/>
      </c>
      <c r="AJ281" s="97" t="str">
        <f aca="false">IF(ISBLANK($C281),"",IF($Z281=Constants!$B$7,RANK(AI281,$AI$8:$AI$507),$Z281))</f>
        <v/>
      </c>
      <c r="AK281" s="97" t="str">
        <f aca="false">IF(ISBLANK($C281),"",IF($Z281=Constants!$B$7,IF(ISNUMBER(AG281),COUNTIFS($AA$8:$AA$507,"&lt;"&amp;$AA281)+COUNTIFS($AA$8:$AA$507,$AA281,$AG$8:$AG$507,"&lt;"&amp;$AG281)+COUNTIFS($AA$8:$AA$507,$AA281,$AG$8:$AG$507,$AG281,$AJ$8:$AJ$507,"&lt;"&amp;$AJ281)+1,Constants!$B$14),$Z281))</f>
        <v/>
      </c>
      <c r="AL281" s="97" t="str">
        <f aca="false">IF(ISBLANK($C281),"",IF($Z281=Constants!$B$7,IF(ISNUMBER(AH281),AH281-AK281,Constants!$B$14),$Z281))</f>
        <v/>
      </c>
      <c r="AM281" s="98"/>
      <c r="AN281" s="99" t="str">
        <f aca="false">IF(ISBLANK($C281),"",IF($Z281&lt;&gt;Constants!$B$7,$Z281,AD281))</f>
        <v/>
      </c>
      <c r="AO281" s="100" t="str">
        <f aca="false">IF(ISBLANK($C281),"",IF($Z281&lt;&gt;Constants!$B$7,$Z281,S281))</f>
        <v/>
      </c>
      <c r="AP281" s="101" t="str">
        <f aca="false">IF(ISBLANK($C281),"",IF($Z281&lt;&gt;Constants!$B$7,$Z281,AF281))</f>
        <v/>
      </c>
      <c r="AQ281" s="102" t="str">
        <f aca="false">IF(ISBLANK($C281),"",IF($Z281&lt;&gt;Constants!$B$7,$Z281,AA281))</f>
        <v/>
      </c>
      <c r="AR281" s="100" t="str">
        <f aca="false">IF(ISBLANK($C281),"",AL281)</f>
        <v/>
      </c>
      <c r="AS281" s="100" t="str">
        <f aca="false">IF(ISBLANK($C281),"",AK281)</f>
        <v/>
      </c>
      <c r="AT281" s="103" t="str">
        <f aca="false">IF(ISBLANK($C281),"",IF(AS281=Constants!$B$4,COUNTA($C$8:$C$507)+2,IF(AS281=Constants!$B$5,COUNTA($C$8:$C$507)+1,IF(AS281=Constants!$B$6,COUNTA($C$8:$C$507),AS281))))</f>
        <v/>
      </c>
      <c r="AU281" s="5"/>
      <c r="AV281" s="104" t="n">
        <f aca="false">IF(OR(ISNUMBER(AS281),AS281=Constants!$B$4,AS281=Constants!$B$6,AS281=Constants!$B$5),1,0)</f>
        <v>0</v>
      </c>
      <c r="AW281" s="104" t="n">
        <v>274</v>
      </c>
      <c r="AX281" s="104" t="str">
        <f aca="false">IF(ISBLANK($C281),"",IF(ISNUMBER(AT281),AT281+ROW($B281)/1000,""))</f>
        <v/>
      </c>
      <c r="AY281" s="104" t="str">
        <f aca="false">IF(ISNUMBER(AX281),RANK(AX281,$AX$8:$AX$507,1),"")</f>
        <v/>
      </c>
      <c r="AZ281" s="104" t="str">
        <f aca="false">IF(ISBLANK($C281),"",$B281)</f>
        <v/>
      </c>
      <c r="BA281" s="104" t="str">
        <f aca="false">IF(ISBLANK($C281),"",$C281)</f>
        <v/>
      </c>
      <c r="BB281" s="104" t="str">
        <f aca="false">IF(ISBLANK($C281),"",$D281)</f>
        <v/>
      </c>
      <c r="BC281" s="105" t="str">
        <f aca="false">AQ281</f>
        <v/>
      </c>
      <c r="BD281" s="106" t="str">
        <f aca="false">AP281</f>
        <v/>
      </c>
      <c r="BE281" s="104" t="str">
        <f aca="false">IF(ISBLANK($C281),"",AS281)</f>
        <v/>
      </c>
      <c r="BF281" s="107" t="str">
        <f aca="false">IF($AW281&gt;$AV$7,"",VLOOKUP($AW281,$AY$8:$BE$507,7,FALSE()))</f>
        <v/>
      </c>
      <c r="BG281" s="108" t="str">
        <f aca="false">IF($AW281&gt;$AV$7,"",VLOOKUP($AW281,$AY$8:$BE$507,2,FALSE()))</f>
        <v/>
      </c>
      <c r="BH281" s="108" t="str">
        <f aca="false">IF($AW281&gt;$AV$7,"",VLOOKUP($AW281,$AY$8:$BE$507,3,FALSE()))</f>
        <v/>
      </c>
      <c r="BI281" s="108" t="str">
        <f aca="false">IF($AW281&gt;$AV$7,"",VLOOKUP($AW281,$AY$8:$BE$507,4,FALSE()))</f>
        <v/>
      </c>
      <c r="BJ281" s="108" t="str">
        <f aca="false">IF($AW281&gt;$AV$7,"",VLOOKUP($AW281,$AY$8:$BE$507,5,FALSE()))</f>
        <v/>
      </c>
      <c r="BK281" s="109" t="str">
        <f aca="false">IF($AW281&gt;$AV$7,"",VLOOKUP($AW281,$AY$8:$BE$507,6,FALSE()))</f>
        <v/>
      </c>
      <c r="BL281" s="50"/>
    </row>
    <row r="282" customFormat="false" ht="15.75" hidden="false" customHeight="false" outlineLevel="0" collapsed="false">
      <c r="A282" s="5"/>
      <c r="B282" s="124"/>
      <c r="C282" s="125"/>
      <c r="D282" s="110"/>
      <c r="E282" s="130"/>
      <c r="F282" s="135"/>
      <c r="G282" s="88"/>
      <c r="H282" s="136"/>
      <c r="I282" s="137"/>
      <c r="J282" s="91"/>
      <c r="K282" s="92"/>
      <c r="L282" s="137"/>
      <c r="M282" s="93"/>
      <c r="N282" s="94"/>
      <c r="O282" s="130"/>
      <c r="P282" s="96"/>
      <c r="Q282" s="97" t="str">
        <f aca="false">IF(ISBLANK($C282),"",IF(E282=Constants!$B$2, TRUE(), IF(E282=Constants!$B$3, FALSE(), TRUE())))</f>
        <v/>
      </c>
      <c r="R282" s="97" t="str">
        <f aca="false">IF(ISBLANK($C282),"",IF(F282=Constants!$B$2, TRUE(), IF(F282=Constants!$B$3, FALSE(), TRUE())))</f>
        <v/>
      </c>
      <c r="S282" s="97" t="str">
        <f aca="false">IF(ISBLANK($C282),"",IF(G282=Constants!$B$15,Constants!$B$8,IF(G282=Constants!$B$16,Constants!$B$9,Constants!$B$10)))</f>
        <v/>
      </c>
      <c r="T282" s="97" t="str">
        <f aca="false">IF(ISBLANK($C282),"",IF(H282=Constants!$B$2, TRUE(), IF(H282=Constants!$B$3, FALSE(), TRUE())))</f>
        <v/>
      </c>
      <c r="U282" s="97" t="str">
        <f aca="false">IF(ISBLANK($C282),"",IF(I282=Constants!$B$19,Constants!$B$19,Constants!$B$18))</f>
        <v/>
      </c>
      <c r="V282" s="97" t="str">
        <f aca="false">IF(ISBLANK($C282),"",IF(COUNTA(J282:K282)=0,"",IF(AND(OR(ISBLANK(J282),AND(ISNUMBER(J282),J282&gt;=0)),OR(ISBLANK(K282),AND(ISNUMBER(K282),K282&gt;=0))),60*IF(ISBLANK(J282),0,J282)+IF(ISBLANK(K282),0,K282),"")))</f>
        <v/>
      </c>
      <c r="W282" s="97" t="str">
        <f aca="false">IF(ISBLANK($C282),"",IF(L282=Constants!$B$19,Constants!$B$19,Constants!$B$18))</f>
        <v/>
      </c>
      <c r="X282" s="97" t="str">
        <f aca="false">IF(ISBLANK($C282),"",IF(COUNTA(M282:N282)=0,"",IF(AND(OR(ISBLANK(M282),AND(ISNUMBER(M282),M282&gt;=0)),OR(ISBLANK(N282),AND(ISNUMBER(N282),N282&gt;=0))),60*IF(ISBLANK(M282),0,M282)+IF(ISBLANK(N282),0,N282),"")))</f>
        <v/>
      </c>
      <c r="Y282" s="97" t="str">
        <f aca="false">IF(ISBLANK($C282),"",IF(O282=Constants!$B$2, TRUE(), IF(O282=Constants!$B$3, FALSE(), FALSE())))</f>
        <v/>
      </c>
      <c r="Z282" s="97" t="str">
        <f aca="false">IF(ISBLANK($C282),"",IF(Y282,Constants!$B$4,IF(COUNTA(E282:N282)=0,Constants!$B$5,IF(COUNTA(J282:K282,M282:N282)=0,Constants!$B$6,Constants!$B$7))))</f>
        <v/>
      </c>
      <c r="AA282" s="97" t="str">
        <f aca="false">IF(ISBLANK($C282),"",IF($Z282&lt;&gt;Constants!$B$7,$Z282,IF(OR(NOT(T282),AND(NOT(Q282),COUNTIFS(U282:W282,Constants!$B$18,V282:X282,"&gt;=0")&gt;0),AND(NOT(R282),COUNTIFS(U282:W282,Constants!$B$19,V282:X282,"&gt;=0")&gt;0)),Constants!$B$12,Constants!$B$11)))</f>
        <v/>
      </c>
      <c r="AB282" s="97" t="str">
        <f aca="false">IF($Z282=Constants!$B$7,IF(V282="",Constants!$B$13,V282),"")</f>
        <v/>
      </c>
      <c r="AC282" s="97" t="str">
        <f aca="false">IF($Z282=Constants!$B$7,IF(X282="",Constants!$B$13,X282),"")</f>
        <v/>
      </c>
      <c r="AD282" s="97" t="str">
        <f aca="false">IF($Z282=Constants!$B$7,IF($AB282&gt;=$AC282,1,2),"")</f>
        <v/>
      </c>
      <c r="AE282" s="97" t="str">
        <f aca="false">IF($Z282=Constants!$B$7,LARGE(AB282:AC282,1),"")</f>
        <v/>
      </c>
      <c r="AF282" s="97" t="str">
        <f aca="false">IF(ISBLANK($C282),"",IF($Z282&lt;&gt;Constants!$B$7,$Z282,AE282*S282))</f>
        <v/>
      </c>
      <c r="AG282" s="97" t="str">
        <f aca="false">IF(ISBLANK($C282),"",IF($Z282=Constants!$B$7,IF(ISNUMBER(AF282),RANK(AF282,$AF$8:$AF$507),Constants!$B$14),$Z282))</f>
        <v/>
      </c>
      <c r="AH282" s="97" t="str">
        <f aca="false">IF(ISBLANK($C282),"",IF($Z282=Constants!$B$7,IF(ISNUMBER(AG282),COUNTIFS($AA$8:$AA$507,"&lt;"&amp;$AA282)+COUNTIFS($AA$8:$AA$507,$AA282,$AG$8:$AG$507,"&lt;"&amp;$AG282)+1,Constants!$B$14),$Z282))</f>
        <v/>
      </c>
      <c r="AI282" s="97" t="str">
        <f aca="false">IF(ISBLANK($C282),"",IF($Z282=Constants!$B$7,LARGE(AB282:AC282,2)*S282,""))</f>
        <v/>
      </c>
      <c r="AJ282" s="97" t="str">
        <f aca="false">IF(ISBLANK($C282),"",IF($Z282=Constants!$B$7,RANK(AI282,$AI$8:$AI$507),$Z282))</f>
        <v/>
      </c>
      <c r="AK282" s="97" t="str">
        <f aca="false">IF(ISBLANK($C282),"",IF($Z282=Constants!$B$7,IF(ISNUMBER(AG282),COUNTIFS($AA$8:$AA$507,"&lt;"&amp;$AA282)+COUNTIFS($AA$8:$AA$507,$AA282,$AG$8:$AG$507,"&lt;"&amp;$AG282)+COUNTIFS($AA$8:$AA$507,$AA282,$AG$8:$AG$507,$AG282,$AJ$8:$AJ$507,"&lt;"&amp;$AJ282)+1,Constants!$B$14),$Z282))</f>
        <v/>
      </c>
      <c r="AL282" s="97" t="str">
        <f aca="false">IF(ISBLANK($C282),"",IF($Z282=Constants!$B$7,IF(ISNUMBER(AH282),AH282-AK282,Constants!$B$14),$Z282))</f>
        <v/>
      </c>
      <c r="AM282" s="98"/>
      <c r="AN282" s="99" t="str">
        <f aca="false">IF(ISBLANK($C282),"",IF($Z282&lt;&gt;Constants!$B$7,$Z282,AD282))</f>
        <v/>
      </c>
      <c r="AO282" s="100" t="str">
        <f aca="false">IF(ISBLANK($C282),"",IF($Z282&lt;&gt;Constants!$B$7,$Z282,S282))</f>
        <v/>
      </c>
      <c r="AP282" s="101" t="str">
        <f aca="false">IF(ISBLANK($C282),"",IF($Z282&lt;&gt;Constants!$B$7,$Z282,AF282))</f>
        <v/>
      </c>
      <c r="AQ282" s="102" t="str">
        <f aca="false">IF(ISBLANK($C282),"",IF($Z282&lt;&gt;Constants!$B$7,$Z282,AA282))</f>
        <v/>
      </c>
      <c r="AR282" s="100" t="str">
        <f aca="false">IF(ISBLANK($C282),"",AL282)</f>
        <v/>
      </c>
      <c r="AS282" s="100" t="str">
        <f aca="false">IF(ISBLANK($C282),"",AK282)</f>
        <v/>
      </c>
      <c r="AT282" s="103" t="str">
        <f aca="false">IF(ISBLANK($C282),"",IF(AS282=Constants!$B$4,COUNTA($C$8:$C$507)+2,IF(AS282=Constants!$B$5,COUNTA($C$8:$C$507)+1,IF(AS282=Constants!$B$6,COUNTA($C$8:$C$507),AS282))))</f>
        <v/>
      </c>
      <c r="AU282" s="5"/>
      <c r="AV282" s="104" t="n">
        <f aca="false">IF(OR(ISNUMBER(AS282),AS282=Constants!$B$4,AS282=Constants!$B$6,AS282=Constants!$B$5),1,0)</f>
        <v>0</v>
      </c>
      <c r="AW282" s="104" t="n">
        <v>275</v>
      </c>
      <c r="AX282" s="104" t="str">
        <f aca="false">IF(ISBLANK($C282),"",IF(ISNUMBER(AT282),AT282+ROW($B282)/1000,""))</f>
        <v/>
      </c>
      <c r="AY282" s="104" t="str">
        <f aca="false">IF(ISNUMBER(AX282),RANK(AX282,$AX$8:$AX$507,1),"")</f>
        <v/>
      </c>
      <c r="AZ282" s="104" t="str">
        <f aca="false">IF(ISBLANK($C282),"",$B282)</f>
        <v/>
      </c>
      <c r="BA282" s="104" t="str">
        <f aca="false">IF(ISBLANK($C282),"",$C282)</f>
        <v/>
      </c>
      <c r="BB282" s="104" t="str">
        <f aca="false">IF(ISBLANK($C282),"",$D282)</f>
        <v/>
      </c>
      <c r="BC282" s="105" t="str">
        <f aca="false">AQ282</f>
        <v/>
      </c>
      <c r="BD282" s="106" t="str">
        <f aca="false">AP282</f>
        <v/>
      </c>
      <c r="BE282" s="104" t="str">
        <f aca="false">IF(ISBLANK($C282),"",AS282)</f>
        <v/>
      </c>
      <c r="BF282" s="107" t="str">
        <f aca="false">IF($AW282&gt;$AV$7,"",VLOOKUP($AW282,$AY$8:$BE$507,7,FALSE()))</f>
        <v/>
      </c>
      <c r="BG282" s="108" t="str">
        <f aca="false">IF($AW282&gt;$AV$7,"",VLOOKUP($AW282,$AY$8:$BE$507,2,FALSE()))</f>
        <v/>
      </c>
      <c r="BH282" s="108" t="str">
        <f aca="false">IF($AW282&gt;$AV$7,"",VLOOKUP($AW282,$AY$8:$BE$507,3,FALSE()))</f>
        <v/>
      </c>
      <c r="BI282" s="108" t="str">
        <f aca="false">IF($AW282&gt;$AV$7,"",VLOOKUP($AW282,$AY$8:$BE$507,4,FALSE()))</f>
        <v/>
      </c>
      <c r="BJ282" s="108" t="str">
        <f aca="false">IF($AW282&gt;$AV$7,"",VLOOKUP($AW282,$AY$8:$BE$507,5,FALSE()))</f>
        <v/>
      </c>
      <c r="BK282" s="109" t="str">
        <f aca="false">IF($AW282&gt;$AV$7,"",VLOOKUP($AW282,$AY$8:$BE$507,6,FALSE()))</f>
        <v/>
      </c>
      <c r="BL282" s="50"/>
    </row>
    <row r="283" customFormat="false" ht="15.75" hidden="false" customHeight="false" outlineLevel="0" collapsed="false">
      <c r="A283" s="5"/>
      <c r="B283" s="124"/>
      <c r="C283" s="125"/>
      <c r="D283" s="110"/>
      <c r="E283" s="130"/>
      <c r="F283" s="135"/>
      <c r="G283" s="88"/>
      <c r="H283" s="136"/>
      <c r="I283" s="137"/>
      <c r="J283" s="91"/>
      <c r="K283" s="92"/>
      <c r="L283" s="137"/>
      <c r="M283" s="93"/>
      <c r="N283" s="94"/>
      <c r="O283" s="130"/>
      <c r="P283" s="96"/>
      <c r="Q283" s="97" t="str">
        <f aca="false">IF(ISBLANK($C283),"",IF(E283=Constants!$B$2, TRUE(), IF(E283=Constants!$B$3, FALSE(), TRUE())))</f>
        <v/>
      </c>
      <c r="R283" s="97" t="str">
        <f aca="false">IF(ISBLANK($C283),"",IF(F283=Constants!$B$2, TRUE(), IF(F283=Constants!$B$3, FALSE(), TRUE())))</f>
        <v/>
      </c>
      <c r="S283" s="97" t="str">
        <f aca="false">IF(ISBLANK($C283),"",IF(G283=Constants!$B$15,Constants!$B$8,IF(G283=Constants!$B$16,Constants!$B$9,Constants!$B$10)))</f>
        <v/>
      </c>
      <c r="T283" s="97" t="str">
        <f aca="false">IF(ISBLANK($C283),"",IF(H283=Constants!$B$2, TRUE(), IF(H283=Constants!$B$3, FALSE(), TRUE())))</f>
        <v/>
      </c>
      <c r="U283" s="97" t="str">
        <f aca="false">IF(ISBLANK($C283),"",IF(I283=Constants!$B$19,Constants!$B$19,Constants!$B$18))</f>
        <v/>
      </c>
      <c r="V283" s="97" t="str">
        <f aca="false">IF(ISBLANK($C283),"",IF(COUNTA(J283:K283)=0,"",IF(AND(OR(ISBLANK(J283),AND(ISNUMBER(J283),J283&gt;=0)),OR(ISBLANK(K283),AND(ISNUMBER(K283),K283&gt;=0))),60*IF(ISBLANK(J283),0,J283)+IF(ISBLANK(K283),0,K283),"")))</f>
        <v/>
      </c>
      <c r="W283" s="97" t="str">
        <f aca="false">IF(ISBLANK($C283),"",IF(L283=Constants!$B$19,Constants!$B$19,Constants!$B$18))</f>
        <v/>
      </c>
      <c r="X283" s="97" t="str">
        <f aca="false">IF(ISBLANK($C283),"",IF(COUNTA(M283:N283)=0,"",IF(AND(OR(ISBLANK(M283),AND(ISNUMBER(M283),M283&gt;=0)),OR(ISBLANK(N283),AND(ISNUMBER(N283),N283&gt;=0))),60*IF(ISBLANK(M283),0,M283)+IF(ISBLANK(N283),0,N283),"")))</f>
        <v/>
      </c>
      <c r="Y283" s="97" t="str">
        <f aca="false">IF(ISBLANK($C283),"",IF(O283=Constants!$B$2, TRUE(), IF(O283=Constants!$B$3, FALSE(), FALSE())))</f>
        <v/>
      </c>
      <c r="Z283" s="97" t="str">
        <f aca="false">IF(ISBLANK($C283),"",IF(Y283,Constants!$B$4,IF(COUNTA(E283:N283)=0,Constants!$B$5,IF(COUNTA(J283:K283,M283:N283)=0,Constants!$B$6,Constants!$B$7))))</f>
        <v/>
      </c>
      <c r="AA283" s="97" t="str">
        <f aca="false">IF(ISBLANK($C283),"",IF($Z283&lt;&gt;Constants!$B$7,$Z283,IF(OR(NOT(T283),AND(NOT(Q283),COUNTIFS(U283:W283,Constants!$B$18,V283:X283,"&gt;=0")&gt;0),AND(NOT(R283),COUNTIFS(U283:W283,Constants!$B$19,V283:X283,"&gt;=0")&gt;0)),Constants!$B$12,Constants!$B$11)))</f>
        <v/>
      </c>
      <c r="AB283" s="97" t="str">
        <f aca="false">IF($Z283=Constants!$B$7,IF(V283="",Constants!$B$13,V283),"")</f>
        <v/>
      </c>
      <c r="AC283" s="97" t="str">
        <f aca="false">IF($Z283=Constants!$B$7,IF(X283="",Constants!$B$13,X283),"")</f>
        <v/>
      </c>
      <c r="AD283" s="97" t="str">
        <f aca="false">IF($Z283=Constants!$B$7,IF($AB283&gt;=$AC283,1,2),"")</f>
        <v/>
      </c>
      <c r="AE283" s="97" t="str">
        <f aca="false">IF($Z283=Constants!$B$7,LARGE(AB283:AC283,1),"")</f>
        <v/>
      </c>
      <c r="AF283" s="97" t="str">
        <f aca="false">IF(ISBLANK($C283),"",IF($Z283&lt;&gt;Constants!$B$7,$Z283,AE283*S283))</f>
        <v/>
      </c>
      <c r="AG283" s="97" t="str">
        <f aca="false">IF(ISBLANK($C283),"",IF($Z283=Constants!$B$7,IF(ISNUMBER(AF283),RANK(AF283,$AF$8:$AF$507),Constants!$B$14),$Z283))</f>
        <v/>
      </c>
      <c r="AH283" s="97" t="str">
        <f aca="false">IF(ISBLANK($C283),"",IF($Z283=Constants!$B$7,IF(ISNUMBER(AG283),COUNTIFS($AA$8:$AA$507,"&lt;"&amp;$AA283)+COUNTIFS($AA$8:$AA$507,$AA283,$AG$8:$AG$507,"&lt;"&amp;$AG283)+1,Constants!$B$14),$Z283))</f>
        <v/>
      </c>
      <c r="AI283" s="97" t="str">
        <f aca="false">IF(ISBLANK($C283),"",IF($Z283=Constants!$B$7,LARGE(AB283:AC283,2)*S283,""))</f>
        <v/>
      </c>
      <c r="AJ283" s="97" t="str">
        <f aca="false">IF(ISBLANK($C283),"",IF($Z283=Constants!$B$7,RANK(AI283,$AI$8:$AI$507),$Z283))</f>
        <v/>
      </c>
      <c r="AK283" s="97" t="str">
        <f aca="false">IF(ISBLANK($C283),"",IF($Z283=Constants!$B$7,IF(ISNUMBER(AG283),COUNTIFS($AA$8:$AA$507,"&lt;"&amp;$AA283)+COUNTIFS($AA$8:$AA$507,$AA283,$AG$8:$AG$507,"&lt;"&amp;$AG283)+COUNTIFS($AA$8:$AA$507,$AA283,$AG$8:$AG$507,$AG283,$AJ$8:$AJ$507,"&lt;"&amp;$AJ283)+1,Constants!$B$14),$Z283))</f>
        <v/>
      </c>
      <c r="AL283" s="97" t="str">
        <f aca="false">IF(ISBLANK($C283),"",IF($Z283=Constants!$B$7,IF(ISNUMBER(AH283),AH283-AK283,Constants!$B$14),$Z283))</f>
        <v/>
      </c>
      <c r="AM283" s="98"/>
      <c r="AN283" s="99" t="str">
        <f aca="false">IF(ISBLANK($C283),"",IF($Z283&lt;&gt;Constants!$B$7,$Z283,AD283))</f>
        <v/>
      </c>
      <c r="AO283" s="100" t="str">
        <f aca="false">IF(ISBLANK($C283),"",IF($Z283&lt;&gt;Constants!$B$7,$Z283,S283))</f>
        <v/>
      </c>
      <c r="AP283" s="101" t="str">
        <f aca="false">IF(ISBLANK($C283),"",IF($Z283&lt;&gt;Constants!$B$7,$Z283,AF283))</f>
        <v/>
      </c>
      <c r="AQ283" s="102" t="str">
        <f aca="false">IF(ISBLANK($C283),"",IF($Z283&lt;&gt;Constants!$B$7,$Z283,AA283))</f>
        <v/>
      </c>
      <c r="AR283" s="100" t="str">
        <f aca="false">IF(ISBLANK($C283),"",AL283)</f>
        <v/>
      </c>
      <c r="AS283" s="100" t="str">
        <f aca="false">IF(ISBLANK($C283),"",AK283)</f>
        <v/>
      </c>
      <c r="AT283" s="103" t="str">
        <f aca="false">IF(ISBLANK($C283),"",IF(AS283=Constants!$B$4,COUNTA($C$8:$C$507)+2,IF(AS283=Constants!$B$5,COUNTA($C$8:$C$507)+1,IF(AS283=Constants!$B$6,COUNTA($C$8:$C$507),AS283))))</f>
        <v/>
      </c>
      <c r="AU283" s="5"/>
      <c r="AV283" s="104" t="n">
        <f aca="false">IF(OR(ISNUMBER(AS283),AS283=Constants!$B$4,AS283=Constants!$B$6,AS283=Constants!$B$5),1,0)</f>
        <v>0</v>
      </c>
      <c r="AW283" s="104" t="n">
        <v>276</v>
      </c>
      <c r="AX283" s="104" t="str">
        <f aca="false">IF(ISBLANK($C283),"",IF(ISNUMBER(AT283),AT283+ROW($B283)/1000,""))</f>
        <v/>
      </c>
      <c r="AY283" s="104" t="str">
        <f aca="false">IF(ISNUMBER(AX283),RANK(AX283,$AX$8:$AX$507,1),"")</f>
        <v/>
      </c>
      <c r="AZ283" s="104" t="str">
        <f aca="false">IF(ISBLANK($C283),"",$B283)</f>
        <v/>
      </c>
      <c r="BA283" s="104" t="str">
        <f aca="false">IF(ISBLANK($C283),"",$C283)</f>
        <v/>
      </c>
      <c r="BB283" s="104" t="str">
        <f aca="false">IF(ISBLANK($C283),"",$D283)</f>
        <v/>
      </c>
      <c r="BC283" s="105" t="str">
        <f aca="false">AQ283</f>
        <v/>
      </c>
      <c r="BD283" s="106" t="str">
        <f aca="false">AP283</f>
        <v/>
      </c>
      <c r="BE283" s="104" t="str">
        <f aca="false">IF(ISBLANK($C283),"",AS283)</f>
        <v/>
      </c>
      <c r="BF283" s="107" t="str">
        <f aca="false">IF($AW283&gt;$AV$7,"",VLOOKUP($AW283,$AY$8:$BE$507,7,FALSE()))</f>
        <v/>
      </c>
      <c r="BG283" s="108" t="str">
        <f aca="false">IF($AW283&gt;$AV$7,"",VLOOKUP($AW283,$AY$8:$BE$507,2,FALSE()))</f>
        <v/>
      </c>
      <c r="BH283" s="108" t="str">
        <f aca="false">IF($AW283&gt;$AV$7,"",VLOOKUP($AW283,$AY$8:$BE$507,3,FALSE()))</f>
        <v/>
      </c>
      <c r="BI283" s="108" t="str">
        <f aca="false">IF($AW283&gt;$AV$7,"",VLOOKUP($AW283,$AY$8:$BE$507,4,FALSE()))</f>
        <v/>
      </c>
      <c r="BJ283" s="108" t="str">
        <f aca="false">IF($AW283&gt;$AV$7,"",VLOOKUP($AW283,$AY$8:$BE$507,5,FALSE()))</f>
        <v/>
      </c>
      <c r="BK283" s="109" t="str">
        <f aca="false">IF($AW283&gt;$AV$7,"",VLOOKUP($AW283,$AY$8:$BE$507,6,FALSE()))</f>
        <v/>
      </c>
      <c r="BL283" s="50"/>
    </row>
    <row r="284" customFormat="false" ht="15.75" hidden="false" customHeight="false" outlineLevel="0" collapsed="false">
      <c r="A284" s="5"/>
      <c r="B284" s="131"/>
      <c r="C284" s="52"/>
      <c r="D284" s="53"/>
      <c r="E284" s="80"/>
      <c r="F284" s="132"/>
      <c r="G284" s="56"/>
      <c r="H284" s="133"/>
      <c r="I284" s="134"/>
      <c r="J284" s="59"/>
      <c r="K284" s="60"/>
      <c r="L284" s="134"/>
      <c r="M284" s="61"/>
      <c r="N284" s="62"/>
      <c r="O284" s="80"/>
      <c r="P284" s="64"/>
      <c r="Q284" s="65" t="str">
        <f aca="false">IF(ISBLANK($C284),"",IF(E284=Constants!$B$2, TRUE(), IF(E284=Constants!$B$3, FALSE(), TRUE())))</f>
        <v/>
      </c>
      <c r="R284" s="65" t="str">
        <f aca="false">IF(ISBLANK($C284),"",IF(F284=Constants!$B$2, TRUE(), IF(F284=Constants!$B$3, FALSE(), TRUE())))</f>
        <v/>
      </c>
      <c r="S284" s="65" t="str">
        <f aca="false">IF(ISBLANK($C284),"",IF(G284=Constants!$B$15,Constants!$B$8,IF(G284=Constants!$B$16,Constants!$B$9,Constants!$B$10)))</f>
        <v/>
      </c>
      <c r="T284" s="65" t="str">
        <f aca="false">IF(ISBLANK($C284),"",IF(H284=Constants!$B$2, TRUE(), IF(H284=Constants!$B$3, FALSE(), TRUE())))</f>
        <v/>
      </c>
      <c r="U284" s="65" t="str">
        <f aca="false">IF(ISBLANK($C284),"",IF(I284=Constants!$B$19,Constants!$B$19,Constants!$B$18))</f>
        <v/>
      </c>
      <c r="V284" s="65" t="str">
        <f aca="false">IF(ISBLANK($C284),"",IF(COUNTA(J284:K284)=0,"",IF(AND(OR(ISBLANK(J284),AND(ISNUMBER(J284),J284&gt;=0)),OR(ISBLANK(K284),AND(ISNUMBER(K284),K284&gt;=0))),60*IF(ISBLANK(J284),0,J284)+IF(ISBLANK(K284),0,K284),"")))</f>
        <v/>
      </c>
      <c r="W284" s="65" t="str">
        <f aca="false">IF(ISBLANK($C284),"",IF(L284=Constants!$B$19,Constants!$B$19,Constants!$B$18))</f>
        <v/>
      </c>
      <c r="X284" s="65" t="str">
        <f aca="false">IF(ISBLANK($C284),"",IF(COUNTA(M284:N284)=0,"",IF(AND(OR(ISBLANK(M284),AND(ISNUMBER(M284),M284&gt;=0)),OR(ISBLANK(N284),AND(ISNUMBER(N284),N284&gt;=0))),60*IF(ISBLANK(M284),0,M284)+IF(ISBLANK(N284),0,N284),"")))</f>
        <v/>
      </c>
      <c r="Y284" s="65" t="str">
        <f aca="false">IF(ISBLANK($C284),"",IF(O284=Constants!$B$2, TRUE(), IF(O284=Constants!$B$3, FALSE(), FALSE())))</f>
        <v/>
      </c>
      <c r="Z284" s="65" t="str">
        <f aca="false">IF(ISBLANK($C284),"",IF(Y284,Constants!$B$4,IF(COUNTA(E284:N284)=0,Constants!$B$5,IF(COUNTA(J284:K284,M284:N284)=0,Constants!$B$6,Constants!$B$7))))</f>
        <v/>
      </c>
      <c r="AA284" s="65" t="str">
        <f aca="false">IF(ISBLANK($C284),"",IF($Z284&lt;&gt;Constants!$B$7,$Z284,IF(OR(NOT(T284),AND(NOT(Q284),COUNTIFS(U284:W284,Constants!$B$18,V284:X284,"&gt;=0")&gt;0),AND(NOT(R284),COUNTIFS(U284:W284,Constants!$B$19,V284:X284,"&gt;=0")&gt;0)),Constants!$B$12,Constants!$B$11)))</f>
        <v/>
      </c>
      <c r="AB284" s="65" t="str">
        <f aca="false">IF($Z284=Constants!$B$7,IF(V284="",Constants!$B$13,V284),"")</f>
        <v/>
      </c>
      <c r="AC284" s="65" t="str">
        <f aca="false">IF($Z284=Constants!$B$7,IF(X284="",Constants!$B$13,X284),"")</f>
        <v/>
      </c>
      <c r="AD284" s="65" t="str">
        <f aca="false">IF($Z284=Constants!$B$7,IF($AB284&gt;=$AC284,1,2),"")</f>
        <v/>
      </c>
      <c r="AE284" s="65" t="str">
        <f aca="false">IF($Z284=Constants!$B$7,LARGE(AB284:AC284,1),"")</f>
        <v/>
      </c>
      <c r="AF284" s="65" t="str">
        <f aca="false">IF(ISBLANK($C284),"",IF($Z284&lt;&gt;Constants!$B$7,$Z284,AE284*S284))</f>
        <v/>
      </c>
      <c r="AG284" s="65" t="str">
        <f aca="false">IF(ISBLANK($C284),"",IF($Z284=Constants!$B$7,IF(ISNUMBER(AF284),RANK(AF284,$AF$8:$AF$507),Constants!$B$14),$Z284))</f>
        <v/>
      </c>
      <c r="AH284" s="65" t="str">
        <f aca="false">IF(ISBLANK($C284),"",IF($Z284=Constants!$B$7,IF(ISNUMBER(AG284),COUNTIFS($AA$8:$AA$507,"&lt;"&amp;$AA284)+COUNTIFS($AA$8:$AA$507,$AA284,$AG$8:$AG$507,"&lt;"&amp;$AG284)+1,Constants!$B$14),$Z284))</f>
        <v/>
      </c>
      <c r="AI284" s="65" t="str">
        <f aca="false">IF(ISBLANK($C284),"",IF($Z284=Constants!$B$7,LARGE(AB284:AC284,2)*S284,""))</f>
        <v/>
      </c>
      <c r="AJ284" s="65" t="str">
        <f aca="false">IF(ISBLANK($C284),"",IF($Z284=Constants!$B$7,RANK(AI284,$AI$8:$AI$507),$Z284))</f>
        <v/>
      </c>
      <c r="AK284" s="65" t="str">
        <f aca="false">IF(ISBLANK($C284),"",IF($Z284=Constants!$B$7,IF(ISNUMBER(AG284),COUNTIFS($AA$8:$AA$507,"&lt;"&amp;$AA284)+COUNTIFS($AA$8:$AA$507,$AA284,$AG$8:$AG$507,"&lt;"&amp;$AG284)+COUNTIFS($AA$8:$AA$507,$AA284,$AG$8:$AG$507,$AG284,$AJ$8:$AJ$507,"&lt;"&amp;$AJ284)+1,Constants!$B$14),$Z284))</f>
        <v/>
      </c>
      <c r="AL284" s="65" t="str">
        <f aca="false">IF(ISBLANK($C284),"",IF($Z284=Constants!$B$7,IF(ISNUMBER(AH284),AH284-AK284,Constants!$B$14),$Z284))</f>
        <v/>
      </c>
      <c r="AM284" s="67"/>
      <c r="AN284" s="68" t="str">
        <f aca="false">IF(ISBLANK($C284),"",IF($Z284&lt;&gt;Constants!$B$7,$Z284,AD284))</f>
        <v/>
      </c>
      <c r="AO284" s="69" t="str">
        <f aca="false">IF(ISBLANK($C284),"",IF($Z284&lt;&gt;Constants!$B$7,$Z284,S284))</f>
        <v/>
      </c>
      <c r="AP284" s="70" t="str">
        <f aca="false">IF(ISBLANK($C284),"",IF($Z284&lt;&gt;Constants!$B$7,$Z284,AF284))</f>
        <v/>
      </c>
      <c r="AQ284" s="71" t="str">
        <f aca="false">IF(ISBLANK($C284),"",IF($Z284&lt;&gt;Constants!$B$7,$Z284,AA284))</f>
        <v/>
      </c>
      <c r="AR284" s="69" t="str">
        <f aca="false">IF(ISBLANK($C284),"",AL284)</f>
        <v/>
      </c>
      <c r="AS284" s="69" t="str">
        <f aca="false">IF(ISBLANK($C284),"",AK284)</f>
        <v/>
      </c>
      <c r="AT284" s="72" t="str">
        <f aca="false">IF(ISBLANK($C284),"",IF(AS284=Constants!$B$4,COUNTA($C$8:$C$507)+2,IF(AS284=Constants!$B$5,COUNTA($C$8:$C$507)+1,IF(AS284=Constants!$B$6,COUNTA($C$8:$C$507),AS284))))</f>
        <v/>
      </c>
      <c r="AU284" s="5"/>
      <c r="AV284" s="73" t="n">
        <f aca="false">IF(OR(ISNUMBER(AS284),AS284=Constants!$B$4,AS284=Constants!$B$6,AS284=Constants!$B$5),1,0)</f>
        <v>0</v>
      </c>
      <c r="AW284" s="73" t="n">
        <v>277</v>
      </c>
      <c r="AX284" s="73" t="str">
        <f aca="false">IF(ISBLANK($C284),"",IF(ISNUMBER(AT284),AT284+ROW($B284)/1000,""))</f>
        <v/>
      </c>
      <c r="AY284" s="73" t="str">
        <f aca="false">IF(ISNUMBER(AX284),RANK(AX284,$AX$8:$AX$507,1),"")</f>
        <v/>
      </c>
      <c r="AZ284" s="73" t="str">
        <f aca="false">IF(ISBLANK($C284),"",$B284)</f>
        <v/>
      </c>
      <c r="BA284" s="73" t="str">
        <f aca="false">IF(ISBLANK($C284),"",$C284)</f>
        <v/>
      </c>
      <c r="BB284" s="73" t="str">
        <f aca="false">IF(ISBLANK($C284),"",$D284)</f>
        <v/>
      </c>
      <c r="BC284" s="74" t="str">
        <f aca="false">AQ284</f>
        <v/>
      </c>
      <c r="BD284" s="75" t="str">
        <f aca="false">AP284</f>
        <v/>
      </c>
      <c r="BE284" s="73" t="str">
        <f aca="false">IF(ISBLANK($C284),"",AS284)</f>
        <v/>
      </c>
      <c r="BF284" s="76" t="str">
        <f aca="false">IF($AW284&gt;$AV$7,"",VLOOKUP($AW284,$AY$8:$BE$507,7,FALSE()))</f>
        <v/>
      </c>
      <c r="BG284" s="77" t="str">
        <f aca="false">IF($AW284&gt;$AV$7,"",VLOOKUP($AW284,$AY$8:$BE$507,2,FALSE()))</f>
        <v/>
      </c>
      <c r="BH284" s="77" t="str">
        <f aca="false">IF($AW284&gt;$AV$7,"",VLOOKUP($AW284,$AY$8:$BE$507,3,FALSE()))</f>
        <v/>
      </c>
      <c r="BI284" s="77" t="str">
        <f aca="false">IF($AW284&gt;$AV$7,"",VLOOKUP($AW284,$AY$8:$BE$507,4,FALSE()))</f>
        <v/>
      </c>
      <c r="BJ284" s="77" t="str">
        <f aca="false">IF($AW284&gt;$AV$7,"",VLOOKUP($AW284,$AY$8:$BE$507,5,FALSE()))</f>
        <v/>
      </c>
      <c r="BK284" s="78" t="str">
        <f aca="false">IF($AW284&gt;$AV$7,"",VLOOKUP($AW284,$AY$8:$BE$507,6,FALSE()))</f>
        <v/>
      </c>
      <c r="BL284" s="50"/>
    </row>
    <row r="285" customFormat="false" ht="15.75" hidden="false" customHeight="false" outlineLevel="0" collapsed="false">
      <c r="A285" s="5"/>
      <c r="B285" s="131"/>
      <c r="C285" s="52"/>
      <c r="D285" s="53"/>
      <c r="E285" s="80"/>
      <c r="F285" s="132"/>
      <c r="G285" s="56"/>
      <c r="H285" s="133"/>
      <c r="I285" s="134"/>
      <c r="J285" s="59"/>
      <c r="K285" s="60"/>
      <c r="L285" s="134"/>
      <c r="M285" s="61"/>
      <c r="N285" s="62"/>
      <c r="O285" s="80"/>
      <c r="P285" s="64"/>
      <c r="Q285" s="65" t="str">
        <f aca="false">IF(ISBLANK($C285),"",IF(E285=Constants!$B$2, TRUE(), IF(E285=Constants!$B$3, FALSE(), TRUE())))</f>
        <v/>
      </c>
      <c r="R285" s="65" t="str">
        <f aca="false">IF(ISBLANK($C285),"",IF(F285=Constants!$B$2, TRUE(), IF(F285=Constants!$B$3, FALSE(), TRUE())))</f>
        <v/>
      </c>
      <c r="S285" s="65" t="str">
        <f aca="false">IF(ISBLANK($C285),"",IF(G285=Constants!$B$15,Constants!$B$8,IF(G285=Constants!$B$16,Constants!$B$9,Constants!$B$10)))</f>
        <v/>
      </c>
      <c r="T285" s="65" t="str">
        <f aca="false">IF(ISBLANK($C285),"",IF(H285=Constants!$B$2, TRUE(), IF(H285=Constants!$B$3, FALSE(), TRUE())))</f>
        <v/>
      </c>
      <c r="U285" s="65" t="str">
        <f aca="false">IF(ISBLANK($C285),"",IF(I285=Constants!$B$19,Constants!$B$19,Constants!$B$18))</f>
        <v/>
      </c>
      <c r="V285" s="65" t="str">
        <f aca="false">IF(ISBLANK($C285),"",IF(COUNTA(J285:K285)=0,"",IF(AND(OR(ISBLANK(J285),AND(ISNUMBER(J285),J285&gt;=0)),OR(ISBLANK(K285),AND(ISNUMBER(K285),K285&gt;=0))),60*IF(ISBLANK(J285),0,J285)+IF(ISBLANK(K285),0,K285),"")))</f>
        <v/>
      </c>
      <c r="W285" s="65" t="str">
        <f aca="false">IF(ISBLANK($C285),"",IF(L285=Constants!$B$19,Constants!$B$19,Constants!$B$18))</f>
        <v/>
      </c>
      <c r="X285" s="65" t="str">
        <f aca="false">IF(ISBLANK($C285),"",IF(COUNTA(M285:N285)=0,"",IF(AND(OR(ISBLANK(M285),AND(ISNUMBER(M285),M285&gt;=0)),OR(ISBLANK(N285),AND(ISNUMBER(N285),N285&gt;=0))),60*IF(ISBLANK(M285),0,M285)+IF(ISBLANK(N285),0,N285),"")))</f>
        <v/>
      </c>
      <c r="Y285" s="65" t="str">
        <f aca="false">IF(ISBLANK($C285),"",IF(O285=Constants!$B$2, TRUE(), IF(O285=Constants!$B$3, FALSE(), FALSE())))</f>
        <v/>
      </c>
      <c r="Z285" s="65" t="str">
        <f aca="false">IF(ISBLANK($C285),"",IF(Y285,Constants!$B$4,IF(COUNTA(E285:N285)=0,Constants!$B$5,IF(COUNTA(J285:K285,M285:N285)=0,Constants!$B$6,Constants!$B$7))))</f>
        <v/>
      </c>
      <c r="AA285" s="65" t="str">
        <f aca="false">IF(ISBLANK($C285),"",IF($Z285&lt;&gt;Constants!$B$7,$Z285,IF(OR(NOT(T285),AND(NOT(Q285),COUNTIFS(U285:W285,Constants!$B$18,V285:X285,"&gt;=0")&gt;0),AND(NOT(R285),COUNTIFS(U285:W285,Constants!$B$19,V285:X285,"&gt;=0")&gt;0)),Constants!$B$12,Constants!$B$11)))</f>
        <v/>
      </c>
      <c r="AB285" s="65" t="str">
        <f aca="false">IF($Z285=Constants!$B$7,IF(V285="",Constants!$B$13,V285),"")</f>
        <v/>
      </c>
      <c r="AC285" s="65" t="str">
        <f aca="false">IF($Z285=Constants!$B$7,IF(X285="",Constants!$B$13,X285),"")</f>
        <v/>
      </c>
      <c r="AD285" s="65" t="str">
        <f aca="false">IF($Z285=Constants!$B$7,IF($AB285&gt;=$AC285,1,2),"")</f>
        <v/>
      </c>
      <c r="AE285" s="65" t="str">
        <f aca="false">IF($Z285=Constants!$B$7,LARGE(AB285:AC285,1),"")</f>
        <v/>
      </c>
      <c r="AF285" s="65" t="str">
        <f aca="false">IF(ISBLANK($C285),"",IF($Z285&lt;&gt;Constants!$B$7,$Z285,AE285*S285))</f>
        <v/>
      </c>
      <c r="AG285" s="65" t="str">
        <f aca="false">IF(ISBLANK($C285),"",IF($Z285=Constants!$B$7,IF(ISNUMBER(AF285),RANK(AF285,$AF$8:$AF$507),Constants!$B$14),$Z285))</f>
        <v/>
      </c>
      <c r="AH285" s="65" t="str">
        <f aca="false">IF(ISBLANK($C285),"",IF($Z285=Constants!$B$7,IF(ISNUMBER(AG285),COUNTIFS($AA$8:$AA$507,"&lt;"&amp;$AA285)+COUNTIFS($AA$8:$AA$507,$AA285,$AG$8:$AG$507,"&lt;"&amp;$AG285)+1,Constants!$B$14),$Z285))</f>
        <v/>
      </c>
      <c r="AI285" s="65" t="str">
        <f aca="false">IF(ISBLANK($C285),"",IF($Z285=Constants!$B$7,LARGE(AB285:AC285,2)*S285,""))</f>
        <v/>
      </c>
      <c r="AJ285" s="65" t="str">
        <f aca="false">IF(ISBLANK($C285),"",IF($Z285=Constants!$B$7,RANK(AI285,$AI$8:$AI$507),$Z285))</f>
        <v/>
      </c>
      <c r="AK285" s="65" t="str">
        <f aca="false">IF(ISBLANK($C285),"",IF($Z285=Constants!$B$7,IF(ISNUMBER(AG285),COUNTIFS($AA$8:$AA$507,"&lt;"&amp;$AA285)+COUNTIFS($AA$8:$AA$507,$AA285,$AG$8:$AG$507,"&lt;"&amp;$AG285)+COUNTIFS($AA$8:$AA$507,$AA285,$AG$8:$AG$507,$AG285,$AJ$8:$AJ$507,"&lt;"&amp;$AJ285)+1,Constants!$B$14),$Z285))</f>
        <v/>
      </c>
      <c r="AL285" s="65" t="str">
        <f aca="false">IF(ISBLANK($C285),"",IF($Z285=Constants!$B$7,IF(ISNUMBER(AH285),AH285-AK285,Constants!$B$14),$Z285))</f>
        <v/>
      </c>
      <c r="AM285" s="67"/>
      <c r="AN285" s="68" t="str">
        <f aca="false">IF(ISBLANK($C285),"",IF($Z285&lt;&gt;Constants!$B$7,$Z285,AD285))</f>
        <v/>
      </c>
      <c r="AO285" s="69" t="str">
        <f aca="false">IF(ISBLANK($C285),"",IF($Z285&lt;&gt;Constants!$B$7,$Z285,S285))</f>
        <v/>
      </c>
      <c r="AP285" s="70" t="str">
        <f aca="false">IF(ISBLANK($C285),"",IF($Z285&lt;&gt;Constants!$B$7,$Z285,AF285))</f>
        <v/>
      </c>
      <c r="AQ285" s="71" t="str">
        <f aca="false">IF(ISBLANK($C285),"",IF($Z285&lt;&gt;Constants!$B$7,$Z285,AA285))</f>
        <v/>
      </c>
      <c r="AR285" s="69" t="str">
        <f aca="false">IF(ISBLANK($C285),"",AL285)</f>
        <v/>
      </c>
      <c r="AS285" s="69" t="str">
        <f aca="false">IF(ISBLANK($C285),"",AK285)</f>
        <v/>
      </c>
      <c r="AT285" s="72" t="str">
        <f aca="false">IF(ISBLANK($C285),"",IF(AS285=Constants!$B$4,COUNTA($C$8:$C$507)+2,IF(AS285=Constants!$B$5,COUNTA($C$8:$C$507)+1,IF(AS285=Constants!$B$6,COUNTA($C$8:$C$507),AS285))))</f>
        <v/>
      </c>
      <c r="AU285" s="5"/>
      <c r="AV285" s="73" t="n">
        <f aca="false">IF(OR(ISNUMBER(AS285),AS285=Constants!$B$4,AS285=Constants!$B$6,AS285=Constants!$B$5),1,0)</f>
        <v>0</v>
      </c>
      <c r="AW285" s="73" t="n">
        <v>278</v>
      </c>
      <c r="AX285" s="73" t="str">
        <f aca="false">IF(ISBLANK($C285),"",IF(ISNUMBER(AT285),AT285+ROW($B285)/1000,""))</f>
        <v/>
      </c>
      <c r="AY285" s="73" t="str">
        <f aca="false">IF(ISNUMBER(AX285),RANK(AX285,$AX$8:$AX$507,1),"")</f>
        <v/>
      </c>
      <c r="AZ285" s="73" t="str">
        <f aca="false">IF(ISBLANK($C285),"",$B285)</f>
        <v/>
      </c>
      <c r="BA285" s="73" t="str">
        <f aca="false">IF(ISBLANK($C285),"",$C285)</f>
        <v/>
      </c>
      <c r="BB285" s="73" t="str">
        <f aca="false">IF(ISBLANK($C285),"",$D285)</f>
        <v/>
      </c>
      <c r="BC285" s="74" t="str">
        <f aca="false">AQ285</f>
        <v/>
      </c>
      <c r="BD285" s="75" t="str">
        <f aca="false">AP285</f>
        <v/>
      </c>
      <c r="BE285" s="73" t="str">
        <f aca="false">IF(ISBLANK($C285),"",AS285)</f>
        <v/>
      </c>
      <c r="BF285" s="76" t="str">
        <f aca="false">IF($AW285&gt;$AV$7,"",VLOOKUP($AW285,$AY$8:$BE$507,7,FALSE()))</f>
        <v/>
      </c>
      <c r="BG285" s="77" t="str">
        <f aca="false">IF($AW285&gt;$AV$7,"",VLOOKUP($AW285,$AY$8:$BE$507,2,FALSE()))</f>
        <v/>
      </c>
      <c r="BH285" s="77" t="str">
        <f aca="false">IF($AW285&gt;$AV$7,"",VLOOKUP($AW285,$AY$8:$BE$507,3,FALSE()))</f>
        <v/>
      </c>
      <c r="BI285" s="77" t="str">
        <f aca="false">IF($AW285&gt;$AV$7,"",VLOOKUP($AW285,$AY$8:$BE$507,4,FALSE()))</f>
        <v/>
      </c>
      <c r="BJ285" s="77" t="str">
        <f aca="false">IF($AW285&gt;$AV$7,"",VLOOKUP($AW285,$AY$8:$BE$507,5,FALSE()))</f>
        <v/>
      </c>
      <c r="BK285" s="78" t="str">
        <f aca="false">IF($AW285&gt;$AV$7,"",VLOOKUP($AW285,$AY$8:$BE$507,6,FALSE()))</f>
        <v/>
      </c>
      <c r="BL285" s="50"/>
    </row>
    <row r="286" customFormat="false" ht="15.75" hidden="false" customHeight="false" outlineLevel="0" collapsed="false">
      <c r="A286" s="5"/>
      <c r="B286" s="131"/>
      <c r="C286" s="52"/>
      <c r="D286" s="53"/>
      <c r="E286" s="80"/>
      <c r="F286" s="132"/>
      <c r="G286" s="56"/>
      <c r="H286" s="133"/>
      <c r="I286" s="134"/>
      <c r="J286" s="59"/>
      <c r="K286" s="60"/>
      <c r="L286" s="134"/>
      <c r="M286" s="61"/>
      <c r="N286" s="62"/>
      <c r="O286" s="80"/>
      <c r="P286" s="64"/>
      <c r="Q286" s="65" t="str">
        <f aca="false">IF(ISBLANK($C286),"",IF(E286=Constants!$B$2, TRUE(), IF(E286=Constants!$B$3, FALSE(), TRUE())))</f>
        <v/>
      </c>
      <c r="R286" s="65" t="str">
        <f aca="false">IF(ISBLANK($C286),"",IF(F286=Constants!$B$2, TRUE(), IF(F286=Constants!$B$3, FALSE(), TRUE())))</f>
        <v/>
      </c>
      <c r="S286" s="65" t="str">
        <f aca="false">IF(ISBLANK($C286),"",IF(G286=Constants!$B$15,Constants!$B$8,IF(G286=Constants!$B$16,Constants!$B$9,Constants!$B$10)))</f>
        <v/>
      </c>
      <c r="T286" s="65" t="str">
        <f aca="false">IF(ISBLANK($C286),"",IF(H286=Constants!$B$2, TRUE(), IF(H286=Constants!$B$3, FALSE(), TRUE())))</f>
        <v/>
      </c>
      <c r="U286" s="65" t="str">
        <f aca="false">IF(ISBLANK($C286),"",IF(I286=Constants!$B$19,Constants!$B$19,Constants!$B$18))</f>
        <v/>
      </c>
      <c r="V286" s="65" t="str">
        <f aca="false">IF(ISBLANK($C286),"",IF(COUNTA(J286:K286)=0,"",IF(AND(OR(ISBLANK(J286),AND(ISNUMBER(J286),J286&gt;=0)),OR(ISBLANK(K286),AND(ISNUMBER(K286),K286&gt;=0))),60*IF(ISBLANK(J286),0,J286)+IF(ISBLANK(K286),0,K286),"")))</f>
        <v/>
      </c>
      <c r="W286" s="65" t="str">
        <f aca="false">IF(ISBLANK($C286),"",IF(L286=Constants!$B$19,Constants!$B$19,Constants!$B$18))</f>
        <v/>
      </c>
      <c r="X286" s="65" t="str">
        <f aca="false">IF(ISBLANK($C286),"",IF(COUNTA(M286:N286)=0,"",IF(AND(OR(ISBLANK(M286),AND(ISNUMBER(M286),M286&gt;=0)),OR(ISBLANK(N286),AND(ISNUMBER(N286),N286&gt;=0))),60*IF(ISBLANK(M286),0,M286)+IF(ISBLANK(N286),0,N286),"")))</f>
        <v/>
      </c>
      <c r="Y286" s="65" t="str">
        <f aca="false">IF(ISBLANK($C286),"",IF(O286=Constants!$B$2, TRUE(), IF(O286=Constants!$B$3, FALSE(), FALSE())))</f>
        <v/>
      </c>
      <c r="Z286" s="65" t="str">
        <f aca="false">IF(ISBLANK($C286),"",IF(Y286,Constants!$B$4,IF(COUNTA(E286:N286)=0,Constants!$B$5,IF(COUNTA(J286:K286,M286:N286)=0,Constants!$B$6,Constants!$B$7))))</f>
        <v/>
      </c>
      <c r="AA286" s="65" t="str">
        <f aca="false">IF(ISBLANK($C286),"",IF($Z286&lt;&gt;Constants!$B$7,$Z286,IF(OR(NOT(T286),AND(NOT(Q286),COUNTIFS(U286:W286,Constants!$B$18,V286:X286,"&gt;=0")&gt;0),AND(NOT(R286),COUNTIFS(U286:W286,Constants!$B$19,V286:X286,"&gt;=0")&gt;0)),Constants!$B$12,Constants!$B$11)))</f>
        <v/>
      </c>
      <c r="AB286" s="65" t="str">
        <f aca="false">IF($Z286=Constants!$B$7,IF(V286="",Constants!$B$13,V286),"")</f>
        <v/>
      </c>
      <c r="AC286" s="65" t="str">
        <f aca="false">IF($Z286=Constants!$B$7,IF(X286="",Constants!$B$13,X286),"")</f>
        <v/>
      </c>
      <c r="AD286" s="65" t="str">
        <f aca="false">IF($Z286=Constants!$B$7,IF($AB286&gt;=$AC286,1,2),"")</f>
        <v/>
      </c>
      <c r="AE286" s="65" t="str">
        <f aca="false">IF($Z286=Constants!$B$7,LARGE(AB286:AC286,1),"")</f>
        <v/>
      </c>
      <c r="AF286" s="65" t="str">
        <f aca="false">IF(ISBLANK($C286),"",IF($Z286&lt;&gt;Constants!$B$7,$Z286,AE286*S286))</f>
        <v/>
      </c>
      <c r="AG286" s="65" t="str">
        <f aca="false">IF(ISBLANK($C286),"",IF($Z286=Constants!$B$7,IF(ISNUMBER(AF286),RANK(AF286,$AF$8:$AF$507),Constants!$B$14),$Z286))</f>
        <v/>
      </c>
      <c r="AH286" s="65" t="str">
        <f aca="false">IF(ISBLANK($C286),"",IF($Z286=Constants!$B$7,IF(ISNUMBER(AG286),COUNTIFS($AA$8:$AA$507,"&lt;"&amp;$AA286)+COUNTIFS($AA$8:$AA$507,$AA286,$AG$8:$AG$507,"&lt;"&amp;$AG286)+1,Constants!$B$14),$Z286))</f>
        <v/>
      </c>
      <c r="AI286" s="65" t="str">
        <f aca="false">IF(ISBLANK($C286),"",IF($Z286=Constants!$B$7,LARGE(AB286:AC286,2)*S286,""))</f>
        <v/>
      </c>
      <c r="AJ286" s="65" t="str">
        <f aca="false">IF(ISBLANK($C286),"",IF($Z286=Constants!$B$7,RANK(AI286,$AI$8:$AI$507),$Z286))</f>
        <v/>
      </c>
      <c r="AK286" s="65" t="str">
        <f aca="false">IF(ISBLANK($C286),"",IF($Z286=Constants!$B$7,IF(ISNUMBER(AG286),COUNTIFS($AA$8:$AA$507,"&lt;"&amp;$AA286)+COUNTIFS($AA$8:$AA$507,$AA286,$AG$8:$AG$507,"&lt;"&amp;$AG286)+COUNTIFS($AA$8:$AA$507,$AA286,$AG$8:$AG$507,$AG286,$AJ$8:$AJ$507,"&lt;"&amp;$AJ286)+1,Constants!$B$14),$Z286))</f>
        <v/>
      </c>
      <c r="AL286" s="65" t="str">
        <f aca="false">IF(ISBLANK($C286),"",IF($Z286=Constants!$B$7,IF(ISNUMBER(AH286),AH286-AK286,Constants!$B$14),$Z286))</f>
        <v/>
      </c>
      <c r="AM286" s="67"/>
      <c r="AN286" s="68" t="str">
        <f aca="false">IF(ISBLANK($C286),"",IF($Z286&lt;&gt;Constants!$B$7,$Z286,AD286))</f>
        <v/>
      </c>
      <c r="AO286" s="69" t="str">
        <f aca="false">IF(ISBLANK($C286),"",IF($Z286&lt;&gt;Constants!$B$7,$Z286,S286))</f>
        <v/>
      </c>
      <c r="AP286" s="70" t="str">
        <f aca="false">IF(ISBLANK($C286),"",IF($Z286&lt;&gt;Constants!$B$7,$Z286,AF286))</f>
        <v/>
      </c>
      <c r="AQ286" s="71" t="str">
        <f aca="false">IF(ISBLANK($C286),"",IF($Z286&lt;&gt;Constants!$B$7,$Z286,AA286))</f>
        <v/>
      </c>
      <c r="AR286" s="69" t="str">
        <f aca="false">IF(ISBLANK($C286),"",AL286)</f>
        <v/>
      </c>
      <c r="AS286" s="69" t="str">
        <f aca="false">IF(ISBLANK($C286),"",AK286)</f>
        <v/>
      </c>
      <c r="AT286" s="72" t="str">
        <f aca="false">IF(ISBLANK($C286),"",IF(AS286=Constants!$B$4,COUNTA($C$8:$C$507)+2,IF(AS286=Constants!$B$5,COUNTA($C$8:$C$507)+1,IF(AS286=Constants!$B$6,COUNTA($C$8:$C$507),AS286))))</f>
        <v/>
      </c>
      <c r="AU286" s="5"/>
      <c r="AV286" s="73" t="n">
        <f aca="false">IF(OR(ISNUMBER(AS286),AS286=Constants!$B$4,AS286=Constants!$B$6,AS286=Constants!$B$5),1,0)</f>
        <v>0</v>
      </c>
      <c r="AW286" s="73" t="n">
        <v>279</v>
      </c>
      <c r="AX286" s="73" t="str">
        <f aca="false">IF(ISBLANK($C286),"",IF(ISNUMBER(AT286),AT286+ROW($B286)/1000,""))</f>
        <v/>
      </c>
      <c r="AY286" s="73" t="str">
        <f aca="false">IF(ISNUMBER(AX286),RANK(AX286,$AX$8:$AX$507,1),"")</f>
        <v/>
      </c>
      <c r="AZ286" s="73" t="str">
        <f aca="false">IF(ISBLANK($C286),"",$B286)</f>
        <v/>
      </c>
      <c r="BA286" s="73" t="str">
        <f aca="false">IF(ISBLANK($C286),"",$C286)</f>
        <v/>
      </c>
      <c r="BB286" s="73" t="str">
        <f aca="false">IF(ISBLANK($C286),"",$D286)</f>
        <v/>
      </c>
      <c r="BC286" s="74" t="str">
        <f aca="false">AQ286</f>
        <v/>
      </c>
      <c r="BD286" s="75" t="str">
        <f aca="false">AP286</f>
        <v/>
      </c>
      <c r="BE286" s="73" t="str">
        <f aca="false">IF(ISBLANK($C286),"",AS286)</f>
        <v/>
      </c>
      <c r="BF286" s="76" t="str">
        <f aca="false">IF($AW286&gt;$AV$7,"",VLOOKUP($AW286,$AY$8:$BE$507,7,FALSE()))</f>
        <v/>
      </c>
      <c r="BG286" s="77" t="str">
        <f aca="false">IF($AW286&gt;$AV$7,"",VLOOKUP($AW286,$AY$8:$BE$507,2,FALSE()))</f>
        <v/>
      </c>
      <c r="BH286" s="77" t="str">
        <f aca="false">IF($AW286&gt;$AV$7,"",VLOOKUP($AW286,$AY$8:$BE$507,3,FALSE()))</f>
        <v/>
      </c>
      <c r="BI286" s="77" t="str">
        <f aca="false">IF($AW286&gt;$AV$7,"",VLOOKUP($AW286,$AY$8:$BE$507,4,FALSE()))</f>
        <v/>
      </c>
      <c r="BJ286" s="77" t="str">
        <f aca="false">IF($AW286&gt;$AV$7,"",VLOOKUP($AW286,$AY$8:$BE$507,5,FALSE()))</f>
        <v/>
      </c>
      <c r="BK286" s="78" t="str">
        <f aca="false">IF($AW286&gt;$AV$7,"",VLOOKUP($AW286,$AY$8:$BE$507,6,FALSE()))</f>
        <v/>
      </c>
      <c r="BL286" s="50"/>
    </row>
    <row r="287" customFormat="false" ht="15.75" hidden="false" customHeight="false" outlineLevel="0" collapsed="false">
      <c r="A287" s="5"/>
      <c r="B287" s="124"/>
      <c r="C287" s="125"/>
      <c r="D287" s="110"/>
      <c r="E287" s="130"/>
      <c r="F287" s="135"/>
      <c r="G287" s="88"/>
      <c r="H287" s="136"/>
      <c r="I287" s="137"/>
      <c r="J287" s="91"/>
      <c r="K287" s="92"/>
      <c r="L287" s="137"/>
      <c r="M287" s="93"/>
      <c r="N287" s="94"/>
      <c r="O287" s="130"/>
      <c r="P287" s="96"/>
      <c r="Q287" s="97" t="str">
        <f aca="false">IF(ISBLANK($C287),"",IF(E287=Constants!$B$2, TRUE(), IF(E287=Constants!$B$3, FALSE(), TRUE())))</f>
        <v/>
      </c>
      <c r="R287" s="97" t="str">
        <f aca="false">IF(ISBLANK($C287),"",IF(F287=Constants!$B$2, TRUE(), IF(F287=Constants!$B$3, FALSE(), TRUE())))</f>
        <v/>
      </c>
      <c r="S287" s="97" t="str">
        <f aca="false">IF(ISBLANK($C287),"",IF(G287=Constants!$B$15,Constants!$B$8,IF(G287=Constants!$B$16,Constants!$B$9,Constants!$B$10)))</f>
        <v/>
      </c>
      <c r="T287" s="97" t="str">
        <f aca="false">IF(ISBLANK($C287),"",IF(H287=Constants!$B$2, TRUE(), IF(H287=Constants!$B$3, FALSE(), TRUE())))</f>
        <v/>
      </c>
      <c r="U287" s="97" t="str">
        <f aca="false">IF(ISBLANK($C287),"",IF(I287=Constants!$B$19,Constants!$B$19,Constants!$B$18))</f>
        <v/>
      </c>
      <c r="V287" s="97" t="str">
        <f aca="false">IF(ISBLANK($C287),"",IF(COUNTA(J287:K287)=0,"",IF(AND(OR(ISBLANK(J287),AND(ISNUMBER(J287),J287&gt;=0)),OR(ISBLANK(K287),AND(ISNUMBER(K287),K287&gt;=0))),60*IF(ISBLANK(J287),0,J287)+IF(ISBLANK(K287),0,K287),"")))</f>
        <v/>
      </c>
      <c r="W287" s="97" t="str">
        <f aca="false">IF(ISBLANK($C287),"",IF(L287=Constants!$B$19,Constants!$B$19,Constants!$B$18))</f>
        <v/>
      </c>
      <c r="X287" s="97" t="str">
        <f aca="false">IF(ISBLANK($C287),"",IF(COUNTA(M287:N287)=0,"",IF(AND(OR(ISBLANK(M287),AND(ISNUMBER(M287),M287&gt;=0)),OR(ISBLANK(N287),AND(ISNUMBER(N287),N287&gt;=0))),60*IF(ISBLANK(M287),0,M287)+IF(ISBLANK(N287),0,N287),"")))</f>
        <v/>
      </c>
      <c r="Y287" s="97" t="str">
        <f aca="false">IF(ISBLANK($C287),"",IF(O287=Constants!$B$2, TRUE(), IF(O287=Constants!$B$3, FALSE(), FALSE())))</f>
        <v/>
      </c>
      <c r="Z287" s="97" t="str">
        <f aca="false">IF(ISBLANK($C287),"",IF(Y287,Constants!$B$4,IF(COUNTA(E287:N287)=0,Constants!$B$5,IF(COUNTA(J287:K287,M287:N287)=0,Constants!$B$6,Constants!$B$7))))</f>
        <v/>
      </c>
      <c r="AA287" s="97" t="str">
        <f aca="false">IF(ISBLANK($C287),"",IF($Z287&lt;&gt;Constants!$B$7,$Z287,IF(OR(NOT(T287),AND(NOT(Q287),COUNTIFS(U287:W287,Constants!$B$18,V287:X287,"&gt;=0")&gt;0),AND(NOT(R287),COUNTIFS(U287:W287,Constants!$B$19,V287:X287,"&gt;=0")&gt;0)),Constants!$B$12,Constants!$B$11)))</f>
        <v/>
      </c>
      <c r="AB287" s="97" t="str">
        <f aca="false">IF($Z287=Constants!$B$7,IF(V287="",Constants!$B$13,V287),"")</f>
        <v/>
      </c>
      <c r="AC287" s="97" t="str">
        <f aca="false">IF($Z287=Constants!$B$7,IF(X287="",Constants!$B$13,X287),"")</f>
        <v/>
      </c>
      <c r="AD287" s="97" t="str">
        <f aca="false">IF($Z287=Constants!$B$7,IF($AB287&gt;=$AC287,1,2),"")</f>
        <v/>
      </c>
      <c r="AE287" s="97" t="str">
        <f aca="false">IF($Z287=Constants!$B$7,LARGE(AB287:AC287,1),"")</f>
        <v/>
      </c>
      <c r="AF287" s="97" t="str">
        <f aca="false">IF(ISBLANK($C287),"",IF($Z287&lt;&gt;Constants!$B$7,$Z287,AE287*S287))</f>
        <v/>
      </c>
      <c r="AG287" s="97" t="str">
        <f aca="false">IF(ISBLANK($C287),"",IF($Z287=Constants!$B$7,IF(ISNUMBER(AF287),RANK(AF287,$AF$8:$AF$507),Constants!$B$14),$Z287))</f>
        <v/>
      </c>
      <c r="AH287" s="97" t="str">
        <f aca="false">IF(ISBLANK($C287),"",IF($Z287=Constants!$B$7,IF(ISNUMBER(AG287),COUNTIFS($AA$8:$AA$507,"&lt;"&amp;$AA287)+COUNTIFS($AA$8:$AA$507,$AA287,$AG$8:$AG$507,"&lt;"&amp;$AG287)+1,Constants!$B$14),$Z287))</f>
        <v/>
      </c>
      <c r="AI287" s="97" t="str">
        <f aca="false">IF(ISBLANK($C287),"",IF($Z287=Constants!$B$7,LARGE(AB287:AC287,2)*S287,""))</f>
        <v/>
      </c>
      <c r="AJ287" s="97" t="str">
        <f aca="false">IF(ISBLANK($C287),"",IF($Z287=Constants!$B$7,RANK(AI287,$AI$8:$AI$507),$Z287))</f>
        <v/>
      </c>
      <c r="AK287" s="97" t="str">
        <f aca="false">IF(ISBLANK($C287),"",IF($Z287=Constants!$B$7,IF(ISNUMBER(AG287),COUNTIFS($AA$8:$AA$507,"&lt;"&amp;$AA287)+COUNTIFS($AA$8:$AA$507,$AA287,$AG$8:$AG$507,"&lt;"&amp;$AG287)+COUNTIFS($AA$8:$AA$507,$AA287,$AG$8:$AG$507,$AG287,$AJ$8:$AJ$507,"&lt;"&amp;$AJ287)+1,Constants!$B$14),$Z287))</f>
        <v/>
      </c>
      <c r="AL287" s="97" t="str">
        <f aca="false">IF(ISBLANK($C287),"",IF($Z287=Constants!$B$7,IF(ISNUMBER(AH287),AH287-AK287,Constants!$B$14),$Z287))</f>
        <v/>
      </c>
      <c r="AM287" s="98"/>
      <c r="AN287" s="99" t="str">
        <f aca="false">IF(ISBLANK($C287),"",IF($Z287&lt;&gt;Constants!$B$7,$Z287,AD287))</f>
        <v/>
      </c>
      <c r="AO287" s="100" t="str">
        <f aca="false">IF(ISBLANK($C287),"",IF($Z287&lt;&gt;Constants!$B$7,$Z287,S287))</f>
        <v/>
      </c>
      <c r="AP287" s="101" t="str">
        <f aca="false">IF(ISBLANK($C287),"",IF($Z287&lt;&gt;Constants!$B$7,$Z287,AF287))</f>
        <v/>
      </c>
      <c r="AQ287" s="102" t="str">
        <f aca="false">IF(ISBLANK($C287),"",IF($Z287&lt;&gt;Constants!$B$7,$Z287,AA287))</f>
        <v/>
      </c>
      <c r="AR287" s="100" t="str">
        <f aca="false">IF(ISBLANK($C287),"",AL287)</f>
        <v/>
      </c>
      <c r="AS287" s="100" t="str">
        <f aca="false">IF(ISBLANK($C287),"",AK287)</f>
        <v/>
      </c>
      <c r="AT287" s="103" t="str">
        <f aca="false">IF(ISBLANK($C287),"",IF(AS287=Constants!$B$4,COUNTA($C$8:$C$507)+2,IF(AS287=Constants!$B$5,COUNTA($C$8:$C$507)+1,IF(AS287=Constants!$B$6,COUNTA($C$8:$C$507),AS287))))</f>
        <v/>
      </c>
      <c r="AU287" s="5"/>
      <c r="AV287" s="104" t="n">
        <f aca="false">IF(OR(ISNUMBER(AS287),AS287=Constants!$B$4,AS287=Constants!$B$6,AS287=Constants!$B$5),1,0)</f>
        <v>0</v>
      </c>
      <c r="AW287" s="104" t="n">
        <v>280</v>
      </c>
      <c r="AX287" s="104" t="str">
        <f aca="false">IF(ISBLANK($C287),"",IF(ISNUMBER(AT287),AT287+ROW($B287)/1000,""))</f>
        <v/>
      </c>
      <c r="AY287" s="104" t="str">
        <f aca="false">IF(ISNUMBER(AX287),RANK(AX287,$AX$8:$AX$507,1),"")</f>
        <v/>
      </c>
      <c r="AZ287" s="104" t="str">
        <f aca="false">IF(ISBLANK($C287),"",$B287)</f>
        <v/>
      </c>
      <c r="BA287" s="104" t="str">
        <f aca="false">IF(ISBLANK($C287),"",$C287)</f>
        <v/>
      </c>
      <c r="BB287" s="104" t="str">
        <f aca="false">IF(ISBLANK($C287),"",$D287)</f>
        <v/>
      </c>
      <c r="BC287" s="105" t="str">
        <f aca="false">AQ287</f>
        <v/>
      </c>
      <c r="BD287" s="106" t="str">
        <f aca="false">AP287</f>
        <v/>
      </c>
      <c r="BE287" s="104" t="str">
        <f aca="false">IF(ISBLANK($C287),"",AS287)</f>
        <v/>
      </c>
      <c r="BF287" s="107" t="str">
        <f aca="false">IF($AW287&gt;$AV$7,"",VLOOKUP($AW287,$AY$8:$BE$507,7,FALSE()))</f>
        <v/>
      </c>
      <c r="BG287" s="108" t="str">
        <f aca="false">IF($AW287&gt;$AV$7,"",VLOOKUP($AW287,$AY$8:$BE$507,2,FALSE()))</f>
        <v/>
      </c>
      <c r="BH287" s="108" t="str">
        <f aca="false">IF($AW287&gt;$AV$7,"",VLOOKUP($AW287,$AY$8:$BE$507,3,FALSE()))</f>
        <v/>
      </c>
      <c r="BI287" s="108" t="str">
        <f aca="false">IF($AW287&gt;$AV$7,"",VLOOKUP($AW287,$AY$8:$BE$507,4,FALSE()))</f>
        <v/>
      </c>
      <c r="BJ287" s="108" t="str">
        <f aca="false">IF($AW287&gt;$AV$7,"",VLOOKUP($AW287,$AY$8:$BE$507,5,FALSE()))</f>
        <v/>
      </c>
      <c r="BK287" s="109" t="str">
        <f aca="false">IF($AW287&gt;$AV$7,"",VLOOKUP($AW287,$AY$8:$BE$507,6,FALSE()))</f>
        <v/>
      </c>
      <c r="BL287" s="50"/>
    </row>
    <row r="288" customFormat="false" ht="15.75" hidden="false" customHeight="false" outlineLevel="0" collapsed="false">
      <c r="A288" s="5"/>
      <c r="B288" s="124"/>
      <c r="C288" s="125"/>
      <c r="D288" s="110"/>
      <c r="E288" s="130"/>
      <c r="F288" s="135"/>
      <c r="G288" s="88"/>
      <c r="H288" s="136"/>
      <c r="I288" s="137"/>
      <c r="J288" s="91"/>
      <c r="K288" s="92"/>
      <c r="L288" s="137"/>
      <c r="M288" s="93"/>
      <c r="N288" s="94"/>
      <c r="O288" s="130"/>
      <c r="P288" s="96"/>
      <c r="Q288" s="97" t="str">
        <f aca="false">IF(ISBLANK($C288),"",IF(E288=Constants!$B$2, TRUE(), IF(E288=Constants!$B$3, FALSE(), TRUE())))</f>
        <v/>
      </c>
      <c r="R288" s="97" t="str">
        <f aca="false">IF(ISBLANK($C288),"",IF(F288=Constants!$B$2, TRUE(), IF(F288=Constants!$B$3, FALSE(), TRUE())))</f>
        <v/>
      </c>
      <c r="S288" s="97" t="str">
        <f aca="false">IF(ISBLANK($C288),"",IF(G288=Constants!$B$15,Constants!$B$8,IF(G288=Constants!$B$16,Constants!$B$9,Constants!$B$10)))</f>
        <v/>
      </c>
      <c r="T288" s="97" t="str">
        <f aca="false">IF(ISBLANK($C288),"",IF(H288=Constants!$B$2, TRUE(), IF(H288=Constants!$B$3, FALSE(), TRUE())))</f>
        <v/>
      </c>
      <c r="U288" s="97" t="str">
        <f aca="false">IF(ISBLANK($C288),"",IF(I288=Constants!$B$19,Constants!$B$19,Constants!$B$18))</f>
        <v/>
      </c>
      <c r="V288" s="97" t="str">
        <f aca="false">IF(ISBLANK($C288),"",IF(COUNTA(J288:K288)=0,"",IF(AND(OR(ISBLANK(J288),AND(ISNUMBER(J288),J288&gt;=0)),OR(ISBLANK(K288),AND(ISNUMBER(K288),K288&gt;=0))),60*IF(ISBLANK(J288),0,J288)+IF(ISBLANK(K288),0,K288),"")))</f>
        <v/>
      </c>
      <c r="W288" s="97" t="str">
        <f aca="false">IF(ISBLANK($C288),"",IF(L288=Constants!$B$19,Constants!$B$19,Constants!$B$18))</f>
        <v/>
      </c>
      <c r="X288" s="97" t="str">
        <f aca="false">IF(ISBLANK($C288),"",IF(COUNTA(M288:N288)=0,"",IF(AND(OR(ISBLANK(M288),AND(ISNUMBER(M288),M288&gt;=0)),OR(ISBLANK(N288),AND(ISNUMBER(N288),N288&gt;=0))),60*IF(ISBLANK(M288),0,M288)+IF(ISBLANK(N288),0,N288),"")))</f>
        <v/>
      </c>
      <c r="Y288" s="97" t="str">
        <f aca="false">IF(ISBLANK($C288),"",IF(O288=Constants!$B$2, TRUE(), IF(O288=Constants!$B$3, FALSE(), FALSE())))</f>
        <v/>
      </c>
      <c r="Z288" s="97" t="str">
        <f aca="false">IF(ISBLANK($C288),"",IF(Y288,Constants!$B$4,IF(COUNTA(E288:N288)=0,Constants!$B$5,IF(COUNTA(J288:K288,M288:N288)=0,Constants!$B$6,Constants!$B$7))))</f>
        <v/>
      </c>
      <c r="AA288" s="97" t="str">
        <f aca="false">IF(ISBLANK($C288),"",IF($Z288&lt;&gt;Constants!$B$7,$Z288,IF(OR(NOT(T288),AND(NOT(Q288),COUNTIFS(U288:W288,Constants!$B$18,V288:X288,"&gt;=0")&gt;0),AND(NOT(R288),COUNTIFS(U288:W288,Constants!$B$19,V288:X288,"&gt;=0")&gt;0)),Constants!$B$12,Constants!$B$11)))</f>
        <v/>
      </c>
      <c r="AB288" s="97" t="str">
        <f aca="false">IF($Z288=Constants!$B$7,IF(V288="",Constants!$B$13,V288),"")</f>
        <v/>
      </c>
      <c r="AC288" s="97" t="str">
        <f aca="false">IF($Z288=Constants!$B$7,IF(X288="",Constants!$B$13,X288),"")</f>
        <v/>
      </c>
      <c r="AD288" s="97" t="str">
        <f aca="false">IF($Z288=Constants!$B$7,IF($AB288&gt;=$AC288,1,2),"")</f>
        <v/>
      </c>
      <c r="AE288" s="97" t="str">
        <f aca="false">IF($Z288=Constants!$B$7,LARGE(AB288:AC288,1),"")</f>
        <v/>
      </c>
      <c r="AF288" s="97" t="str">
        <f aca="false">IF(ISBLANK($C288),"",IF($Z288&lt;&gt;Constants!$B$7,$Z288,AE288*S288))</f>
        <v/>
      </c>
      <c r="AG288" s="97" t="str">
        <f aca="false">IF(ISBLANK($C288),"",IF($Z288=Constants!$B$7,IF(ISNUMBER(AF288),RANK(AF288,$AF$8:$AF$507),Constants!$B$14),$Z288))</f>
        <v/>
      </c>
      <c r="AH288" s="97" t="str">
        <f aca="false">IF(ISBLANK($C288),"",IF($Z288=Constants!$B$7,IF(ISNUMBER(AG288),COUNTIFS($AA$8:$AA$507,"&lt;"&amp;$AA288)+COUNTIFS($AA$8:$AA$507,$AA288,$AG$8:$AG$507,"&lt;"&amp;$AG288)+1,Constants!$B$14),$Z288))</f>
        <v/>
      </c>
      <c r="AI288" s="97" t="str">
        <f aca="false">IF(ISBLANK($C288),"",IF($Z288=Constants!$B$7,LARGE(AB288:AC288,2)*S288,""))</f>
        <v/>
      </c>
      <c r="AJ288" s="97" t="str">
        <f aca="false">IF(ISBLANK($C288),"",IF($Z288=Constants!$B$7,RANK(AI288,$AI$8:$AI$507),$Z288))</f>
        <v/>
      </c>
      <c r="AK288" s="97" t="str">
        <f aca="false">IF(ISBLANK($C288),"",IF($Z288=Constants!$B$7,IF(ISNUMBER(AG288),COUNTIFS($AA$8:$AA$507,"&lt;"&amp;$AA288)+COUNTIFS($AA$8:$AA$507,$AA288,$AG$8:$AG$507,"&lt;"&amp;$AG288)+COUNTIFS($AA$8:$AA$507,$AA288,$AG$8:$AG$507,$AG288,$AJ$8:$AJ$507,"&lt;"&amp;$AJ288)+1,Constants!$B$14),$Z288))</f>
        <v/>
      </c>
      <c r="AL288" s="97" t="str">
        <f aca="false">IF(ISBLANK($C288),"",IF($Z288=Constants!$B$7,IF(ISNUMBER(AH288),AH288-AK288,Constants!$B$14),$Z288))</f>
        <v/>
      </c>
      <c r="AM288" s="98"/>
      <c r="AN288" s="99" t="str">
        <f aca="false">IF(ISBLANK($C288),"",IF($Z288&lt;&gt;Constants!$B$7,$Z288,AD288))</f>
        <v/>
      </c>
      <c r="AO288" s="100" t="str">
        <f aca="false">IF(ISBLANK($C288),"",IF($Z288&lt;&gt;Constants!$B$7,$Z288,S288))</f>
        <v/>
      </c>
      <c r="AP288" s="101" t="str">
        <f aca="false">IF(ISBLANK($C288),"",IF($Z288&lt;&gt;Constants!$B$7,$Z288,AF288))</f>
        <v/>
      </c>
      <c r="AQ288" s="102" t="str">
        <f aca="false">IF(ISBLANK($C288),"",IF($Z288&lt;&gt;Constants!$B$7,$Z288,AA288))</f>
        <v/>
      </c>
      <c r="AR288" s="100" t="str">
        <f aca="false">IF(ISBLANK($C288),"",AL288)</f>
        <v/>
      </c>
      <c r="AS288" s="100" t="str">
        <f aca="false">IF(ISBLANK($C288),"",AK288)</f>
        <v/>
      </c>
      <c r="AT288" s="103" t="str">
        <f aca="false">IF(ISBLANK($C288),"",IF(AS288=Constants!$B$4,COUNTA($C$8:$C$507)+2,IF(AS288=Constants!$B$5,COUNTA($C$8:$C$507)+1,IF(AS288=Constants!$B$6,COUNTA($C$8:$C$507),AS288))))</f>
        <v/>
      </c>
      <c r="AU288" s="5"/>
      <c r="AV288" s="104" t="n">
        <f aca="false">IF(OR(ISNUMBER(AS288),AS288=Constants!$B$4,AS288=Constants!$B$6,AS288=Constants!$B$5),1,0)</f>
        <v>0</v>
      </c>
      <c r="AW288" s="104" t="n">
        <v>281</v>
      </c>
      <c r="AX288" s="104" t="str">
        <f aca="false">IF(ISBLANK($C288),"",IF(ISNUMBER(AT288),AT288+ROW($B288)/1000,""))</f>
        <v/>
      </c>
      <c r="AY288" s="104" t="str">
        <f aca="false">IF(ISNUMBER(AX288),RANK(AX288,$AX$8:$AX$507,1),"")</f>
        <v/>
      </c>
      <c r="AZ288" s="104" t="str">
        <f aca="false">IF(ISBLANK($C288),"",$B288)</f>
        <v/>
      </c>
      <c r="BA288" s="104" t="str">
        <f aca="false">IF(ISBLANK($C288),"",$C288)</f>
        <v/>
      </c>
      <c r="BB288" s="104" t="str">
        <f aca="false">IF(ISBLANK($C288),"",$D288)</f>
        <v/>
      </c>
      <c r="BC288" s="105" t="str">
        <f aca="false">AQ288</f>
        <v/>
      </c>
      <c r="BD288" s="106" t="str">
        <f aca="false">AP288</f>
        <v/>
      </c>
      <c r="BE288" s="104" t="str">
        <f aca="false">IF(ISBLANK($C288),"",AS288)</f>
        <v/>
      </c>
      <c r="BF288" s="107" t="str">
        <f aca="false">IF($AW288&gt;$AV$7,"",VLOOKUP($AW288,$AY$8:$BE$507,7,FALSE()))</f>
        <v/>
      </c>
      <c r="BG288" s="108" t="str">
        <f aca="false">IF($AW288&gt;$AV$7,"",VLOOKUP($AW288,$AY$8:$BE$507,2,FALSE()))</f>
        <v/>
      </c>
      <c r="BH288" s="108" t="str">
        <f aca="false">IF($AW288&gt;$AV$7,"",VLOOKUP($AW288,$AY$8:$BE$507,3,FALSE()))</f>
        <v/>
      </c>
      <c r="BI288" s="108" t="str">
        <f aca="false">IF($AW288&gt;$AV$7,"",VLOOKUP($AW288,$AY$8:$BE$507,4,FALSE()))</f>
        <v/>
      </c>
      <c r="BJ288" s="108" t="str">
        <f aca="false">IF($AW288&gt;$AV$7,"",VLOOKUP($AW288,$AY$8:$BE$507,5,FALSE()))</f>
        <v/>
      </c>
      <c r="BK288" s="109" t="str">
        <f aca="false">IF($AW288&gt;$AV$7,"",VLOOKUP($AW288,$AY$8:$BE$507,6,FALSE()))</f>
        <v/>
      </c>
      <c r="BL288" s="50"/>
    </row>
    <row r="289" customFormat="false" ht="15.75" hidden="false" customHeight="false" outlineLevel="0" collapsed="false">
      <c r="A289" s="5"/>
      <c r="B289" s="124"/>
      <c r="C289" s="125"/>
      <c r="D289" s="110"/>
      <c r="E289" s="130"/>
      <c r="F289" s="135"/>
      <c r="G289" s="88"/>
      <c r="H289" s="136"/>
      <c r="I289" s="137"/>
      <c r="J289" s="91"/>
      <c r="K289" s="92"/>
      <c r="L289" s="137"/>
      <c r="M289" s="93"/>
      <c r="N289" s="94"/>
      <c r="O289" s="130"/>
      <c r="P289" s="96"/>
      <c r="Q289" s="97" t="str">
        <f aca="false">IF(ISBLANK($C289),"",IF(E289=Constants!$B$2, TRUE(), IF(E289=Constants!$B$3, FALSE(), TRUE())))</f>
        <v/>
      </c>
      <c r="R289" s="97" t="str">
        <f aca="false">IF(ISBLANK($C289),"",IF(F289=Constants!$B$2, TRUE(), IF(F289=Constants!$B$3, FALSE(), TRUE())))</f>
        <v/>
      </c>
      <c r="S289" s="97" t="str">
        <f aca="false">IF(ISBLANK($C289),"",IF(G289=Constants!$B$15,Constants!$B$8,IF(G289=Constants!$B$16,Constants!$B$9,Constants!$B$10)))</f>
        <v/>
      </c>
      <c r="T289" s="97" t="str">
        <f aca="false">IF(ISBLANK($C289),"",IF(H289=Constants!$B$2, TRUE(), IF(H289=Constants!$B$3, FALSE(), TRUE())))</f>
        <v/>
      </c>
      <c r="U289" s="97" t="str">
        <f aca="false">IF(ISBLANK($C289),"",IF(I289=Constants!$B$19,Constants!$B$19,Constants!$B$18))</f>
        <v/>
      </c>
      <c r="V289" s="97" t="str">
        <f aca="false">IF(ISBLANK($C289),"",IF(COUNTA(J289:K289)=0,"",IF(AND(OR(ISBLANK(J289),AND(ISNUMBER(J289),J289&gt;=0)),OR(ISBLANK(K289),AND(ISNUMBER(K289),K289&gt;=0))),60*IF(ISBLANK(J289),0,J289)+IF(ISBLANK(K289),0,K289),"")))</f>
        <v/>
      </c>
      <c r="W289" s="97" t="str">
        <f aca="false">IF(ISBLANK($C289),"",IF(L289=Constants!$B$19,Constants!$B$19,Constants!$B$18))</f>
        <v/>
      </c>
      <c r="X289" s="97" t="str">
        <f aca="false">IF(ISBLANK($C289),"",IF(COUNTA(M289:N289)=0,"",IF(AND(OR(ISBLANK(M289),AND(ISNUMBER(M289),M289&gt;=0)),OR(ISBLANK(N289),AND(ISNUMBER(N289),N289&gt;=0))),60*IF(ISBLANK(M289),0,M289)+IF(ISBLANK(N289),0,N289),"")))</f>
        <v/>
      </c>
      <c r="Y289" s="97" t="str">
        <f aca="false">IF(ISBLANK($C289),"",IF(O289=Constants!$B$2, TRUE(), IF(O289=Constants!$B$3, FALSE(), FALSE())))</f>
        <v/>
      </c>
      <c r="Z289" s="97" t="str">
        <f aca="false">IF(ISBLANK($C289),"",IF(Y289,Constants!$B$4,IF(COUNTA(E289:N289)=0,Constants!$B$5,IF(COUNTA(J289:K289,M289:N289)=0,Constants!$B$6,Constants!$B$7))))</f>
        <v/>
      </c>
      <c r="AA289" s="97" t="str">
        <f aca="false">IF(ISBLANK($C289),"",IF($Z289&lt;&gt;Constants!$B$7,$Z289,IF(OR(NOT(T289),AND(NOT(Q289),COUNTIFS(U289:W289,Constants!$B$18,V289:X289,"&gt;=0")&gt;0),AND(NOT(R289),COUNTIFS(U289:W289,Constants!$B$19,V289:X289,"&gt;=0")&gt;0)),Constants!$B$12,Constants!$B$11)))</f>
        <v/>
      </c>
      <c r="AB289" s="97" t="str">
        <f aca="false">IF($Z289=Constants!$B$7,IF(V289="",Constants!$B$13,V289),"")</f>
        <v/>
      </c>
      <c r="AC289" s="97" t="str">
        <f aca="false">IF($Z289=Constants!$B$7,IF(X289="",Constants!$B$13,X289),"")</f>
        <v/>
      </c>
      <c r="AD289" s="97" t="str">
        <f aca="false">IF($Z289=Constants!$B$7,IF($AB289&gt;=$AC289,1,2),"")</f>
        <v/>
      </c>
      <c r="AE289" s="97" t="str">
        <f aca="false">IF($Z289=Constants!$B$7,LARGE(AB289:AC289,1),"")</f>
        <v/>
      </c>
      <c r="AF289" s="97" t="str">
        <f aca="false">IF(ISBLANK($C289),"",IF($Z289&lt;&gt;Constants!$B$7,$Z289,AE289*S289))</f>
        <v/>
      </c>
      <c r="AG289" s="97" t="str">
        <f aca="false">IF(ISBLANK($C289),"",IF($Z289=Constants!$B$7,IF(ISNUMBER(AF289),RANK(AF289,$AF$8:$AF$507),Constants!$B$14),$Z289))</f>
        <v/>
      </c>
      <c r="AH289" s="97" t="str">
        <f aca="false">IF(ISBLANK($C289),"",IF($Z289=Constants!$B$7,IF(ISNUMBER(AG289),COUNTIFS($AA$8:$AA$507,"&lt;"&amp;$AA289)+COUNTIFS($AA$8:$AA$507,$AA289,$AG$8:$AG$507,"&lt;"&amp;$AG289)+1,Constants!$B$14),$Z289))</f>
        <v/>
      </c>
      <c r="AI289" s="97" t="str">
        <f aca="false">IF(ISBLANK($C289),"",IF($Z289=Constants!$B$7,LARGE(AB289:AC289,2)*S289,""))</f>
        <v/>
      </c>
      <c r="AJ289" s="97" t="str">
        <f aca="false">IF(ISBLANK($C289),"",IF($Z289=Constants!$B$7,RANK(AI289,$AI$8:$AI$507),$Z289))</f>
        <v/>
      </c>
      <c r="AK289" s="97" t="str">
        <f aca="false">IF(ISBLANK($C289),"",IF($Z289=Constants!$B$7,IF(ISNUMBER(AG289),COUNTIFS($AA$8:$AA$507,"&lt;"&amp;$AA289)+COUNTIFS($AA$8:$AA$507,$AA289,$AG$8:$AG$507,"&lt;"&amp;$AG289)+COUNTIFS($AA$8:$AA$507,$AA289,$AG$8:$AG$507,$AG289,$AJ$8:$AJ$507,"&lt;"&amp;$AJ289)+1,Constants!$B$14),$Z289))</f>
        <v/>
      </c>
      <c r="AL289" s="97" t="str">
        <f aca="false">IF(ISBLANK($C289),"",IF($Z289=Constants!$B$7,IF(ISNUMBER(AH289),AH289-AK289,Constants!$B$14),$Z289))</f>
        <v/>
      </c>
      <c r="AM289" s="98"/>
      <c r="AN289" s="99" t="str">
        <f aca="false">IF(ISBLANK($C289),"",IF($Z289&lt;&gt;Constants!$B$7,$Z289,AD289))</f>
        <v/>
      </c>
      <c r="AO289" s="100" t="str">
        <f aca="false">IF(ISBLANK($C289),"",IF($Z289&lt;&gt;Constants!$B$7,$Z289,S289))</f>
        <v/>
      </c>
      <c r="AP289" s="101" t="str">
        <f aca="false">IF(ISBLANK($C289),"",IF($Z289&lt;&gt;Constants!$B$7,$Z289,AF289))</f>
        <v/>
      </c>
      <c r="AQ289" s="102" t="str">
        <f aca="false">IF(ISBLANK($C289),"",IF($Z289&lt;&gt;Constants!$B$7,$Z289,AA289))</f>
        <v/>
      </c>
      <c r="AR289" s="100" t="str">
        <f aca="false">IF(ISBLANK($C289),"",AL289)</f>
        <v/>
      </c>
      <c r="AS289" s="100" t="str">
        <f aca="false">IF(ISBLANK($C289),"",AK289)</f>
        <v/>
      </c>
      <c r="AT289" s="103" t="str">
        <f aca="false">IF(ISBLANK($C289),"",IF(AS289=Constants!$B$4,COUNTA($C$8:$C$507)+2,IF(AS289=Constants!$B$5,COUNTA($C$8:$C$507)+1,IF(AS289=Constants!$B$6,COUNTA($C$8:$C$507),AS289))))</f>
        <v/>
      </c>
      <c r="AU289" s="5"/>
      <c r="AV289" s="104" t="n">
        <f aca="false">IF(OR(ISNUMBER(AS289),AS289=Constants!$B$4,AS289=Constants!$B$6,AS289=Constants!$B$5),1,0)</f>
        <v>0</v>
      </c>
      <c r="AW289" s="104" t="n">
        <v>282</v>
      </c>
      <c r="AX289" s="104" t="str">
        <f aca="false">IF(ISBLANK($C289),"",IF(ISNUMBER(AT289),AT289+ROW($B289)/1000,""))</f>
        <v/>
      </c>
      <c r="AY289" s="104" t="str">
        <f aca="false">IF(ISNUMBER(AX289),RANK(AX289,$AX$8:$AX$507,1),"")</f>
        <v/>
      </c>
      <c r="AZ289" s="104" t="str">
        <f aca="false">IF(ISBLANK($C289),"",$B289)</f>
        <v/>
      </c>
      <c r="BA289" s="104" t="str">
        <f aca="false">IF(ISBLANK($C289),"",$C289)</f>
        <v/>
      </c>
      <c r="BB289" s="104" t="str">
        <f aca="false">IF(ISBLANK($C289),"",$D289)</f>
        <v/>
      </c>
      <c r="BC289" s="105" t="str">
        <f aca="false">AQ289</f>
        <v/>
      </c>
      <c r="BD289" s="106" t="str">
        <f aca="false">AP289</f>
        <v/>
      </c>
      <c r="BE289" s="104" t="str">
        <f aca="false">IF(ISBLANK($C289),"",AS289)</f>
        <v/>
      </c>
      <c r="BF289" s="107" t="str">
        <f aca="false">IF($AW289&gt;$AV$7,"",VLOOKUP($AW289,$AY$8:$BE$507,7,FALSE()))</f>
        <v/>
      </c>
      <c r="BG289" s="108" t="str">
        <f aca="false">IF($AW289&gt;$AV$7,"",VLOOKUP($AW289,$AY$8:$BE$507,2,FALSE()))</f>
        <v/>
      </c>
      <c r="BH289" s="108" t="str">
        <f aca="false">IF($AW289&gt;$AV$7,"",VLOOKUP($AW289,$AY$8:$BE$507,3,FALSE()))</f>
        <v/>
      </c>
      <c r="BI289" s="108" t="str">
        <f aca="false">IF($AW289&gt;$AV$7,"",VLOOKUP($AW289,$AY$8:$BE$507,4,FALSE()))</f>
        <v/>
      </c>
      <c r="BJ289" s="108" t="str">
        <f aca="false">IF($AW289&gt;$AV$7,"",VLOOKUP($AW289,$AY$8:$BE$507,5,FALSE()))</f>
        <v/>
      </c>
      <c r="BK289" s="109" t="str">
        <f aca="false">IF($AW289&gt;$AV$7,"",VLOOKUP($AW289,$AY$8:$BE$507,6,FALSE()))</f>
        <v/>
      </c>
      <c r="BL289" s="50"/>
    </row>
    <row r="290" customFormat="false" ht="15.75" hidden="false" customHeight="false" outlineLevel="0" collapsed="false">
      <c r="A290" s="5"/>
      <c r="B290" s="131"/>
      <c r="C290" s="52"/>
      <c r="D290" s="53"/>
      <c r="E290" s="80"/>
      <c r="F290" s="132"/>
      <c r="G290" s="56"/>
      <c r="H290" s="133"/>
      <c r="I290" s="134"/>
      <c r="J290" s="59"/>
      <c r="K290" s="60"/>
      <c r="L290" s="134"/>
      <c r="M290" s="61"/>
      <c r="N290" s="62"/>
      <c r="O290" s="80"/>
      <c r="P290" s="64"/>
      <c r="Q290" s="65" t="str">
        <f aca="false">IF(ISBLANK($C290),"",IF(E290=Constants!$B$2, TRUE(), IF(E290=Constants!$B$3, FALSE(), TRUE())))</f>
        <v/>
      </c>
      <c r="R290" s="65" t="str">
        <f aca="false">IF(ISBLANK($C290),"",IF(F290=Constants!$B$2, TRUE(), IF(F290=Constants!$B$3, FALSE(), TRUE())))</f>
        <v/>
      </c>
      <c r="S290" s="65" t="str">
        <f aca="false">IF(ISBLANK($C290),"",IF(G290=Constants!$B$15,Constants!$B$8,IF(G290=Constants!$B$16,Constants!$B$9,Constants!$B$10)))</f>
        <v/>
      </c>
      <c r="T290" s="65" t="str">
        <f aca="false">IF(ISBLANK($C290),"",IF(H290=Constants!$B$2, TRUE(), IF(H290=Constants!$B$3, FALSE(), TRUE())))</f>
        <v/>
      </c>
      <c r="U290" s="65" t="str">
        <f aca="false">IF(ISBLANK($C290),"",IF(I290=Constants!$B$19,Constants!$B$19,Constants!$B$18))</f>
        <v/>
      </c>
      <c r="V290" s="65" t="str">
        <f aca="false">IF(ISBLANK($C290),"",IF(COUNTA(J290:K290)=0,"",IF(AND(OR(ISBLANK(J290),AND(ISNUMBER(J290),J290&gt;=0)),OR(ISBLANK(K290),AND(ISNUMBER(K290),K290&gt;=0))),60*IF(ISBLANK(J290),0,J290)+IF(ISBLANK(K290),0,K290),"")))</f>
        <v/>
      </c>
      <c r="W290" s="65" t="str">
        <f aca="false">IF(ISBLANK($C290),"",IF(L290=Constants!$B$19,Constants!$B$19,Constants!$B$18))</f>
        <v/>
      </c>
      <c r="X290" s="65" t="str">
        <f aca="false">IF(ISBLANK($C290),"",IF(COUNTA(M290:N290)=0,"",IF(AND(OR(ISBLANK(M290),AND(ISNUMBER(M290),M290&gt;=0)),OR(ISBLANK(N290),AND(ISNUMBER(N290),N290&gt;=0))),60*IF(ISBLANK(M290),0,M290)+IF(ISBLANK(N290),0,N290),"")))</f>
        <v/>
      </c>
      <c r="Y290" s="65" t="str">
        <f aca="false">IF(ISBLANK($C290),"",IF(O290=Constants!$B$2, TRUE(), IF(O290=Constants!$B$3, FALSE(), FALSE())))</f>
        <v/>
      </c>
      <c r="Z290" s="65" t="str">
        <f aca="false">IF(ISBLANK($C290),"",IF(Y290,Constants!$B$4,IF(COUNTA(E290:N290)=0,Constants!$B$5,IF(COUNTA(J290:K290,M290:N290)=0,Constants!$B$6,Constants!$B$7))))</f>
        <v/>
      </c>
      <c r="AA290" s="65" t="str">
        <f aca="false">IF(ISBLANK($C290),"",IF($Z290&lt;&gt;Constants!$B$7,$Z290,IF(OR(NOT(T290),AND(NOT(Q290),COUNTIFS(U290:W290,Constants!$B$18,V290:X290,"&gt;=0")&gt;0),AND(NOT(R290),COUNTIFS(U290:W290,Constants!$B$19,V290:X290,"&gt;=0")&gt;0)),Constants!$B$12,Constants!$B$11)))</f>
        <v/>
      </c>
      <c r="AB290" s="65" t="str">
        <f aca="false">IF($Z290=Constants!$B$7,IF(V290="",Constants!$B$13,V290),"")</f>
        <v/>
      </c>
      <c r="AC290" s="65" t="str">
        <f aca="false">IF($Z290=Constants!$B$7,IF(X290="",Constants!$B$13,X290),"")</f>
        <v/>
      </c>
      <c r="AD290" s="65" t="str">
        <f aca="false">IF($Z290=Constants!$B$7,IF($AB290&gt;=$AC290,1,2),"")</f>
        <v/>
      </c>
      <c r="AE290" s="65" t="str">
        <f aca="false">IF($Z290=Constants!$B$7,LARGE(AB290:AC290,1),"")</f>
        <v/>
      </c>
      <c r="AF290" s="65" t="str">
        <f aca="false">IF(ISBLANK($C290),"",IF($Z290&lt;&gt;Constants!$B$7,$Z290,AE290*S290))</f>
        <v/>
      </c>
      <c r="AG290" s="65" t="str">
        <f aca="false">IF(ISBLANK($C290),"",IF($Z290=Constants!$B$7,IF(ISNUMBER(AF290),RANK(AF290,$AF$8:$AF$507),Constants!$B$14),$Z290))</f>
        <v/>
      </c>
      <c r="AH290" s="65" t="str">
        <f aca="false">IF(ISBLANK($C290),"",IF($Z290=Constants!$B$7,IF(ISNUMBER(AG290),COUNTIFS($AA$8:$AA$507,"&lt;"&amp;$AA290)+COUNTIFS($AA$8:$AA$507,$AA290,$AG$8:$AG$507,"&lt;"&amp;$AG290)+1,Constants!$B$14),$Z290))</f>
        <v/>
      </c>
      <c r="AI290" s="65" t="str">
        <f aca="false">IF(ISBLANK($C290),"",IF($Z290=Constants!$B$7,LARGE(AB290:AC290,2)*S290,""))</f>
        <v/>
      </c>
      <c r="AJ290" s="65" t="str">
        <f aca="false">IF(ISBLANK($C290),"",IF($Z290=Constants!$B$7,RANK(AI290,$AI$8:$AI$507),$Z290))</f>
        <v/>
      </c>
      <c r="AK290" s="65" t="str">
        <f aca="false">IF(ISBLANK($C290),"",IF($Z290=Constants!$B$7,IF(ISNUMBER(AG290),COUNTIFS($AA$8:$AA$507,"&lt;"&amp;$AA290)+COUNTIFS($AA$8:$AA$507,$AA290,$AG$8:$AG$507,"&lt;"&amp;$AG290)+COUNTIFS($AA$8:$AA$507,$AA290,$AG$8:$AG$507,$AG290,$AJ$8:$AJ$507,"&lt;"&amp;$AJ290)+1,Constants!$B$14),$Z290))</f>
        <v/>
      </c>
      <c r="AL290" s="65" t="str">
        <f aca="false">IF(ISBLANK($C290),"",IF($Z290=Constants!$B$7,IF(ISNUMBER(AH290),AH290-AK290,Constants!$B$14),$Z290))</f>
        <v/>
      </c>
      <c r="AM290" s="67"/>
      <c r="AN290" s="68" t="str">
        <f aca="false">IF(ISBLANK($C290),"",IF($Z290&lt;&gt;Constants!$B$7,$Z290,AD290))</f>
        <v/>
      </c>
      <c r="AO290" s="69" t="str">
        <f aca="false">IF(ISBLANK($C290),"",IF($Z290&lt;&gt;Constants!$B$7,$Z290,S290))</f>
        <v/>
      </c>
      <c r="AP290" s="70" t="str">
        <f aca="false">IF(ISBLANK($C290),"",IF($Z290&lt;&gt;Constants!$B$7,$Z290,AF290))</f>
        <v/>
      </c>
      <c r="AQ290" s="71" t="str">
        <f aca="false">IF(ISBLANK($C290),"",IF($Z290&lt;&gt;Constants!$B$7,$Z290,AA290))</f>
        <v/>
      </c>
      <c r="AR290" s="69" t="str">
        <f aca="false">IF(ISBLANK($C290),"",AL290)</f>
        <v/>
      </c>
      <c r="AS290" s="69" t="str">
        <f aca="false">IF(ISBLANK($C290),"",AK290)</f>
        <v/>
      </c>
      <c r="AT290" s="72" t="str">
        <f aca="false">IF(ISBLANK($C290),"",IF(AS290=Constants!$B$4,COUNTA($C$8:$C$507)+2,IF(AS290=Constants!$B$5,COUNTA($C$8:$C$507)+1,IF(AS290=Constants!$B$6,COUNTA($C$8:$C$507),AS290))))</f>
        <v/>
      </c>
      <c r="AU290" s="5"/>
      <c r="AV290" s="73" t="n">
        <f aca="false">IF(OR(ISNUMBER(AS290),AS290=Constants!$B$4,AS290=Constants!$B$6,AS290=Constants!$B$5),1,0)</f>
        <v>0</v>
      </c>
      <c r="AW290" s="73" t="n">
        <v>283</v>
      </c>
      <c r="AX290" s="73" t="str">
        <f aca="false">IF(ISBLANK($C290),"",IF(ISNUMBER(AT290),AT290+ROW($B290)/1000,""))</f>
        <v/>
      </c>
      <c r="AY290" s="73" t="str">
        <f aca="false">IF(ISNUMBER(AX290),RANK(AX290,$AX$8:$AX$507,1),"")</f>
        <v/>
      </c>
      <c r="AZ290" s="73" t="str">
        <f aca="false">IF(ISBLANK($C290),"",$B290)</f>
        <v/>
      </c>
      <c r="BA290" s="73" t="str">
        <f aca="false">IF(ISBLANK($C290),"",$C290)</f>
        <v/>
      </c>
      <c r="BB290" s="73" t="str">
        <f aca="false">IF(ISBLANK($C290),"",$D290)</f>
        <v/>
      </c>
      <c r="BC290" s="74" t="str">
        <f aca="false">AQ290</f>
        <v/>
      </c>
      <c r="BD290" s="75" t="str">
        <f aca="false">AP290</f>
        <v/>
      </c>
      <c r="BE290" s="73" t="str">
        <f aca="false">IF(ISBLANK($C290),"",AS290)</f>
        <v/>
      </c>
      <c r="BF290" s="76" t="str">
        <f aca="false">IF($AW290&gt;$AV$7,"",VLOOKUP($AW290,$AY$8:$BE$507,7,FALSE()))</f>
        <v/>
      </c>
      <c r="BG290" s="77" t="str">
        <f aca="false">IF($AW290&gt;$AV$7,"",VLOOKUP($AW290,$AY$8:$BE$507,2,FALSE()))</f>
        <v/>
      </c>
      <c r="BH290" s="77" t="str">
        <f aca="false">IF($AW290&gt;$AV$7,"",VLOOKUP($AW290,$AY$8:$BE$507,3,FALSE()))</f>
        <v/>
      </c>
      <c r="BI290" s="77" t="str">
        <f aca="false">IF($AW290&gt;$AV$7,"",VLOOKUP($AW290,$AY$8:$BE$507,4,FALSE()))</f>
        <v/>
      </c>
      <c r="BJ290" s="77" t="str">
        <f aca="false">IF($AW290&gt;$AV$7,"",VLOOKUP($AW290,$AY$8:$BE$507,5,FALSE()))</f>
        <v/>
      </c>
      <c r="BK290" s="78" t="str">
        <f aca="false">IF($AW290&gt;$AV$7,"",VLOOKUP($AW290,$AY$8:$BE$507,6,FALSE()))</f>
        <v/>
      </c>
      <c r="BL290" s="50"/>
    </row>
    <row r="291" customFormat="false" ht="15.75" hidden="false" customHeight="false" outlineLevel="0" collapsed="false">
      <c r="A291" s="5"/>
      <c r="B291" s="131"/>
      <c r="C291" s="52"/>
      <c r="D291" s="53"/>
      <c r="E291" s="80"/>
      <c r="F291" s="132"/>
      <c r="G291" s="56"/>
      <c r="H291" s="133"/>
      <c r="I291" s="134"/>
      <c r="J291" s="59"/>
      <c r="K291" s="60"/>
      <c r="L291" s="134"/>
      <c r="M291" s="61"/>
      <c r="N291" s="62"/>
      <c r="O291" s="80"/>
      <c r="P291" s="64"/>
      <c r="Q291" s="65" t="str">
        <f aca="false">IF(ISBLANK($C291),"",IF(E291=Constants!$B$2, TRUE(), IF(E291=Constants!$B$3, FALSE(), TRUE())))</f>
        <v/>
      </c>
      <c r="R291" s="65" t="str">
        <f aca="false">IF(ISBLANK($C291),"",IF(F291=Constants!$B$2, TRUE(), IF(F291=Constants!$B$3, FALSE(), TRUE())))</f>
        <v/>
      </c>
      <c r="S291" s="65" t="str">
        <f aca="false">IF(ISBLANK($C291),"",IF(G291=Constants!$B$15,Constants!$B$8,IF(G291=Constants!$B$16,Constants!$B$9,Constants!$B$10)))</f>
        <v/>
      </c>
      <c r="T291" s="65" t="str">
        <f aca="false">IF(ISBLANK($C291),"",IF(H291=Constants!$B$2, TRUE(), IF(H291=Constants!$B$3, FALSE(), TRUE())))</f>
        <v/>
      </c>
      <c r="U291" s="65" t="str">
        <f aca="false">IF(ISBLANK($C291),"",IF(I291=Constants!$B$19,Constants!$B$19,Constants!$B$18))</f>
        <v/>
      </c>
      <c r="V291" s="65" t="str">
        <f aca="false">IF(ISBLANK($C291),"",IF(COUNTA(J291:K291)=0,"",IF(AND(OR(ISBLANK(J291),AND(ISNUMBER(J291),J291&gt;=0)),OR(ISBLANK(K291),AND(ISNUMBER(K291),K291&gt;=0))),60*IF(ISBLANK(J291),0,J291)+IF(ISBLANK(K291),0,K291),"")))</f>
        <v/>
      </c>
      <c r="W291" s="65" t="str">
        <f aca="false">IF(ISBLANK($C291),"",IF(L291=Constants!$B$19,Constants!$B$19,Constants!$B$18))</f>
        <v/>
      </c>
      <c r="X291" s="65" t="str">
        <f aca="false">IF(ISBLANK($C291),"",IF(COUNTA(M291:N291)=0,"",IF(AND(OR(ISBLANK(M291),AND(ISNUMBER(M291),M291&gt;=0)),OR(ISBLANK(N291),AND(ISNUMBER(N291),N291&gt;=0))),60*IF(ISBLANK(M291),0,M291)+IF(ISBLANK(N291),0,N291),"")))</f>
        <v/>
      </c>
      <c r="Y291" s="65" t="str">
        <f aca="false">IF(ISBLANK($C291),"",IF(O291=Constants!$B$2, TRUE(), IF(O291=Constants!$B$3, FALSE(), FALSE())))</f>
        <v/>
      </c>
      <c r="Z291" s="65" t="str">
        <f aca="false">IF(ISBLANK($C291),"",IF(Y291,Constants!$B$4,IF(COUNTA(E291:N291)=0,Constants!$B$5,IF(COUNTA(J291:K291,M291:N291)=0,Constants!$B$6,Constants!$B$7))))</f>
        <v/>
      </c>
      <c r="AA291" s="65" t="str">
        <f aca="false">IF(ISBLANK($C291),"",IF($Z291&lt;&gt;Constants!$B$7,$Z291,IF(OR(NOT(T291),AND(NOT(Q291),COUNTIFS(U291:W291,Constants!$B$18,V291:X291,"&gt;=0")&gt;0),AND(NOT(R291),COUNTIFS(U291:W291,Constants!$B$19,V291:X291,"&gt;=0")&gt;0)),Constants!$B$12,Constants!$B$11)))</f>
        <v/>
      </c>
      <c r="AB291" s="65" t="str">
        <f aca="false">IF($Z291=Constants!$B$7,IF(V291="",Constants!$B$13,V291),"")</f>
        <v/>
      </c>
      <c r="AC291" s="65" t="str">
        <f aca="false">IF($Z291=Constants!$B$7,IF(X291="",Constants!$B$13,X291),"")</f>
        <v/>
      </c>
      <c r="AD291" s="65" t="str">
        <f aca="false">IF($Z291=Constants!$B$7,IF($AB291&gt;=$AC291,1,2),"")</f>
        <v/>
      </c>
      <c r="AE291" s="65" t="str">
        <f aca="false">IF($Z291=Constants!$B$7,LARGE(AB291:AC291,1),"")</f>
        <v/>
      </c>
      <c r="AF291" s="65" t="str">
        <f aca="false">IF(ISBLANK($C291),"",IF($Z291&lt;&gt;Constants!$B$7,$Z291,AE291*S291))</f>
        <v/>
      </c>
      <c r="AG291" s="65" t="str">
        <f aca="false">IF(ISBLANK($C291),"",IF($Z291=Constants!$B$7,IF(ISNUMBER(AF291),RANK(AF291,$AF$8:$AF$507),Constants!$B$14),$Z291))</f>
        <v/>
      </c>
      <c r="AH291" s="65" t="str">
        <f aca="false">IF(ISBLANK($C291),"",IF($Z291=Constants!$B$7,IF(ISNUMBER(AG291),COUNTIFS($AA$8:$AA$507,"&lt;"&amp;$AA291)+COUNTIFS($AA$8:$AA$507,$AA291,$AG$8:$AG$507,"&lt;"&amp;$AG291)+1,Constants!$B$14),$Z291))</f>
        <v/>
      </c>
      <c r="AI291" s="65" t="str">
        <f aca="false">IF(ISBLANK($C291),"",IF($Z291=Constants!$B$7,LARGE(AB291:AC291,2)*S291,""))</f>
        <v/>
      </c>
      <c r="AJ291" s="65" t="str">
        <f aca="false">IF(ISBLANK($C291),"",IF($Z291=Constants!$B$7,RANK(AI291,$AI$8:$AI$507),$Z291))</f>
        <v/>
      </c>
      <c r="AK291" s="65" t="str">
        <f aca="false">IF(ISBLANK($C291),"",IF($Z291=Constants!$B$7,IF(ISNUMBER(AG291),COUNTIFS($AA$8:$AA$507,"&lt;"&amp;$AA291)+COUNTIFS($AA$8:$AA$507,$AA291,$AG$8:$AG$507,"&lt;"&amp;$AG291)+COUNTIFS($AA$8:$AA$507,$AA291,$AG$8:$AG$507,$AG291,$AJ$8:$AJ$507,"&lt;"&amp;$AJ291)+1,Constants!$B$14),$Z291))</f>
        <v/>
      </c>
      <c r="AL291" s="65" t="str">
        <f aca="false">IF(ISBLANK($C291),"",IF($Z291=Constants!$B$7,IF(ISNUMBER(AH291),AH291-AK291,Constants!$B$14),$Z291))</f>
        <v/>
      </c>
      <c r="AM291" s="67"/>
      <c r="AN291" s="68" t="str">
        <f aca="false">IF(ISBLANK($C291),"",IF($Z291&lt;&gt;Constants!$B$7,$Z291,AD291))</f>
        <v/>
      </c>
      <c r="AO291" s="69" t="str">
        <f aca="false">IF(ISBLANK($C291),"",IF($Z291&lt;&gt;Constants!$B$7,$Z291,S291))</f>
        <v/>
      </c>
      <c r="AP291" s="70" t="str">
        <f aca="false">IF(ISBLANK($C291),"",IF($Z291&lt;&gt;Constants!$B$7,$Z291,AF291))</f>
        <v/>
      </c>
      <c r="AQ291" s="71" t="str">
        <f aca="false">IF(ISBLANK($C291),"",IF($Z291&lt;&gt;Constants!$B$7,$Z291,AA291))</f>
        <v/>
      </c>
      <c r="AR291" s="69" t="str">
        <f aca="false">IF(ISBLANK($C291),"",AL291)</f>
        <v/>
      </c>
      <c r="AS291" s="69" t="str">
        <f aca="false">IF(ISBLANK($C291),"",AK291)</f>
        <v/>
      </c>
      <c r="AT291" s="72" t="str">
        <f aca="false">IF(ISBLANK($C291),"",IF(AS291=Constants!$B$4,COUNTA($C$8:$C$507)+2,IF(AS291=Constants!$B$5,COUNTA($C$8:$C$507)+1,IF(AS291=Constants!$B$6,COUNTA($C$8:$C$507),AS291))))</f>
        <v/>
      </c>
      <c r="AU291" s="5"/>
      <c r="AV291" s="73" t="n">
        <f aca="false">IF(OR(ISNUMBER(AS291),AS291=Constants!$B$4,AS291=Constants!$B$6,AS291=Constants!$B$5),1,0)</f>
        <v>0</v>
      </c>
      <c r="AW291" s="73" t="n">
        <v>284</v>
      </c>
      <c r="AX291" s="73" t="str">
        <f aca="false">IF(ISBLANK($C291),"",IF(ISNUMBER(AT291),AT291+ROW($B291)/1000,""))</f>
        <v/>
      </c>
      <c r="AY291" s="73" t="str">
        <f aca="false">IF(ISNUMBER(AX291),RANK(AX291,$AX$8:$AX$507,1),"")</f>
        <v/>
      </c>
      <c r="AZ291" s="73" t="str">
        <f aca="false">IF(ISBLANK($C291),"",$B291)</f>
        <v/>
      </c>
      <c r="BA291" s="73" t="str">
        <f aca="false">IF(ISBLANK($C291),"",$C291)</f>
        <v/>
      </c>
      <c r="BB291" s="73" t="str">
        <f aca="false">IF(ISBLANK($C291),"",$D291)</f>
        <v/>
      </c>
      <c r="BC291" s="74" t="str">
        <f aca="false">AQ291</f>
        <v/>
      </c>
      <c r="BD291" s="75" t="str">
        <f aca="false">AP291</f>
        <v/>
      </c>
      <c r="BE291" s="73" t="str">
        <f aca="false">IF(ISBLANK($C291),"",AS291)</f>
        <v/>
      </c>
      <c r="BF291" s="76" t="str">
        <f aca="false">IF($AW291&gt;$AV$7,"",VLOOKUP($AW291,$AY$8:$BE$507,7,FALSE()))</f>
        <v/>
      </c>
      <c r="BG291" s="77" t="str">
        <f aca="false">IF($AW291&gt;$AV$7,"",VLOOKUP($AW291,$AY$8:$BE$507,2,FALSE()))</f>
        <v/>
      </c>
      <c r="BH291" s="77" t="str">
        <f aca="false">IF($AW291&gt;$AV$7,"",VLOOKUP($AW291,$AY$8:$BE$507,3,FALSE()))</f>
        <v/>
      </c>
      <c r="BI291" s="77" t="str">
        <f aca="false">IF($AW291&gt;$AV$7,"",VLOOKUP($AW291,$AY$8:$BE$507,4,FALSE()))</f>
        <v/>
      </c>
      <c r="BJ291" s="77" t="str">
        <f aca="false">IF($AW291&gt;$AV$7,"",VLOOKUP($AW291,$AY$8:$BE$507,5,FALSE()))</f>
        <v/>
      </c>
      <c r="BK291" s="78" t="str">
        <f aca="false">IF($AW291&gt;$AV$7,"",VLOOKUP($AW291,$AY$8:$BE$507,6,FALSE()))</f>
        <v/>
      </c>
      <c r="BL291" s="50"/>
    </row>
    <row r="292" customFormat="false" ht="15.75" hidden="false" customHeight="false" outlineLevel="0" collapsed="false">
      <c r="A292" s="5"/>
      <c r="B292" s="131"/>
      <c r="C292" s="52"/>
      <c r="D292" s="53"/>
      <c r="E292" s="80"/>
      <c r="F292" s="132"/>
      <c r="G292" s="56"/>
      <c r="H292" s="133"/>
      <c r="I292" s="134"/>
      <c r="J292" s="59"/>
      <c r="K292" s="60"/>
      <c r="L292" s="134"/>
      <c r="M292" s="61"/>
      <c r="N292" s="62"/>
      <c r="O292" s="80"/>
      <c r="P292" s="64"/>
      <c r="Q292" s="65" t="str">
        <f aca="false">IF(ISBLANK($C292),"",IF(E292=Constants!$B$2, TRUE(), IF(E292=Constants!$B$3, FALSE(), TRUE())))</f>
        <v/>
      </c>
      <c r="R292" s="65" t="str">
        <f aca="false">IF(ISBLANK($C292),"",IF(F292=Constants!$B$2, TRUE(), IF(F292=Constants!$B$3, FALSE(), TRUE())))</f>
        <v/>
      </c>
      <c r="S292" s="65" t="str">
        <f aca="false">IF(ISBLANK($C292),"",IF(G292=Constants!$B$15,Constants!$B$8,IF(G292=Constants!$B$16,Constants!$B$9,Constants!$B$10)))</f>
        <v/>
      </c>
      <c r="T292" s="65" t="str">
        <f aca="false">IF(ISBLANK($C292),"",IF(H292=Constants!$B$2, TRUE(), IF(H292=Constants!$B$3, FALSE(), TRUE())))</f>
        <v/>
      </c>
      <c r="U292" s="65" t="str">
        <f aca="false">IF(ISBLANK($C292),"",IF(I292=Constants!$B$19,Constants!$B$19,Constants!$B$18))</f>
        <v/>
      </c>
      <c r="V292" s="65" t="str">
        <f aca="false">IF(ISBLANK($C292),"",IF(COUNTA(J292:K292)=0,"",IF(AND(OR(ISBLANK(J292),AND(ISNUMBER(J292),J292&gt;=0)),OR(ISBLANK(K292),AND(ISNUMBER(K292),K292&gt;=0))),60*IF(ISBLANK(J292),0,J292)+IF(ISBLANK(K292),0,K292),"")))</f>
        <v/>
      </c>
      <c r="W292" s="65" t="str">
        <f aca="false">IF(ISBLANK($C292),"",IF(L292=Constants!$B$19,Constants!$B$19,Constants!$B$18))</f>
        <v/>
      </c>
      <c r="X292" s="65" t="str">
        <f aca="false">IF(ISBLANK($C292),"",IF(COUNTA(M292:N292)=0,"",IF(AND(OR(ISBLANK(M292),AND(ISNUMBER(M292),M292&gt;=0)),OR(ISBLANK(N292),AND(ISNUMBER(N292),N292&gt;=0))),60*IF(ISBLANK(M292),0,M292)+IF(ISBLANK(N292),0,N292),"")))</f>
        <v/>
      </c>
      <c r="Y292" s="65" t="str">
        <f aca="false">IF(ISBLANK($C292),"",IF(O292=Constants!$B$2, TRUE(), IF(O292=Constants!$B$3, FALSE(), FALSE())))</f>
        <v/>
      </c>
      <c r="Z292" s="65" t="str">
        <f aca="false">IF(ISBLANK($C292),"",IF(Y292,Constants!$B$4,IF(COUNTA(E292:N292)=0,Constants!$B$5,IF(COUNTA(J292:K292,M292:N292)=0,Constants!$B$6,Constants!$B$7))))</f>
        <v/>
      </c>
      <c r="AA292" s="65" t="str">
        <f aca="false">IF(ISBLANK($C292),"",IF($Z292&lt;&gt;Constants!$B$7,$Z292,IF(OR(NOT(T292),AND(NOT(Q292),COUNTIFS(U292:W292,Constants!$B$18,V292:X292,"&gt;=0")&gt;0),AND(NOT(R292),COUNTIFS(U292:W292,Constants!$B$19,V292:X292,"&gt;=0")&gt;0)),Constants!$B$12,Constants!$B$11)))</f>
        <v/>
      </c>
      <c r="AB292" s="65" t="str">
        <f aca="false">IF($Z292=Constants!$B$7,IF(V292="",Constants!$B$13,V292),"")</f>
        <v/>
      </c>
      <c r="AC292" s="65" t="str">
        <f aca="false">IF($Z292=Constants!$B$7,IF(X292="",Constants!$B$13,X292),"")</f>
        <v/>
      </c>
      <c r="AD292" s="65" t="str">
        <f aca="false">IF($Z292=Constants!$B$7,IF($AB292&gt;=$AC292,1,2),"")</f>
        <v/>
      </c>
      <c r="AE292" s="65" t="str">
        <f aca="false">IF($Z292=Constants!$B$7,LARGE(AB292:AC292,1),"")</f>
        <v/>
      </c>
      <c r="AF292" s="65" t="str">
        <f aca="false">IF(ISBLANK($C292),"",IF($Z292&lt;&gt;Constants!$B$7,$Z292,AE292*S292))</f>
        <v/>
      </c>
      <c r="AG292" s="65" t="str">
        <f aca="false">IF(ISBLANK($C292),"",IF($Z292=Constants!$B$7,IF(ISNUMBER(AF292),RANK(AF292,$AF$8:$AF$507),Constants!$B$14),$Z292))</f>
        <v/>
      </c>
      <c r="AH292" s="65" t="str">
        <f aca="false">IF(ISBLANK($C292),"",IF($Z292=Constants!$B$7,IF(ISNUMBER(AG292),COUNTIFS($AA$8:$AA$507,"&lt;"&amp;$AA292)+COUNTIFS($AA$8:$AA$507,$AA292,$AG$8:$AG$507,"&lt;"&amp;$AG292)+1,Constants!$B$14),$Z292))</f>
        <v/>
      </c>
      <c r="AI292" s="65" t="str">
        <f aca="false">IF(ISBLANK($C292),"",IF($Z292=Constants!$B$7,LARGE(AB292:AC292,2)*S292,""))</f>
        <v/>
      </c>
      <c r="AJ292" s="65" t="str">
        <f aca="false">IF(ISBLANK($C292),"",IF($Z292=Constants!$B$7,RANK(AI292,$AI$8:$AI$507),$Z292))</f>
        <v/>
      </c>
      <c r="AK292" s="65" t="str">
        <f aca="false">IF(ISBLANK($C292),"",IF($Z292=Constants!$B$7,IF(ISNUMBER(AG292),COUNTIFS($AA$8:$AA$507,"&lt;"&amp;$AA292)+COUNTIFS($AA$8:$AA$507,$AA292,$AG$8:$AG$507,"&lt;"&amp;$AG292)+COUNTIFS($AA$8:$AA$507,$AA292,$AG$8:$AG$507,$AG292,$AJ$8:$AJ$507,"&lt;"&amp;$AJ292)+1,Constants!$B$14),$Z292))</f>
        <v/>
      </c>
      <c r="AL292" s="65" t="str">
        <f aca="false">IF(ISBLANK($C292),"",IF($Z292=Constants!$B$7,IF(ISNUMBER(AH292),AH292-AK292,Constants!$B$14),$Z292))</f>
        <v/>
      </c>
      <c r="AM292" s="67"/>
      <c r="AN292" s="68" t="str">
        <f aca="false">IF(ISBLANK($C292),"",IF($Z292&lt;&gt;Constants!$B$7,$Z292,AD292))</f>
        <v/>
      </c>
      <c r="AO292" s="69" t="str">
        <f aca="false">IF(ISBLANK($C292),"",IF($Z292&lt;&gt;Constants!$B$7,$Z292,S292))</f>
        <v/>
      </c>
      <c r="AP292" s="70" t="str">
        <f aca="false">IF(ISBLANK($C292),"",IF($Z292&lt;&gt;Constants!$B$7,$Z292,AF292))</f>
        <v/>
      </c>
      <c r="AQ292" s="71" t="str">
        <f aca="false">IF(ISBLANK($C292),"",IF($Z292&lt;&gt;Constants!$B$7,$Z292,AA292))</f>
        <v/>
      </c>
      <c r="AR292" s="69" t="str">
        <f aca="false">IF(ISBLANK($C292),"",AL292)</f>
        <v/>
      </c>
      <c r="AS292" s="69" t="str">
        <f aca="false">IF(ISBLANK($C292),"",AK292)</f>
        <v/>
      </c>
      <c r="AT292" s="72" t="str">
        <f aca="false">IF(ISBLANK($C292),"",IF(AS292=Constants!$B$4,COUNTA($C$8:$C$507)+2,IF(AS292=Constants!$B$5,COUNTA($C$8:$C$507)+1,IF(AS292=Constants!$B$6,COUNTA($C$8:$C$507),AS292))))</f>
        <v/>
      </c>
      <c r="AU292" s="5"/>
      <c r="AV292" s="73" t="n">
        <f aca="false">IF(OR(ISNUMBER(AS292),AS292=Constants!$B$4,AS292=Constants!$B$6,AS292=Constants!$B$5),1,0)</f>
        <v>0</v>
      </c>
      <c r="AW292" s="73" t="n">
        <v>285</v>
      </c>
      <c r="AX292" s="73" t="str">
        <f aca="false">IF(ISBLANK($C292),"",IF(ISNUMBER(AT292),AT292+ROW($B292)/1000,""))</f>
        <v/>
      </c>
      <c r="AY292" s="73" t="str">
        <f aca="false">IF(ISNUMBER(AX292),RANK(AX292,$AX$8:$AX$507,1),"")</f>
        <v/>
      </c>
      <c r="AZ292" s="73" t="str">
        <f aca="false">IF(ISBLANK($C292),"",$B292)</f>
        <v/>
      </c>
      <c r="BA292" s="73" t="str">
        <f aca="false">IF(ISBLANK($C292),"",$C292)</f>
        <v/>
      </c>
      <c r="BB292" s="73" t="str">
        <f aca="false">IF(ISBLANK($C292),"",$D292)</f>
        <v/>
      </c>
      <c r="BC292" s="74" t="str">
        <f aca="false">AQ292</f>
        <v/>
      </c>
      <c r="BD292" s="75" t="str">
        <f aca="false">AP292</f>
        <v/>
      </c>
      <c r="BE292" s="73" t="str">
        <f aca="false">IF(ISBLANK($C292),"",AS292)</f>
        <v/>
      </c>
      <c r="BF292" s="76" t="str">
        <f aca="false">IF($AW292&gt;$AV$7,"",VLOOKUP($AW292,$AY$8:$BE$507,7,FALSE()))</f>
        <v/>
      </c>
      <c r="BG292" s="77" t="str">
        <f aca="false">IF($AW292&gt;$AV$7,"",VLOOKUP($AW292,$AY$8:$BE$507,2,FALSE()))</f>
        <v/>
      </c>
      <c r="BH292" s="77" t="str">
        <f aca="false">IF($AW292&gt;$AV$7,"",VLOOKUP($AW292,$AY$8:$BE$507,3,FALSE()))</f>
        <v/>
      </c>
      <c r="BI292" s="77" t="str">
        <f aca="false">IF($AW292&gt;$AV$7,"",VLOOKUP($AW292,$AY$8:$BE$507,4,FALSE()))</f>
        <v/>
      </c>
      <c r="BJ292" s="77" t="str">
        <f aca="false">IF($AW292&gt;$AV$7,"",VLOOKUP($AW292,$AY$8:$BE$507,5,FALSE()))</f>
        <v/>
      </c>
      <c r="BK292" s="78" t="str">
        <f aca="false">IF($AW292&gt;$AV$7,"",VLOOKUP($AW292,$AY$8:$BE$507,6,FALSE()))</f>
        <v/>
      </c>
      <c r="BL292" s="50"/>
    </row>
    <row r="293" customFormat="false" ht="15.75" hidden="false" customHeight="false" outlineLevel="0" collapsed="false">
      <c r="A293" s="5"/>
      <c r="B293" s="124"/>
      <c r="C293" s="125"/>
      <c r="D293" s="110"/>
      <c r="E293" s="130"/>
      <c r="F293" s="135"/>
      <c r="G293" s="88"/>
      <c r="H293" s="136"/>
      <c r="I293" s="137"/>
      <c r="J293" s="91"/>
      <c r="K293" s="92"/>
      <c r="L293" s="137"/>
      <c r="M293" s="93"/>
      <c r="N293" s="94"/>
      <c r="O293" s="130"/>
      <c r="P293" s="96"/>
      <c r="Q293" s="97" t="str">
        <f aca="false">IF(ISBLANK($C293),"",IF(E293=Constants!$B$2, TRUE(), IF(E293=Constants!$B$3, FALSE(), TRUE())))</f>
        <v/>
      </c>
      <c r="R293" s="97" t="str">
        <f aca="false">IF(ISBLANK($C293),"",IF(F293=Constants!$B$2, TRUE(), IF(F293=Constants!$B$3, FALSE(), TRUE())))</f>
        <v/>
      </c>
      <c r="S293" s="97" t="str">
        <f aca="false">IF(ISBLANK($C293),"",IF(G293=Constants!$B$15,Constants!$B$8,IF(G293=Constants!$B$16,Constants!$B$9,Constants!$B$10)))</f>
        <v/>
      </c>
      <c r="T293" s="97" t="str">
        <f aca="false">IF(ISBLANK($C293),"",IF(H293=Constants!$B$2, TRUE(), IF(H293=Constants!$B$3, FALSE(), TRUE())))</f>
        <v/>
      </c>
      <c r="U293" s="97" t="str">
        <f aca="false">IF(ISBLANK($C293),"",IF(I293=Constants!$B$19,Constants!$B$19,Constants!$B$18))</f>
        <v/>
      </c>
      <c r="V293" s="97" t="str">
        <f aca="false">IF(ISBLANK($C293),"",IF(COUNTA(J293:K293)=0,"",IF(AND(OR(ISBLANK(J293),AND(ISNUMBER(J293),J293&gt;=0)),OR(ISBLANK(K293),AND(ISNUMBER(K293),K293&gt;=0))),60*IF(ISBLANK(J293),0,J293)+IF(ISBLANK(K293),0,K293),"")))</f>
        <v/>
      </c>
      <c r="W293" s="97" t="str">
        <f aca="false">IF(ISBLANK($C293),"",IF(L293=Constants!$B$19,Constants!$B$19,Constants!$B$18))</f>
        <v/>
      </c>
      <c r="X293" s="97" t="str">
        <f aca="false">IF(ISBLANK($C293),"",IF(COUNTA(M293:N293)=0,"",IF(AND(OR(ISBLANK(M293),AND(ISNUMBER(M293),M293&gt;=0)),OR(ISBLANK(N293),AND(ISNUMBER(N293),N293&gt;=0))),60*IF(ISBLANK(M293),0,M293)+IF(ISBLANK(N293),0,N293),"")))</f>
        <v/>
      </c>
      <c r="Y293" s="97" t="str">
        <f aca="false">IF(ISBLANK($C293),"",IF(O293=Constants!$B$2, TRUE(), IF(O293=Constants!$B$3, FALSE(), FALSE())))</f>
        <v/>
      </c>
      <c r="Z293" s="97" t="str">
        <f aca="false">IF(ISBLANK($C293),"",IF(Y293,Constants!$B$4,IF(COUNTA(E293:N293)=0,Constants!$B$5,IF(COUNTA(J293:K293,M293:N293)=0,Constants!$B$6,Constants!$B$7))))</f>
        <v/>
      </c>
      <c r="AA293" s="97" t="str">
        <f aca="false">IF(ISBLANK($C293),"",IF($Z293&lt;&gt;Constants!$B$7,$Z293,IF(OR(NOT(T293),AND(NOT(Q293),COUNTIFS(U293:W293,Constants!$B$18,V293:X293,"&gt;=0")&gt;0),AND(NOT(R293),COUNTIFS(U293:W293,Constants!$B$19,V293:X293,"&gt;=0")&gt;0)),Constants!$B$12,Constants!$B$11)))</f>
        <v/>
      </c>
      <c r="AB293" s="97" t="str">
        <f aca="false">IF($Z293=Constants!$B$7,IF(V293="",Constants!$B$13,V293),"")</f>
        <v/>
      </c>
      <c r="AC293" s="97" t="str">
        <f aca="false">IF($Z293=Constants!$B$7,IF(X293="",Constants!$B$13,X293),"")</f>
        <v/>
      </c>
      <c r="AD293" s="97" t="str">
        <f aca="false">IF($Z293=Constants!$B$7,IF($AB293&gt;=$AC293,1,2),"")</f>
        <v/>
      </c>
      <c r="AE293" s="97" t="str">
        <f aca="false">IF($Z293=Constants!$B$7,LARGE(AB293:AC293,1),"")</f>
        <v/>
      </c>
      <c r="AF293" s="97" t="str">
        <f aca="false">IF(ISBLANK($C293),"",IF($Z293&lt;&gt;Constants!$B$7,$Z293,AE293*S293))</f>
        <v/>
      </c>
      <c r="AG293" s="97" t="str">
        <f aca="false">IF(ISBLANK($C293),"",IF($Z293=Constants!$B$7,IF(ISNUMBER(AF293),RANK(AF293,$AF$8:$AF$507),Constants!$B$14),$Z293))</f>
        <v/>
      </c>
      <c r="AH293" s="97" t="str">
        <f aca="false">IF(ISBLANK($C293),"",IF($Z293=Constants!$B$7,IF(ISNUMBER(AG293),COUNTIFS($AA$8:$AA$507,"&lt;"&amp;$AA293)+COUNTIFS($AA$8:$AA$507,$AA293,$AG$8:$AG$507,"&lt;"&amp;$AG293)+1,Constants!$B$14),$Z293))</f>
        <v/>
      </c>
      <c r="AI293" s="97" t="str">
        <f aca="false">IF(ISBLANK($C293),"",IF($Z293=Constants!$B$7,LARGE(AB293:AC293,2)*S293,""))</f>
        <v/>
      </c>
      <c r="AJ293" s="97" t="str">
        <f aca="false">IF(ISBLANK($C293),"",IF($Z293=Constants!$B$7,RANK(AI293,$AI$8:$AI$507),$Z293))</f>
        <v/>
      </c>
      <c r="AK293" s="97" t="str">
        <f aca="false">IF(ISBLANK($C293),"",IF($Z293=Constants!$B$7,IF(ISNUMBER(AG293),COUNTIFS($AA$8:$AA$507,"&lt;"&amp;$AA293)+COUNTIFS($AA$8:$AA$507,$AA293,$AG$8:$AG$507,"&lt;"&amp;$AG293)+COUNTIFS($AA$8:$AA$507,$AA293,$AG$8:$AG$507,$AG293,$AJ$8:$AJ$507,"&lt;"&amp;$AJ293)+1,Constants!$B$14),$Z293))</f>
        <v/>
      </c>
      <c r="AL293" s="97" t="str">
        <f aca="false">IF(ISBLANK($C293),"",IF($Z293=Constants!$B$7,IF(ISNUMBER(AH293),AH293-AK293,Constants!$B$14),$Z293))</f>
        <v/>
      </c>
      <c r="AM293" s="98"/>
      <c r="AN293" s="99" t="str">
        <f aca="false">IF(ISBLANK($C293),"",IF($Z293&lt;&gt;Constants!$B$7,$Z293,AD293))</f>
        <v/>
      </c>
      <c r="AO293" s="100" t="str">
        <f aca="false">IF(ISBLANK($C293),"",IF($Z293&lt;&gt;Constants!$B$7,$Z293,S293))</f>
        <v/>
      </c>
      <c r="AP293" s="101" t="str">
        <f aca="false">IF(ISBLANK($C293),"",IF($Z293&lt;&gt;Constants!$B$7,$Z293,AF293))</f>
        <v/>
      </c>
      <c r="AQ293" s="102" t="str">
        <f aca="false">IF(ISBLANK($C293),"",IF($Z293&lt;&gt;Constants!$B$7,$Z293,AA293))</f>
        <v/>
      </c>
      <c r="AR293" s="100" t="str">
        <f aca="false">IF(ISBLANK($C293),"",AL293)</f>
        <v/>
      </c>
      <c r="AS293" s="100" t="str">
        <f aca="false">IF(ISBLANK($C293),"",AK293)</f>
        <v/>
      </c>
      <c r="AT293" s="103" t="str">
        <f aca="false">IF(ISBLANK($C293),"",IF(AS293=Constants!$B$4,COUNTA($C$8:$C$507)+2,IF(AS293=Constants!$B$5,COUNTA($C$8:$C$507)+1,IF(AS293=Constants!$B$6,COUNTA($C$8:$C$507),AS293))))</f>
        <v/>
      </c>
      <c r="AU293" s="5"/>
      <c r="AV293" s="104" t="n">
        <f aca="false">IF(OR(ISNUMBER(AS293),AS293=Constants!$B$4,AS293=Constants!$B$6,AS293=Constants!$B$5),1,0)</f>
        <v>0</v>
      </c>
      <c r="AW293" s="104" t="n">
        <v>286</v>
      </c>
      <c r="AX293" s="104" t="str">
        <f aca="false">IF(ISBLANK($C293),"",IF(ISNUMBER(AT293),AT293+ROW($B293)/1000,""))</f>
        <v/>
      </c>
      <c r="AY293" s="104" t="str">
        <f aca="false">IF(ISNUMBER(AX293),RANK(AX293,$AX$8:$AX$507,1),"")</f>
        <v/>
      </c>
      <c r="AZ293" s="104" t="str">
        <f aca="false">IF(ISBLANK($C293),"",$B293)</f>
        <v/>
      </c>
      <c r="BA293" s="104" t="str">
        <f aca="false">IF(ISBLANK($C293),"",$C293)</f>
        <v/>
      </c>
      <c r="BB293" s="104" t="str">
        <f aca="false">IF(ISBLANK($C293),"",$D293)</f>
        <v/>
      </c>
      <c r="BC293" s="105" t="str">
        <f aca="false">AQ293</f>
        <v/>
      </c>
      <c r="BD293" s="106" t="str">
        <f aca="false">AP293</f>
        <v/>
      </c>
      <c r="BE293" s="104" t="str">
        <f aca="false">IF(ISBLANK($C293),"",AS293)</f>
        <v/>
      </c>
      <c r="BF293" s="107" t="str">
        <f aca="false">IF($AW293&gt;$AV$7,"",VLOOKUP($AW293,$AY$8:$BE$507,7,FALSE()))</f>
        <v/>
      </c>
      <c r="BG293" s="108" t="str">
        <f aca="false">IF($AW293&gt;$AV$7,"",VLOOKUP($AW293,$AY$8:$BE$507,2,FALSE()))</f>
        <v/>
      </c>
      <c r="BH293" s="108" t="str">
        <f aca="false">IF($AW293&gt;$AV$7,"",VLOOKUP($AW293,$AY$8:$BE$507,3,FALSE()))</f>
        <v/>
      </c>
      <c r="BI293" s="108" t="str">
        <f aca="false">IF($AW293&gt;$AV$7,"",VLOOKUP($AW293,$AY$8:$BE$507,4,FALSE()))</f>
        <v/>
      </c>
      <c r="BJ293" s="108" t="str">
        <f aca="false">IF($AW293&gt;$AV$7,"",VLOOKUP($AW293,$AY$8:$BE$507,5,FALSE()))</f>
        <v/>
      </c>
      <c r="BK293" s="109" t="str">
        <f aca="false">IF($AW293&gt;$AV$7,"",VLOOKUP($AW293,$AY$8:$BE$507,6,FALSE()))</f>
        <v/>
      </c>
      <c r="BL293" s="50"/>
    </row>
    <row r="294" customFormat="false" ht="15.75" hidden="false" customHeight="false" outlineLevel="0" collapsed="false">
      <c r="A294" s="5"/>
      <c r="B294" s="124"/>
      <c r="C294" s="125"/>
      <c r="D294" s="110"/>
      <c r="E294" s="130"/>
      <c r="F294" s="135"/>
      <c r="G294" s="88"/>
      <c r="H294" s="136"/>
      <c r="I294" s="137"/>
      <c r="J294" s="91"/>
      <c r="K294" s="92"/>
      <c r="L294" s="137"/>
      <c r="M294" s="93"/>
      <c r="N294" s="94"/>
      <c r="O294" s="130"/>
      <c r="P294" s="96"/>
      <c r="Q294" s="97" t="str">
        <f aca="false">IF(ISBLANK($C294),"",IF(E294=Constants!$B$2, TRUE(), IF(E294=Constants!$B$3, FALSE(), TRUE())))</f>
        <v/>
      </c>
      <c r="R294" s="97" t="str">
        <f aca="false">IF(ISBLANK($C294),"",IF(F294=Constants!$B$2, TRUE(), IF(F294=Constants!$B$3, FALSE(), TRUE())))</f>
        <v/>
      </c>
      <c r="S294" s="97" t="str">
        <f aca="false">IF(ISBLANK($C294),"",IF(G294=Constants!$B$15,Constants!$B$8,IF(G294=Constants!$B$16,Constants!$B$9,Constants!$B$10)))</f>
        <v/>
      </c>
      <c r="T294" s="97" t="str">
        <f aca="false">IF(ISBLANK($C294),"",IF(H294=Constants!$B$2, TRUE(), IF(H294=Constants!$B$3, FALSE(), TRUE())))</f>
        <v/>
      </c>
      <c r="U294" s="97" t="str">
        <f aca="false">IF(ISBLANK($C294),"",IF(I294=Constants!$B$19,Constants!$B$19,Constants!$B$18))</f>
        <v/>
      </c>
      <c r="V294" s="97" t="str">
        <f aca="false">IF(ISBLANK($C294),"",IF(COUNTA(J294:K294)=0,"",IF(AND(OR(ISBLANK(J294),AND(ISNUMBER(J294),J294&gt;=0)),OR(ISBLANK(K294),AND(ISNUMBER(K294),K294&gt;=0))),60*IF(ISBLANK(J294),0,J294)+IF(ISBLANK(K294),0,K294),"")))</f>
        <v/>
      </c>
      <c r="W294" s="97" t="str">
        <f aca="false">IF(ISBLANK($C294),"",IF(L294=Constants!$B$19,Constants!$B$19,Constants!$B$18))</f>
        <v/>
      </c>
      <c r="X294" s="97" t="str">
        <f aca="false">IF(ISBLANK($C294),"",IF(COUNTA(M294:N294)=0,"",IF(AND(OR(ISBLANK(M294),AND(ISNUMBER(M294),M294&gt;=0)),OR(ISBLANK(N294),AND(ISNUMBER(N294),N294&gt;=0))),60*IF(ISBLANK(M294),0,M294)+IF(ISBLANK(N294),0,N294),"")))</f>
        <v/>
      </c>
      <c r="Y294" s="97" t="str">
        <f aca="false">IF(ISBLANK($C294),"",IF(O294=Constants!$B$2, TRUE(), IF(O294=Constants!$B$3, FALSE(), FALSE())))</f>
        <v/>
      </c>
      <c r="Z294" s="97" t="str">
        <f aca="false">IF(ISBLANK($C294),"",IF(Y294,Constants!$B$4,IF(COUNTA(E294:N294)=0,Constants!$B$5,IF(COUNTA(J294:K294,M294:N294)=0,Constants!$B$6,Constants!$B$7))))</f>
        <v/>
      </c>
      <c r="AA294" s="97" t="str">
        <f aca="false">IF(ISBLANK($C294),"",IF($Z294&lt;&gt;Constants!$B$7,$Z294,IF(OR(NOT(T294),AND(NOT(Q294),COUNTIFS(U294:W294,Constants!$B$18,V294:X294,"&gt;=0")&gt;0),AND(NOT(R294),COUNTIFS(U294:W294,Constants!$B$19,V294:X294,"&gt;=0")&gt;0)),Constants!$B$12,Constants!$B$11)))</f>
        <v/>
      </c>
      <c r="AB294" s="97" t="str">
        <f aca="false">IF($Z294=Constants!$B$7,IF(V294="",Constants!$B$13,V294),"")</f>
        <v/>
      </c>
      <c r="AC294" s="97" t="str">
        <f aca="false">IF($Z294=Constants!$B$7,IF(X294="",Constants!$B$13,X294),"")</f>
        <v/>
      </c>
      <c r="AD294" s="97" t="str">
        <f aca="false">IF($Z294=Constants!$B$7,IF($AB294&gt;=$AC294,1,2),"")</f>
        <v/>
      </c>
      <c r="AE294" s="97" t="str">
        <f aca="false">IF($Z294=Constants!$B$7,LARGE(AB294:AC294,1),"")</f>
        <v/>
      </c>
      <c r="AF294" s="97" t="str">
        <f aca="false">IF(ISBLANK($C294),"",IF($Z294&lt;&gt;Constants!$B$7,$Z294,AE294*S294))</f>
        <v/>
      </c>
      <c r="AG294" s="97" t="str">
        <f aca="false">IF(ISBLANK($C294),"",IF($Z294=Constants!$B$7,IF(ISNUMBER(AF294),RANK(AF294,$AF$8:$AF$507),Constants!$B$14),$Z294))</f>
        <v/>
      </c>
      <c r="AH294" s="97" t="str">
        <f aca="false">IF(ISBLANK($C294),"",IF($Z294=Constants!$B$7,IF(ISNUMBER(AG294),COUNTIFS($AA$8:$AA$507,"&lt;"&amp;$AA294)+COUNTIFS($AA$8:$AA$507,$AA294,$AG$8:$AG$507,"&lt;"&amp;$AG294)+1,Constants!$B$14),$Z294))</f>
        <v/>
      </c>
      <c r="AI294" s="97" t="str">
        <f aca="false">IF(ISBLANK($C294),"",IF($Z294=Constants!$B$7,LARGE(AB294:AC294,2)*S294,""))</f>
        <v/>
      </c>
      <c r="AJ294" s="97" t="str">
        <f aca="false">IF(ISBLANK($C294),"",IF($Z294=Constants!$B$7,RANK(AI294,$AI$8:$AI$507),$Z294))</f>
        <v/>
      </c>
      <c r="AK294" s="97" t="str">
        <f aca="false">IF(ISBLANK($C294),"",IF($Z294=Constants!$B$7,IF(ISNUMBER(AG294),COUNTIFS($AA$8:$AA$507,"&lt;"&amp;$AA294)+COUNTIFS($AA$8:$AA$507,$AA294,$AG$8:$AG$507,"&lt;"&amp;$AG294)+COUNTIFS($AA$8:$AA$507,$AA294,$AG$8:$AG$507,$AG294,$AJ$8:$AJ$507,"&lt;"&amp;$AJ294)+1,Constants!$B$14),$Z294))</f>
        <v/>
      </c>
      <c r="AL294" s="97" t="str">
        <f aca="false">IF(ISBLANK($C294),"",IF($Z294=Constants!$B$7,IF(ISNUMBER(AH294),AH294-AK294,Constants!$B$14),$Z294))</f>
        <v/>
      </c>
      <c r="AM294" s="98"/>
      <c r="AN294" s="99" t="str">
        <f aca="false">IF(ISBLANK($C294),"",IF($Z294&lt;&gt;Constants!$B$7,$Z294,AD294))</f>
        <v/>
      </c>
      <c r="AO294" s="100" t="str">
        <f aca="false">IF(ISBLANK($C294),"",IF($Z294&lt;&gt;Constants!$B$7,$Z294,S294))</f>
        <v/>
      </c>
      <c r="AP294" s="101" t="str">
        <f aca="false">IF(ISBLANK($C294),"",IF($Z294&lt;&gt;Constants!$B$7,$Z294,AF294))</f>
        <v/>
      </c>
      <c r="AQ294" s="102" t="str">
        <f aca="false">IF(ISBLANK($C294),"",IF($Z294&lt;&gt;Constants!$B$7,$Z294,AA294))</f>
        <v/>
      </c>
      <c r="AR294" s="100" t="str">
        <f aca="false">IF(ISBLANK($C294),"",AL294)</f>
        <v/>
      </c>
      <c r="AS294" s="100" t="str">
        <f aca="false">IF(ISBLANK($C294),"",AK294)</f>
        <v/>
      </c>
      <c r="AT294" s="103" t="str">
        <f aca="false">IF(ISBLANK($C294),"",IF(AS294=Constants!$B$4,COUNTA($C$8:$C$507)+2,IF(AS294=Constants!$B$5,COUNTA($C$8:$C$507)+1,IF(AS294=Constants!$B$6,COUNTA($C$8:$C$507),AS294))))</f>
        <v/>
      </c>
      <c r="AU294" s="5"/>
      <c r="AV294" s="104" t="n">
        <f aca="false">IF(OR(ISNUMBER(AS294),AS294=Constants!$B$4,AS294=Constants!$B$6,AS294=Constants!$B$5),1,0)</f>
        <v>0</v>
      </c>
      <c r="AW294" s="104" t="n">
        <v>287</v>
      </c>
      <c r="AX294" s="104" t="str">
        <f aca="false">IF(ISBLANK($C294),"",IF(ISNUMBER(AT294),AT294+ROW($B294)/1000,""))</f>
        <v/>
      </c>
      <c r="AY294" s="104" t="str">
        <f aca="false">IF(ISNUMBER(AX294),RANK(AX294,$AX$8:$AX$507,1),"")</f>
        <v/>
      </c>
      <c r="AZ294" s="104" t="str">
        <f aca="false">IF(ISBLANK($C294),"",$B294)</f>
        <v/>
      </c>
      <c r="BA294" s="104" t="str">
        <f aca="false">IF(ISBLANK($C294),"",$C294)</f>
        <v/>
      </c>
      <c r="BB294" s="104" t="str">
        <f aca="false">IF(ISBLANK($C294),"",$D294)</f>
        <v/>
      </c>
      <c r="BC294" s="105" t="str">
        <f aca="false">AQ294</f>
        <v/>
      </c>
      <c r="BD294" s="106" t="str">
        <f aca="false">AP294</f>
        <v/>
      </c>
      <c r="BE294" s="104" t="str">
        <f aca="false">IF(ISBLANK($C294),"",AS294)</f>
        <v/>
      </c>
      <c r="BF294" s="107" t="str">
        <f aca="false">IF($AW294&gt;$AV$7,"",VLOOKUP($AW294,$AY$8:$BE$507,7,FALSE()))</f>
        <v/>
      </c>
      <c r="BG294" s="108" t="str">
        <f aca="false">IF($AW294&gt;$AV$7,"",VLOOKUP($AW294,$AY$8:$BE$507,2,FALSE()))</f>
        <v/>
      </c>
      <c r="BH294" s="108" t="str">
        <f aca="false">IF($AW294&gt;$AV$7,"",VLOOKUP($AW294,$AY$8:$BE$507,3,FALSE()))</f>
        <v/>
      </c>
      <c r="BI294" s="108" t="str">
        <f aca="false">IF($AW294&gt;$AV$7,"",VLOOKUP($AW294,$AY$8:$BE$507,4,FALSE()))</f>
        <v/>
      </c>
      <c r="BJ294" s="108" t="str">
        <f aca="false">IF($AW294&gt;$AV$7,"",VLOOKUP($AW294,$AY$8:$BE$507,5,FALSE()))</f>
        <v/>
      </c>
      <c r="BK294" s="109" t="str">
        <f aca="false">IF($AW294&gt;$AV$7,"",VLOOKUP($AW294,$AY$8:$BE$507,6,FALSE()))</f>
        <v/>
      </c>
      <c r="BL294" s="50"/>
    </row>
    <row r="295" customFormat="false" ht="15.75" hidden="false" customHeight="false" outlineLevel="0" collapsed="false">
      <c r="A295" s="5"/>
      <c r="B295" s="124"/>
      <c r="C295" s="125"/>
      <c r="D295" s="110"/>
      <c r="E295" s="130"/>
      <c r="F295" s="135"/>
      <c r="G295" s="88"/>
      <c r="H295" s="136"/>
      <c r="I295" s="137"/>
      <c r="J295" s="91"/>
      <c r="K295" s="92"/>
      <c r="L295" s="137"/>
      <c r="M295" s="93"/>
      <c r="N295" s="94"/>
      <c r="O295" s="130"/>
      <c r="P295" s="96"/>
      <c r="Q295" s="97" t="str">
        <f aca="false">IF(ISBLANK($C295),"",IF(E295=Constants!$B$2, TRUE(), IF(E295=Constants!$B$3, FALSE(), TRUE())))</f>
        <v/>
      </c>
      <c r="R295" s="97" t="str">
        <f aca="false">IF(ISBLANK($C295),"",IF(F295=Constants!$B$2, TRUE(), IF(F295=Constants!$B$3, FALSE(), TRUE())))</f>
        <v/>
      </c>
      <c r="S295" s="97" t="str">
        <f aca="false">IF(ISBLANK($C295),"",IF(G295=Constants!$B$15,Constants!$B$8,IF(G295=Constants!$B$16,Constants!$B$9,Constants!$B$10)))</f>
        <v/>
      </c>
      <c r="T295" s="97" t="str">
        <f aca="false">IF(ISBLANK($C295),"",IF(H295=Constants!$B$2, TRUE(), IF(H295=Constants!$B$3, FALSE(), TRUE())))</f>
        <v/>
      </c>
      <c r="U295" s="97" t="str">
        <f aca="false">IF(ISBLANK($C295),"",IF(I295=Constants!$B$19,Constants!$B$19,Constants!$B$18))</f>
        <v/>
      </c>
      <c r="V295" s="97" t="str">
        <f aca="false">IF(ISBLANK($C295),"",IF(COUNTA(J295:K295)=0,"",IF(AND(OR(ISBLANK(J295),AND(ISNUMBER(J295),J295&gt;=0)),OR(ISBLANK(K295),AND(ISNUMBER(K295),K295&gt;=0))),60*IF(ISBLANK(J295),0,J295)+IF(ISBLANK(K295),0,K295),"")))</f>
        <v/>
      </c>
      <c r="W295" s="97" t="str">
        <f aca="false">IF(ISBLANK($C295),"",IF(L295=Constants!$B$19,Constants!$B$19,Constants!$B$18))</f>
        <v/>
      </c>
      <c r="X295" s="97" t="str">
        <f aca="false">IF(ISBLANK($C295),"",IF(COUNTA(M295:N295)=0,"",IF(AND(OR(ISBLANK(M295),AND(ISNUMBER(M295),M295&gt;=0)),OR(ISBLANK(N295),AND(ISNUMBER(N295),N295&gt;=0))),60*IF(ISBLANK(M295),0,M295)+IF(ISBLANK(N295),0,N295),"")))</f>
        <v/>
      </c>
      <c r="Y295" s="97" t="str">
        <f aca="false">IF(ISBLANK($C295),"",IF(O295=Constants!$B$2, TRUE(), IF(O295=Constants!$B$3, FALSE(), FALSE())))</f>
        <v/>
      </c>
      <c r="Z295" s="97" t="str">
        <f aca="false">IF(ISBLANK($C295),"",IF(Y295,Constants!$B$4,IF(COUNTA(E295:N295)=0,Constants!$B$5,IF(COUNTA(J295:K295,M295:N295)=0,Constants!$B$6,Constants!$B$7))))</f>
        <v/>
      </c>
      <c r="AA295" s="97" t="str">
        <f aca="false">IF(ISBLANK($C295),"",IF($Z295&lt;&gt;Constants!$B$7,$Z295,IF(OR(NOT(T295),AND(NOT(Q295),COUNTIFS(U295:W295,Constants!$B$18,V295:X295,"&gt;=0")&gt;0),AND(NOT(R295),COUNTIFS(U295:W295,Constants!$B$19,V295:X295,"&gt;=0")&gt;0)),Constants!$B$12,Constants!$B$11)))</f>
        <v/>
      </c>
      <c r="AB295" s="97" t="str">
        <f aca="false">IF($Z295=Constants!$B$7,IF(V295="",Constants!$B$13,V295),"")</f>
        <v/>
      </c>
      <c r="AC295" s="97" t="str">
        <f aca="false">IF($Z295=Constants!$B$7,IF(X295="",Constants!$B$13,X295),"")</f>
        <v/>
      </c>
      <c r="AD295" s="97" t="str">
        <f aca="false">IF($Z295=Constants!$B$7,IF($AB295&gt;=$AC295,1,2),"")</f>
        <v/>
      </c>
      <c r="AE295" s="97" t="str">
        <f aca="false">IF($Z295=Constants!$B$7,LARGE(AB295:AC295,1),"")</f>
        <v/>
      </c>
      <c r="AF295" s="97" t="str">
        <f aca="false">IF(ISBLANK($C295),"",IF($Z295&lt;&gt;Constants!$B$7,$Z295,AE295*S295))</f>
        <v/>
      </c>
      <c r="AG295" s="97" t="str">
        <f aca="false">IF(ISBLANK($C295),"",IF($Z295=Constants!$B$7,IF(ISNUMBER(AF295),RANK(AF295,$AF$8:$AF$507),Constants!$B$14),$Z295))</f>
        <v/>
      </c>
      <c r="AH295" s="97" t="str">
        <f aca="false">IF(ISBLANK($C295),"",IF($Z295=Constants!$B$7,IF(ISNUMBER(AG295),COUNTIFS($AA$8:$AA$507,"&lt;"&amp;$AA295)+COUNTIFS($AA$8:$AA$507,$AA295,$AG$8:$AG$507,"&lt;"&amp;$AG295)+1,Constants!$B$14),$Z295))</f>
        <v/>
      </c>
      <c r="AI295" s="97" t="str">
        <f aca="false">IF(ISBLANK($C295),"",IF($Z295=Constants!$B$7,LARGE(AB295:AC295,2)*S295,""))</f>
        <v/>
      </c>
      <c r="AJ295" s="97" t="str">
        <f aca="false">IF(ISBLANK($C295),"",IF($Z295=Constants!$B$7,RANK(AI295,$AI$8:$AI$507),$Z295))</f>
        <v/>
      </c>
      <c r="AK295" s="97" t="str">
        <f aca="false">IF(ISBLANK($C295),"",IF($Z295=Constants!$B$7,IF(ISNUMBER(AG295),COUNTIFS($AA$8:$AA$507,"&lt;"&amp;$AA295)+COUNTIFS($AA$8:$AA$507,$AA295,$AG$8:$AG$507,"&lt;"&amp;$AG295)+COUNTIFS($AA$8:$AA$507,$AA295,$AG$8:$AG$507,$AG295,$AJ$8:$AJ$507,"&lt;"&amp;$AJ295)+1,Constants!$B$14),$Z295))</f>
        <v/>
      </c>
      <c r="AL295" s="97" t="str">
        <f aca="false">IF(ISBLANK($C295),"",IF($Z295=Constants!$B$7,IF(ISNUMBER(AH295),AH295-AK295,Constants!$B$14),$Z295))</f>
        <v/>
      </c>
      <c r="AM295" s="98"/>
      <c r="AN295" s="99" t="str">
        <f aca="false">IF(ISBLANK($C295),"",IF($Z295&lt;&gt;Constants!$B$7,$Z295,AD295))</f>
        <v/>
      </c>
      <c r="AO295" s="100" t="str">
        <f aca="false">IF(ISBLANK($C295),"",IF($Z295&lt;&gt;Constants!$B$7,$Z295,S295))</f>
        <v/>
      </c>
      <c r="AP295" s="101" t="str">
        <f aca="false">IF(ISBLANK($C295),"",IF($Z295&lt;&gt;Constants!$B$7,$Z295,AF295))</f>
        <v/>
      </c>
      <c r="AQ295" s="102" t="str">
        <f aca="false">IF(ISBLANK($C295),"",IF($Z295&lt;&gt;Constants!$B$7,$Z295,AA295))</f>
        <v/>
      </c>
      <c r="AR295" s="100" t="str">
        <f aca="false">IF(ISBLANK($C295),"",AL295)</f>
        <v/>
      </c>
      <c r="AS295" s="100" t="str">
        <f aca="false">IF(ISBLANK($C295),"",AK295)</f>
        <v/>
      </c>
      <c r="AT295" s="103" t="str">
        <f aca="false">IF(ISBLANK($C295),"",IF(AS295=Constants!$B$4,COUNTA($C$8:$C$507)+2,IF(AS295=Constants!$B$5,COUNTA($C$8:$C$507)+1,IF(AS295=Constants!$B$6,COUNTA($C$8:$C$507),AS295))))</f>
        <v/>
      </c>
      <c r="AU295" s="5"/>
      <c r="AV295" s="104" t="n">
        <f aca="false">IF(OR(ISNUMBER(AS295),AS295=Constants!$B$4,AS295=Constants!$B$6,AS295=Constants!$B$5),1,0)</f>
        <v>0</v>
      </c>
      <c r="AW295" s="104" t="n">
        <v>288</v>
      </c>
      <c r="AX295" s="104" t="str">
        <f aca="false">IF(ISBLANK($C295),"",IF(ISNUMBER(AT295),AT295+ROW($B295)/1000,""))</f>
        <v/>
      </c>
      <c r="AY295" s="104" t="str">
        <f aca="false">IF(ISNUMBER(AX295),RANK(AX295,$AX$8:$AX$507,1),"")</f>
        <v/>
      </c>
      <c r="AZ295" s="104" t="str">
        <f aca="false">IF(ISBLANK($C295),"",$B295)</f>
        <v/>
      </c>
      <c r="BA295" s="104" t="str">
        <f aca="false">IF(ISBLANK($C295),"",$C295)</f>
        <v/>
      </c>
      <c r="BB295" s="104" t="str">
        <f aca="false">IF(ISBLANK($C295),"",$D295)</f>
        <v/>
      </c>
      <c r="BC295" s="105" t="str">
        <f aca="false">AQ295</f>
        <v/>
      </c>
      <c r="BD295" s="106" t="str">
        <f aca="false">AP295</f>
        <v/>
      </c>
      <c r="BE295" s="104" t="str">
        <f aca="false">IF(ISBLANK($C295),"",AS295)</f>
        <v/>
      </c>
      <c r="BF295" s="107" t="str">
        <f aca="false">IF($AW295&gt;$AV$7,"",VLOOKUP($AW295,$AY$8:$BE$507,7,FALSE()))</f>
        <v/>
      </c>
      <c r="BG295" s="108" t="str">
        <f aca="false">IF($AW295&gt;$AV$7,"",VLOOKUP($AW295,$AY$8:$BE$507,2,FALSE()))</f>
        <v/>
      </c>
      <c r="BH295" s="108" t="str">
        <f aca="false">IF($AW295&gt;$AV$7,"",VLOOKUP($AW295,$AY$8:$BE$507,3,FALSE()))</f>
        <v/>
      </c>
      <c r="BI295" s="108" t="str">
        <f aca="false">IF($AW295&gt;$AV$7,"",VLOOKUP($AW295,$AY$8:$BE$507,4,FALSE()))</f>
        <v/>
      </c>
      <c r="BJ295" s="108" t="str">
        <f aca="false">IF($AW295&gt;$AV$7,"",VLOOKUP($AW295,$AY$8:$BE$507,5,FALSE()))</f>
        <v/>
      </c>
      <c r="BK295" s="109" t="str">
        <f aca="false">IF($AW295&gt;$AV$7,"",VLOOKUP($AW295,$AY$8:$BE$507,6,FALSE()))</f>
        <v/>
      </c>
      <c r="BL295" s="50"/>
    </row>
    <row r="296" customFormat="false" ht="15.75" hidden="false" customHeight="false" outlineLevel="0" collapsed="false">
      <c r="A296" s="5"/>
      <c r="B296" s="131"/>
      <c r="C296" s="52"/>
      <c r="D296" s="53"/>
      <c r="E296" s="80"/>
      <c r="F296" s="132"/>
      <c r="G296" s="56"/>
      <c r="H296" s="133"/>
      <c r="I296" s="134"/>
      <c r="J296" s="59"/>
      <c r="K296" s="60"/>
      <c r="L296" s="134"/>
      <c r="M296" s="61"/>
      <c r="N296" s="62"/>
      <c r="O296" s="80"/>
      <c r="P296" s="64"/>
      <c r="Q296" s="65" t="str">
        <f aca="false">IF(ISBLANK($C296),"",IF(E296=Constants!$B$2, TRUE(), IF(E296=Constants!$B$3, FALSE(), TRUE())))</f>
        <v/>
      </c>
      <c r="R296" s="65" t="str">
        <f aca="false">IF(ISBLANK($C296),"",IF(F296=Constants!$B$2, TRUE(), IF(F296=Constants!$B$3, FALSE(), TRUE())))</f>
        <v/>
      </c>
      <c r="S296" s="65" t="str">
        <f aca="false">IF(ISBLANK($C296),"",IF(G296=Constants!$B$15,Constants!$B$8,IF(G296=Constants!$B$16,Constants!$B$9,Constants!$B$10)))</f>
        <v/>
      </c>
      <c r="T296" s="65" t="str">
        <f aca="false">IF(ISBLANK($C296),"",IF(H296=Constants!$B$2, TRUE(), IF(H296=Constants!$B$3, FALSE(), TRUE())))</f>
        <v/>
      </c>
      <c r="U296" s="65" t="str">
        <f aca="false">IF(ISBLANK($C296),"",IF(I296=Constants!$B$19,Constants!$B$19,Constants!$B$18))</f>
        <v/>
      </c>
      <c r="V296" s="65" t="str">
        <f aca="false">IF(ISBLANK($C296),"",IF(COUNTA(J296:K296)=0,"",IF(AND(OR(ISBLANK(J296),AND(ISNUMBER(J296),J296&gt;=0)),OR(ISBLANK(K296),AND(ISNUMBER(K296),K296&gt;=0))),60*IF(ISBLANK(J296),0,J296)+IF(ISBLANK(K296),0,K296),"")))</f>
        <v/>
      </c>
      <c r="W296" s="65" t="str">
        <f aca="false">IF(ISBLANK($C296),"",IF(L296=Constants!$B$19,Constants!$B$19,Constants!$B$18))</f>
        <v/>
      </c>
      <c r="X296" s="65" t="str">
        <f aca="false">IF(ISBLANK($C296),"",IF(COUNTA(M296:N296)=0,"",IF(AND(OR(ISBLANK(M296),AND(ISNUMBER(M296),M296&gt;=0)),OR(ISBLANK(N296),AND(ISNUMBER(N296),N296&gt;=0))),60*IF(ISBLANK(M296),0,M296)+IF(ISBLANK(N296),0,N296),"")))</f>
        <v/>
      </c>
      <c r="Y296" s="65" t="str">
        <f aca="false">IF(ISBLANK($C296),"",IF(O296=Constants!$B$2, TRUE(), IF(O296=Constants!$B$3, FALSE(), FALSE())))</f>
        <v/>
      </c>
      <c r="Z296" s="65" t="str">
        <f aca="false">IF(ISBLANK($C296),"",IF(Y296,Constants!$B$4,IF(COUNTA(E296:N296)=0,Constants!$B$5,IF(COUNTA(J296:K296,M296:N296)=0,Constants!$B$6,Constants!$B$7))))</f>
        <v/>
      </c>
      <c r="AA296" s="65" t="str">
        <f aca="false">IF(ISBLANK($C296),"",IF($Z296&lt;&gt;Constants!$B$7,$Z296,IF(OR(NOT(T296),AND(NOT(Q296),COUNTIFS(U296:W296,Constants!$B$18,V296:X296,"&gt;=0")&gt;0),AND(NOT(R296),COUNTIFS(U296:W296,Constants!$B$19,V296:X296,"&gt;=0")&gt;0)),Constants!$B$12,Constants!$B$11)))</f>
        <v/>
      </c>
      <c r="AB296" s="65" t="str">
        <f aca="false">IF($Z296=Constants!$B$7,IF(V296="",Constants!$B$13,V296),"")</f>
        <v/>
      </c>
      <c r="AC296" s="65" t="str">
        <f aca="false">IF($Z296=Constants!$B$7,IF(X296="",Constants!$B$13,X296),"")</f>
        <v/>
      </c>
      <c r="AD296" s="65" t="str">
        <f aca="false">IF($Z296=Constants!$B$7,IF($AB296&gt;=$AC296,1,2),"")</f>
        <v/>
      </c>
      <c r="AE296" s="65" t="str">
        <f aca="false">IF($Z296=Constants!$B$7,LARGE(AB296:AC296,1),"")</f>
        <v/>
      </c>
      <c r="AF296" s="65" t="str">
        <f aca="false">IF(ISBLANK($C296),"",IF($Z296&lt;&gt;Constants!$B$7,$Z296,AE296*S296))</f>
        <v/>
      </c>
      <c r="AG296" s="65" t="str">
        <f aca="false">IF(ISBLANK($C296),"",IF($Z296=Constants!$B$7,IF(ISNUMBER(AF296),RANK(AF296,$AF$8:$AF$507),Constants!$B$14),$Z296))</f>
        <v/>
      </c>
      <c r="AH296" s="65" t="str">
        <f aca="false">IF(ISBLANK($C296),"",IF($Z296=Constants!$B$7,IF(ISNUMBER(AG296),COUNTIFS($AA$8:$AA$507,"&lt;"&amp;$AA296)+COUNTIFS($AA$8:$AA$507,$AA296,$AG$8:$AG$507,"&lt;"&amp;$AG296)+1,Constants!$B$14),$Z296))</f>
        <v/>
      </c>
      <c r="AI296" s="65" t="str">
        <f aca="false">IF(ISBLANK($C296),"",IF($Z296=Constants!$B$7,LARGE(AB296:AC296,2)*S296,""))</f>
        <v/>
      </c>
      <c r="AJ296" s="65" t="str">
        <f aca="false">IF(ISBLANK($C296),"",IF($Z296=Constants!$B$7,RANK(AI296,$AI$8:$AI$507),$Z296))</f>
        <v/>
      </c>
      <c r="AK296" s="65" t="str">
        <f aca="false">IF(ISBLANK($C296),"",IF($Z296=Constants!$B$7,IF(ISNUMBER(AG296),COUNTIFS($AA$8:$AA$507,"&lt;"&amp;$AA296)+COUNTIFS($AA$8:$AA$507,$AA296,$AG$8:$AG$507,"&lt;"&amp;$AG296)+COUNTIFS($AA$8:$AA$507,$AA296,$AG$8:$AG$507,$AG296,$AJ$8:$AJ$507,"&lt;"&amp;$AJ296)+1,Constants!$B$14),$Z296))</f>
        <v/>
      </c>
      <c r="AL296" s="65" t="str">
        <f aca="false">IF(ISBLANK($C296),"",IF($Z296=Constants!$B$7,IF(ISNUMBER(AH296),AH296-AK296,Constants!$B$14),$Z296))</f>
        <v/>
      </c>
      <c r="AM296" s="67"/>
      <c r="AN296" s="68" t="str">
        <f aca="false">IF(ISBLANK($C296),"",IF($Z296&lt;&gt;Constants!$B$7,$Z296,AD296))</f>
        <v/>
      </c>
      <c r="AO296" s="69" t="str">
        <f aca="false">IF(ISBLANK($C296),"",IF($Z296&lt;&gt;Constants!$B$7,$Z296,S296))</f>
        <v/>
      </c>
      <c r="AP296" s="70" t="str">
        <f aca="false">IF(ISBLANK($C296),"",IF($Z296&lt;&gt;Constants!$B$7,$Z296,AF296))</f>
        <v/>
      </c>
      <c r="AQ296" s="71" t="str">
        <f aca="false">IF(ISBLANK($C296),"",IF($Z296&lt;&gt;Constants!$B$7,$Z296,AA296))</f>
        <v/>
      </c>
      <c r="AR296" s="69" t="str">
        <f aca="false">IF(ISBLANK($C296),"",AL296)</f>
        <v/>
      </c>
      <c r="AS296" s="69" t="str">
        <f aca="false">IF(ISBLANK($C296),"",AK296)</f>
        <v/>
      </c>
      <c r="AT296" s="72" t="str">
        <f aca="false">IF(ISBLANK($C296),"",IF(AS296=Constants!$B$4,COUNTA($C$8:$C$507)+2,IF(AS296=Constants!$B$5,COUNTA($C$8:$C$507)+1,IF(AS296=Constants!$B$6,COUNTA($C$8:$C$507),AS296))))</f>
        <v/>
      </c>
      <c r="AU296" s="5"/>
      <c r="AV296" s="73" t="n">
        <f aca="false">IF(OR(ISNUMBER(AS296),AS296=Constants!$B$4,AS296=Constants!$B$6,AS296=Constants!$B$5),1,0)</f>
        <v>0</v>
      </c>
      <c r="AW296" s="73" t="n">
        <v>289</v>
      </c>
      <c r="AX296" s="73" t="str">
        <f aca="false">IF(ISBLANK($C296),"",IF(ISNUMBER(AT296),AT296+ROW($B296)/1000,""))</f>
        <v/>
      </c>
      <c r="AY296" s="73" t="str">
        <f aca="false">IF(ISNUMBER(AX296),RANK(AX296,$AX$8:$AX$507,1),"")</f>
        <v/>
      </c>
      <c r="AZ296" s="73" t="str">
        <f aca="false">IF(ISBLANK($C296),"",$B296)</f>
        <v/>
      </c>
      <c r="BA296" s="73" t="str">
        <f aca="false">IF(ISBLANK($C296),"",$C296)</f>
        <v/>
      </c>
      <c r="BB296" s="73" t="str">
        <f aca="false">IF(ISBLANK($C296),"",$D296)</f>
        <v/>
      </c>
      <c r="BC296" s="74" t="str">
        <f aca="false">AQ296</f>
        <v/>
      </c>
      <c r="BD296" s="75" t="str">
        <f aca="false">AP296</f>
        <v/>
      </c>
      <c r="BE296" s="73" t="str">
        <f aca="false">IF(ISBLANK($C296),"",AS296)</f>
        <v/>
      </c>
      <c r="BF296" s="76" t="str">
        <f aca="false">IF($AW296&gt;$AV$7,"",VLOOKUP($AW296,$AY$8:$BE$507,7,FALSE()))</f>
        <v/>
      </c>
      <c r="BG296" s="77" t="str">
        <f aca="false">IF($AW296&gt;$AV$7,"",VLOOKUP($AW296,$AY$8:$BE$507,2,FALSE()))</f>
        <v/>
      </c>
      <c r="BH296" s="77" t="str">
        <f aca="false">IF($AW296&gt;$AV$7,"",VLOOKUP($AW296,$AY$8:$BE$507,3,FALSE()))</f>
        <v/>
      </c>
      <c r="BI296" s="77" t="str">
        <f aca="false">IF($AW296&gt;$AV$7,"",VLOOKUP($AW296,$AY$8:$BE$507,4,FALSE()))</f>
        <v/>
      </c>
      <c r="BJ296" s="77" t="str">
        <f aca="false">IF($AW296&gt;$AV$7,"",VLOOKUP($AW296,$AY$8:$BE$507,5,FALSE()))</f>
        <v/>
      </c>
      <c r="BK296" s="78" t="str">
        <f aca="false">IF($AW296&gt;$AV$7,"",VLOOKUP($AW296,$AY$8:$BE$507,6,FALSE()))</f>
        <v/>
      </c>
      <c r="BL296" s="50"/>
    </row>
    <row r="297" customFormat="false" ht="15.75" hidden="false" customHeight="false" outlineLevel="0" collapsed="false">
      <c r="A297" s="5"/>
      <c r="B297" s="131"/>
      <c r="C297" s="52"/>
      <c r="D297" s="53"/>
      <c r="E297" s="80"/>
      <c r="F297" s="132"/>
      <c r="G297" s="56"/>
      <c r="H297" s="133"/>
      <c r="I297" s="134"/>
      <c r="J297" s="59"/>
      <c r="K297" s="60"/>
      <c r="L297" s="134"/>
      <c r="M297" s="61"/>
      <c r="N297" s="62"/>
      <c r="O297" s="80"/>
      <c r="P297" s="64"/>
      <c r="Q297" s="65" t="str">
        <f aca="false">IF(ISBLANK($C297),"",IF(E297=Constants!$B$2, TRUE(), IF(E297=Constants!$B$3, FALSE(), TRUE())))</f>
        <v/>
      </c>
      <c r="R297" s="65" t="str">
        <f aca="false">IF(ISBLANK($C297),"",IF(F297=Constants!$B$2, TRUE(), IF(F297=Constants!$B$3, FALSE(), TRUE())))</f>
        <v/>
      </c>
      <c r="S297" s="65" t="str">
        <f aca="false">IF(ISBLANK($C297),"",IF(G297=Constants!$B$15,Constants!$B$8,IF(G297=Constants!$B$16,Constants!$B$9,Constants!$B$10)))</f>
        <v/>
      </c>
      <c r="T297" s="65" t="str">
        <f aca="false">IF(ISBLANK($C297),"",IF(H297=Constants!$B$2, TRUE(), IF(H297=Constants!$B$3, FALSE(), TRUE())))</f>
        <v/>
      </c>
      <c r="U297" s="65" t="str">
        <f aca="false">IF(ISBLANK($C297),"",IF(I297=Constants!$B$19,Constants!$B$19,Constants!$B$18))</f>
        <v/>
      </c>
      <c r="V297" s="65" t="str">
        <f aca="false">IF(ISBLANK($C297),"",IF(COUNTA(J297:K297)=0,"",IF(AND(OR(ISBLANK(J297),AND(ISNUMBER(J297),J297&gt;=0)),OR(ISBLANK(K297),AND(ISNUMBER(K297),K297&gt;=0))),60*IF(ISBLANK(J297),0,J297)+IF(ISBLANK(K297),0,K297),"")))</f>
        <v/>
      </c>
      <c r="W297" s="65" t="str">
        <f aca="false">IF(ISBLANK($C297),"",IF(L297=Constants!$B$19,Constants!$B$19,Constants!$B$18))</f>
        <v/>
      </c>
      <c r="X297" s="65" t="str">
        <f aca="false">IF(ISBLANK($C297),"",IF(COUNTA(M297:N297)=0,"",IF(AND(OR(ISBLANK(M297),AND(ISNUMBER(M297),M297&gt;=0)),OR(ISBLANK(N297),AND(ISNUMBER(N297),N297&gt;=0))),60*IF(ISBLANK(M297),0,M297)+IF(ISBLANK(N297),0,N297),"")))</f>
        <v/>
      </c>
      <c r="Y297" s="65" t="str">
        <f aca="false">IF(ISBLANK($C297),"",IF(O297=Constants!$B$2, TRUE(), IF(O297=Constants!$B$3, FALSE(), FALSE())))</f>
        <v/>
      </c>
      <c r="Z297" s="65" t="str">
        <f aca="false">IF(ISBLANK($C297),"",IF(Y297,Constants!$B$4,IF(COUNTA(E297:N297)=0,Constants!$B$5,IF(COUNTA(J297:K297,M297:N297)=0,Constants!$B$6,Constants!$B$7))))</f>
        <v/>
      </c>
      <c r="AA297" s="65" t="str">
        <f aca="false">IF(ISBLANK($C297),"",IF($Z297&lt;&gt;Constants!$B$7,$Z297,IF(OR(NOT(T297),AND(NOT(Q297),COUNTIFS(U297:W297,Constants!$B$18,V297:X297,"&gt;=0")&gt;0),AND(NOT(R297),COUNTIFS(U297:W297,Constants!$B$19,V297:X297,"&gt;=0")&gt;0)),Constants!$B$12,Constants!$B$11)))</f>
        <v/>
      </c>
      <c r="AB297" s="65" t="str">
        <f aca="false">IF($Z297=Constants!$B$7,IF(V297="",Constants!$B$13,V297),"")</f>
        <v/>
      </c>
      <c r="AC297" s="65" t="str">
        <f aca="false">IF($Z297=Constants!$B$7,IF(X297="",Constants!$B$13,X297),"")</f>
        <v/>
      </c>
      <c r="AD297" s="65" t="str">
        <f aca="false">IF($Z297=Constants!$B$7,IF($AB297&gt;=$AC297,1,2),"")</f>
        <v/>
      </c>
      <c r="AE297" s="65" t="str">
        <f aca="false">IF($Z297=Constants!$B$7,LARGE(AB297:AC297,1),"")</f>
        <v/>
      </c>
      <c r="AF297" s="65" t="str">
        <f aca="false">IF(ISBLANK($C297),"",IF($Z297&lt;&gt;Constants!$B$7,$Z297,AE297*S297))</f>
        <v/>
      </c>
      <c r="AG297" s="65" t="str">
        <f aca="false">IF(ISBLANK($C297),"",IF($Z297=Constants!$B$7,IF(ISNUMBER(AF297),RANK(AF297,$AF$8:$AF$507),Constants!$B$14),$Z297))</f>
        <v/>
      </c>
      <c r="AH297" s="65" t="str">
        <f aca="false">IF(ISBLANK($C297),"",IF($Z297=Constants!$B$7,IF(ISNUMBER(AG297),COUNTIFS($AA$8:$AA$507,"&lt;"&amp;$AA297)+COUNTIFS($AA$8:$AA$507,$AA297,$AG$8:$AG$507,"&lt;"&amp;$AG297)+1,Constants!$B$14),$Z297))</f>
        <v/>
      </c>
      <c r="AI297" s="65" t="str">
        <f aca="false">IF(ISBLANK($C297),"",IF($Z297=Constants!$B$7,LARGE(AB297:AC297,2)*S297,""))</f>
        <v/>
      </c>
      <c r="AJ297" s="65" t="str">
        <f aca="false">IF(ISBLANK($C297),"",IF($Z297=Constants!$B$7,RANK(AI297,$AI$8:$AI$507),$Z297))</f>
        <v/>
      </c>
      <c r="AK297" s="65" t="str">
        <f aca="false">IF(ISBLANK($C297),"",IF($Z297=Constants!$B$7,IF(ISNUMBER(AG297),COUNTIFS($AA$8:$AA$507,"&lt;"&amp;$AA297)+COUNTIFS($AA$8:$AA$507,$AA297,$AG$8:$AG$507,"&lt;"&amp;$AG297)+COUNTIFS($AA$8:$AA$507,$AA297,$AG$8:$AG$507,$AG297,$AJ$8:$AJ$507,"&lt;"&amp;$AJ297)+1,Constants!$B$14),$Z297))</f>
        <v/>
      </c>
      <c r="AL297" s="65" t="str">
        <f aca="false">IF(ISBLANK($C297),"",IF($Z297=Constants!$B$7,IF(ISNUMBER(AH297),AH297-AK297,Constants!$B$14),$Z297))</f>
        <v/>
      </c>
      <c r="AM297" s="67"/>
      <c r="AN297" s="68" t="str">
        <f aca="false">IF(ISBLANK($C297),"",IF($Z297&lt;&gt;Constants!$B$7,$Z297,AD297))</f>
        <v/>
      </c>
      <c r="AO297" s="69" t="str">
        <f aca="false">IF(ISBLANK($C297),"",IF($Z297&lt;&gt;Constants!$B$7,$Z297,S297))</f>
        <v/>
      </c>
      <c r="AP297" s="70" t="str">
        <f aca="false">IF(ISBLANK($C297),"",IF($Z297&lt;&gt;Constants!$B$7,$Z297,AF297))</f>
        <v/>
      </c>
      <c r="AQ297" s="71" t="str">
        <f aca="false">IF(ISBLANK($C297),"",IF($Z297&lt;&gt;Constants!$B$7,$Z297,AA297))</f>
        <v/>
      </c>
      <c r="AR297" s="69" t="str">
        <f aca="false">IF(ISBLANK($C297),"",AL297)</f>
        <v/>
      </c>
      <c r="AS297" s="69" t="str">
        <f aca="false">IF(ISBLANK($C297),"",AK297)</f>
        <v/>
      </c>
      <c r="AT297" s="72" t="str">
        <f aca="false">IF(ISBLANK($C297),"",IF(AS297=Constants!$B$4,COUNTA($C$8:$C$507)+2,IF(AS297=Constants!$B$5,COUNTA($C$8:$C$507)+1,IF(AS297=Constants!$B$6,COUNTA($C$8:$C$507),AS297))))</f>
        <v/>
      </c>
      <c r="AU297" s="5"/>
      <c r="AV297" s="73" t="n">
        <f aca="false">IF(OR(ISNUMBER(AS297),AS297=Constants!$B$4,AS297=Constants!$B$6,AS297=Constants!$B$5),1,0)</f>
        <v>0</v>
      </c>
      <c r="AW297" s="73" t="n">
        <v>290</v>
      </c>
      <c r="AX297" s="73" t="str">
        <f aca="false">IF(ISBLANK($C297),"",IF(ISNUMBER(AT297),AT297+ROW($B297)/1000,""))</f>
        <v/>
      </c>
      <c r="AY297" s="73" t="str">
        <f aca="false">IF(ISNUMBER(AX297),RANK(AX297,$AX$8:$AX$507,1),"")</f>
        <v/>
      </c>
      <c r="AZ297" s="73" t="str">
        <f aca="false">IF(ISBLANK($C297),"",$B297)</f>
        <v/>
      </c>
      <c r="BA297" s="73" t="str">
        <f aca="false">IF(ISBLANK($C297),"",$C297)</f>
        <v/>
      </c>
      <c r="BB297" s="73" t="str">
        <f aca="false">IF(ISBLANK($C297),"",$D297)</f>
        <v/>
      </c>
      <c r="BC297" s="74" t="str">
        <f aca="false">AQ297</f>
        <v/>
      </c>
      <c r="BD297" s="75" t="str">
        <f aca="false">AP297</f>
        <v/>
      </c>
      <c r="BE297" s="73" t="str">
        <f aca="false">IF(ISBLANK($C297),"",AS297)</f>
        <v/>
      </c>
      <c r="BF297" s="76" t="str">
        <f aca="false">IF($AW297&gt;$AV$7,"",VLOOKUP($AW297,$AY$8:$BE$507,7,FALSE()))</f>
        <v/>
      </c>
      <c r="BG297" s="77" t="str">
        <f aca="false">IF($AW297&gt;$AV$7,"",VLOOKUP($AW297,$AY$8:$BE$507,2,FALSE()))</f>
        <v/>
      </c>
      <c r="BH297" s="77" t="str">
        <f aca="false">IF($AW297&gt;$AV$7,"",VLOOKUP($AW297,$AY$8:$BE$507,3,FALSE()))</f>
        <v/>
      </c>
      <c r="BI297" s="77" t="str">
        <f aca="false">IF($AW297&gt;$AV$7,"",VLOOKUP($AW297,$AY$8:$BE$507,4,FALSE()))</f>
        <v/>
      </c>
      <c r="BJ297" s="77" t="str">
        <f aca="false">IF($AW297&gt;$AV$7,"",VLOOKUP($AW297,$AY$8:$BE$507,5,FALSE()))</f>
        <v/>
      </c>
      <c r="BK297" s="78" t="str">
        <f aca="false">IF($AW297&gt;$AV$7,"",VLOOKUP($AW297,$AY$8:$BE$507,6,FALSE()))</f>
        <v/>
      </c>
      <c r="BL297" s="50"/>
    </row>
    <row r="298" customFormat="false" ht="15.75" hidden="false" customHeight="false" outlineLevel="0" collapsed="false">
      <c r="A298" s="5"/>
      <c r="B298" s="131"/>
      <c r="C298" s="52"/>
      <c r="D298" s="53"/>
      <c r="E298" s="80"/>
      <c r="F298" s="132"/>
      <c r="G298" s="56"/>
      <c r="H298" s="133"/>
      <c r="I298" s="134"/>
      <c r="J298" s="59"/>
      <c r="K298" s="60"/>
      <c r="L298" s="134"/>
      <c r="M298" s="61"/>
      <c r="N298" s="62"/>
      <c r="O298" s="80"/>
      <c r="P298" s="64"/>
      <c r="Q298" s="65" t="str">
        <f aca="false">IF(ISBLANK($C298),"",IF(E298=Constants!$B$2, TRUE(), IF(E298=Constants!$B$3, FALSE(), TRUE())))</f>
        <v/>
      </c>
      <c r="R298" s="65" t="str">
        <f aca="false">IF(ISBLANK($C298),"",IF(F298=Constants!$B$2, TRUE(), IF(F298=Constants!$B$3, FALSE(), TRUE())))</f>
        <v/>
      </c>
      <c r="S298" s="65" t="str">
        <f aca="false">IF(ISBLANK($C298),"",IF(G298=Constants!$B$15,Constants!$B$8,IF(G298=Constants!$B$16,Constants!$B$9,Constants!$B$10)))</f>
        <v/>
      </c>
      <c r="T298" s="65" t="str">
        <f aca="false">IF(ISBLANK($C298),"",IF(H298=Constants!$B$2, TRUE(), IF(H298=Constants!$B$3, FALSE(), TRUE())))</f>
        <v/>
      </c>
      <c r="U298" s="65" t="str">
        <f aca="false">IF(ISBLANK($C298),"",IF(I298=Constants!$B$19,Constants!$B$19,Constants!$B$18))</f>
        <v/>
      </c>
      <c r="V298" s="65" t="str">
        <f aca="false">IF(ISBLANK($C298),"",IF(COUNTA(J298:K298)=0,"",IF(AND(OR(ISBLANK(J298),AND(ISNUMBER(J298),J298&gt;=0)),OR(ISBLANK(K298),AND(ISNUMBER(K298),K298&gt;=0))),60*IF(ISBLANK(J298),0,J298)+IF(ISBLANK(K298),0,K298),"")))</f>
        <v/>
      </c>
      <c r="W298" s="65" t="str">
        <f aca="false">IF(ISBLANK($C298),"",IF(L298=Constants!$B$19,Constants!$B$19,Constants!$B$18))</f>
        <v/>
      </c>
      <c r="X298" s="65" t="str">
        <f aca="false">IF(ISBLANK($C298),"",IF(COUNTA(M298:N298)=0,"",IF(AND(OR(ISBLANK(M298),AND(ISNUMBER(M298),M298&gt;=0)),OR(ISBLANK(N298),AND(ISNUMBER(N298),N298&gt;=0))),60*IF(ISBLANK(M298),0,M298)+IF(ISBLANK(N298),0,N298),"")))</f>
        <v/>
      </c>
      <c r="Y298" s="65" t="str">
        <f aca="false">IF(ISBLANK($C298),"",IF(O298=Constants!$B$2, TRUE(), IF(O298=Constants!$B$3, FALSE(), FALSE())))</f>
        <v/>
      </c>
      <c r="Z298" s="65" t="str">
        <f aca="false">IF(ISBLANK($C298),"",IF(Y298,Constants!$B$4,IF(COUNTA(E298:N298)=0,Constants!$B$5,IF(COUNTA(J298:K298,M298:N298)=0,Constants!$B$6,Constants!$B$7))))</f>
        <v/>
      </c>
      <c r="AA298" s="65" t="str">
        <f aca="false">IF(ISBLANK($C298),"",IF($Z298&lt;&gt;Constants!$B$7,$Z298,IF(OR(NOT(T298),AND(NOT(Q298),COUNTIFS(U298:W298,Constants!$B$18,V298:X298,"&gt;=0")&gt;0),AND(NOT(R298),COUNTIFS(U298:W298,Constants!$B$19,V298:X298,"&gt;=0")&gt;0)),Constants!$B$12,Constants!$B$11)))</f>
        <v/>
      </c>
      <c r="AB298" s="65" t="str">
        <f aca="false">IF($Z298=Constants!$B$7,IF(V298="",Constants!$B$13,V298),"")</f>
        <v/>
      </c>
      <c r="AC298" s="65" t="str">
        <f aca="false">IF($Z298=Constants!$B$7,IF(X298="",Constants!$B$13,X298),"")</f>
        <v/>
      </c>
      <c r="AD298" s="65" t="str">
        <f aca="false">IF($Z298=Constants!$B$7,IF($AB298&gt;=$AC298,1,2),"")</f>
        <v/>
      </c>
      <c r="AE298" s="65" t="str">
        <f aca="false">IF($Z298=Constants!$B$7,LARGE(AB298:AC298,1),"")</f>
        <v/>
      </c>
      <c r="AF298" s="65" t="str">
        <f aca="false">IF(ISBLANK($C298),"",IF($Z298&lt;&gt;Constants!$B$7,$Z298,AE298*S298))</f>
        <v/>
      </c>
      <c r="AG298" s="65" t="str">
        <f aca="false">IF(ISBLANK($C298),"",IF($Z298=Constants!$B$7,IF(ISNUMBER(AF298),RANK(AF298,$AF$8:$AF$507),Constants!$B$14),$Z298))</f>
        <v/>
      </c>
      <c r="AH298" s="65" t="str">
        <f aca="false">IF(ISBLANK($C298),"",IF($Z298=Constants!$B$7,IF(ISNUMBER(AG298),COUNTIFS($AA$8:$AA$507,"&lt;"&amp;$AA298)+COUNTIFS($AA$8:$AA$507,$AA298,$AG$8:$AG$507,"&lt;"&amp;$AG298)+1,Constants!$B$14),$Z298))</f>
        <v/>
      </c>
      <c r="AI298" s="65" t="str">
        <f aca="false">IF(ISBLANK($C298),"",IF($Z298=Constants!$B$7,LARGE(AB298:AC298,2)*S298,""))</f>
        <v/>
      </c>
      <c r="AJ298" s="65" t="str">
        <f aca="false">IF(ISBLANK($C298),"",IF($Z298=Constants!$B$7,RANK(AI298,$AI$8:$AI$507),$Z298))</f>
        <v/>
      </c>
      <c r="AK298" s="65" t="str">
        <f aca="false">IF(ISBLANK($C298),"",IF($Z298=Constants!$B$7,IF(ISNUMBER(AG298),COUNTIFS($AA$8:$AA$507,"&lt;"&amp;$AA298)+COUNTIFS($AA$8:$AA$507,$AA298,$AG$8:$AG$507,"&lt;"&amp;$AG298)+COUNTIFS($AA$8:$AA$507,$AA298,$AG$8:$AG$507,$AG298,$AJ$8:$AJ$507,"&lt;"&amp;$AJ298)+1,Constants!$B$14),$Z298))</f>
        <v/>
      </c>
      <c r="AL298" s="65" t="str">
        <f aca="false">IF(ISBLANK($C298),"",IF($Z298=Constants!$B$7,IF(ISNUMBER(AH298),AH298-AK298,Constants!$B$14),$Z298))</f>
        <v/>
      </c>
      <c r="AM298" s="67"/>
      <c r="AN298" s="68" t="str">
        <f aca="false">IF(ISBLANK($C298),"",IF($Z298&lt;&gt;Constants!$B$7,$Z298,AD298))</f>
        <v/>
      </c>
      <c r="AO298" s="69" t="str">
        <f aca="false">IF(ISBLANK($C298),"",IF($Z298&lt;&gt;Constants!$B$7,$Z298,S298))</f>
        <v/>
      </c>
      <c r="AP298" s="70" t="str">
        <f aca="false">IF(ISBLANK($C298),"",IF($Z298&lt;&gt;Constants!$B$7,$Z298,AF298))</f>
        <v/>
      </c>
      <c r="AQ298" s="71" t="str">
        <f aca="false">IF(ISBLANK($C298),"",IF($Z298&lt;&gt;Constants!$B$7,$Z298,AA298))</f>
        <v/>
      </c>
      <c r="AR298" s="69" t="str">
        <f aca="false">IF(ISBLANK($C298),"",AL298)</f>
        <v/>
      </c>
      <c r="AS298" s="69" t="str">
        <f aca="false">IF(ISBLANK($C298),"",AK298)</f>
        <v/>
      </c>
      <c r="AT298" s="72" t="str">
        <f aca="false">IF(ISBLANK($C298),"",IF(AS298=Constants!$B$4,COUNTA($C$8:$C$507)+2,IF(AS298=Constants!$B$5,COUNTA($C$8:$C$507)+1,IF(AS298=Constants!$B$6,COUNTA($C$8:$C$507),AS298))))</f>
        <v/>
      </c>
      <c r="AU298" s="5"/>
      <c r="AV298" s="73" t="n">
        <f aca="false">IF(OR(ISNUMBER(AS298),AS298=Constants!$B$4,AS298=Constants!$B$6,AS298=Constants!$B$5),1,0)</f>
        <v>0</v>
      </c>
      <c r="AW298" s="73" t="n">
        <v>291</v>
      </c>
      <c r="AX298" s="73" t="str">
        <f aca="false">IF(ISBLANK($C298),"",IF(ISNUMBER(AT298),AT298+ROW($B298)/1000,""))</f>
        <v/>
      </c>
      <c r="AY298" s="73" t="str">
        <f aca="false">IF(ISNUMBER(AX298),RANK(AX298,$AX$8:$AX$507,1),"")</f>
        <v/>
      </c>
      <c r="AZ298" s="73" t="str">
        <f aca="false">IF(ISBLANK($C298),"",$B298)</f>
        <v/>
      </c>
      <c r="BA298" s="73" t="str">
        <f aca="false">IF(ISBLANK($C298),"",$C298)</f>
        <v/>
      </c>
      <c r="BB298" s="73" t="str">
        <f aca="false">IF(ISBLANK($C298),"",$D298)</f>
        <v/>
      </c>
      <c r="BC298" s="74" t="str">
        <f aca="false">AQ298</f>
        <v/>
      </c>
      <c r="BD298" s="75" t="str">
        <f aca="false">AP298</f>
        <v/>
      </c>
      <c r="BE298" s="73" t="str">
        <f aca="false">IF(ISBLANK($C298),"",AS298)</f>
        <v/>
      </c>
      <c r="BF298" s="76" t="str">
        <f aca="false">IF($AW298&gt;$AV$7,"",VLOOKUP($AW298,$AY$8:$BE$507,7,FALSE()))</f>
        <v/>
      </c>
      <c r="BG298" s="77" t="str">
        <f aca="false">IF($AW298&gt;$AV$7,"",VLOOKUP($AW298,$AY$8:$BE$507,2,FALSE()))</f>
        <v/>
      </c>
      <c r="BH298" s="77" t="str">
        <f aca="false">IF($AW298&gt;$AV$7,"",VLOOKUP($AW298,$AY$8:$BE$507,3,FALSE()))</f>
        <v/>
      </c>
      <c r="BI298" s="77" t="str">
        <f aca="false">IF($AW298&gt;$AV$7,"",VLOOKUP($AW298,$AY$8:$BE$507,4,FALSE()))</f>
        <v/>
      </c>
      <c r="BJ298" s="77" t="str">
        <f aca="false">IF($AW298&gt;$AV$7,"",VLOOKUP($AW298,$AY$8:$BE$507,5,FALSE()))</f>
        <v/>
      </c>
      <c r="BK298" s="78" t="str">
        <f aca="false">IF($AW298&gt;$AV$7,"",VLOOKUP($AW298,$AY$8:$BE$507,6,FALSE()))</f>
        <v/>
      </c>
      <c r="BL298" s="50"/>
    </row>
    <row r="299" customFormat="false" ht="15.75" hidden="false" customHeight="false" outlineLevel="0" collapsed="false">
      <c r="A299" s="5"/>
      <c r="B299" s="124"/>
      <c r="C299" s="125"/>
      <c r="D299" s="110"/>
      <c r="E299" s="130"/>
      <c r="F299" s="135"/>
      <c r="G299" s="88"/>
      <c r="H299" s="136"/>
      <c r="I299" s="137"/>
      <c r="J299" s="91"/>
      <c r="K299" s="92"/>
      <c r="L299" s="137"/>
      <c r="M299" s="93"/>
      <c r="N299" s="94"/>
      <c r="O299" s="130"/>
      <c r="P299" s="96"/>
      <c r="Q299" s="97" t="str">
        <f aca="false">IF(ISBLANK($C299),"",IF(E299=Constants!$B$2, TRUE(), IF(E299=Constants!$B$3, FALSE(), TRUE())))</f>
        <v/>
      </c>
      <c r="R299" s="97" t="str">
        <f aca="false">IF(ISBLANK($C299),"",IF(F299=Constants!$B$2, TRUE(), IF(F299=Constants!$B$3, FALSE(), TRUE())))</f>
        <v/>
      </c>
      <c r="S299" s="97" t="str">
        <f aca="false">IF(ISBLANK($C299),"",IF(G299=Constants!$B$15,Constants!$B$8,IF(G299=Constants!$B$16,Constants!$B$9,Constants!$B$10)))</f>
        <v/>
      </c>
      <c r="T299" s="97" t="str">
        <f aca="false">IF(ISBLANK($C299),"",IF(H299=Constants!$B$2, TRUE(), IF(H299=Constants!$B$3, FALSE(), TRUE())))</f>
        <v/>
      </c>
      <c r="U299" s="97" t="str">
        <f aca="false">IF(ISBLANK($C299),"",IF(I299=Constants!$B$19,Constants!$B$19,Constants!$B$18))</f>
        <v/>
      </c>
      <c r="V299" s="97" t="str">
        <f aca="false">IF(ISBLANK($C299),"",IF(COUNTA(J299:K299)=0,"",IF(AND(OR(ISBLANK(J299),AND(ISNUMBER(J299),J299&gt;=0)),OR(ISBLANK(K299),AND(ISNUMBER(K299),K299&gt;=0))),60*IF(ISBLANK(J299),0,J299)+IF(ISBLANK(K299),0,K299),"")))</f>
        <v/>
      </c>
      <c r="W299" s="97" t="str">
        <f aca="false">IF(ISBLANK($C299),"",IF(L299=Constants!$B$19,Constants!$B$19,Constants!$B$18))</f>
        <v/>
      </c>
      <c r="X299" s="97" t="str">
        <f aca="false">IF(ISBLANK($C299),"",IF(COUNTA(M299:N299)=0,"",IF(AND(OR(ISBLANK(M299),AND(ISNUMBER(M299),M299&gt;=0)),OR(ISBLANK(N299),AND(ISNUMBER(N299),N299&gt;=0))),60*IF(ISBLANK(M299),0,M299)+IF(ISBLANK(N299),0,N299),"")))</f>
        <v/>
      </c>
      <c r="Y299" s="97" t="str">
        <f aca="false">IF(ISBLANK($C299),"",IF(O299=Constants!$B$2, TRUE(), IF(O299=Constants!$B$3, FALSE(), FALSE())))</f>
        <v/>
      </c>
      <c r="Z299" s="97" t="str">
        <f aca="false">IF(ISBLANK($C299),"",IF(Y299,Constants!$B$4,IF(COUNTA(E299:N299)=0,Constants!$B$5,IF(COUNTA(J299:K299,M299:N299)=0,Constants!$B$6,Constants!$B$7))))</f>
        <v/>
      </c>
      <c r="AA299" s="97" t="str">
        <f aca="false">IF(ISBLANK($C299),"",IF($Z299&lt;&gt;Constants!$B$7,$Z299,IF(OR(NOT(T299),AND(NOT(Q299),COUNTIFS(U299:W299,Constants!$B$18,V299:X299,"&gt;=0")&gt;0),AND(NOT(R299),COUNTIFS(U299:W299,Constants!$B$19,V299:X299,"&gt;=0")&gt;0)),Constants!$B$12,Constants!$B$11)))</f>
        <v/>
      </c>
      <c r="AB299" s="97" t="str">
        <f aca="false">IF($Z299=Constants!$B$7,IF(V299="",Constants!$B$13,V299),"")</f>
        <v/>
      </c>
      <c r="AC299" s="97" t="str">
        <f aca="false">IF($Z299=Constants!$B$7,IF(X299="",Constants!$B$13,X299),"")</f>
        <v/>
      </c>
      <c r="AD299" s="97" t="str">
        <f aca="false">IF($Z299=Constants!$B$7,IF($AB299&gt;=$AC299,1,2),"")</f>
        <v/>
      </c>
      <c r="AE299" s="97" t="str">
        <f aca="false">IF($Z299=Constants!$B$7,LARGE(AB299:AC299,1),"")</f>
        <v/>
      </c>
      <c r="AF299" s="97" t="str">
        <f aca="false">IF(ISBLANK($C299),"",IF($Z299&lt;&gt;Constants!$B$7,$Z299,AE299*S299))</f>
        <v/>
      </c>
      <c r="AG299" s="97" t="str">
        <f aca="false">IF(ISBLANK($C299),"",IF($Z299=Constants!$B$7,IF(ISNUMBER(AF299),RANK(AF299,$AF$8:$AF$507),Constants!$B$14),$Z299))</f>
        <v/>
      </c>
      <c r="AH299" s="97" t="str">
        <f aca="false">IF(ISBLANK($C299),"",IF($Z299=Constants!$B$7,IF(ISNUMBER(AG299),COUNTIFS($AA$8:$AA$507,"&lt;"&amp;$AA299)+COUNTIFS($AA$8:$AA$507,$AA299,$AG$8:$AG$507,"&lt;"&amp;$AG299)+1,Constants!$B$14),$Z299))</f>
        <v/>
      </c>
      <c r="AI299" s="97" t="str">
        <f aca="false">IF(ISBLANK($C299),"",IF($Z299=Constants!$B$7,LARGE(AB299:AC299,2)*S299,""))</f>
        <v/>
      </c>
      <c r="AJ299" s="97" t="str">
        <f aca="false">IF(ISBLANK($C299),"",IF($Z299=Constants!$B$7,RANK(AI299,$AI$8:$AI$507),$Z299))</f>
        <v/>
      </c>
      <c r="AK299" s="97" t="str">
        <f aca="false">IF(ISBLANK($C299),"",IF($Z299=Constants!$B$7,IF(ISNUMBER(AG299),COUNTIFS($AA$8:$AA$507,"&lt;"&amp;$AA299)+COUNTIFS($AA$8:$AA$507,$AA299,$AG$8:$AG$507,"&lt;"&amp;$AG299)+COUNTIFS($AA$8:$AA$507,$AA299,$AG$8:$AG$507,$AG299,$AJ$8:$AJ$507,"&lt;"&amp;$AJ299)+1,Constants!$B$14),$Z299))</f>
        <v/>
      </c>
      <c r="AL299" s="97" t="str">
        <f aca="false">IF(ISBLANK($C299),"",IF($Z299=Constants!$B$7,IF(ISNUMBER(AH299),AH299-AK299,Constants!$B$14),$Z299))</f>
        <v/>
      </c>
      <c r="AM299" s="98"/>
      <c r="AN299" s="99" t="str">
        <f aca="false">IF(ISBLANK($C299),"",IF($Z299&lt;&gt;Constants!$B$7,$Z299,AD299))</f>
        <v/>
      </c>
      <c r="AO299" s="100" t="str">
        <f aca="false">IF(ISBLANK($C299),"",IF($Z299&lt;&gt;Constants!$B$7,$Z299,S299))</f>
        <v/>
      </c>
      <c r="AP299" s="101" t="str">
        <f aca="false">IF(ISBLANK($C299),"",IF($Z299&lt;&gt;Constants!$B$7,$Z299,AF299))</f>
        <v/>
      </c>
      <c r="AQ299" s="102" t="str">
        <f aca="false">IF(ISBLANK($C299),"",IF($Z299&lt;&gt;Constants!$B$7,$Z299,AA299))</f>
        <v/>
      </c>
      <c r="AR299" s="100" t="str">
        <f aca="false">IF(ISBLANK($C299),"",AL299)</f>
        <v/>
      </c>
      <c r="AS299" s="100" t="str">
        <f aca="false">IF(ISBLANK($C299),"",AK299)</f>
        <v/>
      </c>
      <c r="AT299" s="103" t="str">
        <f aca="false">IF(ISBLANK($C299),"",IF(AS299=Constants!$B$4,COUNTA($C$8:$C$507)+2,IF(AS299=Constants!$B$5,COUNTA($C$8:$C$507)+1,IF(AS299=Constants!$B$6,COUNTA($C$8:$C$507),AS299))))</f>
        <v/>
      </c>
      <c r="AU299" s="5"/>
      <c r="AV299" s="104" t="n">
        <f aca="false">IF(OR(ISNUMBER(AS299),AS299=Constants!$B$4,AS299=Constants!$B$6,AS299=Constants!$B$5),1,0)</f>
        <v>0</v>
      </c>
      <c r="AW299" s="104" t="n">
        <v>292</v>
      </c>
      <c r="AX299" s="104" t="str">
        <f aca="false">IF(ISBLANK($C299),"",IF(ISNUMBER(AT299),AT299+ROW($B299)/1000,""))</f>
        <v/>
      </c>
      <c r="AY299" s="104" t="str">
        <f aca="false">IF(ISNUMBER(AX299),RANK(AX299,$AX$8:$AX$507,1),"")</f>
        <v/>
      </c>
      <c r="AZ299" s="104" t="str">
        <f aca="false">IF(ISBLANK($C299),"",$B299)</f>
        <v/>
      </c>
      <c r="BA299" s="104" t="str">
        <f aca="false">IF(ISBLANK($C299),"",$C299)</f>
        <v/>
      </c>
      <c r="BB299" s="104" t="str">
        <f aca="false">IF(ISBLANK($C299),"",$D299)</f>
        <v/>
      </c>
      <c r="BC299" s="105" t="str">
        <f aca="false">AQ299</f>
        <v/>
      </c>
      <c r="BD299" s="106" t="str">
        <f aca="false">AP299</f>
        <v/>
      </c>
      <c r="BE299" s="104" t="str">
        <f aca="false">IF(ISBLANK($C299),"",AS299)</f>
        <v/>
      </c>
      <c r="BF299" s="107" t="str">
        <f aca="false">IF($AW299&gt;$AV$7,"",VLOOKUP($AW299,$AY$8:$BE$507,7,FALSE()))</f>
        <v/>
      </c>
      <c r="BG299" s="108" t="str">
        <f aca="false">IF($AW299&gt;$AV$7,"",VLOOKUP($AW299,$AY$8:$BE$507,2,FALSE()))</f>
        <v/>
      </c>
      <c r="BH299" s="108" t="str">
        <f aca="false">IF($AW299&gt;$AV$7,"",VLOOKUP($AW299,$AY$8:$BE$507,3,FALSE()))</f>
        <v/>
      </c>
      <c r="BI299" s="108" t="str">
        <f aca="false">IF($AW299&gt;$AV$7,"",VLOOKUP($AW299,$AY$8:$BE$507,4,FALSE()))</f>
        <v/>
      </c>
      <c r="BJ299" s="108" t="str">
        <f aca="false">IF($AW299&gt;$AV$7,"",VLOOKUP($AW299,$AY$8:$BE$507,5,FALSE()))</f>
        <v/>
      </c>
      <c r="BK299" s="109" t="str">
        <f aca="false">IF($AW299&gt;$AV$7,"",VLOOKUP($AW299,$AY$8:$BE$507,6,FALSE()))</f>
        <v/>
      </c>
      <c r="BL299" s="50"/>
    </row>
    <row r="300" customFormat="false" ht="15.75" hidden="false" customHeight="false" outlineLevel="0" collapsed="false">
      <c r="A300" s="5"/>
      <c r="B300" s="124"/>
      <c r="C300" s="125"/>
      <c r="D300" s="110"/>
      <c r="E300" s="130"/>
      <c r="F300" s="135"/>
      <c r="G300" s="88"/>
      <c r="H300" s="136"/>
      <c r="I300" s="137"/>
      <c r="J300" s="91"/>
      <c r="K300" s="92"/>
      <c r="L300" s="137"/>
      <c r="M300" s="93"/>
      <c r="N300" s="94"/>
      <c r="O300" s="130"/>
      <c r="P300" s="96"/>
      <c r="Q300" s="97" t="str">
        <f aca="false">IF(ISBLANK($C300),"",IF(E300=Constants!$B$2, TRUE(), IF(E300=Constants!$B$3, FALSE(), TRUE())))</f>
        <v/>
      </c>
      <c r="R300" s="97" t="str">
        <f aca="false">IF(ISBLANK($C300),"",IF(F300=Constants!$B$2, TRUE(), IF(F300=Constants!$B$3, FALSE(), TRUE())))</f>
        <v/>
      </c>
      <c r="S300" s="97" t="str">
        <f aca="false">IF(ISBLANK($C300),"",IF(G300=Constants!$B$15,Constants!$B$8,IF(G300=Constants!$B$16,Constants!$B$9,Constants!$B$10)))</f>
        <v/>
      </c>
      <c r="T300" s="97" t="str">
        <f aca="false">IF(ISBLANK($C300),"",IF(H300=Constants!$B$2, TRUE(), IF(H300=Constants!$B$3, FALSE(), TRUE())))</f>
        <v/>
      </c>
      <c r="U300" s="97" t="str">
        <f aca="false">IF(ISBLANK($C300),"",IF(I300=Constants!$B$19,Constants!$B$19,Constants!$B$18))</f>
        <v/>
      </c>
      <c r="V300" s="97" t="str">
        <f aca="false">IF(ISBLANK($C300),"",IF(COUNTA(J300:K300)=0,"",IF(AND(OR(ISBLANK(J300),AND(ISNUMBER(J300),J300&gt;=0)),OR(ISBLANK(K300),AND(ISNUMBER(K300),K300&gt;=0))),60*IF(ISBLANK(J300),0,J300)+IF(ISBLANK(K300),0,K300),"")))</f>
        <v/>
      </c>
      <c r="W300" s="97" t="str">
        <f aca="false">IF(ISBLANK($C300),"",IF(L300=Constants!$B$19,Constants!$B$19,Constants!$B$18))</f>
        <v/>
      </c>
      <c r="X300" s="97" t="str">
        <f aca="false">IF(ISBLANK($C300),"",IF(COUNTA(M300:N300)=0,"",IF(AND(OR(ISBLANK(M300),AND(ISNUMBER(M300),M300&gt;=0)),OR(ISBLANK(N300),AND(ISNUMBER(N300),N300&gt;=0))),60*IF(ISBLANK(M300),0,M300)+IF(ISBLANK(N300),0,N300),"")))</f>
        <v/>
      </c>
      <c r="Y300" s="97" t="str">
        <f aca="false">IF(ISBLANK($C300),"",IF(O300=Constants!$B$2, TRUE(), IF(O300=Constants!$B$3, FALSE(), FALSE())))</f>
        <v/>
      </c>
      <c r="Z300" s="97" t="str">
        <f aca="false">IF(ISBLANK($C300),"",IF(Y300,Constants!$B$4,IF(COUNTA(E300:N300)=0,Constants!$B$5,IF(COUNTA(J300:K300,M300:N300)=0,Constants!$B$6,Constants!$B$7))))</f>
        <v/>
      </c>
      <c r="AA300" s="97" t="str">
        <f aca="false">IF(ISBLANK($C300),"",IF($Z300&lt;&gt;Constants!$B$7,$Z300,IF(OR(NOT(T300),AND(NOT(Q300),COUNTIFS(U300:W300,Constants!$B$18,V300:X300,"&gt;=0")&gt;0),AND(NOT(R300),COUNTIFS(U300:W300,Constants!$B$19,V300:X300,"&gt;=0")&gt;0)),Constants!$B$12,Constants!$B$11)))</f>
        <v/>
      </c>
      <c r="AB300" s="97" t="str">
        <f aca="false">IF($Z300=Constants!$B$7,IF(V300="",Constants!$B$13,V300),"")</f>
        <v/>
      </c>
      <c r="AC300" s="97" t="str">
        <f aca="false">IF($Z300=Constants!$B$7,IF(X300="",Constants!$B$13,X300),"")</f>
        <v/>
      </c>
      <c r="AD300" s="97" t="str">
        <f aca="false">IF($Z300=Constants!$B$7,IF($AB300&gt;=$AC300,1,2),"")</f>
        <v/>
      </c>
      <c r="AE300" s="97" t="str">
        <f aca="false">IF($Z300=Constants!$B$7,LARGE(AB300:AC300,1),"")</f>
        <v/>
      </c>
      <c r="AF300" s="97" t="str">
        <f aca="false">IF(ISBLANK($C300),"",IF($Z300&lt;&gt;Constants!$B$7,$Z300,AE300*S300))</f>
        <v/>
      </c>
      <c r="AG300" s="97" t="str">
        <f aca="false">IF(ISBLANK($C300),"",IF($Z300=Constants!$B$7,IF(ISNUMBER(AF300),RANK(AF300,$AF$8:$AF$507),Constants!$B$14),$Z300))</f>
        <v/>
      </c>
      <c r="AH300" s="97" t="str">
        <f aca="false">IF(ISBLANK($C300),"",IF($Z300=Constants!$B$7,IF(ISNUMBER(AG300),COUNTIFS($AA$8:$AA$507,"&lt;"&amp;$AA300)+COUNTIFS($AA$8:$AA$507,$AA300,$AG$8:$AG$507,"&lt;"&amp;$AG300)+1,Constants!$B$14),$Z300))</f>
        <v/>
      </c>
      <c r="AI300" s="97" t="str">
        <f aca="false">IF(ISBLANK($C300),"",IF($Z300=Constants!$B$7,LARGE(AB300:AC300,2)*S300,""))</f>
        <v/>
      </c>
      <c r="AJ300" s="97" t="str">
        <f aca="false">IF(ISBLANK($C300),"",IF($Z300=Constants!$B$7,RANK(AI300,$AI$8:$AI$507),$Z300))</f>
        <v/>
      </c>
      <c r="AK300" s="97" t="str">
        <f aca="false">IF(ISBLANK($C300),"",IF($Z300=Constants!$B$7,IF(ISNUMBER(AG300),COUNTIFS($AA$8:$AA$507,"&lt;"&amp;$AA300)+COUNTIFS($AA$8:$AA$507,$AA300,$AG$8:$AG$507,"&lt;"&amp;$AG300)+COUNTIFS($AA$8:$AA$507,$AA300,$AG$8:$AG$507,$AG300,$AJ$8:$AJ$507,"&lt;"&amp;$AJ300)+1,Constants!$B$14),$Z300))</f>
        <v/>
      </c>
      <c r="AL300" s="97" t="str">
        <f aca="false">IF(ISBLANK($C300),"",IF($Z300=Constants!$B$7,IF(ISNUMBER(AH300),AH300-AK300,Constants!$B$14),$Z300))</f>
        <v/>
      </c>
      <c r="AM300" s="98"/>
      <c r="AN300" s="99" t="str">
        <f aca="false">IF(ISBLANK($C300),"",IF($Z300&lt;&gt;Constants!$B$7,$Z300,AD300))</f>
        <v/>
      </c>
      <c r="AO300" s="100" t="str">
        <f aca="false">IF(ISBLANK($C300),"",IF($Z300&lt;&gt;Constants!$B$7,$Z300,S300))</f>
        <v/>
      </c>
      <c r="AP300" s="101" t="str">
        <f aca="false">IF(ISBLANK($C300),"",IF($Z300&lt;&gt;Constants!$B$7,$Z300,AF300))</f>
        <v/>
      </c>
      <c r="AQ300" s="102" t="str">
        <f aca="false">IF(ISBLANK($C300),"",IF($Z300&lt;&gt;Constants!$B$7,$Z300,AA300))</f>
        <v/>
      </c>
      <c r="AR300" s="100" t="str">
        <f aca="false">IF(ISBLANK($C300),"",AL300)</f>
        <v/>
      </c>
      <c r="AS300" s="100" t="str">
        <f aca="false">IF(ISBLANK($C300),"",AK300)</f>
        <v/>
      </c>
      <c r="AT300" s="103" t="str">
        <f aca="false">IF(ISBLANK($C300),"",IF(AS300=Constants!$B$4,COUNTA($C$8:$C$507)+2,IF(AS300=Constants!$B$5,COUNTA($C$8:$C$507)+1,IF(AS300=Constants!$B$6,COUNTA($C$8:$C$507),AS300))))</f>
        <v/>
      </c>
      <c r="AU300" s="5"/>
      <c r="AV300" s="104" t="n">
        <f aca="false">IF(OR(ISNUMBER(AS300),AS300=Constants!$B$4,AS300=Constants!$B$6,AS300=Constants!$B$5),1,0)</f>
        <v>0</v>
      </c>
      <c r="AW300" s="104" t="n">
        <v>293</v>
      </c>
      <c r="AX300" s="104" t="str">
        <f aca="false">IF(ISBLANK($C300),"",IF(ISNUMBER(AT300),AT300+ROW($B300)/1000,""))</f>
        <v/>
      </c>
      <c r="AY300" s="104" t="str">
        <f aca="false">IF(ISNUMBER(AX300),RANK(AX300,$AX$8:$AX$507,1),"")</f>
        <v/>
      </c>
      <c r="AZ300" s="104" t="str">
        <f aca="false">IF(ISBLANK($C300),"",$B300)</f>
        <v/>
      </c>
      <c r="BA300" s="104" t="str">
        <f aca="false">IF(ISBLANK($C300),"",$C300)</f>
        <v/>
      </c>
      <c r="BB300" s="104" t="str">
        <f aca="false">IF(ISBLANK($C300),"",$D300)</f>
        <v/>
      </c>
      <c r="BC300" s="105" t="str">
        <f aca="false">AQ300</f>
        <v/>
      </c>
      <c r="BD300" s="106" t="str">
        <f aca="false">AP300</f>
        <v/>
      </c>
      <c r="BE300" s="104" t="str">
        <f aca="false">IF(ISBLANK($C300),"",AS300)</f>
        <v/>
      </c>
      <c r="BF300" s="107" t="str">
        <f aca="false">IF($AW300&gt;$AV$7,"",VLOOKUP($AW300,$AY$8:$BE$507,7,FALSE()))</f>
        <v/>
      </c>
      <c r="BG300" s="108" t="str">
        <f aca="false">IF($AW300&gt;$AV$7,"",VLOOKUP($AW300,$AY$8:$BE$507,2,FALSE()))</f>
        <v/>
      </c>
      <c r="BH300" s="108" t="str">
        <f aca="false">IF($AW300&gt;$AV$7,"",VLOOKUP($AW300,$AY$8:$BE$507,3,FALSE()))</f>
        <v/>
      </c>
      <c r="BI300" s="108" t="str">
        <f aca="false">IF($AW300&gt;$AV$7,"",VLOOKUP($AW300,$AY$8:$BE$507,4,FALSE()))</f>
        <v/>
      </c>
      <c r="BJ300" s="108" t="str">
        <f aca="false">IF($AW300&gt;$AV$7,"",VLOOKUP($AW300,$AY$8:$BE$507,5,FALSE()))</f>
        <v/>
      </c>
      <c r="BK300" s="109" t="str">
        <f aca="false">IF($AW300&gt;$AV$7,"",VLOOKUP($AW300,$AY$8:$BE$507,6,FALSE()))</f>
        <v/>
      </c>
      <c r="BL300" s="50"/>
    </row>
    <row r="301" customFormat="false" ht="15.75" hidden="false" customHeight="false" outlineLevel="0" collapsed="false">
      <c r="A301" s="5"/>
      <c r="B301" s="124"/>
      <c r="C301" s="125"/>
      <c r="D301" s="110"/>
      <c r="E301" s="130"/>
      <c r="F301" s="135"/>
      <c r="G301" s="88"/>
      <c r="H301" s="136"/>
      <c r="I301" s="137"/>
      <c r="J301" s="91"/>
      <c r="K301" s="92"/>
      <c r="L301" s="137"/>
      <c r="M301" s="93"/>
      <c r="N301" s="94"/>
      <c r="O301" s="130"/>
      <c r="P301" s="96"/>
      <c r="Q301" s="97" t="str">
        <f aca="false">IF(ISBLANK($C301),"",IF(E301=Constants!$B$2, TRUE(), IF(E301=Constants!$B$3, FALSE(), TRUE())))</f>
        <v/>
      </c>
      <c r="R301" s="97" t="str">
        <f aca="false">IF(ISBLANK($C301),"",IF(F301=Constants!$B$2, TRUE(), IF(F301=Constants!$B$3, FALSE(), TRUE())))</f>
        <v/>
      </c>
      <c r="S301" s="97" t="str">
        <f aca="false">IF(ISBLANK($C301),"",IF(G301=Constants!$B$15,Constants!$B$8,IF(G301=Constants!$B$16,Constants!$B$9,Constants!$B$10)))</f>
        <v/>
      </c>
      <c r="T301" s="97" t="str">
        <f aca="false">IF(ISBLANK($C301),"",IF(H301=Constants!$B$2, TRUE(), IF(H301=Constants!$B$3, FALSE(), TRUE())))</f>
        <v/>
      </c>
      <c r="U301" s="97" t="str">
        <f aca="false">IF(ISBLANK($C301),"",IF(I301=Constants!$B$19,Constants!$B$19,Constants!$B$18))</f>
        <v/>
      </c>
      <c r="V301" s="97" t="str">
        <f aca="false">IF(ISBLANK($C301),"",IF(COUNTA(J301:K301)=0,"",IF(AND(OR(ISBLANK(J301),AND(ISNUMBER(J301),J301&gt;=0)),OR(ISBLANK(K301),AND(ISNUMBER(K301),K301&gt;=0))),60*IF(ISBLANK(J301),0,J301)+IF(ISBLANK(K301),0,K301),"")))</f>
        <v/>
      </c>
      <c r="W301" s="97" t="str">
        <f aca="false">IF(ISBLANK($C301),"",IF(L301=Constants!$B$19,Constants!$B$19,Constants!$B$18))</f>
        <v/>
      </c>
      <c r="X301" s="97" t="str">
        <f aca="false">IF(ISBLANK($C301),"",IF(COUNTA(M301:N301)=0,"",IF(AND(OR(ISBLANK(M301),AND(ISNUMBER(M301),M301&gt;=0)),OR(ISBLANK(N301),AND(ISNUMBER(N301),N301&gt;=0))),60*IF(ISBLANK(M301),0,M301)+IF(ISBLANK(N301),0,N301),"")))</f>
        <v/>
      </c>
      <c r="Y301" s="97" t="str">
        <f aca="false">IF(ISBLANK($C301),"",IF(O301=Constants!$B$2, TRUE(), IF(O301=Constants!$B$3, FALSE(), FALSE())))</f>
        <v/>
      </c>
      <c r="Z301" s="97" t="str">
        <f aca="false">IF(ISBLANK($C301),"",IF(Y301,Constants!$B$4,IF(COUNTA(E301:N301)=0,Constants!$B$5,IF(COUNTA(J301:K301,M301:N301)=0,Constants!$B$6,Constants!$B$7))))</f>
        <v/>
      </c>
      <c r="AA301" s="97" t="str">
        <f aca="false">IF(ISBLANK($C301),"",IF($Z301&lt;&gt;Constants!$B$7,$Z301,IF(OR(NOT(T301),AND(NOT(Q301),COUNTIFS(U301:W301,Constants!$B$18,V301:X301,"&gt;=0")&gt;0),AND(NOT(R301),COUNTIFS(U301:W301,Constants!$B$19,V301:X301,"&gt;=0")&gt;0)),Constants!$B$12,Constants!$B$11)))</f>
        <v/>
      </c>
      <c r="AB301" s="97" t="str">
        <f aca="false">IF($Z301=Constants!$B$7,IF(V301="",Constants!$B$13,V301),"")</f>
        <v/>
      </c>
      <c r="AC301" s="97" t="str">
        <f aca="false">IF($Z301=Constants!$B$7,IF(X301="",Constants!$B$13,X301),"")</f>
        <v/>
      </c>
      <c r="AD301" s="97" t="str">
        <f aca="false">IF($Z301=Constants!$B$7,IF($AB301&gt;=$AC301,1,2),"")</f>
        <v/>
      </c>
      <c r="AE301" s="97" t="str">
        <f aca="false">IF($Z301=Constants!$B$7,LARGE(AB301:AC301,1),"")</f>
        <v/>
      </c>
      <c r="AF301" s="97" t="str">
        <f aca="false">IF(ISBLANK($C301),"",IF($Z301&lt;&gt;Constants!$B$7,$Z301,AE301*S301))</f>
        <v/>
      </c>
      <c r="AG301" s="97" t="str">
        <f aca="false">IF(ISBLANK($C301),"",IF($Z301=Constants!$B$7,IF(ISNUMBER(AF301),RANK(AF301,$AF$8:$AF$507),Constants!$B$14),$Z301))</f>
        <v/>
      </c>
      <c r="AH301" s="97" t="str">
        <f aca="false">IF(ISBLANK($C301),"",IF($Z301=Constants!$B$7,IF(ISNUMBER(AG301),COUNTIFS($AA$8:$AA$507,"&lt;"&amp;$AA301)+COUNTIFS($AA$8:$AA$507,$AA301,$AG$8:$AG$507,"&lt;"&amp;$AG301)+1,Constants!$B$14),$Z301))</f>
        <v/>
      </c>
      <c r="AI301" s="97" t="str">
        <f aca="false">IF(ISBLANK($C301),"",IF($Z301=Constants!$B$7,LARGE(AB301:AC301,2)*S301,""))</f>
        <v/>
      </c>
      <c r="AJ301" s="97" t="str">
        <f aca="false">IF(ISBLANK($C301),"",IF($Z301=Constants!$B$7,RANK(AI301,$AI$8:$AI$507),$Z301))</f>
        <v/>
      </c>
      <c r="AK301" s="97" t="str">
        <f aca="false">IF(ISBLANK($C301),"",IF($Z301=Constants!$B$7,IF(ISNUMBER(AG301),COUNTIFS($AA$8:$AA$507,"&lt;"&amp;$AA301)+COUNTIFS($AA$8:$AA$507,$AA301,$AG$8:$AG$507,"&lt;"&amp;$AG301)+COUNTIFS($AA$8:$AA$507,$AA301,$AG$8:$AG$507,$AG301,$AJ$8:$AJ$507,"&lt;"&amp;$AJ301)+1,Constants!$B$14),$Z301))</f>
        <v/>
      </c>
      <c r="AL301" s="97" t="str">
        <f aca="false">IF(ISBLANK($C301),"",IF($Z301=Constants!$B$7,IF(ISNUMBER(AH301),AH301-AK301,Constants!$B$14),$Z301))</f>
        <v/>
      </c>
      <c r="AM301" s="98"/>
      <c r="AN301" s="99" t="str">
        <f aca="false">IF(ISBLANK($C301),"",IF($Z301&lt;&gt;Constants!$B$7,$Z301,AD301))</f>
        <v/>
      </c>
      <c r="AO301" s="100" t="str">
        <f aca="false">IF(ISBLANK($C301),"",IF($Z301&lt;&gt;Constants!$B$7,$Z301,S301))</f>
        <v/>
      </c>
      <c r="AP301" s="101" t="str">
        <f aca="false">IF(ISBLANK($C301),"",IF($Z301&lt;&gt;Constants!$B$7,$Z301,AF301))</f>
        <v/>
      </c>
      <c r="AQ301" s="102" t="str">
        <f aca="false">IF(ISBLANK($C301),"",IF($Z301&lt;&gt;Constants!$B$7,$Z301,AA301))</f>
        <v/>
      </c>
      <c r="AR301" s="100" t="str">
        <f aca="false">IF(ISBLANK($C301),"",AL301)</f>
        <v/>
      </c>
      <c r="AS301" s="100" t="str">
        <f aca="false">IF(ISBLANK($C301),"",AK301)</f>
        <v/>
      </c>
      <c r="AT301" s="103" t="str">
        <f aca="false">IF(ISBLANK($C301),"",IF(AS301=Constants!$B$4,COUNTA($C$8:$C$507)+2,IF(AS301=Constants!$B$5,COUNTA($C$8:$C$507)+1,IF(AS301=Constants!$B$6,COUNTA($C$8:$C$507),AS301))))</f>
        <v/>
      </c>
      <c r="AU301" s="5"/>
      <c r="AV301" s="104" t="n">
        <f aca="false">IF(OR(ISNUMBER(AS301),AS301=Constants!$B$4,AS301=Constants!$B$6,AS301=Constants!$B$5),1,0)</f>
        <v>0</v>
      </c>
      <c r="AW301" s="104" t="n">
        <v>294</v>
      </c>
      <c r="AX301" s="104" t="str">
        <f aca="false">IF(ISBLANK($C301),"",IF(ISNUMBER(AT301),AT301+ROW($B301)/1000,""))</f>
        <v/>
      </c>
      <c r="AY301" s="104" t="str">
        <f aca="false">IF(ISNUMBER(AX301),RANK(AX301,$AX$8:$AX$507,1),"")</f>
        <v/>
      </c>
      <c r="AZ301" s="104" t="str">
        <f aca="false">IF(ISBLANK($C301),"",$B301)</f>
        <v/>
      </c>
      <c r="BA301" s="104" t="str">
        <f aca="false">IF(ISBLANK($C301),"",$C301)</f>
        <v/>
      </c>
      <c r="BB301" s="104" t="str">
        <f aca="false">IF(ISBLANK($C301),"",$D301)</f>
        <v/>
      </c>
      <c r="BC301" s="105" t="str">
        <f aca="false">AQ301</f>
        <v/>
      </c>
      <c r="BD301" s="106" t="str">
        <f aca="false">AP301</f>
        <v/>
      </c>
      <c r="BE301" s="104" t="str">
        <f aca="false">IF(ISBLANK($C301),"",AS301)</f>
        <v/>
      </c>
      <c r="BF301" s="107" t="str">
        <f aca="false">IF($AW301&gt;$AV$7,"",VLOOKUP($AW301,$AY$8:$BE$507,7,FALSE()))</f>
        <v/>
      </c>
      <c r="BG301" s="108" t="str">
        <f aca="false">IF($AW301&gt;$AV$7,"",VLOOKUP($AW301,$AY$8:$BE$507,2,FALSE()))</f>
        <v/>
      </c>
      <c r="BH301" s="108" t="str">
        <f aca="false">IF($AW301&gt;$AV$7,"",VLOOKUP($AW301,$AY$8:$BE$507,3,FALSE()))</f>
        <v/>
      </c>
      <c r="BI301" s="108" t="str">
        <f aca="false">IF($AW301&gt;$AV$7,"",VLOOKUP($AW301,$AY$8:$BE$507,4,FALSE()))</f>
        <v/>
      </c>
      <c r="BJ301" s="108" t="str">
        <f aca="false">IF($AW301&gt;$AV$7,"",VLOOKUP($AW301,$AY$8:$BE$507,5,FALSE()))</f>
        <v/>
      </c>
      <c r="BK301" s="109" t="str">
        <f aca="false">IF($AW301&gt;$AV$7,"",VLOOKUP($AW301,$AY$8:$BE$507,6,FALSE()))</f>
        <v/>
      </c>
      <c r="BL301" s="50"/>
    </row>
    <row r="302" customFormat="false" ht="15.75" hidden="false" customHeight="false" outlineLevel="0" collapsed="false">
      <c r="A302" s="5"/>
      <c r="B302" s="131"/>
      <c r="C302" s="52"/>
      <c r="D302" s="53"/>
      <c r="E302" s="80"/>
      <c r="F302" s="132"/>
      <c r="G302" s="56"/>
      <c r="H302" s="133"/>
      <c r="I302" s="134"/>
      <c r="J302" s="59"/>
      <c r="K302" s="60"/>
      <c r="L302" s="134"/>
      <c r="M302" s="61"/>
      <c r="N302" s="62"/>
      <c r="O302" s="80"/>
      <c r="P302" s="64"/>
      <c r="Q302" s="65" t="str">
        <f aca="false">IF(ISBLANK($C302),"",IF(E302=Constants!$B$2, TRUE(), IF(E302=Constants!$B$3, FALSE(), TRUE())))</f>
        <v/>
      </c>
      <c r="R302" s="65" t="str">
        <f aca="false">IF(ISBLANK($C302),"",IF(F302=Constants!$B$2, TRUE(), IF(F302=Constants!$B$3, FALSE(), TRUE())))</f>
        <v/>
      </c>
      <c r="S302" s="65" t="str">
        <f aca="false">IF(ISBLANK($C302),"",IF(G302=Constants!$B$15,Constants!$B$8,IF(G302=Constants!$B$16,Constants!$B$9,Constants!$B$10)))</f>
        <v/>
      </c>
      <c r="T302" s="65" t="str">
        <f aca="false">IF(ISBLANK($C302),"",IF(H302=Constants!$B$2, TRUE(), IF(H302=Constants!$B$3, FALSE(), TRUE())))</f>
        <v/>
      </c>
      <c r="U302" s="65" t="str">
        <f aca="false">IF(ISBLANK($C302),"",IF(I302=Constants!$B$19,Constants!$B$19,Constants!$B$18))</f>
        <v/>
      </c>
      <c r="V302" s="65" t="str">
        <f aca="false">IF(ISBLANK($C302),"",IF(COUNTA(J302:K302)=0,"",IF(AND(OR(ISBLANK(J302),AND(ISNUMBER(J302),J302&gt;=0)),OR(ISBLANK(K302),AND(ISNUMBER(K302),K302&gt;=0))),60*IF(ISBLANK(J302),0,J302)+IF(ISBLANK(K302),0,K302),"")))</f>
        <v/>
      </c>
      <c r="W302" s="65" t="str">
        <f aca="false">IF(ISBLANK($C302),"",IF(L302=Constants!$B$19,Constants!$B$19,Constants!$B$18))</f>
        <v/>
      </c>
      <c r="X302" s="65" t="str">
        <f aca="false">IF(ISBLANK($C302),"",IF(COUNTA(M302:N302)=0,"",IF(AND(OR(ISBLANK(M302),AND(ISNUMBER(M302),M302&gt;=0)),OR(ISBLANK(N302),AND(ISNUMBER(N302),N302&gt;=0))),60*IF(ISBLANK(M302),0,M302)+IF(ISBLANK(N302),0,N302),"")))</f>
        <v/>
      </c>
      <c r="Y302" s="65" t="str">
        <f aca="false">IF(ISBLANK($C302),"",IF(O302=Constants!$B$2, TRUE(), IF(O302=Constants!$B$3, FALSE(), FALSE())))</f>
        <v/>
      </c>
      <c r="Z302" s="65" t="str">
        <f aca="false">IF(ISBLANK($C302),"",IF(Y302,Constants!$B$4,IF(COUNTA(E302:N302)=0,Constants!$B$5,IF(COUNTA(J302:K302,M302:N302)=0,Constants!$B$6,Constants!$B$7))))</f>
        <v/>
      </c>
      <c r="AA302" s="65" t="str">
        <f aca="false">IF(ISBLANK($C302),"",IF($Z302&lt;&gt;Constants!$B$7,$Z302,IF(OR(NOT(T302),AND(NOT(Q302),COUNTIFS(U302:W302,Constants!$B$18,V302:X302,"&gt;=0")&gt;0),AND(NOT(R302),COUNTIFS(U302:W302,Constants!$B$19,V302:X302,"&gt;=0")&gt;0)),Constants!$B$12,Constants!$B$11)))</f>
        <v/>
      </c>
      <c r="AB302" s="65" t="str">
        <f aca="false">IF($Z302=Constants!$B$7,IF(V302="",Constants!$B$13,V302),"")</f>
        <v/>
      </c>
      <c r="AC302" s="65" t="str">
        <f aca="false">IF($Z302=Constants!$B$7,IF(X302="",Constants!$B$13,X302),"")</f>
        <v/>
      </c>
      <c r="AD302" s="65" t="str">
        <f aca="false">IF($Z302=Constants!$B$7,IF($AB302&gt;=$AC302,1,2),"")</f>
        <v/>
      </c>
      <c r="AE302" s="65" t="str">
        <f aca="false">IF($Z302=Constants!$B$7,LARGE(AB302:AC302,1),"")</f>
        <v/>
      </c>
      <c r="AF302" s="65" t="str">
        <f aca="false">IF(ISBLANK($C302),"",IF($Z302&lt;&gt;Constants!$B$7,$Z302,AE302*S302))</f>
        <v/>
      </c>
      <c r="AG302" s="65" t="str">
        <f aca="false">IF(ISBLANK($C302),"",IF($Z302=Constants!$B$7,IF(ISNUMBER(AF302),RANK(AF302,$AF$8:$AF$507),Constants!$B$14),$Z302))</f>
        <v/>
      </c>
      <c r="AH302" s="65" t="str">
        <f aca="false">IF(ISBLANK($C302),"",IF($Z302=Constants!$B$7,IF(ISNUMBER(AG302),COUNTIFS($AA$8:$AA$507,"&lt;"&amp;$AA302)+COUNTIFS($AA$8:$AA$507,$AA302,$AG$8:$AG$507,"&lt;"&amp;$AG302)+1,Constants!$B$14),$Z302))</f>
        <v/>
      </c>
      <c r="AI302" s="65" t="str">
        <f aca="false">IF(ISBLANK($C302),"",IF($Z302=Constants!$B$7,LARGE(AB302:AC302,2)*S302,""))</f>
        <v/>
      </c>
      <c r="AJ302" s="65" t="str">
        <f aca="false">IF(ISBLANK($C302),"",IF($Z302=Constants!$B$7,RANK(AI302,$AI$8:$AI$507),$Z302))</f>
        <v/>
      </c>
      <c r="AK302" s="65" t="str">
        <f aca="false">IF(ISBLANK($C302),"",IF($Z302=Constants!$B$7,IF(ISNUMBER(AG302),COUNTIFS($AA$8:$AA$507,"&lt;"&amp;$AA302)+COUNTIFS($AA$8:$AA$507,$AA302,$AG$8:$AG$507,"&lt;"&amp;$AG302)+COUNTIFS($AA$8:$AA$507,$AA302,$AG$8:$AG$507,$AG302,$AJ$8:$AJ$507,"&lt;"&amp;$AJ302)+1,Constants!$B$14),$Z302))</f>
        <v/>
      </c>
      <c r="AL302" s="65" t="str">
        <f aca="false">IF(ISBLANK($C302),"",IF($Z302=Constants!$B$7,IF(ISNUMBER(AH302),AH302-AK302,Constants!$B$14),$Z302))</f>
        <v/>
      </c>
      <c r="AM302" s="67"/>
      <c r="AN302" s="68" t="str">
        <f aca="false">IF(ISBLANK($C302),"",IF($Z302&lt;&gt;Constants!$B$7,$Z302,AD302))</f>
        <v/>
      </c>
      <c r="AO302" s="69" t="str">
        <f aca="false">IF(ISBLANK($C302),"",IF($Z302&lt;&gt;Constants!$B$7,$Z302,S302))</f>
        <v/>
      </c>
      <c r="AP302" s="70" t="str">
        <f aca="false">IF(ISBLANK($C302),"",IF($Z302&lt;&gt;Constants!$B$7,$Z302,AF302))</f>
        <v/>
      </c>
      <c r="AQ302" s="71" t="str">
        <f aca="false">IF(ISBLANK($C302),"",IF($Z302&lt;&gt;Constants!$B$7,$Z302,AA302))</f>
        <v/>
      </c>
      <c r="AR302" s="69" t="str">
        <f aca="false">IF(ISBLANK($C302),"",AL302)</f>
        <v/>
      </c>
      <c r="AS302" s="69" t="str">
        <f aca="false">IF(ISBLANK($C302),"",AK302)</f>
        <v/>
      </c>
      <c r="AT302" s="72" t="str">
        <f aca="false">IF(ISBLANK($C302),"",IF(AS302=Constants!$B$4,COUNTA($C$8:$C$507)+2,IF(AS302=Constants!$B$5,COUNTA($C$8:$C$507)+1,IF(AS302=Constants!$B$6,COUNTA($C$8:$C$507),AS302))))</f>
        <v/>
      </c>
      <c r="AU302" s="5"/>
      <c r="AV302" s="73" t="n">
        <f aca="false">IF(OR(ISNUMBER(AS302),AS302=Constants!$B$4,AS302=Constants!$B$6,AS302=Constants!$B$5),1,0)</f>
        <v>0</v>
      </c>
      <c r="AW302" s="73" t="n">
        <v>295</v>
      </c>
      <c r="AX302" s="73" t="str">
        <f aca="false">IF(ISBLANK($C302),"",IF(ISNUMBER(AT302),AT302+ROW($B302)/1000,""))</f>
        <v/>
      </c>
      <c r="AY302" s="73" t="str">
        <f aca="false">IF(ISNUMBER(AX302),RANK(AX302,$AX$8:$AX$507,1),"")</f>
        <v/>
      </c>
      <c r="AZ302" s="73" t="str">
        <f aca="false">IF(ISBLANK($C302),"",$B302)</f>
        <v/>
      </c>
      <c r="BA302" s="73" t="str">
        <f aca="false">IF(ISBLANK($C302),"",$C302)</f>
        <v/>
      </c>
      <c r="BB302" s="73" t="str">
        <f aca="false">IF(ISBLANK($C302),"",$D302)</f>
        <v/>
      </c>
      <c r="BC302" s="74" t="str">
        <f aca="false">AQ302</f>
        <v/>
      </c>
      <c r="BD302" s="75" t="str">
        <f aca="false">AP302</f>
        <v/>
      </c>
      <c r="BE302" s="73" t="str">
        <f aca="false">IF(ISBLANK($C302),"",AS302)</f>
        <v/>
      </c>
      <c r="BF302" s="76" t="str">
        <f aca="false">IF($AW302&gt;$AV$7,"",VLOOKUP($AW302,$AY$8:$BE$507,7,FALSE()))</f>
        <v/>
      </c>
      <c r="BG302" s="77" t="str">
        <f aca="false">IF($AW302&gt;$AV$7,"",VLOOKUP($AW302,$AY$8:$BE$507,2,FALSE()))</f>
        <v/>
      </c>
      <c r="BH302" s="77" t="str">
        <f aca="false">IF($AW302&gt;$AV$7,"",VLOOKUP($AW302,$AY$8:$BE$507,3,FALSE()))</f>
        <v/>
      </c>
      <c r="BI302" s="77" t="str">
        <f aca="false">IF($AW302&gt;$AV$7,"",VLOOKUP($AW302,$AY$8:$BE$507,4,FALSE()))</f>
        <v/>
      </c>
      <c r="BJ302" s="77" t="str">
        <f aca="false">IF($AW302&gt;$AV$7,"",VLOOKUP($AW302,$AY$8:$BE$507,5,FALSE()))</f>
        <v/>
      </c>
      <c r="BK302" s="78" t="str">
        <f aca="false">IF($AW302&gt;$AV$7,"",VLOOKUP($AW302,$AY$8:$BE$507,6,FALSE()))</f>
        <v/>
      </c>
      <c r="BL302" s="50"/>
    </row>
    <row r="303" customFormat="false" ht="15.75" hidden="false" customHeight="false" outlineLevel="0" collapsed="false">
      <c r="A303" s="5"/>
      <c r="B303" s="131"/>
      <c r="C303" s="52"/>
      <c r="D303" s="53"/>
      <c r="E303" s="80"/>
      <c r="F303" s="132"/>
      <c r="G303" s="56"/>
      <c r="H303" s="133"/>
      <c r="I303" s="134"/>
      <c r="J303" s="59"/>
      <c r="K303" s="60"/>
      <c r="L303" s="134"/>
      <c r="M303" s="61"/>
      <c r="N303" s="62"/>
      <c r="O303" s="80"/>
      <c r="P303" s="64"/>
      <c r="Q303" s="65" t="str">
        <f aca="false">IF(ISBLANK($C303),"",IF(E303=Constants!$B$2, TRUE(), IF(E303=Constants!$B$3, FALSE(), TRUE())))</f>
        <v/>
      </c>
      <c r="R303" s="65" t="str">
        <f aca="false">IF(ISBLANK($C303),"",IF(F303=Constants!$B$2, TRUE(), IF(F303=Constants!$B$3, FALSE(), TRUE())))</f>
        <v/>
      </c>
      <c r="S303" s="65" t="str">
        <f aca="false">IF(ISBLANK($C303),"",IF(G303=Constants!$B$15,Constants!$B$8,IF(G303=Constants!$B$16,Constants!$B$9,Constants!$B$10)))</f>
        <v/>
      </c>
      <c r="T303" s="65" t="str">
        <f aca="false">IF(ISBLANK($C303),"",IF(H303=Constants!$B$2, TRUE(), IF(H303=Constants!$B$3, FALSE(), TRUE())))</f>
        <v/>
      </c>
      <c r="U303" s="65" t="str">
        <f aca="false">IF(ISBLANK($C303),"",IF(I303=Constants!$B$19,Constants!$B$19,Constants!$B$18))</f>
        <v/>
      </c>
      <c r="V303" s="65" t="str">
        <f aca="false">IF(ISBLANK($C303),"",IF(COUNTA(J303:K303)=0,"",IF(AND(OR(ISBLANK(J303),AND(ISNUMBER(J303),J303&gt;=0)),OR(ISBLANK(K303),AND(ISNUMBER(K303),K303&gt;=0))),60*IF(ISBLANK(J303),0,J303)+IF(ISBLANK(K303),0,K303),"")))</f>
        <v/>
      </c>
      <c r="W303" s="65" t="str">
        <f aca="false">IF(ISBLANK($C303),"",IF(L303=Constants!$B$19,Constants!$B$19,Constants!$B$18))</f>
        <v/>
      </c>
      <c r="X303" s="65" t="str">
        <f aca="false">IF(ISBLANK($C303),"",IF(COUNTA(M303:N303)=0,"",IF(AND(OR(ISBLANK(M303),AND(ISNUMBER(M303),M303&gt;=0)),OR(ISBLANK(N303),AND(ISNUMBER(N303),N303&gt;=0))),60*IF(ISBLANK(M303),0,M303)+IF(ISBLANK(N303),0,N303),"")))</f>
        <v/>
      </c>
      <c r="Y303" s="65" t="str">
        <f aca="false">IF(ISBLANK($C303),"",IF(O303=Constants!$B$2, TRUE(), IF(O303=Constants!$B$3, FALSE(), FALSE())))</f>
        <v/>
      </c>
      <c r="Z303" s="65" t="str">
        <f aca="false">IF(ISBLANK($C303),"",IF(Y303,Constants!$B$4,IF(COUNTA(E303:N303)=0,Constants!$B$5,IF(COUNTA(J303:K303,M303:N303)=0,Constants!$B$6,Constants!$B$7))))</f>
        <v/>
      </c>
      <c r="AA303" s="65" t="str">
        <f aca="false">IF(ISBLANK($C303),"",IF($Z303&lt;&gt;Constants!$B$7,$Z303,IF(OR(NOT(T303),AND(NOT(Q303),COUNTIFS(U303:W303,Constants!$B$18,V303:X303,"&gt;=0")&gt;0),AND(NOT(R303),COUNTIFS(U303:W303,Constants!$B$19,V303:X303,"&gt;=0")&gt;0)),Constants!$B$12,Constants!$B$11)))</f>
        <v/>
      </c>
      <c r="AB303" s="65" t="str">
        <f aca="false">IF($Z303=Constants!$B$7,IF(V303="",Constants!$B$13,V303),"")</f>
        <v/>
      </c>
      <c r="AC303" s="65" t="str">
        <f aca="false">IF($Z303=Constants!$B$7,IF(X303="",Constants!$B$13,X303),"")</f>
        <v/>
      </c>
      <c r="AD303" s="65" t="str">
        <f aca="false">IF($Z303=Constants!$B$7,IF($AB303&gt;=$AC303,1,2),"")</f>
        <v/>
      </c>
      <c r="AE303" s="65" t="str">
        <f aca="false">IF($Z303=Constants!$B$7,LARGE(AB303:AC303,1),"")</f>
        <v/>
      </c>
      <c r="AF303" s="65" t="str">
        <f aca="false">IF(ISBLANK($C303),"",IF($Z303&lt;&gt;Constants!$B$7,$Z303,AE303*S303))</f>
        <v/>
      </c>
      <c r="AG303" s="65" t="str">
        <f aca="false">IF(ISBLANK($C303),"",IF($Z303=Constants!$B$7,IF(ISNUMBER(AF303),RANK(AF303,$AF$8:$AF$507),Constants!$B$14),$Z303))</f>
        <v/>
      </c>
      <c r="AH303" s="65" t="str">
        <f aca="false">IF(ISBLANK($C303),"",IF($Z303=Constants!$B$7,IF(ISNUMBER(AG303),COUNTIFS($AA$8:$AA$507,"&lt;"&amp;$AA303)+COUNTIFS($AA$8:$AA$507,$AA303,$AG$8:$AG$507,"&lt;"&amp;$AG303)+1,Constants!$B$14),$Z303))</f>
        <v/>
      </c>
      <c r="AI303" s="65" t="str">
        <f aca="false">IF(ISBLANK($C303),"",IF($Z303=Constants!$B$7,LARGE(AB303:AC303,2)*S303,""))</f>
        <v/>
      </c>
      <c r="AJ303" s="65" t="str">
        <f aca="false">IF(ISBLANK($C303),"",IF($Z303=Constants!$B$7,RANK(AI303,$AI$8:$AI$507),$Z303))</f>
        <v/>
      </c>
      <c r="AK303" s="65" t="str">
        <f aca="false">IF(ISBLANK($C303),"",IF($Z303=Constants!$B$7,IF(ISNUMBER(AG303),COUNTIFS($AA$8:$AA$507,"&lt;"&amp;$AA303)+COUNTIFS($AA$8:$AA$507,$AA303,$AG$8:$AG$507,"&lt;"&amp;$AG303)+COUNTIFS($AA$8:$AA$507,$AA303,$AG$8:$AG$507,$AG303,$AJ$8:$AJ$507,"&lt;"&amp;$AJ303)+1,Constants!$B$14),$Z303))</f>
        <v/>
      </c>
      <c r="AL303" s="65" t="str">
        <f aca="false">IF(ISBLANK($C303),"",IF($Z303=Constants!$B$7,IF(ISNUMBER(AH303),AH303-AK303,Constants!$B$14),$Z303))</f>
        <v/>
      </c>
      <c r="AM303" s="67"/>
      <c r="AN303" s="68" t="str">
        <f aca="false">IF(ISBLANK($C303),"",IF($Z303&lt;&gt;Constants!$B$7,$Z303,AD303))</f>
        <v/>
      </c>
      <c r="AO303" s="69" t="str">
        <f aca="false">IF(ISBLANK($C303),"",IF($Z303&lt;&gt;Constants!$B$7,$Z303,S303))</f>
        <v/>
      </c>
      <c r="AP303" s="70" t="str">
        <f aca="false">IF(ISBLANK($C303),"",IF($Z303&lt;&gt;Constants!$B$7,$Z303,AF303))</f>
        <v/>
      </c>
      <c r="AQ303" s="71" t="str">
        <f aca="false">IF(ISBLANK($C303),"",IF($Z303&lt;&gt;Constants!$B$7,$Z303,AA303))</f>
        <v/>
      </c>
      <c r="AR303" s="69" t="str">
        <f aca="false">IF(ISBLANK($C303),"",AL303)</f>
        <v/>
      </c>
      <c r="AS303" s="69" t="str">
        <f aca="false">IF(ISBLANK($C303),"",AK303)</f>
        <v/>
      </c>
      <c r="AT303" s="72" t="str">
        <f aca="false">IF(ISBLANK($C303),"",IF(AS303=Constants!$B$4,COUNTA($C$8:$C$507)+2,IF(AS303=Constants!$B$5,COUNTA($C$8:$C$507)+1,IF(AS303=Constants!$B$6,COUNTA($C$8:$C$507),AS303))))</f>
        <v/>
      </c>
      <c r="AU303" s="5"/>
      <c r="AV303" s="73" t="n">
        <f aca="false">IF(OR(ISNUMBER(AS303),AS303=Constants!$B$4,AS303=Constants!$B$6,AS303=Constants!$B$5),1,0)</f>
        <v>0</v>
      </c>
      <c r="AW303" s="73" t="n">
        <v>296</v>
      </c>
      <c r="AX303" s="73" t="str">
        <f aca="false">IF(ISBLANK($C303),"",IF(ISNUMBER(AT303),AT303+ROW($B303)/1000,""))</f>
        <v/>
      </c>
      <c r="AY303" s="73" t="str">
        <f aca="false">IF(ISNUMBER(AX303),RANK(AX303,$AX$8:$AX$507,1),"")</f>
        <v/>
      </c>
      <c r="AZ303" s="73" t="str">
        <f aca="false">IF(ISBLANK($C303),"",$B303)</f>
        <v/>
      </c>
      <c r="BA303" s="73" t="str">
        <f aca="false">IF(ISBLANK($C303),"",$C303)</f>
        <v/>
      </c>
      <c r="BB303" s="73" t="str">
        <f aca="false">IF(ISBLANK($C303),"",$D303)</f>
        <v/>
      </c>
      <c r="BC303" s="74" t="str">
        <f aca="false">AQ303</f>
        <v/>
      </c>
      <c r="BD303" s="75" t="str">
        <f aca="false">AP303</f>
        <v/>
      </c>
      <c r="BE303" s="73" t="str">
        <f aca="false">IF(ISBLANK($C303),"",AS303)</f>
        <v/>
      </c>
      <c r="BF303" s="76" t="str">
        <f aca="false">IF($AW303&gt;$AV$7,"",VLOOKUP($AW303,$AY$8:$BE$507,7,FALSE()))</f>
        <v/>
      </c>
      <c r="BG303" s="77" t="str">
        <f aca="false">IF($AW303&gt;$AV$7,"",VLOOKUP($AW303,$AY$8:$BE$507,2,FALSE()))</f>
        <v/>
      </c>
      <c r="BH303" s="77" t="str">
        <f aca="false">IF($AW303&gt;$AV$7,"",VLOOKUP($AW303,$AY$8:$BE$507,3,FALSE()))</f>
        <v/>
      </c>
      <c r="BI303" s="77" t="str">
        <f aca="false">IF($AW303&gt;$AV$7,"",VLOOKUP($AW303,$AY$8:$BE$507,4,FALSE()))</f>
        <v/>
      </c>
      <c r="BJ303" s="77" t="str">
        <f aca="false">IF($AW303&gt;$AV$7,"",VLOOKUP($AW303,$AY$8:$BE$507,5,FALSE()))</f>
        <v/>
      </c>
      <c r="BK303" s="78" t="str">
        <f aca="false">IF($AW303&gt;$AV$7,"",VLOOKUP($AW303,$AY$8:$BE$507,6,FALSE()))</f>
        <v/>
      </c>
      <c r="BL303" s="50"/>
    </row>
    <row r="304" customFormat="false" ht="15.75" hidden="false" customHeight="false" outlineLevel="0" collapsed="false">
      <c r="A304" s="5"/>
      <c r="B304" s="131"/>
      <c r="C304" s="52"/>
      <c r="D304" s="53"/>
      <c r="E304" s="80"/>
      <c r="F304" s="132"/>
      <c r="G304" s="56"/>
      <c r="H304" s="133"/>
      <c r="I304" s="134"/>
      <c r="J304" s="59"/>
      <c r="K304" s="60"/>
      <c r="L304" s="134"/>
      <c r="M304" s="61"/>
      <c r="N304" s="62"/>
      <c r="O304" s="80"/>
      <c r="P304" s="64"/>
      <c r="Q304" s="65" t="str">
        <f aca="false">IF(ISBLANK($C304),"",IF(E304=Constants!$B$2, TRUE(), IF(E304=Constants!$B$3, FALSE(), TRUE())))</f>
        <v/>
      </c>
      <c r="R304" s="65" t="str">
        <f aca="false">IF(ISBLANK($C304),"",IF(F304=Constants!$B$2, TRUE(), IF(F304=Constants!$B$3, FALSE(), TRUE())))</f>
        <v/>
      </c>
      <c r="S304" s="65" t="str">
        <f aca="false">IF(ISBLANK($C304),"",IF(G304=Constants!$B$15,Constants!$B$8,IF(G304=Constants!$B$16,Constants!$B$9,Constants!$B$10)))</f>
        <v/>
      </c>
      <c r="T304" s="65" t="str">
        <f aca="false">IF(ISBLANK($C304),"",IF(H304=Constants!$B$2, TRUE(), IF(H304=Constants!$B$3, FALSE(), TRUE())))</f>
        <v/>
      </c>
      <c r="U304" s="65" t="str">
        <f aca="false">IF(ISBLANK($C304),"",IF(I304=Constants!$B$19,Constants!$B$19,Constants!$B$18))</f>
        <v/>
      </c>
      <c r="V304" s="65" t="str">
        <f aca="false">IF(ISBLANK($C304),"",IF(COUNTA(J304:K304)=0,"",IF(AND(OR(ISBLANK(J304),AND(ISNUMBER(J304),J304&gt;=0)),OR(ISBLANK(K304),AND(ISNUMBER(K304),K304&gt;=0))),60*IF(ISBLANK(J304),0,J304)+IF(ISBLANK(K304),0,K304),"")))</f>
        <v/>
      </c>
      <c r="W304" s="65" t="str">
        <f aca="false">IF(ISBLANK($C304),"",IF(L304=Constants!$B$19,Constants!$B$19,Constants!$B$18))</f>
        <v/>
      </c>
      <c r="X304" s="65" t="str">
        <f aca="false">IF(ISBLANK($C304),"",IF(COUNTA(M304:N304)=0,"",IF(AND(OR(ISBLANK(M304),AND(ISNUMBER(M304),M304&gt;=0)),OR(ISBLANK(N304),AND(ISNUMBER(N304),N304&gt;=0))),60*IF(ISBLANK(M304),0,M304)+IF(ISBLANK(N304),0,N304),"")))</f>
        <v/>
      </c>
      <c r="Y304" s="65" t="str">
        <f aca="false">IF(ISBLANK($C304),"",IF(O304=Constants!$B$2, TRUE(), IF(O304=Constants!$B$3, FALSE(), FALSE())))</f>
        <v/>
      </c>
      <c r="Z304" s="65" t="str">
        <f aca="false">IF(ISBLANK($C304),"",IF(Y304,Constants!$B$4,IF(COUNTA(E304:N304)=0,Constants!$B$5,IF(COUNTA(J304:K304,M304:N304)=0,Constants!$B$6,Constants!$B$7))))</f>
        <v/>
      </c>
      <c r="AA304" s="65" t="str">
        <f aca="false">IF(ISBLANK($C304),"",IF($Z304&lt;&gt;Constants!$B$7,$Z304,IF(OR(NOT(T304),AND(NOT(Q304),COUNTIFS(U304:W304,Constants!$B$18,V304:X304,"&gt;=0")&gt;0),AND(NOT(R304),COUNTIFS(U304:W304,Constants!$B$19,V304:X304,"&gt;=0")&gt;0)),Constants!$B$12,Constants!$B$11)))</f>
        <v/>
      </c>
      <c r="AB304" s="65" t="str">
        <f aca="false">IF($Z304=Constants!$B$7,IF(V304="",Constants!$B$13,V304),"")</f>
        <v/>
      </c>
      <c r="AC304" s="65" t="str">
        <f aca="false">IF($Z304=Constants!$B$7,IF(X304="",Constants!$B$13,X304),"")</f>
        <v/>
      </c>
      <c r="AD304" s="65" t="str">
        <f aca="false">IF($Z304=Constants!$B$7,IF($AB304&gt;=$AC304,1,2),"")</f>
        <v/>
      </c>
      <c r="AE304" s="65" t="str">
        <f aca="false">IF($Z304=Constants!$B$7,LARGE(AB304:AC304,1),"")</f>
        <v/>
      </c>
      <c r="AF304" s="65" t="str">
        <f aca="false">IF(ISBLANK($C304),"",IF($Z304&lt;&gt;Constants!$B$7,$Z304,AE304*S304))</f>
        <v/>
      </c>
      <c r="AG304" s="65" t="str">
        <f aca="false">IF(ISBLANK($C304),"",IF($Z304=Constants!$B$7,IF(ISNUMBER(AF304),RANK(AF304,$AF$8:$AF$507),Constants!$B$14),$Z304))</f>
        <v/>
      </c>
      <c r="AH304" s="65" t="str">
        <f aca="false">IF(ISBLANK($C304),"",IF($Z304=Constants!$B$7,IF(ISNUMBER(AG304),COUNTIFS($AA$8:$AA$507,"&lt;"&amp;$AA304)+COUNTIFS($AA$8:$AA$507,$AA304,$AG$8:$AG$507,"&lt;"&amp;$AG304)+1,Constants!$B$14),$Z304))</f>
        <v/>
      </c>
      <c r="AI304" s="65" t="str">
        <f aca="false">IF(ISBLANK($C304),"",IF($Z304=Constants!$B$7,LARGE(AB304:AC304,2)*S304,""))</f>
        <v/>
      </c>
      <c r="AJ304" s="65" t="str">
        <f aca="false">IF(ISBLANK($C304),"",IF($Z304=Constants!$B$7,RANK(AI304,$AI$8:$AI$507),$Z304))</f>
        <v/>
      </c>
      <c r="AK304" s="65" t="str">
        <f aca="false">IF(ISBLANK($C304),"",IF($Z304=Constants!$B$7,IF(ISNUMBER(AG304),COUNTIFS($AA$8:$AA$507,"&lt;"&amp;$AA304)+COUNTIFS($AA$8:$AA$507,$AA304,$AG$8:$AG$507,"&lt;"&amp;$AG304)+COUNTIFS($AA$8:$AA$507,$AA304,$AG$8:$AG$507,$AG304,$AJ$8:$AJ$507,"&lt;"&amp;$AJ304)+1,Constants!$B$14),$Z304))</f>
        <v/>
      </c>
      <c r="AL304" s="65" t="str">
        <f aca="false">IF(ISBLANK($C304),"",IF($Z304=Constants!$B$7,IF(ISNUMBER(AH304),AH304-AK304,Constants!$B$14),$Z304))</f>
        <v/>
      </c>
      <c r="AM304" s="67"/>
      <c r="AN304" s="68" t="str">
        <f aca="false">IF(ISBLANK($C304),"",IF($Z304&lt;&gt;Constants!$B$7,$Z304,AD304))</f>
        <v/>
      </c>
      <c r="AO304" s="69" t="str">
        <f aca="false">IF(ISBLANK($C304),"",IF($Z304&lt;&gt;Constants!$B$7,$Z304,S304))</f>
        <v/>
      </c>
      <c r="AP304" s="70" t="str">
        <f aca="false">IF(ISBLANK($C304),"",IF($Z304&lt;&gt;Constants!$B$7,$Z304,AF304))</f>
        <v/>
      </c>
      <c r="AQ304" s="71" t="str">
        <f aca="false">IF(ISBLANK($C304),"",IF($Z304&lt;&gt;Constants!$B$7,$Z304,AA304))</f>
        <v/>
      </c>
      <c r="AR304" s="69" t="str">
        <f aca="false">IF(ISBLANK($C304),"",AL304)</f>
        <v/>
      </c>
      <c r="AS304" s="69" t="str">
        <f aca="false">IF(ISBLANK($C304),"",AK304)</f>
        <v/>
      </c>
      <c r="AT304" s="72" t="str">
        <f aca="false">IF(ISBLANK($C304),"",IF(AS304=Constants!$B$4,COUNTA($C$8:$C$507)+2,IF(AS304=Constants!$B$5,COUNTA($C$8:$C$507)+1,IF(AS304=Constants!$B$6,COUNTA($C$8:$C$507),AS304))))</f>
        <v/>
      </c>
      <c r="AU304" s="5"/>
      <c r="AV304" s="73" t="n">
        <f aca="false">IF(OR(ISNUMBER(AS304),AS304=Constants!$B$4,AS304=Constants!$B$6,AS304=Constants!$B$5),1,0)</f>
        <v>0</v>
      </c>
      <c r="AW304" s="73" t="n">
        <v>297</v>
      </c>
      <c r="AX304" s="73" t="str">
        <f aca="false">IF(ISBLANK($C304),"",IF(ISNUMBER(AT304),AT304+ROW($B304)/1000,""))</f>
        <v/>
      </c>
      <c r="AY304" s="73" t="str">
        <f aca="false">IF(ISNUMBER(AX304),RANK(AX304,$AX$8:$AX$507,1),"")</f>
        <v/>
      </c>
      <c r="AZ304" s="73" t="str">
        <f aca="false">IF(ISBLANK($C304),"",$B304)</f>
        <v/>
      </c>
      <c r="BA304" s="73" t="str">
        <f aca="false">IF(ISBLANK($C304),"",$C304)</f>
        <v/>
      </c>
      <c r="BB304" s="73" t="str">
        <f aca="false">IF(ISBLANK($C304),"",$D304)</f>
        <v/>
      </c>
      <c r="BC304" s="74" t="str">
        <f aca="false">AQ304</f>
        <v/>
      </c>
      <c r="BD304" s="75" t="str">
        <f aca="false">AP304</f>
        <v/>
      </c>
      <c r="BE304" s="73" t="str">
        <f aca="false">IF(ISBLANK($C304),"",AS304)</f>
        <v/>
      </c>
      <c r="BF304" s="76" t="str">
        <f aca="false">IF($AW304&gt;$AV$7,"",VLOOKUP($AW304,$AY$8:$BE$507,7,FALSE()))</f>
        <v/>
      </c>
      <c r="BG304" s="77" t="str">
        <f aca="false">IF($AW304&gt;$AV$7,"",VLOOKUP($AW304,$AY$8:$BE$507,2,FALSE()))</f>
        <v/>
      </c>
      <c r="BH304" s="77" t="str">
        <f aca="false">IF($AW304&gt;$AV$7,"",VLOOKUP($AW304,$AY$8:$BE$507,3,FALSE()))</f>
        <v/>
      </c>
      <c r="BI304" s="77" t="str">
        <f aca="false">IF($AW304&gt;$AV$7,"",VLOOKUP($AW304,$AY$8:$BE$507,4,FALSE()))</f>
        <v/>
      </c>
      <c r="BJ304" s="77" t="str">
        <f aca="false">IF($AW304&gt;$AV$7,"",VLOOKUP($AW304,$AY$8:$BE$507,5,FALSE()))</f>
        <v/>
      </c>
      <c r="BK304" s="78" t="str">
        <f aca="false">IF($AW304&gt;$AV$7,"",VLOOKUP($AW304,$AY$8:$BE$507,6,FALSE()))</f>
        <v/>
      </c>
      <c r="BL304" s="50"/>
    </row>
    <row r="305" customFormat="false" ht="15.75" hidden="false" customHeight="false" outlineLevel="0" collapsed="false">
      <c r="A305" s="5"/>
      <c r="B305" s="124"/>
      <c r="C305" s="125"/>
      <c r="D305" s="110"/>
      <c r="E305" s="130"/>
      <c r="F305" s="135"/>
      <c r="G305" s="88"/>
      <c r="H305" s="136"/>
      <c r="I305" s="137"/>
      <c r="J305" s="91"/>
      <c r="K305" s="92"/>
      <c r="L305" s="137"/>
      <c r="M305" s="93"/>
      <c r="N305" s="94"/>
      <c r="O305" s="130"/>
      <c r="P305" s="96"/>
      <c r="Q305" s="97" t="str">
        <f aca="false">IF(ISBLANK($C305),"",IF(E305=Constants!$B$2, TRUE(), IF(E305=Constants!$B$3, FALSE(), TRUE())))</f>
        <v/>
      </c>
      <c r="R305" s="97" t="str">
        <f aca="false">IF(ISBLANK($C305),"",IF(F305=Constants!$B$2, TRUE(), IF(F305=Constants!$B$3, FALSE(), TRUE())))</f>
        <v/>
      </c>
      <c r="S305" s="97" t="str">
        <f aca="false">IF(ISBLANK($C305),"",IF(G305=Constants!$B$15,Constants!$B$8,IF(G305=Constants!$B$16,Constants!$B$9,Constants!$B$10)))</f>
        <v/>
      </c>
      <c r="T305" s="97" t="str">
        <f aca="false">IF(ISBLANK($C305),"",IF(H305=Constants!$B$2, TRUE(), IF(H305=Constants!$B$3, FALSE(), TRUE())))</f>
        <v/>
      </c>
      <c r="U305" s="97" t="str">
        <f aca="false">IF(ISBLANK($C305),"",IF(I305=Constants!$B$19,Constants!$B$19,Constants!$B$18))</f>
        <v/>
      </c>
      <c r="V305" s="97" t="str">
        <f aca="false">IF(ISBLANK($C305),"",IF(COUNTA(J305:K305)=0,"",IF(AND(OR(ISBLANK(J305),AND(ISNUMBER(J305),J305&gt;=0)),OR(ISBLANK(K305),AND(ISNUMBER(K305),K305&gt;=0))),60*IF(ISBLANK(J305),0,J305)+IF(ISBLANK(K305),0,K305),"")))</f>
        <v/>
      </c>
      <c r="W305" s="97" t="str">
        <f aca="false">IF(ISBLANK($C305),"",IF(L305=Constants!$B$19,Constants!$B$19,Constants!$B$18))</f>
        <v/>
      </c>
      <c r="X305" s="97" t="str">
        <f aca="false">IF(ISBLANK($C305),"",IF(COUNTA(M305:N305)=0,"",IF(AND(OR(ISBLANK(M305),AND(ISNUMBER(M305),M305&gt;=0)),OR(ISBLANK(N305),AND(ISNUMBER(N305),N305&gt;=0))),60*IF(ISBLANK(M305),0,M305)+IF(ISBLANK(N305),0,N305),"")))</f>
        <v/>
      </c>
      <c r="Y305" s="97" t="str">
        <f aca="false">IF(ISBLANK($C305),"",IF(O305=Constants!$B$2, TRUE(), IF(O305=Constants!$B$3, FALSE(), FALSE())))</f>
        <v/>
      </c>
      <c r="Z305" s="97" t="str">
        <f aca="false">IF(ISBLANK($C305),"",IF(Y305,Constants!$B$4,IF(COUNTA(E305:N305)=0,Constants!$B$5,IF(COUNTA(J305:K305,M305:N305)=0,Constants!$B$6,Constants!$B$7))))</f>
        <v/>
      </c>
      <c r="AA305" s="97" t="str">
        <f aca="false">IF(ISBLANK($C305),"",IF($Z305&lt;&gt;Constants!$B$7,$Z305,IF(OR(NOT(T305),AND(NOT(Q305),COUNTIFS(U305:W305,Constants!$B$18,V305:X305,"&gt;=0")&gt;0),AND(NOT(R305),COUNTIFS(U305:W305,Constants!$B$19,V305:X305,"&gt;=0")&gt;0)),Constants!$B$12,Constants!$B$11)))</f>
        <v/>
      </c>
      <c r="AB305" s="97" t="str">
        <f aca="false">IF($Z305=Constants!$B$7,IF(V305="",Constants!$B$13,V305),"")</f>
        <v/>
      </c>
      <c r="AC305" s="97" t="str">
        <f aca="false">IF($Z305=Constants!$B$7,IF(X305="",Constants!$B$13,X305),"")</f>
        <v/>
      </c>
      <c r="AD305" s="97" t="str">
        <f aca="false">IF($Z305=Constants!$B$7,IF($AB305&gt;=$AC305,1,2),"")</f>
        <v/>
      </c>
      <c r="AE305" s="97" t="str">
        <f aca="false">IF($Z305=Constants!$B$7,LARGE(AB305:AC305,1),"")</f>
        <v/>
      </c>
      <c r="AF305" s="97" t="str">
        <f aca="false">IF(ISBLANK($C305),"",IF($Z305&lt;&gt;Constants!$B$7,$Z305,AE305*S305))</f>
        <v/>
      </c>
      <c r="AG305" s="97" t="str">
        <f aca="false">IF(ISBLANK($C305),"",IF($Z305=Constants!$B$7,IF(ISNUMBER(AF305),RANK(AF305,$AF$8:$AF$507),Constants!$B$14),$Z305))</f>
        <v/>
      </c>
      <c r="AH305" s="97" t="str">
        <f aca="false">IF(ISBLANK($C305),"",IF($Z305=Constants!$B$7,IF(ISNUMBER(AG305),COUNTIFS($AA$8:$AA$507,"&lt;"&amp;$AA305)+COUNTIFS($AA$8:$AA$507,$AA305,$AG$8:$AG$507,"&lt;"&amp;$AG305)+1,Constants!$B$14),$Z305))</f>
        <v/>
      </c>
      <c r="AI305" s="97" t="str">
        <f aca="false">IF(ISBLANK($C305),"",IF($Z305=Constants!$B$7,LARGE(AB305:AC305,2)*S305,""))</f>
        <v/>
      </c>
      <c r="AJ305" s="97" t="str">
        <f aca="false">IF(ISBLANK($C305),"",IF($Z305=Constants!$B$7,RANK(AI305,$AI$8:$AI$507),$Z305))</f>
        <v/>
      </c>
      <c r="AK305" s="97" t="str">
        <f aca="false">IF(ISBLANK($C305),"",IF($Z305=Constants!$B$7,IF(ISNUMBER(AG305),COUNTIFS($AA$8:$AA$507,"&lt;"&amp;$AA305)+COUNTIFS($AA$8:$AA$507,$AA305,$AG$8:$AG$507,"&lt;"&amp;$AG305)+COUNTIFS($AA$8:$AA$507,$AA305,$AG$8:$AG$507,$AG305,$AJ$8:$AJ$507,"&lt;"&amp;$AJ305)+1,Constants!$B$14),$Z305))</f>
        <v/>
      </c>
      <c r="AL305" s="97" t="str">
        <f aca="false">IF(ISBLANK($C305),"",IF($Z305=Constants!$B$7,IF(ISNUMBER(AH305),AH305-AK305,Constants!$B$14),$Z305))</f>
        <v/>
      </c>
      <c r="AM305" s="98"/>
      <c r="AN305" s="99" t="str">
        <f aca="false">IF(ISBLANK($C305),"",IF($Z305&lt;&gt;Constants!$B$7,$Z305,AD305))</f>
        <v/>
      </c>
      <c r="AO305" s="100" t="str">
        <f aca="false">IF(ISBLANK($C305),"",IF($Z305&lt;&gt;Constants!$B$7,$Z305,S305))</f>
        <v/>
      </c>
      <c r="AP305" s="101" t="str">
        <f aca="false">IF(ISBLANK($C305),"",IF($Z305&lt;&gt;Constants!$B$7,$Z305,AF305))</f>
        <v/>
      </c>
      <c r="AQ305" s="102" t="str">
        <f aca="false">IF(ISBLANK($C305),"",IF($Z305&lt;&gt;Constants!$B$7,$Z305,AA305))</f>
        <v/>
      </c>
      <c r="AR305" s="100" t="str">
        <f aca="false">IF(ISBLANK($C305),"",AL305)</f>
        <v/>
      </c>
      <c r="AS305" s="100" t="str">
        <f aca="false">IF(ISBLANK($C305),"",AK305)</f>
        <v/>
      </c>
      <c r="AT305" s="103" t="str">
        <f aca="false">IF(ISBLANK($C305),"",IF(AS305=Constants!$B$4,COUNTA($C$8:$C$507)+2,IF(AS305=Constants!$B$5,COUNTA($C$8:$C$507)+1,IF(AS305=Constants!$B$6,COUNTA($C$8:$C$507),AS305))))</f>
        <v/>
      </c>
      <c r="AU305" s="5"/>
      <c r="AV305" s="104" t="n">
        <f aca="false">IF(OR(ISNUMBER(AS305),AS305=Constants!$B$4,AS305=Constants!$B$6,AS305=Constants!$B$5),1,0)</f>
        <v>0</v>
      </c>
      <c r="AW305" s="104" t="n">
        <v>298</v>
      </c>
      <c r="AX305" s="104" t="str">
        <f aca="false">IF(ISBLANK($C305),"",IF(ISNUMBER(AT305),AT305+ROW($B305)/1000,""))</f>
        <v/>
      </c>
      <c r="AY305" s="104" t="str">
        <f aca="false">IF(ISNUMBER(AX305),RANK(AX305,$AX$8:$AX$507,1),"")</f>
        <v/>
      </c>
      <c r="AZ305" s="104" t="str">
        <f aca="false">IF(ISBLANK($C305),"",$B305)</f>
        <v/>
      </c>
      <c r="BA305" s="104" t="str">
        <f aca="false">IF(ISBLANK($C305),"",$C305)</f>
        <v/>
      </c>
      <c r="BB305" s="104" t="str">
        <f aca="false">IF(ISBLANK($C305),"",$D305)</f>
        <v/>
      </c>
      <c r="BC305" s="105" t="str">
        <f aca="false">AQ305</f>
        <v/>
      </c>
      <c r="BD305" s="106" t="str">
        <f aca="false">AP305</f>
        <v/>
      </c>
      <c r="BE305" s="104" t="str">
        <f aca="false">IF(ISBLANK($C305),"",AS305)</f>
        <v/>
      </c>
      <c r="BF305" s="107" t="str">
        <f aca="false">IF($AW305&gt;$AV$7,"",VLOOKUP($AW305,$AY$8:$BE$507,7,FALSE()))</f>
        <v/>
      </c>
      <c r="BG305" s="108" t="str">
        <f aca="false">IF($AW305&gt;$AV$7,"",VLOOKUP($AW305,$AY$8:$BE$507,2,FALSE()))</f>
        <v/>
      </c>
      <c r="BH305" s="108" t="str">
        <f aca="false">IF($AW305&gt;$AV$7,"",VLOOKUP($AW305,$AY$8:$BE$507,3,FALSE()))</f>
        <v/>
      </c>
      <c r="BI305" s="108" t="str">
        <f aca="false">IF($AW305&gt;$AV$7,"",VLOOKUP($AW305,$AY$8:$BE$507,4,FALSE()))</f>
        <v/>
      </c>
      <c r="BJ305" s="108" t="str">
        <f aca="false">IF($AW305&gt;$AV$7,"",VLOOKUP($AW305,$AY$8:$BE$507,5,FALSE()))</f>
        <v/>
      </c>
      <c r="BK305" s="109" t="str">
        <f aca="false">IF($AW305&gt;$AV$7,"",VLOOKUP($AW305,$AY$8:$BE$507,6,FALSE()))</f>
        <v/>
      </c>
      <c r="BL305" s="50"/>
    </row>
    <row r="306" customFormat="false" ht="15.75" hidden="false" customHeight="false" outlineLevel="0" collapsed="false">
      <c r="A306" s="5"/>
      <c r="B306" s="124"/>
      <c r="C306" s="125"/>
      <c r="D306" s="110"/>
      <c r="E306" s="130"/>
      <c r="F306" s="135"/>
      <c r="G306" s="88"/>
      <c r="H306" s="136"/>
      <c r="I306" s="137"/>
      <c r="J306" s="91"/>
      <c r="K306" s="92"/>
      <c r="L306" s="137"/>
      <c r="M306" s="93"/>
      <c r="N306" s="94"/>
      <c r="O306" s="130"/>
      <c r="P306" s="96"/>
      <c r="Q306" s="97" t="str">
        <f aca="false">IF(ISBLANK($C306),"",IF(E306=Constants!$B$2, TRUE(), IF(E306=Constants!$B$3, FALSE(), TRUE())))</f>
        <v/>
      </c>
      <c r="R306" s="97" t="str">
        <f aca="false">IF(ISBLANK($C306),"",IF(F306=Constants!$B$2, TRUE(), IF(F306=Constants!$B$3, FALSE(), TRUE())))</f>
        <v/>
      </c>
      <c r="S306" s="97" t="str">
        <f aca="false">IF(ISBLANK($C306),"",IF(G306=Constants!$B$15,Constants!$B$8,IF(G306=Constants!$B$16,Constants!$B$9,Constants!$B$10)))</f>
        <v/>
      </c>
      <c r="T306" s="97" t="str">
        <f aca="false">IF(ISBLANK($C306),"",IF(H306=Constants!$B$2, TRUE(), IF(H306=Constants!$B$3, FALSE(), TRUE())))</f>
        <v/>
      </c>
      <c r="U306" s="97" t="str">
        <f aca="false">IF(ISBLANK($C306),"",IF(I306=Constants!$B$19,Constants!$B$19,Constants!$B$18))</f>
        <v/>
      </c>
      <c r="V306" s="97" t="str">
        <f aca="false">IF(ISBLANK($C306),"",IF(COUNTA(J306:K306)=0,"",IF(AND(OR(ISBLANK(J306),AND(ISNUMBER(J306),J306&gt;=0)),OR(ISBLANK(K306),AND(ISNUMBER(K306),K306&gt;=0))),60*IF(ISBLANK(J306),0,J306)+IF(ISBLANK(K306),0,K306),"")))</f>
        <v/>
      </c>
      <c r="W306" s="97" t="str">
        <f aca="false">IF(ISBLANK($C306),"",IF(L306=Constants!$B$19,Constants!$B$19,Constants!$B$18))</f>
        <v/>
      </c>
      <c r="X306" s="97" t="str">
        <f aca="false">IF(ISBLANK($C306),"",IF(COUNTA(M306:N306)=0,"",IF(AND(OR(ISBLANK(M306),AND(ISNUMBER(M306),M306&gt;=0)),OR(ISBLANK(N306),AND(ISNUMBER(N306),N306&gt;=0))),60*IF(ISBLANK(M306),0,M306)+IF(ISBLANK(N306),0,N306),"")))</f>
        <v/>
      </c>
      <c r="Y306" s="97" t="str">
        <f aca="false">IF(ISBLANK($C306),"",IF(O306=Constants!$B$2, TRUE(), IF(O306=Constants!$B$3, FALSE(), FALSE())))</f>
        <v/>
      </c>
      <c r="Z306" s="97" t="str">
        <f aca="false">IF(ISBLANK($C306),"",IF(Y306,Constants!$B$4,IF(COUNTA(E306:N306)=0,Constants!$B$5,IF(COUNTA(J306:K306,M306:N306)=0,Constants!$B$6,Constants!$B$7))))</f>
        <v/>
      </c>
      <c r="AA306" s="97" t="str">
        <f aca="false">IF(ISBLANK($C306),"",IF($Z306&lt;&gt;Constants!$B$7,$Z306,IF(OR(NOT(T306),AND(NOT(Q306),COUNTIFS(U306:W306,Constants!$B$18,V306:X306,"&gt;=0")&gt;0),AND(NOT(R306),COUNTIFS(U306:W306,Constants!$B$19,V306:X306,"&gt;=0")&gt;0)),Constants!$B$12,Constants!$B$11)))</f>
        <v/>
      </c>
      <c r="AB306" s="97" t="str">
        <f aca="false">IF($Z306=Constants!$B$7,IF(V306="",Constants!$B$13,V306),"")</f>
        <v/>
      </c>
      <c r="AC306" s="97" t="str">
        <f aca="false">IF($Z306=Constants!$B$7,IF(X306="",Constants!$B$13,X306),"")</f>
        <v/>
      </c>
      <c r="AD306" s="97" t="str">
        <f aca="false">IF($Z306=Constants!$B$7,IF($AB306&gt;=$AC306,1,2),"")</f>
        <v/>
      </c>
      <c r="AE306" s="97" t="str">
        <f aca="false">IF($Z306=Constants!$B$7,LARGE(AB306:AC306,1),"")</f>
        <v/>
      </c>
      <c r="AF306" s="97" t="str">
        <f aca="false">IF(ISBLANK($C306),"",IF($Z306&lt;&gt;Constants!$B$7,$Z306,AE306*S306))</f>
        <v/>
      </c>
      <c r="AG306" s="97" t="str">
        <f aca="false">IF(ISBLANK($C306),"",IF($Z306=Constants!$B$7,IF(ISNUMBER(AF306),RANK(AF306,$AF$8:$AF$507),Constants!$B$14),$Z306))</f>
        <v/>
      </c>
      <c r="AH306" s="97" t="str">
        <f aca="false">IF(ISBLANK($C306),"",IF($Z306=Constants!$B$7,IF(ISNUMBER(AG306),COUNTIFS($AA$8:$AA$507,"&lt;"&amp;$AA306)+COUNTIFS($AA$8:$AA$507,$AA306,$AG$8:$AG$507,"&lt;"&amp;$AG306)+1,Constants!$B$14),$Z306))</f>
        <v/>
      </c>
      <c r="AI306" s="97" t="str">
        <f aca="false">IF(ISBLANK($C306),"",IF($Z306=Constants!$B$7,LARGE(AB306:AC306,2)*S306,""))</f>
        <v/>
      </c>
      <c r="AJ306" s="97" t="str">
        <f aca="false">IF(ISBLANK($C306),"",IF($Z306=Constants!$B$7,RANK(AI306,$AI$8:$AI$507),$Z306))</f>
        <v/>
      </c>
      <c r="AK306" s="97" t="str">
        <f aca="false">IF(ISBLANK($C306),"",IF($Z306=Constants!$B$7,IF(ISNUMBER(AG306),COUNTIFS($AA$8:$AA$507,"&lt;"&amp;$AA306)+COUNTIFS($AA$8:$AA$507,$AA306,$AG$8:$AG$507,"&lt;"&amp;$AG306)+COUNTIFS($AA$8:$AA$507,$AA306,$AG$8:$AG$507,$AG306,$AJ$8:$AJ$507,"&lt;"&amp;$AJ306)+1,Constants!$B$14),$Z306))</f>
        <v/>
      </c>
      <c r="AL306" s="97" t="str">
        <f aca="false">IF(ISBLANK($C306),"",IF($Z306=Constants!$B$7,IF(ISNUMBER(AH306),AH306-AK306,Constants!$B$14),$Z306))</f>
        <v/>
      </c>
      <c r="AM306" s="98"/>
      <c r="AN306" s="99" t="str">
        <f aca="false">IF(ISBLANK($C306),"",IF($Z306&lt;&gt;Constants!$B$7,$Z306,AD306))</f>
        <v/>
      </c>
      <c r="AO306" s="100" t="str">
        <f aca="false">IF(ISBLANK($C306),"",IF($Z306&lt;&gt;Constants!$B$7,$Z306,S306))</f>
        <v/>
      </c>
      <c r="AP306" s="101" t="str">
        <f aca="false">IF(ISBLANK($C306),"",IF($Z306&lt;&gt;Constants!$B$7,$Z306,AF306))</f>
        <v/>
      </c>
      <c r="AQ306" s="102" t="str">
        <f aca="false">IF(ISBLANK($C306),"",IF($Z306&lt;&gt;Constants!$B$7,$Z306,AA306))</f>
        <v/>
      </c>
      <c r="AR306" s="100" t="str">
        <f aca="false">IF(ISBLANK($C306),"",AL306)</f>
        <v/>
      </c>
      <c r="AS306" s="100" t="str">
        <f aca="false">IF(ISBLANK($C306),"",AK306)</f>
        <v/>
      </c>
      <c r="AT306" s="103" t="str">
        <f aca="false">IF(ISBLANK($C306),"",IF(AS306=Constants!$B$4,COUNTA($C$8:$C$507)+2,IF(AS306=Constants!$B$5,COUNTA($C$8:$C$507)+1,IF(AS306=Constants!$B$6,COUNTA($C$8:$C$507),AS306))))</f>
        <v/>
      </c>
      <c r="AU306" s="5"/>
      <c r="AV306" s="104" t="n">
        <f aca="false">IF(OR(ISNUMBER(AS306),AS306=Constants!$B$4,AS306=Constants!$B$6,AS306=Constants!$B$5),1,0)</f>
        <v>0</v>
      </c>
      <c r="AW306" s="104" t="n">
        <v>299</v>
      </c>
      <c r="AX306" s="104" t="str">
        <f aca="false">IF(ISBLANK($C306),"",IF(ISNUMBER(AT306),AT306+ROW($B306)/1000,""))</f>
        <v/>
      </c>
      <c r="AY306" s="104" t="str">
        <f aca="false">IF(ISNUMBER(AX306),RANK(AX306,$AX$8:$AX$507,1),"")</f>
        <v/>
      </c>
      <c r="AZ306" s="104" t="str">
        <f aca="false">IF(ISBLANK($C306),"",$B306)</f>
        <v/>
      </c>
      <c r="BA306" s="104" t="str">
        <f aca="false">IF(ISBLANK($C306),"",$C306)</f>
        <v/>
      </c>
      <c r="BB306" s="104" t="str">
        <f aca="false">IF(ISBLANK($C306),"",$D306)</f>
        <v/>
      </c>
      <c r="BC306" s="105" t="str">
        <f aca="false">AQ306</f>
        <v/>
      </c>
      <c r="BD306" s="106" t="str">
        <f aca="false">AP306</f>
        <v/>
      </c>
      <c r="BE306" s="104" t="str">
        <f aca="false">IF(ISBLANK($C306),"",AS306)</f>
        <v/>
      </c>
      <c r="BF306" s="107" t="str">
        <f aca="false">IF($AW306&gt;$AV$7,"",VLOOKUP($AW306,$AY$8:$BE$507,7,FALSE()))</f>
        <v/>
      </c>
      <c r="BG306" s="108" t="str">
        <f aca="false">IF($AW306&gt;$AV$7,"",VLOOKUP($AW306,$AY$8:$BE$507,2,FALSE()))</f>
        <v/>
      </c>
      <c r="BH306" s="108" t="str">
        <f aca="false">IF($AW306&gt;$AV$7,"",VLOOKUP($AW306,$AY$8:$BE$507,3,FALSE()))</f>
        <v/>
      </c>
      <c r="BI306" s="108" t="str">
        <f aca="false">IF($AW306&gt;$AV$7,"",VLOOKUP($AW306,$AY$8:$BE$507,4,FALSE()))</f>
        <v/>
      </c>
      <c r="BJ306" s="108" t="str">
        <f aca="false">IF($AW306&gt;$AV$7,"",VLOOKUP($AW306,$AY$8:$BE$507,5,FALSE()))</f>
        <v/>
      </c>
      <c r="BK306" s="109" t="str">
        <f aca="false">IF($AW306&gt;$AV$7,"",VLOOKUP($AW306,$AY$8:$BE$507,6,FALSE()))</f>
        <v/>
      </c>
      <c r="BL306" s="50"/>
    </row>
    <row r="307" customFormat="false" ht="15.75" hidden="false" customHeight="false" outlineLevel="0" collapsed="false">
      <c r="A307" s="5"/>
      <c r="B307" s="124"/>
      <c r="C307" s="125"/>
      <c r="D307" s="110"/>
      <c r="E307" s="130"/>
      <c r="F307" s="135"/>
      <c r="G307" s="88"/>
      <c r="H307" s="136"/>
      <c r="I307" s="137"/>
      <c r="J307" s="91"/>
      <c r="K307" s="92"/>
      <c r="L307" s="137"/>
      <c r="M307" s="93"/>
      <c r="N307" s="94"/>
      <c r="O307" s="130"/>
      <c r="P307" s="96"/>
      <c r="Q307" s="97" t="str">
        <f aca="false">IF(ISBLANK($C307),"",IF(E307=Constants!$B$2, TRUE(), IF(E307=Constants!$B$3, FALSE(), TRUE())))</f>
        <v/>
      </c>
      <c r="R307" s="97" t="str">
        <f aca="false">IF(ISBLANK($C307),"",IF(F307=Constants!$B$2, TRUE(), IF(F307=Constants!$B$3, FALSE(), TRUE())))</f>
        <v/>
      </c>
      <c r="S307" s="97" t="str">
        <f aca="false">IF(ISBLANK($C307),"",IF(G307=Constants!$B$15,Constants!$B$8,IF(G307=Constants!$B$16,Constants!$B$9,Constants!$B$10)))</f>
        <v/>
      </c>
      <c r="T307" s="97" t="str">
        <f aca="false">IF(ISBLANK($C307),"",IF(H307=Constants!$B$2, TRUE(), IF(H307=Constants!$B$3, FALSE(), TRUE())))</f>
        <v/>
      </c>
      <c r="U307" s="97" t="str">
        <f aca="false">IF(ISBLANK($C307),"",IF(I307=Constants!$B$19,Constants!$B$19,Constants!$B$18))</f>
        <v/>
      </c>
      <c r="V307" s="97" t="str">
        <f aca="false">IF(ISBLANK($C307),"",IF(COUNTA(J307:K307)=0,"",IF(AND(OR(ISBLANK(J307),AND(ISNUMBER(J307),J307&gt;=0)),OR(ISBLANK(K307),AND(ISNUMBER(K307),K307&gt;=0))),60*IF(ISBLANK(J307),0,J307)+IF(ISBLANK(K307),0,K307),"")))</f>
        <v/>
      </c>
      <c r="W307" s="97" t="str">
        <f aca="false">IF(ISBLANK($C307),"",IF(L307=Constants!$B$19,Constants!$B$19,Constants!$B$18))</f>
        <v/>
      </c>
      <c r="X307" s="97" t="str">
        <f aca="false">IF(ISBLANK($C307),"",IF(COUNTA(M307:N307)=0,"",IF(AND(OR(ISBLANK(M307),AND(ISNUMBER(M307),M307&gt;=0)),OR(ISBLANK(N307),AND(ISNUMBER(N307),N307&gt;=0))),60*IF(ISBLANK(M307),0,M307)+IF(ISBLANK(N307),0,N307),"")))</f>
        <v/>
      </c>
      <c r="Y307" s="97" t="str">
        <f aca="false">IF(ISBLANK($C307),"",IF(O307=Constants!$B$2, TRUE(), IF(O307=Constants!$B$3, FALSE(), FALSE())))</f>
        <v/>
      </c>
      <c r="Z307" s="97" t="str">
        <f aca="false">IF(ISBLANK($C307),"",IF(Y307,Constants!$B$4,IF(COUNTA(E307:N307)=0,Constants!$B$5,IF(COUNTA(J307:K307,M307:N307)=0,Constants!$B$6,Constants!$B$7))))</f>
        <v/>
      </c>
      <c r="AA307" s="97" t="str">
        <f aca="false">IF(ISBLANK($C307),"",IF($Z307&lt;&gt;Constants!$B$7,$Z307,IF(OR(NOT(T307),AND(NOT(Q307),COUNTIFS(U307:W307,Constants!$B$18,V307:X307,"&gt;=0")&gt;0),AND(NOT(R307),COUNTIFS(U307:W307,Constants!$B$19,V307:X307,"&gt;=0")&gt;0)),Constants!$B$12,Constants!$B$11)))</f>
        <v/>
      </c>
      <c r="AB307" s="97" t="str">
        <f aca="false">IF($Z307=Constants!$B$7,IF(V307="",Constants!$B$13,V307),"")</f>
        <v/>
      </c>
      <c r="AC307" s="97" t="str">
        <f aca="false">IF($Z307=Constants!$B$7,IF(X307="",Constants!$B$13,X307),"")</f>
        <v/>
      </c>
      <c r="AD307" s="97" t="str">
        <f aca="false">IF($Z307=Constants!$B$7,IF($AB307&gt;=$AC307,1,2),"")</f>
        <v/>
      </c>
      <c r="AE307" s="97" t="str">
        <f aca="false">IF($Z307=Constants!$B$7,LARGE(AB307:AC307,1),"")</f>
        <v/>
      </c>
      <c r="AF307" s="97" t="str">
        <f aca="false">IF(ISBLANK($C307),"",IF($Z307&lt;&gt;Constants!$B$7,$Z307,AE307*S307))</f>
        <v/>
      </c>
      <c r="AG307" s="97" t="str">
        <f aca="false">IF(ISBLANK($C307),"",IF($Z307=Constants!$B$7,IF(ISNUMBER(AF307),RANK(AF307,$AF$8:$AF$507),Constants!$B$14),$Z307))</f>
        <v/>
      </c>
      <c r="AH307" s="97" t="str">
        <f aca="false">IF(ISBLANK($C307),"",IF($Z307=Constants!$B$7,IF(ISNUMBER(AG307),COUNTIFS($AA$8:$AA$507,"&lt;"&amp;$AA307)+COUNTIFS($AA$8:$AA$507,$AA307,$AG$8:$AG$507,"&lt;"&amp;$AG307)+1,Constants!$B$14),$Z307))</f>
        <v/>
      </c>
      <c r="AI307" s="97" t="str">
        <f aca="false">IF(ISBLANK($C307),"",IF($Z307=Constants!$B$7,LARGE(AB307:AC307,2)*S307,""))</f>
        <v/>
      </c>
      <c r="AJ307" s="97" t="str">
        <f aca="false">IF(ISBLANK($C307),"",IF($Z307=Constants!$B$7,RANK(AI307,$AI$8:$AI$507),$Z307))</f>
        <v/>
      </c>
      <c r="AK307" s="97" t="str">
        <f aca="false">IF(ISBLANK($C307),"",IF($Z307=Constants!$B$7,IF(ISNUMBER(AG307),COUNTIFS($AA$8:$AA$507,"&lt;"&amp;$AA307)+COUNTIFS($AA$8:$AA$507,$AA307,$AG$8:$AG$507,"&lt;"&amp;$AG307)+COUNTIFS($AA$8:$AA$507,$AA307,$AG$8:$AG$507,$AG307,$AJ$8:$AJ$507,"&lt;"&amp;$AJ307)+1,Constants!$B$14),$Z307))</f>
        <v/>
      </c>
      <c r="AL307" s="97" t="str">
        <f aca="false">IF(ISBLANK($C307),"",IF($Z307=Constants!$B$7,IF(ISNUMBER(AH307),AH307-AK307,Constants!$B$14),$Z307))</f>
        <v/>
      </c>
      <c r="AM307" s="98"/>
      <c r="AN307" s="99" t="str">
        <f aca="false">IF(ISBLANK($C307),"",IF($Z307&lt;&gt;Constants!$B$7,$Z307,AD307))</f>
        <v/>
      </c>
      <c r="AO307" s="100" t="str">
        <f aca="false">IF(ISBLANK($C307),"",IF($Z307&lt;&gt;Constants!$B$7,$Z307,S307))</f>
        <v/>
      </c>
      <c r="AP307" s="101" t="str">
        <f aca="false">IF(ISBLANK($C307),"",IF($Z307&lt;&gt;Constants!$B$7,$Z307,AF307))</f>
        <v/>
      </c>
      <c r="AQ307" s="102" t="str">
        <f aca="false">IF(ISBLANK($C307),"",IF($Z307&lt;&gt;Constants!$B$7,$Z307,AA307))</f>
        <v/>
      </c>
      <c r="AR307" s="100" t="str">
        <f aca="false">IF(ISBLANK($C307),"",AL307)</f>
        <v/>
      </c>
      <c r="AS307" s="100" t="str">
        <f aca="false">IF(ISBLANK($C307),"",AK307)</f>
        <v/>
      </c>
      <c r="AT307" s="103" t="str">
        <f aca="false">IF(ISBLANK($C307),"",IF(AS307=Constants!$B$4,COUNTA($C$8:$C$507)+2,IF(AS307=Constants!$B$5,COUNTA($C$8:$C$507)+1,IF(AS307=Constants!$B$6,COUNTA($C$8:$C$507),AS307))))</f>
        <v/>
      </c>
      <c r="AU307" s="5"/>
      <c r="AV307" s="104" t="n">
        <f aca="false">IF(OR(ISNUMBER(AS307),AS307=Constants!$B$4,AS307=Constants!$B$6,AS307=Constants!$B$5),1,0)</f>
        <v>0</v>
      </c>
      <c r="AW307" s="104" t="n">
        <v>300</v>
      </c>
      <c r="AX307" s="104" t="str">
        <f aca="false">IF(ISBLANK($C307),"",IF(ISNUMBER(AT307),AT307+ROW($B307)/1000,""))</f>
        <v/>
      </c>
      <c r="AY307" s="104" t="str">
        <f aca="false">IF(ISNUMBER(AX307),RANK(AX307,$AX$8:$AX$507,1),"")</f>
        <v/>
      </c>
      <c r="AZ307" s="104" t="str">
        <f aca="false">IF(ISBLANK($C307),"",$B307)</f>
        <v/>
      </c>
      <c r="BA307" s="104" t="str">
        <f aca="false">IF(ISBLANK($C307),"",$C307)</f>
        <v/>
      </c>
      <c r="BB307" s="104" t="str">
        <f aca="false">IF(ISBLANK($C307),"",$D307)</f>
        <v/>
      </c>
      <c r="BC307" s="105" t="str">
        <f aca="false">AQ307</f>
        <v/>
      </c>
      <c r="BD307" s="106" t="str">
        <f aca="false">AP307</f>
        <v/>
      </c>
      <c r="BE307" s="104" t="str">
        <f aca="false">IF(ISBLANK($C307),"",AS307)</f>
        <v/>
      </c>
      <c r="BF307" s="107" t="str">
        <f aca="false">IF($AW307&gt;$AV$7,"",VLOOKUP($AW307,$AY$8:$BE$507,7,FALSE()))</f>
        <v/>
      </c>
      <c r="BG307" s="108" t="str">
        <f aca="false">IF($AW307&gt;$AV$7,"",VLOOKUP($AW307,$AY$8:$BE$507,2,FALSE()))</f>
        <v/>
      </c>
      <c r="BH307" s="108" t="str">
        <f aca="false">IF($AW307&gt;$AV$7,"",VLOOKUP($AW307,$AY$8:$BE$507,3,FALSE()))</f>
        <v/>
      </c>
      <c r="BI307" s="108" t="str">
        <f aca="false">IF($AW307&gt;$AV$7,"",VLOOKUP($AW307,$AY$8:$BE$507,4,FALSE()))</f>
        <v/>
      </c>
      <c r="BJ307" s="108" t="str">
        <f aca="false">IF($AW307&gt;$AV$7,"",VLOOKUP($AW307,$AY$8:$BE$507,5,FALSE()))</f>
        <v/>
      </c>
      <c r="BK307" s="109" t="str">
        <f aca="false">IF($AW307&gt;$AV$7,"",VLOOKUP($AW307,$AY$8:$BE$507,6,FALSE()))</f>
        <v/>
      </c>
      <c r="BL307" s="50"/>
    </row>
    <row r="308" customFormat="false" ht="15.75" hidden="false" customHeight="false" outlineLevel="0" collapsed="false">
      <c r="A308" s="5"/>
      <c r="B308" s="131"/>
      <c r="C308" s="52"/>
      <c r="D308" s="53"/>
      <c r="E308" s="80"/>
      <c r="F308" s="132"/>
      <c r="G308" s="56"/>
      <c r="H308" s="133"/>
      <c r="I308" s="134"/>
      <c r="J308" s="59"/>
      <c r="K308" s="60"/>
      <c r="L308" s="134"/>
      <c r="M308" s="61"/>
      <c r="N308" s="62"/>
      <c r="O308" s="80"/>
      <c r="P308" s="64"/>
      <c r="Q308" s="65" t="str">
        <f aca="false">IF(ISBLANK($C308),"",IF(E308=Constants!$B$2, TRUE(), IF(E308=Constants!$B$3, FALSE(), TRUE())))</f>
        <v/>
      </c>
      <c r="R308" s="65" t="str">
        <f aca="false">IF(ISBLANK($C308),"",IF(F308=Constants!$B$2, TRUE(), IF(F308=Constants!$B$3, FALSE(), TRUE())))</f>
        <v/>
      </c>
      <c r="S308" s="65" t="str">
        <f aca="false">IF(ISBLANK($C308),"",IF(G308=Constants!$B$15,Constants!$B$8,IF(G308=Constants!$B$16,Constants!$B$9,Constants!$B$10)))</f>
        <v/>
      </c>
      <c r="T308" s="65" t="str">
        <f aca="false">IF(ISBLANK($C308),"",IF(H308=Constants!$B$2, TRUE(), IF(H308=Constants!$B$3, FALSE(), TRUE())))</f>
        <v/>
      </c>
      <c r="U308" s="65" t="str">
        <f aca="false">IF(ISBLANK($C308),"",IF(I308=Constants!$B$19,Constants!$B$19,Constants!$B$18))</f>
        <v/>
      </c>
      <c r="V308" s="65" t="str">
        <f aca="false">IF(ISBLANK($C308),"",IF(COUNTA(J308:K308)=0,"",IF(AND(OR(ISBLANK(J308),AND(ISNUMBER(J308),J308&gt;=0)),OR(ISBLANK(K308),AND(ISNUMBER(K308),K308&gt;=0))),60*IF(ISBLANK(J308),0,J308)+IF(ISBLANK(K308),0,K308),"")))</f>
        <v/>
      </c>
      <c r="W308" s="65" t="str">
        <f aca="false">IF(ISBLANK($C308),"",IF(L308=Constants!$B$19,Constants!$B$19,Constants!$B$18))</f>
        <v/>
      </c>
      <c r="X308" s="65" t="str">
        <f aca="false">IF(ISBLANK($C308),"",IF(COUNTA(M308:N308)=0,"",IF(AND(OR(ISBLANK(M308),AND(ISNUMBER(M308),M308&gt;=0)),OR(ISBLANK(N308),AND(ISNUMBER(N308),N308&gt;=0))),60*IF(ISBLANK(M308),0,M308)+IF(ISBLANK(N308),0,N308),"")))</f>
        <v/>
      </c>
      <c r="Y308" s="65" t="str">
        <f aca="false">IF(ISBLANK($C308),"",IF(O308=Constants!$B$2, TRUE(), IF(O308=Constants!$B$3, FALSE(), FALSE())))</f>
        <v/>
      </c>
      <c r="Z308" s="65" t="str">
        <f aca="false">IF(ISBLANK($C308),"",IF(Y308,Constants!$B$4,IF(COUNTA(E308:N308)=0,Constants!$B$5,IF(COUNTA(J308:K308,M308:N308)=0,Constants!$B$6,Constants!$B$7))))</f>
        <v/>
      </c>
      <c r="AA308" s="65" t="str">
        <f aca="false">IF(ISBLANK($C308),"",IF($Z308&lt;&gt;Constants!$B$7,$Z308,IF(OR(NOT(T308),AND(NOT(Q308),COUNTIFS(U308:W308,Constants!$B$18,V308:X308,"&gt;=0")&gt;0),AND(NOT(R308),COUNTIFS(U308:W308,Constants!$B$19,V308:X308,"&gt;=0")&gt;0)),Constants!$B$12,Constants!$B$11)))</f>
        <v/>
      </c>
      <c r="AB308" s="65" t="str">
        <f aca="false">IF($Z308=Constants!$B$7,IF(V308="",Constants!$B$13,V308),"")</f>
        <v/>
      </c>
      <c r="AC308" s="65" t="str">
        <f aca="false">IF($Z308=Constants!$B$7,IF(X308="",Constants!$B$13,X308),"")</f>
        <v/>
      </c>
      <c r="AD308" s="65" t="str">
        <f aca="false">IF($Z308=Constants!$B$7,IF($AB308&gt;=$AC308,1,2),"")</f>
        <v/>
      </c>
      <c r="AE308" s="65" t="str">
        <f aca="false">IF($Z308=Constants!$B$7,LARGE(AB308:AC308,1),"")</f>
        <v/>
      </c>
      <c r="AF308" s="65" t="str">
        <f aca="false">IF(ISBLANK($C308),"",IF($Z308&lt;&gt;Constants!$B$7,$Z308,AE308*S308))</f>
        <v/>
      </c>
      <c r="AG308" s="65" t="str">
        <f aca="false">IF(ISBLANK($C308),"",IF($Z308=Constants!$B$7,IF(ISNUMBER(AF308),RANK(AF308,$AF$8:$AF$507),Constants!$B$14),$Z308))</f>
        <v/>
      </c>
      <c r="AH308" s="65" t="str">
        <f aca="false">IF(ISBLANK($C308),"",IF($Z308=Constants!$B$7,IF(ISNUMBER(AG308),COUNTIFS($AA$8:$AA$507,"&lt;"&amp;$AA308)+COUNTIFS($AA$8:$AA$507,$AA308,$AG$8:$AG$507,"&lt;"&amp;$AG308)+1,Constants!$B$14),$Z308))</f>
        <v/>
      </c>
      <c r="AI308" s="65" t="str">
        <f aca="false">IF(ISBLANK($C308),"",IF($Z308=Constants!$B$7,LARGE(AB308:AC308,2)*S308,""))</f>
        <v/>
      </c>
      <c r="AJ308" s="65" t="str">
        <f aca="false">IF(ISBLANK($C308),"",IF($Z308=Constants!$B$7,RANK(AI308,$AI$8:$AI$507),$Z308))</f>
        <v/>
      </c>
      <c r="AK308" s="65" t="str">
        <f aca="false">IF(ISBLANK($C308),"",IF($Z308=Constants!$B$7,IF(ISNUMBER(AG308),COUNTIFS($AA$8:$AA$507,"&lt;"&amp;$AA308)+COUNTIFS($AA$8:$AA$507,$AA308,$AG$8:$AG$507,"&lt;"&amp;$AG308)+COUNTIFS($AA$8:$AA$507,$AA308,$AG$8:$AG$507,$AG308,$AJ$8:$AJ$507,"&lt;"&amp;$AJ308)+1,Constants!$B$14),$Z308))</f>
        <v/>
      </c>
      <c r="AL308" s="65" t="str">
        <f aca="false">IF(ISBLANK($C308),"",IF($Z308=Constants!$B$7,IF(ISNUMBER(AH308),AH308-AK308,Constants!$B$14),$Z308))</f>
        <v/>
      </c>
      <c r="AM308" s="67"/>
      <c r="AN308" s="68" t="str">
        <f aca="false">IF(ISBLANK($C308),"",IF($Z308&lt;&gt;Constants!$B$7,$Z308,AD308))</f>
        <v/>
      </c>
      <c r="AO308" s="69" t="str">
        <f aca="false">IF(ISBLANK($C308),"",IF($Z308&lt;&gt;Constants!$B$7,$Z308,S308))</f>
        <v/>
      </c>
      <c r="AP308" s="70" t="str">
        <f aca="false">IF(ISBLANK($C308),"",IF($Z308&lt;&gt;Constants!$B$7,$Z308,AF308))</f>
        <v/>
      </c>
      <c r="AQ308" s="71" t="str">
        <f aca="false">IF(ISBLANK($C308),"",IF($Z308&lt;&gt;Constants!$B$7,$Z308,AA308))</f>
        <v/>
      </c>
      <c r="AR308" s="69" t="str">
        <f aca="false">IF(ISBLANK($C308),"",AL308)</f>
        <v/>
      </c>
      <c r="AS308" s="69" t="str">
        <f aca="false">IF(ISBLANK($C308),"",AK308)</f>
        <v/>
      </c>
      <c r="AT308" s="72" t="str">
        <f aca="false">IF(ISBLANK($C308),"",IF(AS308=Constants!$B$4,COUNTA($C$8:$C$507)+2,IF(AS308=Constants!$B$5,COUNTA($C$8:$C$507)+1,IF(AS308=Constants!$B$6,COUNTA($C$8:$C$507),AS308))))</f>
        <v/>
      </c>
      <c r="AU308" s="5"/>
      <c r="AV308" s="73" t="n">
        <f aca="false">IF(OR(ISNUMBER(AS308),AS308=Constants!$B$4,AS308=Constants!$B$6,AS308=Constants!$B$5),1,0)</f>
        <v>0</v>
      </c>
      <c r="AW308" s="73" t="n">
        <v>301</v>
      </c>
      <c r="AX308" s="73" t="str">
        <f aca="false">IF(ISBLANK($C308),"",IF(ISNUMBER(AT308),AT308+ROW($B308)/1000,""))</f>
        <v/>
      </c>
      <c r="AY308" s="73" t="str">
        <f aca="false">IF(ISNUMBER(AX308),RANK(AX308,$AX$8:$AX$507,1),"")</f>
        <v/>
      </c>
      <c r="AZ308" s="73" t="str">
        <f aca="false">IF(ISBLANK($C308),"",$B308)</f>
        <v/>
      </c>
      <c r="BA308" s="73" t="str">
        <f aca="false">IF(ISBLANK($C308),"",$C308)</f>
        <v/>
      </c>
      <c r="BB308" s="73" t="str">
        <f aca="false">IF(ISBLANK($C308),"",$D308)</f>
        <v/>
      </c>
      <c r="BC308" s="74" t="str">
        <f aca="false">AQ308</f>
        <v/>
      </c>
      <c r="BD308" s="75" t="str">
        <f aca="false">AP308</f>
        <v/>
      </c>
      <c r="BE308" s="73" t="str">
        <f aca="false">IF(ISBLANK($C308),"",AS308)</f>
        <v/>
      </c>
      <c r="BF308" s="76" t="str">
        <f aca="false">IF($AW308&gt;$AV$7,"",VLOOKUP($AW308,$AY$8:$BE$507,7,FALSE()))</f>
        <v/>
      </c>
      <c r="BG308" s="77" t="str">
        <f aca="false">IF($AW308&gt;$AV$7,"",VLOOKUP($AW308,$AY$8:$BE$507,2,FALSE()))</f>
        <v/>
      </c>
      <c r="BH308" s="77" t="str">
        <f aca="false">IF($AW308&gt;$AV$7,"",VLOOKUP($AW308,$AY$8:$BE$507,3,FALSE()))</f>
        <v/>
      </c>
      <c r="BI308" s="77" t="str">
        <f aca="false">IF($AW308&gt;$AV$7,"",VLOOKUP($AW308,$AY$8:$BE$507,4,FALSE()))</f>
        <v/>
      </c>
      <c r="BJ308" s="77" t="str">
        <f aca="false">IF($AW308&gt;$AV$7,"",VLOOKUP($AW308,$AY$8:$BE$507,5,FALSE()))</f>
        <v/>
      </c>
      <c r="BK308" s="78" t="str">
        <f aca="false">IF($AW308&gt;$AV$7,"",VLOOKUP($AW308,$AY$8:$BE$507,6,FALSE()))</f>
        <v/>
      </c>
      <c r="BL308" s="50"/>
    </row>
    <row r="309" customFormat="false" ht="15.75" hidden="false" customHeight="false" outlineLevel="0" collapsed="false">
      <c r="A309" s="5"/>
      <c r="B309" s="131"/>
      <c r="C309" s="52"/>
      <c r="D309" s="53"/>
      <c r="E309" s="80"/>
      <c r="F309" s="132"/>
      <c r="G309" s="56"/>
      <c r="H309" s="133"/>
      <c r="I309" s="134"/>
      <c r="J309" s="59"/>
      <c r="K309" s="60"/>
      <c r="L309" s="134"/>
      <c r="M309" s="61"/>
      <c r="N309" s="62"/>
      <c r="O309" s="80"/>
      <c r="P309" s="64"/>
      <c r="Q309" s="65" t="str">
        <f aca="false">IF(ISBLANK($C309),"",IF(E309=Constants!$B$2, TRUE(), IF(E309=Constants!$B$3, FALSE(), TRUE())))</f>
        <v/>
      </c>
      <c r="R309" s="65" t="str">
        <f aca="false">IF(ISBLANK($C309),"",IF(F309=Constants!$B$2, TRUE(), IF(F309=Constants!$B$3, FALSE(), TRUE())))</f>
        <v/>
      </c>
      <c r="S309" s="65" t="str">
        <f aca="false">IF(ISBLANK($C309),"",IF(G309=Constants!$B$15,Constants!$B$8,IF(G309=Constants!$B$16,Constants!$B$9,Constants!$B$10)))</f>
        <v/>
      </c>
      <c r="T309" s="65" t="str">
        <f aca="false">IF(ISBLANK($C309),"",IF(H309=Constants!$B$2, TRUE(), IF(H309=Constants!$B$3, FALSE(), TRUE())))</f>
        <v/>
      </c>
      <c r="U309" s="65" t="str">
        <f aca="false">IF(ISBLANK($C309),"",IF(I309=Constants!$B$19,Constants!$B$19,Constants!$B$18))</f>
        <v/>
      </c>
      <c r="V309" s="65" t="str">
        <f aca="false">IF(ISBLANK($C309),"",IF(COUNTA(J309:K309)=0,"",IF(AND(OR(ISBLANK(J309),AND(ISNUMBER(J309),J309&gt;=0)),OR(ISBLANK(K309),AND(ISNUMBER(K309),K309&gt;=0))),60*IF(ISBLANK(J309),0,J309)+IF(ISBLANK(K309),0,K309),"")))</f>
        <v/>
      </c>
      <c r="W309" s="65" t="str">
        <f aca="false">IF(ISBLANK($C309),"",IF(L309=Constants!$B$19,Constants!$B$19,Constants!$B$18))</f>
        <v/>
      </c>
      <c r="X309" s="65" t="str">
        <f aca="false">IF(ISBLANK($C309),"",IF(COUNTA(M309:N309)=0,"",IF(AND(OR(ISBLANK(M309),AND(ISNUMBER(M309),M309&gt;=0)),OR(ISBLANK(N309),AND(ISNUMBER(N309),N309&gt;=0))),60*IF(ISBLANK(M309),0,M309)+IF(ISBLANK(N309),0,N309),"")))</f>
        <v/>
      </c>
      <c r="Y309" s="65" t="str">
        <f aca="false">IF(ISBLANK($C309),"",IF(O309=Constants!$B$2, TRUE(), IF(O309=Constants!$B$3, FALSE(), FALSE())))</f>
        <v/>
      </c>
      <c r="Z309" s="65" t="str">
        <f aca="false">IF(ISBLANK($C309),"",IF(Y309,Constants!$B$4,IF(COUNTA(E309:N309)=0,Constants!$B$5,IF(COUNTA(J309:K309,M309:N309)=0,Constants!$B$6,Constants!$B$7))))</f>
        <v/>
      </c>
      <c r="AA309" s="65" t="str">
        <f aca="false">IF(ISBLANK($C309),"",IF($Z309&lt;&gt;Constants!$B$7,$Z309,IF(OR(NOT(T309),AND(NOT(Q309),COUNTIFS(U309:W309,Constants!$B$18,V309:X309,"&gt;=0")&gt;0),AND(NOT(R309),COUNTIFS(U309:W309,Constants!$B$19,V309:X309,"&gt;=0")&gt;0)),Constants!$B$12,Constants!$B$11)))</f>
        <v/>
      </c>
      <c r="AB309" s="65" t="str">
        <f aca="false">IF($Z309=Constants!$B$7,IF(V309="",Constants!$B$13,V309),"")</f>
        <v/>
      </c>
      <c r="AC309" s="65" t="str">
        <f aca="false">IF($Z309=Constants!$B$7,IF(X309="",Constants!$B$13,X309),"")</f>
        <v/>
      </c>
      <c r="AD309" s="65" t="str">
        <f aca="false">IF($Z309=Constants!$B$7,IF($AB309&gt;=$AC309,1,2),"")</f>
        <v/>
      </c>
      <c r="AE309" s="65" t="str">
        <f aca="false">IF($Z309=Constants!$B$7,LARGE(AB309:AC309,1),"")</f>
        <v/>
      </c>
      <c r="AF309" s="65" t="str">
        <f aca="false">IF(ISBLANK($C309),"",IF($Z309&lt;&gt;Constants!$B$7,$Z309,AE309*S309))</f>
        <v/>
      </c>
      <c r="AG309" s="65" t="str">
        <f aca="false">IF(ISBLANK($C309),"",IF($Z309=Constants!$B$7,IF(ISNUMBER(AF309),RANK(AF309,$AF$8:$AF$507),Constants!$B$14),$Z309))</f>
        <v/>
      </c>
      <c r="AH309" s="65" t="str">
        <f aca="false">IF(ISBLANK($C309),"",IF($Z309=Constants!$B$7,IF(ISNUMBER(AG309),COUNTIFS($AA$8:$AA$507,"&lt;"&amp;$AA309)+COUNTIFS($AA$8:$AA$507,$AA309,$AG$8:$AG$507,"&lt;"&amp;$AG309)+1,Constants!$B$14),$Z309))</f>
        <v/>
      </c>
      <c r="AI309" s="65" t="str">
        <f aca="false">IF(ISBLANK($C309),"",IF($Z309=Constants!$B$7,LARGE(AB309:AC309,2)*S309,""))</f>
        <v/>
      </c>
      <c r="AJ309" s="65" t="str">
        <f aca="false">IF(ISBLANK($C309),"",IF($Z309=Constants!$B$7,RANK(AI309,$AI$8:$AI$507),$Z309))</f>
        <v/>
      </c>
      <c r="AK309" s="65" t="str">
        <f aca="false">IF(ISBLANK($C309),"",IF($Z309=Constants!$B$7,IF(ISNUMBER(AG309),COUNTIFS($AA$8:$AA$507,"&lt;"&amp;$AA309)+COUNTIFS($AA$8:$AA$507,$AA309,$AG$8:$AG$507,"&lt;"&amp;$AG309)+COUNTIFS($AA$8:$AA$507,$AA309,$AG$8:$AG$507,$AG309,$AJ$8:$AJ$507,"&lt;"&amp;$AJ309)+1,Constants!$B$14),$Z309))</f>
        <v/>
      </c>
      <c r="AL309" s="65" t="str">
        <f aca="false">IF(ISBLANK($C309),"",IF($Z309=Constants!$B$7,IF(ISNUMBER(AH309),AH309-AK309,Constants!$B$14),$Z309))</f>
        <v/>
      </c>
      <c r="AM309" s="67"/>
      <c r="AN309" s="68" t="str">
        <f aca="false">IF(ISBLANK($C309),"",IF($Z309&lt;&gt;Constants!$B$7,$Z309,AD309))</f>
        <v/>
      </c>
      <c r="AO309" s="69" t="str">
        <f aca="false">IF(ISBLANK($C309),"",IF($Z309&lt;&gt;Constants!$B$7,$Z309,S309))</f>
        <v/>
      </c>
      <c r="AP309" s="70" t="str">
        <f aca="false">IF(ISBLANK($C309),"",IF($Z309&lt;&gt;Constants!$B$7,$Z309,AF309))</f>
        <v/>
      </c>
      <c r="AQ309" s="71" t="str">
        <f aca="false">IF(ISBLANK($C309),"",IF($Z309&lt;&gt;Constants!$B$7,$Z309,AA309))</f>
        <v/>
      </c>
      <c r="AR309" s="69" t="str">
        <f aca="false">IF(ISBLANK($C309),"",AL309)</f>
        <v/>
      </c>
      <c r="AS309" s="69" t="str">
        <f aca="false">IF(ISBLANK($C309),"",AK309)</f>
        <v/>
      </c>
      <c r="AT309" s="72" t="str">
        <f aca="false">IF(ISBLANK($C309),"",IF(AS309=Constants!$B$4,COUNTA($C$8:$C$507)+2,IF(AS309=Constants!$B$5,COUNTA($C$8:$C$507)+1,IF(AS309=Constants!$B$6,COUNTA($C$8:$C$507),AS309))))</f>
        <v/>
      </c>
      <c r="AU309" s="5"/>
      <c r="AV309" s="73" t="n">
        <f aca="false">IF(OR(ISNUMBER(AS309),AS309=Constants!$B$4,AS309=Constants!$B$6,AS309=Constants!$B$5),1,0)</f>
        <v>0</v>
      </c>
      <c r="AW309" s="73" t="n">
        <v>302</v>
      </c>
      <c r="AX309" s="73" t="str">
        <f aca="false">IF(ISBLANK($C309),"",IF(ISNUMBER(AT309),AT309+ROW($B309)/1000,""))</f>
        <v/>
      </c>
      <c r="AY309" s="73" t="str">
        <f aca="false">IF(ISNUMBER(AX309),RANK(AX309,$AX$8:$AX$507,1),"")</f>
        <v/>
      </c>
      <c r="AZ309" s="73" t="str">
        <f aca="false">IF(ISBLANK($C309),"",$B309)</f>
        <v/>
      </c>
      <c r="BA309" s="73" t="str">
        <f aca="false">IF(ISBLANK($C309),"",$C309)</f>
        <v/>
      </c>
      <c r="BB309" s="73" t="str">
        <f aca="false">IF(ISBLANK($C309),"",$D309)</f>
        <v/>
      </c>
      <c r="BC309" s="74" t="str">
        <f aca="false">AQ309</f>
        <v/>
      </c>
      <c r="BD309" s="75" t="str">
        <f aca="false">AP309</f>
        <v/>
      </c>
      <c r="BE309" s="73" t="str">
        <f aca="false">IF(ISBLANK($C309),"",AS309)</f>
        <v/>
      </c>
      <c r="BF309" s="76" t="str">
        <f aca="false">IF($AW309&gt;$AV$7,"",VLOOKUP($AW309,$AY$8:$BE$507,7,FALSE()))</f>
        <v/>
      </c>
      <c r="BG309" s="77" t="str">
        <f aca="false">IF($AW309&gt;$AV$7,"",VLOOKUP($AW309,$AY$8:$BE$507,2,FALSE()))</f>
        <v/>
      </c>
      <c r="BH309" s="77" t="str">
        <f aca="false">IF($AW309&gt;$AV$7,"",VLOOKUP($AW309,$AY$8:$BE$507,3,FALSE()))</f>
        <v/>
      </c>
      <c r="BI309" s="77" t="str">
        <f aca="false">IF($AW309&gt;$AV$7,"",VLOOKUP($AW309,$AY$8:$BE$507,4,FALSE()))</f>
        <v/>
      </c>
      <c r="BJ309" s="77" t="str">
        <f aca="false">IF($AW309&gt;$AV$7,"",VLOOKUP($AW309,$AY$8:$BE$507,5,FALSE()))</f>
        <v/>
      </c>
      <c r="BK309" s="78" t="str">
        <f aca="false">IF($AW309&gt;$AV$7,"",VLOOKUP($AW309,$AY$8:$BE$507,6,FALSE()))</f>
        <v/>
      </c>
      <c r="BL309" s="50"/>
    </row>
    <row r="310" customFormat="false" ht="15.75" hidden="false" customHeight="false" outlineLevel="0" collapsed="false">
      <c r="A310" s="5"/>
      <c r="B310" s="131"/>
      <c r="C310" s="52"/>
      <c r="D310" s="53"/>
      <c r="E310" s="80"/>
      <c r="F310" s="132"/>
      <c r="G310" s="56"/>
      <c r="H310" s="133"/>
      <c r="I310" s="134"/>
      <c r="J310" s="59"/>
      <c r="K310" s="60"/>
      <c r="L310" s="134"/>
      <c r="M310" s="61"/>
      <c r="N310" s="62"/>
      <c r="O310" s="80"/>
      <c r="P310" s="64"/>
      <c r="Q310" s="65" t="str">
        <f aca="false">IF(ISBLANK($C310),"",IF(E310=Constants!$B$2, TRUE(), IF(E310=Constants!$B$3, FALSE(), TRUE())))</f>
        <v/>
      </c>
      <c r="R310" s="65" t="str">
        <f aca="false">IF(ISBLANK($C310),"",IF(F310=Constants!$B$2, TRUE(), IF(F310=Constants!$B$3, FALSE(), TRUE())))</f>
        <v/>
      </c>
      <c r="S310" s="65" t="str">
        <f aca="false">IF(ISBLANK($C310),"",IF(G310=Constants!$B$15,Constants!$B$8,IF(G310=Constants!$B$16,Constants!$B$9,Constants!$B$10)))</f>
        <v/>
      </c>
      <c r="T310" s="65" t="str">
        <f aca="false">IF(ISBLANK($C310),"",IF(H310=Constants!$B$2, TRUE(), IF(H310=Constants!$B$3, FALSE(), TRUE())))</f>
        <v/>
      </c>
      <c r="U310" s="65" t="str">
        <f aca="false">IF(ISBLANK($C310),"",IF(I310=Constants!$B$19,Constants!$B$19,Constants!$B$18))</f>
        <v/>
      </c>
      <c r="V310" s="65" t="str">
        <f aca="false">IF(ISBLANK($C310),"",IF(COUNTA(J310:K310)=0,"",IF(AND(OR(ISBLANK(J310),AND(ISNUMBER(J310),J310&gt;=0)),OR(ISBLANK(K310),AND(ISNUMBER(K310),K310&gt;=0))),60*IF(ISBLANK(J310),0,J310)+IF(ISBLANK(K310),0,K310),"")))</f>
        <v/>
      </c>
      <c r="W310" s="65" t="str">
        <f aca="false">IF(ISBLANK($C310),"",IF(L310=Constants!$B$19,Constants!$B$19,Constants!$B$18))</f>
        <v/>
      </c>
      <c r="X310" s="65" t="str">
        <f aca="false">IF(ISBLANK($C310),"",IF(COUNTA(M310:N310)=0,"",IF(AND(OR(ISBLANK(M310),AND(ISNUMBER(M310),M310&gt;=0)),OR(ISBLANK(N310),AND(ISNUMBER(N310),N310&gt;=0))),60*IF(ISBLANK(M310),0,M310)+IF(ISBLANK(N310),0,N310),"")))</f>
        <v/>
      </c>
      <c r="Y310" s="65" t="str">
        <f aca="false">IF(ISBLANK($C310),"",IF(O310=Constants!$B$2, TRUE(), IF(O310=Constants!$B$3, FALSE(), FALSE())))</f>
        <v/>
      </c>
      <c r="Z310" s="65" t="str">
        <f aca="false">IF(ISBLANK($C310),"",IF(Y310,Constants!$B$4,IF(COUNTA(E310:N310)=0,Constants!$B$5,IF(COUNTA(J310:K310,M310:N310)=0,Constants!$B$6,Constants!$B$7))))</f>
        <v/>
      </c>
      <c r="AA310" s="65" t="str">
        <f aca="false">IF(ISBLANK($C310),"",IF($Z310&lt;&gt;Constants!$B$7,$Z310,IF(OR(NOT(T310),AND(NOT(Q310),COUNTIFS(U310:W310,Constants!$B$18,V310:X310,"&gt;=0")&gt;0),AND(NOT(R310),COUNTIFS(U310:W310,Constants!$B$19,V310:X310,"&gt;=0")&gt;0)),Constants!$B$12,Constants!$B$11)))</f>
        <v/>
      </c>
      <c r="AB310" s="65" t="str">
        <f aca="false">IF($Z310=Constants!$B$7,IF(V310="",Constants!$B$13,V310),"")</f>
        <v/>
      </c>
      <c r="AC310" s="65" t="str">
        <f aca="false">IF($Z310=Constants!$B$7,IF(X310="",Constants!$B$13,X310),"")</f>
        <v/>
      </c>
      <c r="AD310" s="65" t="str">
        <f aca="false">IF($Z310=Constants!$B$7,IF($AB310&gt;=$AC310,1,2),"")</f>
        <v/>
      </c>
      <c r="AE310" s="65" t="str">
        <f aca="false">IF($Z310=Constants!$B$7,LARGE(AB310:AC310,1),"")</f>
        <v/>
      </c>
      <c r="AF310" s="65" t="str">
        <f aca="false">IF(ISBLANK($C310),"",IF($Z310&lt;&gt;Constants!$B$7,$Z310,AE310*S310))</f>
        <v/>
      </c>
      <c r="AG310" s="65" t="str">
        <f aca="false">IF(ISBLANK($C310),"",IF($Z310=Constants!$B$7,IF(ISNUMBER(AF310),RANK(AF310,$AF$8:$AF$507),Constants!$B$14),$Z310))</f>
        <v/>
      </c>
      <c r="AH310" s="65" t="str">
        <f aca="false">IF(ISBLANK($C310),"",IF($Z310=Constants!$B$7,IF(ISNUMBER(AG310),COUNTIFS($AA$8:$AA$507,"&lt;"&amp;$AA310)+COUNTIFS($AA$8:$AA$507,$AA310,$AG$8:$AG$507,"&lt;"&amp;$AG310)+1,Constants!$B$14),$Z310))</f>
        <v/>
      </c>
      <c r="AI310" s="65" t="str">
        <f aca="false">IF(ISBLANK($C310),"",IF($Z310=Constants!$B$7,LARGE(AB310:AC310,2)*S310,""))</f>
        <v/>
      </c>
      <c r="AJ310" s="65" t="str">
        <f aca="false">IF(ISBLANK($C310),"",IF($Z310=Constants!$B$7,RANK(AI310,$AI$8:$AI$507),$Z310))</f>
        <v/>
      </c>
      <c r="AK310" s="65" t="str">
        <f aca="false">IF(ISBLANK($C310),"",IF($Z310=Constants!$B$7,IF(ISNUMBER(AG310),COUNTIFS($AA$8:$AA$507,"&lt;"&amp;$AA310)+COUNTIFS($AA$8:$AA$507,$AA310,$AG$8:$AG$507,"&lt;"&amp;$AG310)+COUNTIFS($AA$8:$AA$507,$AA310,$AG$8:$AG$507,$AG310,$AJ$8:$AJ$507,"&lt;"&amp;$AJ310)+1,Constants!$B$14),$Z310))</f>
        <v/>
      </c>
      <c r="AL310" s="65" t="str">
        <f aca="false">IF(ISBLANK($C310),"",IF($Z310=Constants!$B$7,IF(ISNUMBER(AH310),AH310-AK310,Constants!$B$14),$Z310))</f>
        <v/>
      </c>
      <c r="AM310" s="67"/>
      <c r="AN310" s="68" t="str">
        <f aca="false">IF(ISBLANK($C310),"",IF($Z310&lt;&gt;Constants!$B$7,$Z310,AD310))</f>
        <v/>
      </c>
      <c r="AO310" s="69" t="str">
        <f aca="false">IF(ISBLANK($C310),"",IF($Z310&lt;&gt;Constants!$B$7,$Z310,S310))</f>
        <v/>
      </c>
      <c r="AP310" s="70" t="str">
        <f aca="false">IF(ISBLANK($C310),"",IF($Z310&lt;&gt;Constants!$B$7,$Z310,AF310))</f>
        <v/>
      </c>
      <c r="AQ310" s="71" t="str">
        <f aca="false">IF(ISBLANK($C310),"",IF($Z310&lt;&gt;Constants!$B$7,$Z310,AA310))</f>
        <v/>
      </c>
      <c r="AR310" s="69" t="str">
        <f aca="false">IF(ISBLANK($C310),"",AL310)</f>
        <v/>
      </c>
      <c r="AS310" s="69" t="str">
        <f aca="false">IF(ISBLANK($C310),"",AK310)</f>
        <v/>
      </c>
      <c r="AT310" s="72" t="str">
        <f aca="false">IF(ISBLANK($C310),"",IF(AS310=Constants!$B$4,COUNTA($C$8:$C$507)+2,IF(AS310=Constants!$B$5,COUNTA($C$8:$C$507)+1,IF(AS310=Constants!$B$6,COUNTA($C$8:$C$507),AS310))))</f>
        <v/>
      </c>
      <c r="AU310" s="5"/>
      <c r="AV310" s="73" t="n">
        <f aca="false">IF(OR(ISNUMBER(AS310),AS310=Constants!$B$4,AS310=Constants!$B$6,AS310=Constants!$B$5),1,0)</f>
        <v>0</v>
      </c>
      <c r="AW310" s="73" t="n">
        <v>303</v>
      </c>
      <c r="AX310" s="73" t="str">
        <f aca="false">IF(ISBLANK($C310),"",IF(ISNUMBER(AT310),AT310+ROW($B310)/1000,""))</f>
        <v/>
      </c>
      <c r="AY310" s="73" t="str">
        <f aca="false">IF(ISNUMBER(AX310),RANK(AX310,$AX$8:$AX$507,1),"")</f>
        <v/>
      </c>
      <c r="AZ310" s="73" t="str">
        <f aca="false">IF(ISBLANK($C310),"",$B310)</f>
        <v/>
      </c>
      <c r="BA310" s="73" t="str">
        <f aca="false">IF(ISBLANK($C310),"",$C310)</f>
        <v/>
      </c>
      <c r="BB310" s="73" t="str">
        <f aca="false">IF(ISBLANK($C310),"",$D310)</f>
        <v/>
      </c>
      <c r="BC310" s="74" t="str">
        <f aca="false">AQ310</f>
        <v/>
      </c>
      <c r="BD310" s="75" t="str">
        <f aca="false">AP310</f>
        <v/>
      </c>
      <c r="BE310" s="73" t="str">
        <f aca="false">IF(ISBLANK($C310),"",AS310)</f>
        <v/>
      </c>
      <c r="BF310" s="76" t="str">
        <f aca="false">IF($AW310&gt;$AV$7,"",VLOOKUP($AW310,$AY$8:$BE$507,7,FALSE()))</f>
        <v/>
      </c>
      <c r="BG310" s="77" t="str">
        <f aca="false">IF($AW310&gt;$AV$7,"",VLOOKUP($AW310,$AY$8:$BE$507,2,FALSE()))</f>
        <v/>
      </c>
      <c r="BH310" s="77" t="str">
        <f aca="false">IF($AW310&gt;$AV$7,"",VLOOKUP($AW310,$AY$8:$BE$507,3,FALSE()))</f>
        <v/>
      </c>
      <c r="BI310" s="77" t="str">
        <f aca="false">IF($AW310&gt;$AV$7,"",VLOOKUP($AW310,$AY$8:$BE$507,4,FALSE()))</f>
        <v/>
      </c>
      <c r="BJ310" s="77" t="str">
        <f aca="false">IF($AW310&gt;$AV$7,"",VLOOKUP($AW310,$AY$8:$BE$507,5,FALSE()))</f>
        <v/>
      </c>
      <c r="BK310" s="78" t="str">
        <f aca="false">IF($AW310&gt;$AV$7,"",VLOOKUP($AW310,$AY$8:$BE$507,6,FALSE()))</f>
        <v/>
      </c>
      <c r="BL310" s="50"/>
    </row>
    <row r="311" customFormat="false" ht="15.75" hidden="false" customHeight="false" outlineLevel="0" collapsed="false">
      <c r="A311" s="5"/>
      <c r="B311" s="124"/>
      <c r="C311" s="125"/>
      <c r="D311" s="110"/>
      <c r="E311" s="130"/>
      <c r="F311" s="135"/>
      <c r="G311" s="88"/>
      <c r="H311" s="136"/>
      <c r="I311" s="137"/>
      <c r="J311" s="91"/>
      <c r="K311" s="92"/>
      <c r="L311" s="137"/>
      <c r="M311" s="93"/>
      <c r="N311" s="94"/>
      <c r="O311" s="130"/>
      <c r="P311" s="96"/>
      <c r="Q311" s="97" t="str">
        <f aca="false">IF(ISBLANK($C311),"",IF(E311=Constants!$B$2, TRUE(), IF(E311=Constants!$B$3, FALSE(), TRUE())))</f>
        <v/>
      </c>
      <c r="R311" s="97" t="str">
        <f aca="false">IF(ISBLANK($C311),"",IF(F311=Constants!$B$2, TRUE(), IF(F311=Constants!$B$3, FALSE(), TRUE())))</f>
        <v/>
      </c>
      <c r="S311" s="97" t="str">
        <f aca="false">IF(ISBLANK($C311),"",IF(G311=Constants!$B$15,Constants!$B$8,IF(G311=Constants!$B$16,Constants!$B$9,Constants!$B$10)))</f>
        <v/>
      </c>
      <c r="T311" s="97" t="str">
        <f aca="false">IF(ISBLANK($C311),"",IF(H311=Constants!$B$2, TRUE(), IF(H311=Constants!$B$3, FALSE(), TRUE())))</f>
        <v/>
      </c>
      <c r="U311" s="97" t="str">
        <f aca="false">IF(ISBLANK($C311),"",IF(I311=Constants!$B$19,Constants!$B$19,Constants!$B$18))</f>
        <v/>
      </c>
      <c r="V311" s="97" t="str">
        <f aca="false">IF(ISBLANK($C311),"",IF(COUNTA(J311:K311)=0,"",IF(AND(OR(ISBLANK(J311),AND(ISNUMBER(J311),J311&gt;=0)),OR(ISBLANK(K311),AND(ISNUMBER(K311),K311&gt;=0))),60*IF(ISBLANK(J311),0,J311)+IF(ISBLANK(K311),0,K311),"")))</f>
        <v/>
      </c>
      <c r="W311" s="97" t="str">
        <f aca="false">IF(ISBLANK($C311),"",IF(L311=Constants!$B$19,Constants!$B$19,Constants!$B$18))</f>
        <v/>
      </c>
      <c r="X311" s="97" t="str">
        <f aca="false">IF(ISBLANK($C311),"",IF(COUNTA(M311:N311)=0,"",IF(AND(OR(ISBLANK(M311),AND(ISNUMBER(M311),M311&gt;=0)),OR(ISBLANK(N311),AND(ISNUMBER(N311),N311&gt;=0))),60*IF(ISBLANK(M311),0,M311)+IF(ISBLANK(N311),0,N311),"")))</f>
        <v/>
      </c>
      <c r="Y311" s="97" t="str">
        <f aca="false">IF(ISBLANK($C311),"",IF(O311=Constants!$B$2, TRUE(), IF(O311=Constants!$B$3, FALSE(), FALSE())))</f>
        <v/>
      </c>
      <c r="Z311" s="97" t="str">
        <f aca="false">IF(ISBLANK($C311),"",IF(Y311,Constants!$B$4,IF(COUNTA(E311:N311)=0,Constants!$B$5,IF(COUNTA(J311:K311,M311:N311)=0,Constants!$B$6,Constants!$B$7))))</f>
        <v/>
      </c>
      <c r="AA311" s="97" t="str">
        <f aca="false">IF(ISBLANK($C311),"",IF($Z311&lt;&gt;Constants!$B$7,$Z311,IF(OR(NOT(T311),AND(NOT(Q311),COUNTIFS(U311:W311,Constants!$B$18,V311:X311,"&gt;=0")&gt;0),AND(NOT(R311),COUNTIFS(U311:W311,Constants!$B$19,V311:X311,"&gt;=0")&gt;0)),Constants!$B$12,Constants!$B$11)))</f>
        <v/>
      </c>
      <c r="AB311" s="97" t="str">
        <f aca="false">IF($Z311=Constants!$B$7,IF(V311="",Constants!$B$13,V311),"")</f>
        <v/>
      </c>
      <c r="AC311" s="97" t="str">
        <f aca="false">IF($Z311=Constants!$B$7,IF(X311="",Constants!$B$13,X311),"")</f>
        <v/>
      </c>
      <c r="AD311" s="97" t="str">
        <f aca="false">IF($Z311=Constants!$B$7,IF($AB311&gt;=$AC311,1,2),"")</f>
        <v/>
      </c>
      <c r="AE311" s="97" t="str">
        <f aca="false">IF($Z311=Constants!$B$7,LARGE(AB311:AC311,1),"")</f>
        <v/>
      </c>
      <c r="AF311" s="97" t="str">
        <f aca="false">IF(ISBLANK($C311),"",IF($Z311&lt;&gt;Constants!$B$7,$Z311,AE311*S311))</f>
        <v/>
      </c>
      <c r="AG311" s="97" t="str">
        <f aca="false">IF(ISBLANK($C311),"",IF($Z311=Constants!$B$7,IF(ISNUMBER(AF311),RANK(AF311,$AF$8:$AF$507),Constants!$B$14),$Z311))</f>
        <v/>
      </c>
      <c r="AH311" s="97" t="str">
        <f aca="false">IF(ISBLANK($C311),"",IF($Z311=Constants!$B$7,IF(ISNUMBER(AG311),COUNTIFS($AA$8:$AA$507,"&lt;"&amp;$AA311)+COUNTIFS($AA$8:$AA$507,$AA311,$AG$8:$AG$507,"&lt;"&amp;$AG311)+1,Constants!$B$14),$Z311))</f>
        <v/>
      </c>
      <c r="AI311" s="97" t="str">
        <f aca="false">IF(ISBLANK($C311),"",IF($Z311=Constants!$B$7,LARGE(AB311:AC311,2)*S311,""))</f>
        <v/>
      </c>
      <c r="AJ311" s="97" t="str">
        <f aca="false">IF(ISBLANK($C311),"",IF($Z311=Constants!$B$7,RANK(AI311,$AI$8:$AI$507),$Z311))</f>
        <v/>
      </c>
      <c r="AK311" s="97" t="str">
        <f aca="false">IF(ISBLANK($C311),"",IF($Z311=Constants!$B$7,IF(ISNUMBER(AG311),COUNTIFS($AA$8:$AA$507,"&lt;"&amp;$AA311)+COUNTIFS($AA$8:$AA$507,$AA311,$AG$8:$AG$507,"&lt;"&amp;$AG311)+COUNTIFS($AA$8:$AA$507,$AA311,$AG$8:$AG$507,$AG311,$AJ$8:$AJ$507,"&lt;"&amp;$AJ311)+1,Constants!$B$14),$Z311))</f>
        <v/>
      </c>
      <c r="AL311" s="97" t="str">
        <f aca="false">IF(ISBLANK($C311),"",IF($Z311=Constants!$B$7,IF(ISNUMBER(AH311),AH311-AK311,Constants!$B$14),$Z311))</f>
        <v/>
      </c>
      <c r="AM311" s="98"/>
      <c r="AN311" s="99" t="str">
        <f aca="false">IF(ISBLANK($C311),"",IF($Z311&lt;&gt;Constants!$B$7,$Z311,AD311))</f>
        <v/>
      </c>
      <c r="AO311" s="100" t="str">
        <f aca="false">IF(ISBLANK($C311),"",IF($Z311&lt;&gt;Constants!$B$7,$Z311,S311))</f>
        <v/>
      </c>
      <c r="AP311" s="101" t="str">
        <f aca="false">IF(ISBLANK($C311),"",IF($Z311&lt;&gt;Constants!$B$7,$Z311,AF311))</f>
        <v/>
      </c>
      <c r="AQ311" s="102" t="str">
        <f aca="false">IF(ISBLANK($C311),"",IF($Z311&lt;&gt;Constants!$B$7,$Z311,AA311))</f>
        <v/>
      </c>
      <c r="AR311" s="100" t="str">
        <f aca="false">IF(ISBLANK($C311),"",AL311)</f>
        <v/>
      </c>
      <c r="AS311" s="100" t="str">
        <f aca="false">IF(ISBLANK($C311),"",AK311)</f>
        <v/>
      </c>
      <c r="AT311" s="103" t="str">
        <f aca="false">IF(ISBLANK($C311),"",IF(AS311=Constants!$B$4,COUNTA($C$8:$C$507)+2,IF(AS311=Constants!$B$5,COUNTA($C$8:$C$507)+1,IF(AS311=Constants!$B$6,COUNTA($C$8:$C$507),AS311))))</f>
        <v/>
      </c>
      <c r="AU311" s="5"/>
      <c r="AV311" s="104" t="n">
        <f aca="false">IF(OR(ISNUMBER(AS311),AS311=Constants!$B$4,AS311=Constants!$B$6,AS311=Constants!$B$5),1,0)</f>
        <v>0</v>
      </c>
      <c r="AW311" s="104" t="n">
        <v>304</v>
      </c>
      <c r="AX311" s="104" t="str">
        <f aca="false">IF(ISBLANK($C311),"",IF(ISNUMBER(AT311),AT311+ROW($B311)/1000,""))</f>
        <v/>
      </c>
      <c r="AY311" s="104" t="str">
        <f aca="false">IF(ISNUMBER(AX311),RANK(AX311,$AX$8:$AX$507,1),"")</f>
        <v/>
      </c>
      <c r="AZ311" s="104" t="str">
        <f aca="false">IF(ISBLANK($C311),"",$B311)</f>
        <v/>
      </c>
      <c r="BA311" s="104" t="str">
        <f aca="false">IF(ISBLANK($C311),"",$C311)</f>
        <v/>
      </c>
      <c r="BB311" s="104" t="str">
        <f aca="false">IF(ISBLANK($C311),"",$D311)</f>
        <v/>
      </c>
      <c r="BC311" s="105" t="str">
        <f aca="false">AQ311</f>
        <v/>
      </c>
      <c r="BD311" s="106" t="str">
        <f aca="false">AP311</f>
        <v/>
      </c>
      <c r="BE311" s="104" t="str">
        <f aca="false">IF(ISBLANK($C311),"",AS311)</f>
        <v/>
      </c>
      <c r="BF311" s="107" t="str">
        <f aca="false">IF($AW311&gt;$AV$7,"",VLOOKUP($AW311,$AY$8:$BE$507,7,FALSE()))</f>
        <v/>
      </c>
      <c r="BG311" s="108" t="str">
        <f aca="false">IF($AW311&gt;$AV$7,"",VLOOKUP($AW311,$AY$8:$BE$507,2,FALSE()))</f>
        <v/>
      </c>
      <c r="BH311" s="108" t="str">
        <f aca="false">IF($AW311&gt;$AV$7,"",VLOOKUP($AW311,$AY$8:$BE$507,3,FALSE()))</f>
        <v/>
      </c>
      <c r="BI311" s="108" t="str">
        <f aca="false">IF($AW311&gt;$AV$7,"",VLOOKUP($AW311,$AY$8:$BE$507,4,FALSE()))</f>
        <v/>
      </c>
      <c r="BJ311" s="108" t="str">
        <f aca="false">IF($AW311&gt;$AV$7,"",VLOOKUP($AW311,$AY$8:$BE$507,5,FALSE()))</f>
        <v/>
      </c>
      <c r="BK311" s="109" t="str">
        <f aca="false">IF($AW311&gt;$AV$7,"",VLOOKUP($AW311,$AY$8:$BE$507,6,FALSE()))</f>
        <v/>
      </c>
      <c r="BL311" s="50"/>
    </row>
    <row r="312" customFormat="false" ht="15.75" hidden="false" customHeight="false" outlineLevel="0" collapsed="false">
      <c r="A312" s="5"/>
      <c r="B312" s="124"/>
      <c r="C312" s="125"/>
      <c r="D312" s="110"/>
      <c r="E312" s="130"/>
      <c r="F312" s="135"/>
      <c r="G312" s="88"/>
      <c r="H312" s="136"/>
      <c r="I312" s="137"/>
      <c r="J312" s="91"/>
      <c r="K312" s="92"/>
      <c r="L312" s="137"/>
      <c r="M312" s="93"/>
      <c r="N312" s="94"/>
      <c r="O312" s="130"/>
      <c r="P312" s="96"/>
      <c r="Q312" s="97" t="str">
        <f aca="false">IF(ISBLANK($C312),"",IF(E312=Constants!$B$2, TRUE(), IF(E312=Constants!$B$3, FALSE(), TRUE())))</f>
        <v/>
      </c>
      <c r="R312" s="97" t="str">
        <f aca="false">IF(ISBLANK($C312),"",IF(F312=Constants!$B$2, TRUE(), IF(F312=Constants!$B$3, FALSE(), TRUE())))</f>
        <v/>
      </c>
      <c r="S312" s="97" t="str">
        <f aca="false">IF(ISBLANK($C312),"",IF(G312=Constants!$B$15,Constants!$B$8,IF(G312=Constants!$B$16,Constants!$B$9,Constants!$B$10)))</f>
        <v/>
      </c>
      <c r="T312" s="97" t="str">
        <f aca="false">IF(ISBLANK($C312),"",IF(H312=Constants!$B$2, TRUE(), IF(H312=Constants!$B$3, FALSE(), TRUE())))</f>
        <v/>
      </c>
      <c r="U312" s="97" t="str">
        <f aca="false">IF(ISBLANK($C312),"",IF(I312=Constants!$B$19,Constants!$B$19,Constants!$B$18))</f>
        <v/>
      </c>
      <c r="V312" s="97" t="str">
        <f aca="false">IF(ISBLANK($C312),"",IF(COUNTA(J312:K312)=0,"",IF(AND(OR(ISBLANK(J312),AND(ISNUMBER(J312),J312&gt;=0)),OR(ISBLANK(K312),AND(ISNUMBER(K312),K312&gt;=0))),60*IF(ISBLANK(J312),0,J312)+IF(ISBLANK(K312),0,K312),"")))</f>
        <v/>
      </c>
      <c r="W312" s="97" t="str">
        <f aca="false">IF(ISBLANK($C312),"",IF(L312=Constants!$B$19,Constants!$B$19,Constants!$B$18))</f>
        <v/>
      </c>
      <c r="X312" s="97" t="str">
        <f aca="false">IF(ISBLANK($C312),"",IF(COUNTA(M312:N312)=0,"",IF(AND(OR(ISBLANK(M312),AND(ISNUMBER(M312),M312&gt;=0)),OR(ISBLANK(N312),AND(ISNUMBER(N312),N312&gt;=0))),60*IF(ISBLANK(M312),0,M312)+IF(ISBLANK(N312),0,N312),"")))</f>
        <v/>
      </c>
      <c r="Y312" s="97" t="str">
        <f aca="false">IF(ISBLANK($C312),"",IF(O312=Constants!$B$2, TRUE(), IF(O312=Constants!$B$3, FALSE(), FALSE())))</f>
        <v/>
      </c>
      <c r="Z312" s="97" t="str">
        <f aca="false">IF(ISBLANK($C312),"",IF(Y312,Constants!$B$4,IF(COUNTA(E312:N312)=0,Constants!$B$5,IF(COUNTA(J312:K312,M312:N312)=0,Constants!$B$6,Constants!$B$7))))</f>
        <v/>
      </c>
      <c r="AA312" s="97" t="str">
        <f aca="false">IF(ISBLANK($C312),"",IF($Z312&lt;&gt;Constants!$B$7,$Z312,IF(OR(NOT(T312),AND(NOT(Q312),COUNTIFS(U312:W312,Constants!$B$18,V312:X312,"&gt;=0")&gt;0),AND(NOT(R312),COUNTIFS(U312:W312,Constants!$B$19,V312:X312,"&gt;=0")&gt;0)),Constants!$B$12,Constants!$B$11)))</f>
        <v/>
      </c>
      <c r="AB312" s="97" t="str">
        <f aca="false">IF($Z312=Constants!$B$7,IF(V312="",Constants!$B$13,V312),"")</f>
        <v/>
      </c>
      <c r="AC312" s="97" t="str">
        <f aca="false">IF($Z312=Constants!$B$7,IF(X312="",Constants!$B$13,X312),"")</f>
        <v/>
      </c>
      <c r="AD312" s="97" t="str">
        <f aca="false">IF($Z312=Constants!$B$7,IF($AB312&gt;=$AC312,1,2),"")</f>
        <v/>
      </c>
      <c r="AE312" s="97" t="str">
        <f aca="false">IF($Z312=Constants!$B$7,LARGE(AB312:AC312,1),"")</f>
        <v/>
      </c>
      <c r="AF312" s="97" t="str">
        <f aca="false">IF(ISBLANK($C312),"",IF($Z312&lt;&gt;Constants!$B$7,$Z312,AE312*S312))</f>
        <v/>
      </c>
      <c r="AG312" s="97" t="str">
        <f aca="false">IF(ISBLANK($C312),"",IF($Z312=Constants!$B$7,IF(ISNUMBER(AF312),RANK(AF312,$AF$8:$AF$507),Constants!$B$14),$Z312))</f>
        <v/>
      </c>
      <c r="AH312" s="97" t="str">
        <f aca="false">IF(ISBLANK($C312),"",IF($Z312=Constants!$B$7,IF(ISNUMBER(AG312),COUNTIFS($AA$8:$AA$507,"&lt;"&amp;$AA312)+COUNTIFS($AA$8:$AA$507,$AA312,$AG$8:$AG$507,"&lt;"&amp;$AG312)+1,Constants!$B$14),$Z312))</f>
        <v/>
      </c>
      <c r="AI312" s="97" t="str">
        <f aca="false">IF(ISBLANK($C312),"",IF($Z312=Constants!$B$7,LARGE(AB312:AC312,2)*S312,""))</f>
        <v/>
      </c>
      <c r="AJ312" s="97" t="str">
        <f aca="false">IF(ISBLANK($C312),"",IF($Z312=Constants!$B$7,RANK(AI312,$AI$8:$AI$507),$Z312))</f>
        <v/>
      </c>
      <c r="AK312" s="97" t="str">
        <f aca="false">IF(ISBLANK($C312),"",IF($Z312=Constants!$B$7,IF(ISNUMBER(AG312),COUNTIFS($AA$8:$AA$507,"&lt;"&amp;$AA312)+COUNTIFS($AA$8:$AA$507,$AA312,$AG$8:$AG$507,"&lt;"&amp;$AG312)+COUNTIFS($AA$8:$AA$507,$AA312,$AG$8:$AG$507,$AG312,$AJ$8:$AJ$507,"&lt;"&amp;$AJ312)+1,Constants!$B$14),$Z312))</f>
        <v/>
      </c>
      <c r="AL312" s="97" t="str">
        <f aca="false">IF(ISBLANK($C312),"",IF($Z312=Constants!$B$7,IF(ISNUMBER(AH312),AH312-AK312,Constants!$B$14),$Z312))</f>
        <v/>
      </c>
      <c r="AM312" s="98"/>
      <c r="AN312" s="99" t="str">
        <f aca="false">IF(ISBLANK($C312),"",IF($Z312&lt;&gt;Constants!$B$7,$Z312,AD312))</f>
        <v/>
      </c>
      <c r="AO312" s="100" t="str">
        <f aca="false">IF(ISBLANK($C312),"",IF($Z312&lt;&gt;Constants!$B$7,$Z312,S312))</f>
        <v/>
      </c>
      <c r="AP312" s="101" t="str">
        <f aca="false">IF(ISBLANK($C312),"",IF($Z312&lt;&gt;Constants!$B$7,$Z312,AF312))</f>
        <v/>
      </c>
      <c r="AQ312" s="102" t="str">
        <f aca="false">IF(ISBLANK($C312),"",IF($Z312&lt;&gt;Constants!$B$7,$Z312,AA312))</f>
        <v/>
      </c>
      <c r="AR312" s="100" t="str">
        <f aca="false">IF(ISBLANK($C312),"",AL312)</f>
        <v/>
      </c>
      <c r="AS312" s="100" t="str">
        <f aca="false">IF(ISBLANK($C312),"",AK312)</f>
        <v/>
      </c>
      <c r="AT312" s="103" t="str">
        <f aca="false">IF(ISBLANK($C312),"",IF(AS312=Constants!$B$4,COUNTA($C$8:$C$507)+2,IF(AS312=Constants!$B$5,COUNTA($C$8:$C$507)+1,IF(AS312=Constants!$B$6,COUNTA($C$8:$C$507),AS312))))</f>
        <v/>
      </c>
      <c r="AU312" s="5"/>
      <c r="AV312" s="104" t="n">
        <f aca="false">IF(OR(ISNUMBER(AS312),AS312=Constants!$B$4,AS312=Constants!$B$6,AS312=Constants!$B$5),1,0)</f>
        <v>0</v>
      </c>
      <c r="AW312" s="104" t="n">
        <v>305</v>
      </c>
      <c r="AX312" s="104" t="str">
        <f aca="false">IF(ISBLANK($C312),"",IF(ISNUMBER(AT312),AT312+ROW($B312)/1000,""))</f>
        <v/>
      </c>
      <c r="AY312" s="104" t="str">
        <f aca="false">IF(ISNUMBER(AX312),RANK(AX312,$AX$8:$AX$507,1),"")</f>
        <v/>
      </c>
      <c r="AZ312" s="104" t="str">
        <f aca="false">IF(ISBLANK($C312),"",$B312)</f>
        <v/>
      </c>
      <c r="BA312" s="104" t="str">
        <f aca="false">IF(ISBLANK($C312),"",$C312)</f>
        <v/>
      </c>
      <c r="BB312" s="104" t="str">
        <f aca="false">IF(ISBLANK($C312),"",$D312)</f>
        <v/>
      </c>
      <c r="BC312" s="105" t="str">
        <f aca="false">AQ312</f>
        <v/>
      </c>
      <c r="BD312" s="106" t="str">
        <f aca="false">AP312</f>
        <v/>
      </c>
      <c r="BE312" s="104" t="str">
        <f aca="false">IF(ISBLANK($C312),"",AS312)</f>
        <v/>
      </c>
      <c r="BF312" s="107" t="str">
        <f aca="false">IF($AW312&gt;$AV$7,"",VLOOKUP($AW312,$AY$8:$BE$507,7,FALSE()))</f>
        <v/>
      </c>
      <c r="BG312" s="108" t="str">
        <f aca="false">IF($AW312&gt;$AV$7,"",VLOOKUP($AW312,$AY$8:$BE$507,2,FALSE()))</f>
        <v/>
      </c>
      <c r="BH312" s="108" t="str">
        <f aca="false">IF($AW312&gt;$AV$7,"",VLOOKUP($AW312,$AY$8:$BE$507,3,FALSE()))</f>
        <v/>
      </c>
      <c r="BI312" s="108" t="str">
        <f aca="false">IF($AW312&gt;$AV$7,"",VLOOKUP($AW312,$AY$8:$BE$507,4,FALSE()))</f>
        <v/>
      </c>
      <c r="BJ312" s="108" t="str">
        <f aca="false">IF($AW312&gt;$AV$7,"",VLOOKUP($AW312,$AY$8:$BE$507,5,FALSE()))</f>
        <v/>
      </c>
      <c r="BK312" s="109" t="str">
        <f aca="false">IF($AW312&gt;$AV$7,"",VLOOKUP($AW312,$AY$8:$BE$507,6,FALSE()))</f>
        <v/>
      </c>
      <c r="BL312" s="50"/>
    </row>
    <row r="313" customFormat="false" ht="15.75" hidden="false" customHeight="false" outlineLevel="0" collapsed="false">
      <c r="A313" s="5"/>
      <c r="B313" s="124"/>
      <c r="C313" s="125"/>
      <c r="D313" s="110"/>
      <c r="E313" s="130"/>
      <c r="F313" s="135"/>
      <c r="G313" s="88"/>
      <c r="H313" s="136"/>
      <c r="I313" s="137"/>
      <c r="J313" s="91"/>
      <c r="K313" s="92"/>
      <c r="L313" s="137"/>
      <c r="M313" s="93"/>
      <c r="N313" s="94"/>
      <c r="O313" s="130"/>
      <c r="P313" s="96"/>
      <c r="Q313" s="97" t="str">
        <f aca="false">IF(ISBLANK($C313),"",IF(E313=Constants!$B$2, TRUE(), IF(E313=Constants!$B$3, FALSE(), TRUE())))</f>
        <v/>
      </c>
      <c r="R313" s="97" t="str">
        <f aca="false">IF(ISBLANK($C313),"",IF(F313=Constants!$B$2, TRUE(), IF(F313=Constants!$B$3, FALSE(), TRUE())))</f>
        <v/>
      </c>
      <c r="S313" s="97" t="str">
        <f aca="false">IF(ISBLANK($C313),"",IF(G313=Constants!$B$15,Constants!$B$8,IF(G313=Constants!$B$16,Constants!$B$9,Constants!$B$10)))</f>
        <v/>
      </c>
      <c r="T313" s="97" t="str">
        <f aca="false">IF(ISBLANK($C313),"",IF(H313=Constants!$B$2, TRUE(), IF(H313=Constants!$B$3, FALSE(), TRUE())))</f>
        <v/>
      </c>
      <c r="U313" s="97" t="str">
        <f aca="false">IF(ISBLANK($C313),"",IF(I313=Constants!$B$19,Constants!$B$19,Constants!$B$18))</f>
        <v/>
      </c>
      <c r="V313" s="97" t="str">
        <f aca="false">IF(ISBLANK($C313),"",IF(COUNTA(J313:K313)=0,"",IF(AND(OR(ISBLANK(J313),AND(ISNUMBER(J313),J313&gt;=0)),OR(ISBLANK(K313),AND(ISNUMBER(K313),K313&gt;=0))),60*IF(ISBLANK(J313),0,J313)+IF(ISBLANK(K313),0,K313),"")))</f>
        <v/>
      </c>
      <c r="W313" s="97" t="str">
        <f aca="false">IF(ISBLANK($C313),"",IF(L313=Constants!$B$19,Constants!$B$19,Constants!$B$18))</f>
        <v/>
      </c>
      <c r="X313" s="97" t="str">
        <f aca="false">IF(ISBLANK($C313),"",IF(COUNTA(M313:N313)=0,"",IF(AND(OR(ISBLANK(M313),AND(ISNUMBER(M313),M313&gt;=0)),OR(ISBLANK(N313),AND(ISNUMBER(N313),N313&gt;=0))),60*IF(ISBLANK(M313),0,M313)+IF(ISBLANK(N313),0,N313),"")))</f>
        <v/>
      </c>
      <c r="Y313" s="97" t="str">
        <f aca="false">IF(ISBLANK($C313),"",IF(O313=Constants!$B$2, TRUE(), IF(O313=Constants!$B$3, FALSE(), FALSE())))</f>
        <v/>
      </c>
      <c r="Z313" s="97" t="str">
        <f aca="false">IF(ISBLANK($C313),"",IF(Y313,Constants!$B$4,IF(COUNTA(E313:N313)=0,Constants!$B$5,IF(COUNTA(J313:K313,M313:N313)=0,Constants!$B$6,Constants!$B$7))))</f>
        <v/>
      </c>
      <c r="AA313" s="97" t="str">
        <f aca="false">IF(ISBLANK($C313),"",IF($Z313&lt;&gt;Constants!$B$7,$Z313,IF(OR(NOT(T313),AND(NOT(Q313),COUNTIFS(U313:W313,Constants!$B$18,V313:X313,"&gt;=0")&gt;0),AND(NOT(R313),COUNTIFS(U313:W313,Constants!$B$19,V313:X313,"&gt;=0")&gt;0)),Constants!$B$12,Constants!$B$11)))</f>
        <v/>
      </c>
      <c r="AB313" s="97" t="str">
        <f aca="false">IF($Z313=Constants!$B$7,IF(V313="",Constants!$B$13,V313),"")</f>
        <v/>
      </c>
      <c r="AC313" s="97" t="str">
        <f aca="false">IF($Z313=Constants!$B$7,IF(X313="",Constants!$B$13,X313),"")</f>
        <v/>
      </c>
      <c r="AD313" s="97" t="str">
        <f aca="false">IF($Z313=Constants!$B$7,IF($AB313&gt;=$AC313,1,2),"")</f>
        <v/>
      </c>
      <c r="AE313" s="97" t="str">
        <f aca="false">IF($Z313=Constants!$B$7,LARGE(AB313:AC313,1),"")</f>
        <v/>
      </c>
      <c r="AF313" s="97" t="str">
        <f aca="false">IF(ISBLANK($C313),"",IF($Z313&lt;&gt;Constants!$B$7,$Z313,AE313*S313))</f>
        <v/>
      </c>
      <c r="AG313" s="97" t="str">
        <f aca="false">IF(ISBLANK($C313),"",IF($Z313=Constants!$B$7,IF(ISNUMBER(AF313),RANK(AF313,$AF$8:$AF$507),Constants!$B$14),$Z313))</f>
        <v/>
      </c>
      <c r="AH313" s="97" t="str">
        <f aca="false">IF(ISBLANK($C313),"",IF($Z313=Constants!$B$7,IF(ISNUMBER(AG313),COUNTIFS($AA$8:$AA$507,"&lt;"&amp;$AA313)+COUNTIFS($AA$8:$AA$507,$AA313,$AG$8:$AG$507,"&lt;"&amp;$AG313)+1,Constants!$B$14),$Z313))</f>
        <v/>
      </c>
      <c r="AI313" s="97" t="str">
        <f aca="false">IF(ISBLANK($C313),"",IF($Z313=Constants!$B$7,LARGE(AB313:AC313,2)*S313,""))</f>
        <v/>
      </c>
      <c r="AJ313" s="97" t="str">
        <f aca="false">IF(ISBLANK($C313),"",IF($Z313=Constants!$B$7,RANK(AI313,$AI$8:$AI$507),$Z313))</f>
        <v/>
      </c>
      <c r="AK313" s="97" t="str">
        <f aca="false">IF(ISBLANK($C313),"",IF($Z313=Constants!$B$7,IF(ISNUMBER(AG313),COUNTIFS($AA$8:$AA$507,"&lt;"&amp;$AA313)+COUNTIFS($AA$8:$AA$507,$AA313,$AG$8:$AG$507,"&lt;"&amp;$AG313)+COUNTIFS($AA$8:$AA$507,$AA313,$AG$8:$AG$507,$AG313,$AJ$8:$AJ$507,"&lt;"&amp;$AJ313)+1,Constants!$B$14),$Z313))</f>
        <v/>
      </c>
      <c r="AL313" s="97" t="str">
        <f aca="false">IF(ISBLANK($C313),"",IF($Z313=Constants!$B$7,IF(ISNUMBER(AH313),AH313-AK313,Constants!$B$14),$Z313))</f>
        <v/>
      </c>
      <c r="AM313" s="98"/>
      <c r="AN313" s="99" t="str">
        <f aca="false">IF(ISBLANK($C313),"",IF($Z313&lt;&gt;Constants!$B$7,$Z313,AD313))</f>
        <v/>
      </c>
      <c r="AO313" s="100" t="str">
        <f aca="false">IF(ISBLANK($C313),"",IF($Z313&lt;&gt;Constants!$B$7,$Z313,S313))</f>
        <v/>
      </c>
      <c r="AP313" s="101" t="str">
        <f aca="false">IF(ISBLANK($C313),"",IF($Z313&lt;&gt;Constants!$B$7,$Z313,AF313))</f>
        <v/>
      </c>
      <c r="AQ313" s="102" t="str">
        <f aca="false">IF(ISBLANK($C313),"",IF($Z313&lt;&gt;Constants!$B$7,$Z313,AA313))</f>
        <v/>
      </c>
      <c r="AR313" s="100" t="str">
        <f aca="false">IF(ISBLANK($C313),"",AL313)</f>
        <v/>
      </c>
      <c r="AS313" s="100" t="str">
        <f aca="false">IF(ISBLANK($C313),"",AK313)</f>
        <v/>
      </c>
      <c r="AT313" s="103" t="str">
        <f aca="false">IF(ISBLANK($C313),"",IF(AS313=Constants!$B$4,COUNTA($C$8:$C$507)+2,IF(AS313=Constants!$B$5,COUNTA($C$8:$C$507)+1,IF(AS313=Constants!$B$6,COUNTA($C$8:$C$507),AS313))))</f>
        <v/>
      </c>
      <c r="AU313" s="5"/>
      <c r="AV313" s="104" t="n">
        <f aca="false">IF(OR(ISNUMBER(AS313),AS313=Constants!$B$4,AS313=Constants!$B$6,AS313=Constants!$B$5),1,0)</f>
        <v>0</v>
      </c>
      <c r="AW313" s="104" t="n">
        <v>306</v>
      </c>
      <c r="AX313" s="104" t="str">
        <f aca="false">IF(ISBLANK($C313),"",IF(ISNUMBER(AT313),AT313+ROW($B313)/1000,""))</f>
        <v/>
      </c>
      <c r="AY313" s="104" t="str">
        <f aca="false">IF(ISNUMBER(AX313),RANK(AX313,$AX$8:$AX$507,1),"")</f>
        <v/>
      </c>
      <c r="AZ313" s="104" t="str">
        <f aca="false">IF(ISBLANK($C313),"",$B313)</f>
        <v/>
      </c>
      <c r="BA313" s="104" t="str">
        <f aca="false">IF(ISBLANK($C313),"",$C313)</f>
        <v/>
      </c>
      <c r="BB313" s="104" t="str">
        <f aca="false">IF(ISBLANK($C313),"",$D313)</f>
        <v/>
      </c>
      <c r="BC313" s="105" t="str">
        <f aca="false">AQ313</f>
        <v/>
      </c>
      <c r="BD313" s="106" t="str">
        <f aca="false">AP313</f>
        <v/>
      </c>
      <c r="BE313" s="104" t="str">
        <f aca="false">IF(ISBLANK($C313),"",AS313)</f>
        <v/>
      </c>
      <c r="BF313" s="107" t="str">
        <f aca="false">IF($AW313&gt;$AV$7,"",VLOOKUP($AW313,$AY$8:$BE$507,7,FALSE()))</f>
        <v/>
      </c>
      <c r="BG313" s="108" t="str">
        <f aca="false">IF($AW313&gt;$AV$7,"",VLOOKUP($AW313,$AY$8:$BE$507,2,FALSE()))</f>
        <v/>
      </c>
      <c r="BH313" s="108" t="str">
        <f aca="false">IF($AW313&gt;$AV$7,"",VLOOKUP($AW313,$AY$8:$BE$507,3,FALSE()))</f>
        <v/>
      </c>
      <c r="BI313" s="108" t="str">
        <f aca="false">IF($AW313&gt;$AV$7,"",VLOOKUP($AW313,$AY$8:$BE$507,4,FALSE()))</f>
        <v/>
      </c>
      <c r="BJ313" s="108" t="str">
        <f aca="false">IF($AW313&gt;$AV$7,"",VLOOKUP($AW313,$AY$8:$BE$507,5,FALSE()))</f>
        <v/>
      </c>
      <c r="BK313" s="109" t="str">
        <f aca="false">IF($AW313&gt;$AV$7,"",VLOOKUP($AW313,$AY$8:$BE$507,6,FALSE()))</f>
        <v/>
      </c>
      <c r="BL313" s="50"/>
    </row>
    <row r="314" customFormat="false" ht="15.75" hidden="false" customHeight="false" outlineLevel="0" collapsed="false">
      <c r="A314" s="5"/>
      <c r="B314" s="131"/>
      <c r="C314" s="52"/>
      <c r="D314" s="53"/>
      <c r="E314" s="80"/>
      <c r="F314" s="132"/>
      <c r="G314" s="56"/>
      <c r="H314" s="133"/>
      <c r="I314" s="134"/>
      <c r="J314" s="59"/>
      <c r="K314" s="60"/>
      <c r="L314" s="134"/>
      <c r="M314" s="61"/>
      <c r="N314" s="62"/>
      <c r="O314" s="80"/>
      <c r="P314" s="64"/>
      <c r="Q314" s="65" t="str">
        <f aca="false">IF(ISBLANK($C314),"",IF(E314=Constants!$B$2, TRUE(), IF(E314=Constants!$B$3, FALSE(), TRUE())))</f>
        <v/>
      </c>
      <c r="R314" s="65" t="str">
        <f aca="false">IF(ISBLANK($C314),"",IF(F314=Constants!$B$2, TRUE(), IF(F314=Constants!$B$3, FALSE(), TRUE())))</f>
        <v/>
      </c>
      <c r="S314" s="65" t="str">
        <f aca="false">IF(ISBLANK($C314),"",IF(G314=Constants!$B$15,Constants!$B$8,IF(G314=Constants!$B$16,Constants!$B$9,Constants!$B$10)))</f>
        <v/>
      </c>
      <c r="T314" s="65" t="str">
        <f aca="false">IF(ISBLANK($C314),"",IF(H314=Constants!$B$2, TRUE(), IF(H314=Constants!$B$3, FALSE(), TRUE())))</f>
        <v/>
      </c>
      <c r="U314" s="65" t="str">
        <f aca="false">IF(ISBLANK($C314),"",IF(I314=Constants!$B$19,Constants!$B$19,Constants!$B$18))</f>
        <v/>
      </c>
      <c r="V314" s="65" t="str">
        <f aca="false">IF(ISBLANK($C314),"",IF(COUNTA(J314:K314)=0,"",IF(AND(OR(ISBLANK(J314),AND(ISNUMBER(J314),J314&gt;=0)),OR(ISBLANK(K314),AND(ISNUMBER(K314),K314&gt;=0))),60*IF(ISBLANK(J314),0,J314)+IF(ISBLANK(K314),0,K314),"")))</f>
        <v/>
      </c>
      <c r="W314" s="65" t="str">
        <f aca="false">IF(ISBLANK($C314),"",IF(L314=Constants!$B$19,Constants!$B$19,Constants!$B$18))</f>
        <v/>
      </c>
      <c r="X314" s="65" t="str">
        <f aca="false">IF(ISBLANK($C314),"",IF(COUNTA(M314:N314)=0,"",IF(AND(OR(ISBLANK(M314),AND(ISNUMBER(M314),M314&gt;=0)),OR(ISBLANK(N314),AND(ISNUMBER(N314),N314&gt;=0))),60*IF(ISBLANK(M314),0,M314)+IF(ISBLANK(N314),0,N314),"")))</f>
        <v/>
      </c>
      <c r="Y314" s="65" t="str">
        <f aca="false">IF(ISBLANK($C314),"",IF(O314=Constants!$B$2, TRUE(), IF(O314=Constants!$B$3, FALSE(), FALSE())))</f>
        <v/>
      </c>
      <c r="Z314" s="65" t="str">
        <f aca="false">IF(ISBLANK($C314),"",IF(Y314,Constants!$B$4,IF(COUNTA(E314:N314)=0,Constants!$B$5,IF(COUNTA(J314:K314,M314:N314)=0,Constants!$B$6,Constants!$B$7))))</f>
        <v/>
      </c>
      <c r="AA314" s="65" t="str">
        <f aca="false">IF(ISBLANK($C314),"",IF($Z314&lt;&gt;Constants!$B$7,$Z314,IF(OR(NOT(T314),AND(NOT(Q314),COUNTIFS(U314:W314,Constants!$B$18,V314:X314,"&gt;=0")&gt;0),AND(NOT(R314),COUNTIFS(U314:W314,Constants!$B$19,V314:X314,"&gt;=0")&gt;0)),Constants!$B$12,Constants!$B$11)))</f>
        <v/>
      </c>
      <c r="AB314" s="65" t="str">
        <f aca="false">IF($Z314=Constants!$B$7,IF(V314="",Constants!$B$13,V314),"")</f>
        <v/>
      </c>
      <c r="AC314" s="65" t="str">
        <f aca="false">IF($Z314=Constants!$B$7,IF(X314="",Constants!$B$13,X314),"")</f>
        <v/>
      </c>
      <c r="AD314" s="65" t="str">
        <f aca="false">IF($Z314=Constants!$B$7,IF($AB314&gt;=$AC314,1,2),"")</f>
        <v/>
      </c>
      <c r="AE314" s="65" t="str">
        <f aca="false">IF($Z314=Constants!$B$7,LARGE(AB314:AC314,1),"")</f>
        <v/>
      </c>
      <c r="AF314" s="65" t="str">
        <f aca="false">IF(ISBLANK($C314),"",IF($Z314&lt;&gt;Constants!$B$7,$Z314,AE314*S314))</f>
        <v/>
      </c>
      <c r="AG314" s="65" t="str">
        <f aca="false">IF(ISBLANK($C314),"",IF($Z314=Constants!$B$7,IF(ISNUMBER(AF314),RANK(AF314,$AF$8:$AF$507),Constants!$B$14),$Z314))</f>
        <v/>
      </c>
      <c r="AH314" s="65" t="str">
        <f aca="false">IF(ISBLANK($C314),"",IF($Z314=Constants!$B$7,IF(ISNUMBER(AG314),COUNTIFS($AA$8:$AA$507,"&lt;"&amp;$AA314)+COUNTIFS($AA$8:$AA$507,$AA314,$AG$8:$AG$507,"&lt;"&amp;$AG314)+1,Constants!$B$14),$Z314))</f>
        <v/>
      </c>
      <c r="AI314" s="65" t="str">
        <f aca="false">IF(ISBLANK($C314),"",IF($Z314=Constants!$B$7,LARGE(AB314:AC314,2)*S314,""))</f>
        <v/>
      </c>
      <c r="AJ314" s="65" t="str">
        <f aca="false">IF(ISBLANK($C314),"",IF($Z314=Constants!$B$7,RANK(AI314,$AI$8:$AI$507),$Z314))</f>
        <v/>
      </c>
      <c r="AK314" s="65" t="str">
        <f aca="false">IF(ISBLANK($C314),"",IF($Z314=Constants!$B$7,IF(ISNUMBER(AG314),COUNTIFS($AA$8:$AA$507,"&lt;"&amp;$AA314)+COUNTIFS($AA$8:$AA$507,$AA314,$AG$8:$AG$507,"&lt;"&amp;$AG314)+COUNTIFS($AA$8:$AA$507,$AA314,$AG$8:$AG$507,$AG314,$AJ$8:$AJ$507,"&lt;"&amp;$AJ314)+1,Constants!$B$14),$Z314))</f>
        <v/>
      </c>
      <c r="AL314" s="65" t="str">
        <f aca="false">IF(ISBLANK($C314),"",IF($Z314=Constants!$B$7,IF(ISNUMBER(AH314),AH314-AK314,Constants!$B$14),$Z314))</f>
        <v/>
      </c>
      <c r="AM314" s="67"/>
      <c r="AN314" s="68" t="str">
        <f aca="false">IF(ISBLANK($C314),"",IF($Z314&lt;&gt;Constants!$B$7,$Z314,AD314))</f>
        <v/>
      </c>
      <c r="AO314" s="69" t="str">
        <f aca="false">IF(ISBLANK($C314),"",IF($Z314&lt;&gt;Constants!$B$7,$Z314,S314))</f>
        <v/>
      </c>
      <c r="AP314" s="70" t="str">
        <f aca="false">IF(ISBLANK($C314),"",IF($Z314&lt;&gt;Constants!$B$7,$Z314,AF314))</f>
        <v/>
      </c>
      <c r="AQ314" s="71" t="str">
        <f aca="false">IF(ISBLANK($C314),"",IF($Z314&lt;&gt;Constants!$B$7,$Z314,AA314))</f>
        <v/>
      </c>
      <c r="AR314" s="69" t="str">
        <f aca="false">IF(ISBLANK($C314),"",AL314)</f>
        <v/>
      </c>
      <c r="AS314" s="69" t="str">
        <f aca="false">IF(ISBLANK($C314),"",AK314)</f>
        <v/>
      </c>
      <c r="AT314" s="72" t="str">
        <f aca="false">IF(ISBLANK($C314),"",IF(AS314=Constants!$B$4,COUNTA($C$8:$C$507)+2,IF(AS314=Constants!$B$5,COUNTA($C$8:$C$507)+1,IF(AS314=Constants!$B$6,COUNTA($C$8:$C$507),AS314))))</f>
        <v/>
      </c>
      <c r="AU314" s="5"/>
      <c r="AV314" s="73" t="n">
        <f aca="false">IF(OR(ISNUMBER(AS314),AS314=Constants!$B$4,AS314=Constants!$B$6,AS314=Constants!$B$5),1,0)</f>
        <v>0</v>
      </c>
      <c r="AW314" s="73" t="n">
        <v>307</v>
      </c>
      <c r="AX314" s="73" t="str">
        <f aca="false">IF(ISBLANK($C314),"",IF(ISNUMBER(AT314),AT314+ROW($B314)/1000,""))</f>
        <v/>
      </c>
      <c r="AY314" s="73" t="str">
        <f aca="false">IF(ISNUMBER(AX314),RANK(AX314,$AX$8:$AX$507,1),"")</f>
        <v/>
      </c>
      <c r="AZ314" s="73" t="str">
        <f aca="false">IF(ISBLANK($C314),"",$B314)</f>
        <v/>
      </c>
      <c r="BA314" s="73" t="str">
        <f aca="false">IF(ISBLANK($C314),"",$C314)</f>
        <v/>
      </c>
      <c r="BB314" s="73" t="str">
        <f aca="false">IF(ISBLANK($C314),"",$D314)</f>
        <v/>
      </c>
      <c r="BC314" s="74" t="str">
        <f aca="false">AQ314</f>
        <v/>
      </c>
      <c r="BD314" s="75" t="str">
        <f aca="false">AP314</f>
        <v/>
      </c>
      <c r="BE314" s="73" t="str">
        <f aca="false">IF(ISBLANK($C314),"",AS314)</f>
        <v/>
      </c>
      <c r="BF314" s="76" t="str">
        <f aca="false">IF($AW314&gt;$AV$7,"",VLOOKUP($AW314,$AY$8:$BE$507,7,FALSE()))</f>
        <v/>
      </c>
      <c r="BG314" s="77" t="str">
        <f aca="false">IF($AW314&gt;$AV$7,"",VLOOKUP($AW314,$AY$8:$BE$507,2,FALSE()))</f>
        <v/>
      </c>
      <c r="BH314" s="77" t="str">
        <f aca="false">IF($AW314&gt;$AV$7,"",VLOOKUP($AW314,$AY$8:$BE$507,3,FALSE()))</f>
        <v/>
      </c>
      <c r="BI314" s="77" t="str">
        <f aca="false">IF($AW314&gt;$AV$7,"",VLOOKUP($AW314,$AY$8:$BE$507,4,FALSE()))</f>
        <v/>
      </c>
      <c r="BJ314" s="77" t="str">
        <f aca="false">IF($AW314&gt;$AV$7,"",VLOOKUP($AW314,$AY$8:$BE$507,5,FALSE()))</f>
        <v/>
      </c>
      <c r="BK314" s="78" t="str">
        <f aca="false">IF($AW314&gt;$AV$7,"",VLOOKUP($AW314,$AY$8:$BE$507,6,FALSE()))</f>
        <v/>
      </c>
      <c r="BL314" s="50"/>
    </row>
    <row r="315" customFormat="false" ht="15.75" hidden="false" customHeight="false" outlineLevel="0" collapsed="false">
      <c r="A315" s="5"/>
      <c r="B315" s="131"/>
      <c r="C315" s="52"/>
      <c r="D315" s="53"/>
      <c r="E315" s="80"/>
      <c r="F315" s="132"/>
      <c r="G315" s="56"/>
      <c r="H315" s="133"/>
      <c r="I315" s="134"/>
      <c r="J315" s="59"/>
      <c r="K315" s="60"/>
      <c r="L315" s="134"/>
      <c r="M315" s="61"/>
      <c r="N315" s="62"/>
      <c r="O315" s="80"/>
      <c r="P315" s="64"/>
      <c r="Q315" s="65" t="str">
        <f aca="false">IF(ISBLANK($C315),"",IF(E315=Constants!$B$2, TRUE(), IF(E315=Constants!$B$3, FALSE(), TRUE())))</f>
        <v/>
      </c>
      <c r="R315" s="65" t="str">
        <f aca="false">IF(ISBLANK($C315),"",IF(F315=Constants!$B$2, TRUE(), IF(F315=Constants!$B$3, FALSE(), TRUE())))</f>
        <v/>
      </c>
      <c r="S315" s="65" t="str">
        <f aca="false">IF(ISBLANK($C315),"",IF(G315=Constants!$B$15,Constants!$B$8,IF(G315=Constants!$B$16,Constants!$B$9,Constants!$B$10)))</f>
        <v/>
      </c>
      <c r="T315" s="65" t="str">
        <f aca="false">IF(ISBLANK($C315),"",IF(H315=Constants!$B$2, TRUE(), IF(H315=Constants!$B$3, FALSE(), TRUE())))</f>
        <v/>
      </c>
      <c r="U315" s="65" t="str">
        <f aca="false">IF(ISBLANK($C315),"",IF(I315=Constants!$B$19,Constants!$B$19,Constants!$B$18))</f>
        <v/>
      </c>
      <c r="V315" s="65" t="str">
        <f aca="false">IF(ISBLANK($C315),"",IF(COUNTA(J315:K315)=0,"",IF(AND(OR(ISBLANK(J315),AND(ISNUMBER(J315),J315&gt;=0)),OR(ISBLANK(K315),AND(ISNUMBER(K315),K315&gt;=0))),60*IF(ISBLANK(J315),0,J315)+IF(ISBLANK(K315),0,K315),"")))</f>
        <v/>
      </c>
      <c r="W315" s="65" t="str">
        <f aca="false">IF(ISBLANK($C315),"",IF(L315=Constants!$B$19,Constants!$B$19,Constants!$B$18))</f>
        <v/>
      </c>
      <c r="X315" s="65" t="str">
        <f aca="false">IF(ISBLANK($C315),"",IF(COUNTA(M315:N315)=0,"",IF(AND(OR(ISBLANK(M315),AND(ISNUMBER(M315),M315&gt;=0)),OR(ISBLANK(N315),AND(ISNUMBER(N315),N315&gt;=0))),60*IF(ISBLANK(M315),0,M315)+IF(ISBLANK(N315),0,N315),"")))</f>
        <v/>
      </c>
      <c r="Y315" s="65" t="str">
        <f aca="false">IF(ISBLANK($C315),"",IF(O315=Constants!$B$2, TRUE(), IF(O315=Constants!$B$3, FALSE(), FALSE())))</f>
        <v/>
      </c>
      <c r="Z315" s="65" t="str">
        <f aca="false">IF(ISBLANK($C315),"",IF(Y315,Constants!$B$4,IF(COUNTA(E315:N315)=0,Constants!$B$5,IF(COUNTA(J315:K315,M315:N315)=0,Constants!$B$6,Constants!$B$7))))</f>
        <v/>
      </c>
      <c r="AA315" s="65" t="str">
        <f aca="false">IF(ISBLANK($C315),"",IF($Z315&lt;&gt;Constants!$B$7,$Z315,IF(OR(NOT(T315),AND(NOT(Q315),COUNTIFS(U315:W315,Constants!$B$18,V315:X315,"&gt;=0")&gt;0),AND(NOT(R315),COUNTIFS(U315:W315,Constants!$B$19,V315:X315,"&gt;=0")&gt;0)),Constants!$B$12,Constants!$B$11)))</f>
        <v/>
      </c>
      <c r="AB315" s="65" t="str">
        <f aca="false">IF($Z315=Constants!$B$7,IF(V315="",Constants!$B$13,V315),"")</f>
        <v/>
      </c>
      <c r="AC315" s="65" t="str">
        <f aca="false">IF($Z315=Constants!$B$7,IF(X315="",Constants!$B$13,X315),"")</f>
        <v/>
      </c>
      <c r="AD315" s="65" t="str">
        <f aca="false">IF($Z315=Constants!$B$7,IF($AB315&gt;=$AC315,1,2),"")</f>
        <v/>
      </c>
      <c r="AE315" s="65" t="str">
        <f aca="false">IF($Z315=Constants!$B$7,LARGE(AB315:AC315,1),"")</f>
        <v/>
      </c>
      <c r="AF315" s="65" t="str">
        <f aca="false">IF(ISBLANK($C315),"",IF($Z315&lt;&gt;Constants!$B$7,$Z315,AE315*S315))</f>
        <v/>
      </c>
      <c r="AG315" s="65" t="str">
        <f aca="false">IF(ISBLANK($C315),"",IF($Z315=Constants!$B$7,IF(ISNUMBER(AF315),RANK(AF315,$AF$8:$AF$507),Constants!$B$14),$Z315))</f>
        <v/>
      </c>
      <c r="AH315" s="65" t="str">
        <f aca="false">IF(ISBLANK($C315),"",IF($Z315=Constants!$B$7,IF(ISNUMBER(AG315),COUNTIFS($AA$8:$AA$507,"&lt;"&amp;$AA315)+COUNTIFS($AA$8:$AA$507,$AA315,$AG$8:$AG$507,"&lt;"&amp;$AG315)+1,Constants!$B$14),$Z315))</f>
        <v/>
      </c>
      <c r="AI315" s="65" t="str">
        <f aca="false">IF(ISBLANK($C315),"",IF($Z315=Constants!$B$7,LARGE(AB315:AC315,2)*S315,""))</f>
        <v/>
      </c>
      <c r="AJ315" s="65" t="str">
        <f aca="false">IF(ISBLANK($C315),"",IF($Z315=Constants!$B$7,RANK(AI315,$AI$8:$AI$507),$Z315))</f>
        <v/>
      </c>
      <c r="AK315" s="65" t="str">
        <f aca="false">IF(ISBLANK($C315),"",IF($Z315=Constants!$B$7,IF(ISNUMBER(AG315),COUNTIFS($AA$8:$AA$507,"&lt;"&amp;$AA315)+COUNTIFS($AA$8:$AA$507,$AA315,$AG$8:$AG$507,"&lt;"&amp;$AG315)+COUNTIFS($AA$8:$AA$507,$AA315,$AG$8:$AG$507,$AG315,$AJ$8:$AJ$507,"&lt;"&amp;$AJ315)+1,Constants!$B$14),$Z315))</f>
        <v/>
      </c>
      <c r="AL315" s="65" t="str">
        <f aca="false">IF(ISBLANK($C315),"",IF($Z315=Constants!$B$7,IF(ISNUMBER(AH315),AH315-AK315,Constants!$B$14),$Z315))</f>
        <v/>
      </c>
      <c r="AM315" s="67"/>
      <c r="AN315" s="68" t="str">
        <f aca="false">IF(ISBLANK($C315),"",IF($Z315&lt;&gt;Constants!$B$7,$Z315,AD315))</f>
        <v/>
      </c>
      <c r="AO315" s="69" t="str">
        <f aca="false">IF(ISBLANK($C315),"",IF($Z315&lt;&gt;Constants!$B$7,$Z315,S315))</f>
        <v/>
      </c>
      <c r="AP315" s="70" t="str">
        <f aca="false">IF(ISBLANK($C315),"",IF($Z315&lt;&gt;Constants!$B$7,$Z315,AF315))</f>
        <v/>
      </c>
      <c r="AQ315" s="71" t="str">
        <f aca="false">IF(ISBLANK($C315),"",IF($Z315&lt;&gt;Constants!$B$7,$Z315,AA315))</f>
        <v/>
      </c>
      <c r="AR315" s="69" t="str">
        <f aca="false">IF(ISBLANK($C315),"",AL315)</f>
        <v/>
      </c>
      <c r="AS315" s="69" t="str">
        <f aca="false">IF(ISBLANK($C315),"",AK315)</f>
        <v/>
      </c>
      <c r="AT315" s="72" t="str">
        <f aca="false">IF(ISBLANK($C315),"",IF(AS315=Constants!$B$4,COUNTA($C$8:$C$507)+2,IF(AS315=Constants!$B$5,COUNTA($C$8:$C$507)+1,IF(AS315=Constants!$B$6,COUNTA($C$8:$C$507),AS315))))</f>
        <v/>
      </c>
      <c r="AU315" s="5"/>
      <c r="AV315" s="73" t="n">
        <f aca="false">IF(OR(ISNUMBER(AS315),AS315=Constants!$B$4,AS315=Constants!$B$6,AS315=Constants!$B$5),1,0)</f>
        <v>0</v>
      </c>
      <c r="AW315" s="73" t="n">
        <v>308</v>
      </c>
      <c r="AX315" s="73" t="str">
        <f aca="false">IF(ISBLANK($C315),"",IF(ISNUMBER(AT315),AT315+ROW($B315)/1000,""))</f>
        <v/>
      </c>
      <c r="AY315" s="73" t="str">
        <f aca="false">IF(ISNUMBER(AX315),RANK(AX315,$AX$8:$AX$507,1),"")</f>
        <v/>
      </c>
      <c r="AZ315" s="73" t="str">
        <f aca="false">IF(ISBLANK($C315),"",$B315)</f>
        <v/>
      </c>
      <c r="BA315" s="73" t="str">
        <f aca="false">IF(ISBLANK($C315),"",$C315)</f>
        <v/>
      </c>
      <c r="BB315" s="73" t="str">
        <f aca="false">IF(ISBLANK($C315),"",$D315)</f>
        <v/>
      </c>
      <c r="BC315" s="74" t="str">
        <f aca="false">AQ315</f>
        <v/>
      </c>
      <c r="BD315" s="75" t="str">
        <f aca="false">AP315</f>
        <v/>
      </c>
      <c r="BE315" s="73" t="str">
        <f aca="false">IF(ISBLANK($C315),"",AS315)</f>
        <v/>
      </c>
      <c r="BF315" s="76" t="str">
        <f aca="false">IF($AW315&gt;$AV$7,"",VLOOKUP($AW315,$AY$8:$BE$507,7,FALSE()))</f>
        <v/>
      </c>
      <c r="BG315" s="77" t="str">
        <f aca="false">IF($AW315&gt;$AV$7,"",VLOOKUP($AW315,$AY$8:$BE$507,2,FALSE()))</f>
        <v/>
      </c>
      <c r="BH315" s="77" t="str">
        <f aca="false">IF($AW315&gt;$AV$7,"",VLOOKUP($AW315,$AY$8:$BE$507,3,FALSE()))</f>
        <v/>
      </c>
      <c r="BI315" s="77" t="str">
        <f aca="false">IF($AW315&gt;$AV$7,"",VLOOKUP($AW315,$AY$8:$BE$507,4,FALSE()))</f>
        <v/>
      </c>
      <c r="BJ315" s="77" t="str">
        <f aca="false">IF($AW315&gt;$AV$7,"",VLOOKUP($AW315,$AY$8:$BE$507,5,FALSE()))</f>
        <v/>
      </c>
      <c r="BK315" s="78" t="str">
        <f aca="false">IF($AW315&gt;$AV$7,"",VLOOKUP($AW315,$AY$8:$BE$507,6,FALSE()))</f>
        <v/>
      </c>
      <c r="BL315" s="50"/>
    </row>
    <row r="316" customFormat="false" ht="15.75" hidden="false" customHeight="false" outlineLevel="0" collapsed="false">
      <c r="A316" s="5"/>
      <c r="B316" s="131"/>
      <c r="C316" s="52"/>
      <c r="D316" s="53"/>
      <c r="E316" s="80"/>
      <c r="F316" s="132"/>
      <c r="G316" s="56"/>
      <c r="H316" s="133"/>
      <c r="I316" s="134"/>
      <c r="J316" s="59"/>
      <c r="K316" s="60"/>
      <c r="L316" s="134"/>
      <c r="M316" s="61"/>
      <c r="N316" s="62"/>
      <c r="O316" s="80"/>
      <c r="P316" s="64"/>
      <c r="Q316" s="65" t="str">
        <f aca="false">IF(ISBLANK($C316),"",IF(E316=Constants!$B$2, TRUE(), IF(E316=Constants!$B$3, FALSE(), TRUE())))</f>
        <v/>
      </c>
      <c r="R316" s="65" t="str">
        <f aca="false">IF(ISBLANK($C316),"",IF(F316=Constants!$B$2, TRUE(), IF(F316=Constants!$B$3, FALSE(), TRUE())))</f>
        <v/>
      </c>
      <c r="S316" s="65" t="str">
        <f aca="false">IF(ISBLANK($C316),"",IF(G316=Constants!$B$15,Constants!$B$8,IF(G316=Constants!$B$16,Constants!$B$9,Constants!$B$10)))</f>
        <v/>
      </c>
      <c r="T316" s="65" t="str">
        <f aca="false">IF(ISBLANK($C316),"",IF(H316=Constants!$B$2, TRUE(), IF(H316=Constants!$B$3, FALSE(), TRUE())))</f>
        <v/>
      </c>
      <c r="U316" s="65" t="str">
        <f aca="false">IF(ISBLANK($C316),"",IF(I316=Constants!$B$19,Constants!$B$19,Constants!$B$18))</f>
        <v/>
      </c>
      <c r="V316" s="65" t="str">
        <f aca="false">IF(ISBLANK($C316),"",IF(COUNTA(J316:K316)=0,"",IF(AND(OR(ISBLANK(J316),AND(ISNUMBER(J316),J316&gt;=0)),OR(ISBLANK(K316),AND(ISNUMBER(K316),K316&gt;=0))),60*IF(ISBLANK(J316),0,J316)+IF(ISBLANK(K316),0,K316),"")))</f>
        <v/>
      </c>
      <c r="W316" s="65" t="str">
        <f aca="false">IF(ISBLANK($C316),"",IF(L316=Constants!$B$19,Constants!$B$19,Constants!$B$18))</f>
        <v/>
      </c>
      <c r="X316" s="65" t="str">
        <f aca="false">IF(ISBLANK($C316),"",IF(COUNTA(M316:N316)=0,"",IF(AND(OR(ISBLANK(M316),AND(ISNUMBER(M316),M316&gt;=0)),OR(ISBLANK(N316),AND(ISNUMBER(N316),N316&gt;=0))),60*IF(ISBLANK(M316),0,M316)+IF(ISBLANK(N316),0,N316),"")))</f>
        <v/>
      </c>
      <c r="Y316" s="65" t="str">
        <f aca="false">IF(ISBLANK($C316),"",IF(O316=Constants!$B$2, TRUE(), IF(O316=Constants!$B$3, FALSE(), FALSE())))</f>
        <v/>
      </c>
      <c r="Z316" s="65" t="str">
        <f aca="false">IF(ISBLANK($C316),"",IF(Y316,Constants!$B$4,IF(COUNTA(E316:N316)=0,Constants!$B$5,IF(COUNTA(J316:K316,M316:N316)=0,Constants!$B$6,Constants!$B$7))))</f>
        <v/>
      </c>
      <c r="AA316" s="65" t="str">
        <f aca="false">IF(ISBLANK($C316),"",IF($Z316&lt;&gt;Constants!$B$7,$Z316,IF(OR(NOT(T316),AND(NOT(Q316),COUNTIFS(U316:W316,Constants!$B$18,V316:X316,"&gt;=0")&gt;0),AND(NOT(R316),COUNTIFS(U316:W316,Constants!$B$19,V316:X316,"&gt;=0")&gt;0)),Constants!$B$12,Constants!$B$11)))</f>
        <v/>
      </c>
      <c r="AB316" s="65" t="str">
        <f aca="false">IF($Z316=Constants!$B$7,IF(V316="",Constants!$B$13,V316),"")</f>
        <v/>
      </c>
      <c r="AC316" s="65" t="str">
        <f aca="false">IF($Z316=Constants!$B$7,IF(X316="",Constants!$B$13,X316),"")</f>
        <v/>
      </c>
      <c r="AD316" s="65" t="str">
        <f aca="false">IF($Z316=Constants!$B$7,IF($AB316&gt;=$AC316,1,2),"")</f>
        <v/>
      </c>
      <c r="AE316" s="65" t="str">
        <f aca="false">IF($Z316=Constants!$B$7,LARGE(AB316:AC316,1),"")</f>
        <v/>
      </c>
      <c r="AF316" s="65" t="str">
        <f aca="false">IF(ISBLANK($C316),"",IF($Z316&lt;&gt;Constants!$B$7,$Z316,AE316*S316))</f>
        <v/>
      </c>
      <c r="AG316" s="65" t="str">
        <f aca="false">IF(ISBLANK($C316),"",IF($Z316=Constants!$B$7,IF(ISNUMBER(AF316),RANK(AF316,$AF$8:$AF$507),Constants!$B$14),$Z316))</f>
        <v/>
      </c>
      <c r="AH316" s="65" t="str">
        <f aca="false">IF(ISBLANK($C316),"",IF($Z316=Constants!$B$7,IF(ISNUMBER(AG316),COUNTIFS($AA$8:$AA$507,"&lt;"&amp;$AA316)+COUNTIFS($AA$8:$AA$507,$AA316,$AG$8:$AG$507,"&lt;"&amp;$AG316)+1,Constants!$B$14),$Z316))</f>
        <v/>
      </c>
      <c r="AI316" s="65" t="str">
        <f aca="false">IF(ISBLANK($C316),"",IF($Z316=Constants!$B$7,LARGE(AB316:AC316,2)*S316,""))</f>
        <v/>
      </c>
      <c r="AJ316" s="65" t="str">
        <f aca="false">IF(ISBLANK($C316),"",IF($Z316=Constants!$B$7,RANK(AI316,$AI$8:$AI$507),$Z316))</f>
        <v/>
      </c>
      <c r="AK316" s="65" t="str">
        <f aca="false">IF(ISBLANK($C316),"",IF($Z316=Constants!$B$7,IF(ISNUMBER(AG316),COUNTIFS($AA$8:$AA$507,"&lt;"&amp;$AA316)+COUNTIFS($AA$8:$AA$507,$AA316,$AG$8:$AG$507,"&lt;"&amp;$AG316)+COUNTIFS($AA$8:$AA$507,$AA316,$AG$8:$AG$507,$AG316,$AJ$8:$AJ$507,"&lt;"&amp;$AJ316)+1,Constants!$B$14),$Z316))</f>
        <v/>
      </c>
      <c r="AL316" s="65" t="str">
        <f aca="false">IF(ISBLANK($C316),"",IF($Z316=Constants!$B$7,IF(ISNUMBER(AH316),AH316-AK316,Constants!$B$14),$Z316))</f>
        <v/>
      </c>
      <c r="AM316" s="67"/>
      <c r="AN316" s="68" t="str">
        <f aca="false">IF(ISBLANK($C316),"",IF($Z316&lt;&gt;Constants!$B$7,$Z316,AD316))</f>
        <v/>
      </c>
      <c r="AO316" s="69" t="str">
        <f aca="false">IF(ISBLANK($C316),"",IF($Z316&lt;&gt;Constants!$B$7,$Z316,S316))</f>
        <v/>
      </c>
      <c r="AP316" s="70" t="str">
        <f aca="false">IF(ISBLANK($C316),"",IF($Z316&lt;&gt;Constants!$B$7,$Z316,AF316))</f>
        <v/>
      </c>
      <c r="AQ316" s="71" t="str">
        <f aca="false">IF(ISBLANK($C316),"",IF($Z316&lt;&gt;Constants!$B$7,$Z316,AA316))</f>
        <v/>
      </c>
      <c r="AR316" s="69" t="str">
        <f aca="false">IF(ISBLANK($C316),"",AL316)</f>
        <v/>
      </c>
      <c r="AS316" s="69" t="str">
        <f aca="false">IF(ISBLANK($C316),"",AK316)</f>
        <v/>
      </c>
      <c r="AT316" s="72" t="str">
        <f aca="false">IF(ISBLANK($C316),"",IF(AS316=Constants!$B$4,COUNTA($C$8:$C$507)+2,IF(AS316=Constants!$B$5,COUNTA($C$8:$C$507)+1,IF(AS316=Constants!$B$6,COUNTA($C$8:$C$507),AS316))))</f>
        <v/>
      </c>
      <c r="AU316" s="5"/>
      <c r="AV316" s="73" t="n">
        <f aca="false">IF(OR(ISNUMBER(AS316),AS316=Constants!$B$4,AS316=Constants!$B$6,AS316=Constants!$B$5),1,0)</f>
        <v>0</v>
      </c>
      <c r="AW316" s="73" t="n">
        <v>309</v>
      </c>
      <c r="AX316" s="73" t="str">
        <f aca="false">IF(ISBLANK($C316),"",IF(ISNUMBER(AT316),AT316+ROW($B316)/1000,""))</f>
        <v/>
      </c>
      <c r="AY316" s="73" t="str">
        <f aca="false">IF(ISNUMBER(AX316),RANK(AX316,$AX$8:$AX$507,1),"")</f>
        <v/>
      </c>
      <c r="AZ316" s="73" t="str">
        <f aca="false">IF(ISBLANK($C316),"",$B316)</f>
        <v/>
      </c>
      <c r="BA316" s="73" t="str">
        <f aca="false">IF(ISBLANK($C316),"",$C316)</f>
        <v/>
      </c>
      <c r="BB316" s="73" t="str">
        <f aca="false">IF(ISBLANK($C316),"",$D316)</f>
        <v/>
      </c>
      <c r="BC316" s="74" t="str">
        <f aca="false">AQ316</f>
        <v/>
      </c>
      <c r="BD316" s="75" t="str">
        <f aca="false">AP316</f>
        <v/>
      </c>
      <c r="BE316" s="73" t="str">
        <f aca="false">IF(ISBLANK($C316),"",AS316)</f>
        <v/>
      </c>
      <c r="BF316" s="76" t="str">
        <f aca="false">IF($AW316&gt;$AV$7,"",VLOOKUP($AW316,$AY$8:$BE$507,7,FALSE()))</f>
        <v/>
      </c>
      <c r="BG316" s="77" t="str">
        <f aca="false">IF($AW316&gt;$AV$7,"",VLOOKUP($AW316,$AY$8:$BE$507,2,FALSE()))</f>
        <v/>
      </c>
      <c r="BH316" s="77" t="str">
        <f aca="false">IF($AW316&gt;$AV$7,"",VLOOKUP($AW316,$AY$8:$BE$507,3,FALSE()))</f>
        <v/>
      </c>
      <c r="BI316" s="77" t="str">
        <f aca="false">IF($AW316&gt;$AV$7,"",VLOOKUP($AW316,$AY$8:$BE$507,4,FALSE()))</f>
        <v/>
      </c>
      <c r="BJ316" s="77" t="str">
        <f aca="false">IF($AW316&gt;$AV$7,"",VLOOKUP($AW316,$AY$8:$BE$507,5,FALSE()))</f>
        <v/>
      </c>
      <c r="BK316" s="78" t="str">
        <f aca="false">IF($AW316&gt;$AV$7,"",VLOOKUP($AW316,$AY$8:$BE$507,6,FALSE()))</f>
        <v/>
      </c>
      <c r="BL316" s="50"/>
    </row>
    <row r="317" customFormat="false" ht="15.75" hidden="false" customHeight="false" outlineLevel="0" collapsed="false">
      <c r="A317" s="5"/>
      <c r="B317" s="124"/>
      <c r="C317" s="125"/>
      <c r="D317" s="110"/>
      <c r="E317" s="130"/>
      <c r="F317" s="135"/>
      <c r="G317" s="88"/>
      <c r="H317" s="136"/>
      <c r="I317" s="137"/>
      <c r="J317" s="91"/>
      <c r="K317" s="92"/>
      <c r="L317" s="137"/>
      <c r="M317" s="93"/>
      <c r="N317" s="94"/>
      <c r="O317" s="130"/>
      <c r="P317" s="96"/>
      <c r="Q317" s="97" t="str">
        <f aca="false">IF(ISBLANK($C317),"",IF(E317=Constants!$B$2, TRUE(), IF(E317=Constants!$B$3, FALSE(), TRUE())))</f>
        <v/>
      </c>
      <c r="R317" s="97" t="str">
        <f aca="false">IF(ISBLANK($C317),"",IF(F317=Constants!$B$2, TRUE(), IF(F317=Constants!$B$3, FALSE(), TRUE())))</f>
        <v/>
      </c>
      <c r="S317" s="97" t="str">
        <f aca="false">IF(ISBLANK($C317),"",IF(G317=Constants!$B$15,Constants!$B$8,IF(G317=Constants!$B$16,Constants!$B$9,Constants!$B$10)))</f>
        <v/>
      </c>
      <c r="T317" s="97" t="str">
        <f aca="false">IF(ISBLANK($C317),"",IF(H317=Constants!$B$2, TRUE(), IF(H317=Constants!$B$3, FALSE(), TRUE())))</f>
        <v/>
      </c>
      <c r="U317" s="97" t="str">
        <f aca="false">IF(ISBLANK($C317),"",IF(I317=Constants!$B$19,Constants!$B$19,Constants!$B$18))</f>
        <v/>
      </c>
      <c r="V317" s="97" t="str">
        <f aca="false">IF(ISBLANK($C317),"",IF(COUNTA(J317:K317)=0,"",IF(AND(OR(ISBLANK(J317),AND(ISNUMBER(J317),J317&gt;=0)),OR(ISBLANK(K317),AND(ISNUMBER(K317),K317&gt;=0))),60*IF(ISBLANK(J317),0,J317)+IF(ISBLANK(K317),0,K317),"")))</f>
        <v/>
      </c>
      <c r="W317" s="97" t="str">
        <f aca="false">IF(ISBLANK($C317),"",IF(L317=Constants!$B$19,Constants!$B$19,Constants!$B$18))</f>
        <v/>
      </c>
      <c r="X317" s="97" t="str">
        <f aca="false">IF(ISBLANK($C317),"",IF(COUNTA(M317:N317)=0,"",IF(AND(OR(ISBLANK(M317),AND(ISNUMBER(M317),M317&gt;=0)),OR(ISBLANK(N317),AND(ISNUMBER(N317),N317&gt;=0))),60*IF(ISBLANK(M317),0,M317)+IF(ISBLANK(N317),0,N317),"")))</f>
        <v/>
      </c>
      <c r="Y317" s="97" t="str">
        <f aca="false">IF(ISBLANK($C317),"",IF(O317=Constants!$B$2, TRUE(), IF(O317=Constants!$B$3, FALSE(), FALSE())))</f>
        <v/>
      </c>
      <c r="Z317" s="97" t="str">
        <f aca="false">IF(ISBLANK($C317),"",IF(Y317,Constants!$B$4,IF(COUNTA(E317:N317)=0,Constants!$B$5,IF(COUNTA(J317:K317,M317:N317)=0,Constants!$B$6,Constants!$B$7))))</f>
        <v/>
      </c>
      <c r="AA317" s="97" t="str">
        <f aca="false">IF(ISBLANK($C317),"",IF($Z317&lt;&gt;Constants!$B$7,$Z317,IF(OR(NOT(T317),AND(NOT(Q317),COUNTIFS(U317:W317,Constants!$B$18,V317:X317,"&gt;=0")&gt;0),AND(NOT(R317),COUNTIFS(U317:W317,Constants!$B$19,V317:X317,"&gt;=0")&gt;0)),Constants!$B$12,Constants!$B$11)))</f>
        <v/>
      </c>
      <c r="AB317" s="97" t="str">
        <f aca="false">IF($Z317=Constants!$B$7,IF(V317="",Constants!$B$13,V317),"")</f>
        <v/>
      </c>
      <c r="AC317" s="97" t="str">
        <f aca="false">IF($Z317=Constants!$B$7,IF(X317="",Constants!$B$13,X317),"")</f>
        <v/>
      </c>
      <c r="AD317" s="97" t="str">
        <f aca="false">IF($Z317=Constants!$B$7,IF($AB317&gt;=$AC317,1,2),"")</f>
        <v/>
      </c>
      <c r="AE317" s="97" t="str">
        <f aca="false">IF($Z317=Constants!$B$7,LARGE(AB317:AC317,1),"")</f>
        <v/>
      </c>
      <c r="AF317" s="97" t="str">
        <f aca="false">IF(ISBLANK($C317),"",IF($Z317&lt;&gt;Constants!$B$7,$Z317,AE317*S317))</f>
        <v/>
      </c>
      <c r="AG317" s="97" t="str">
        <f aca="false">IF(ISBLANK($C317),"",IF($Z317=Constants!$B$7,IF(ISNUMBER(AF317),RANK(AF317,$AF$8:$AF$507),Constants!$B$14),$Z317))</f>
        <v/>
      </c>
      <c r="AH317" s="97" t="str">
        <f aca="false">IF(ISBLANK($C317),"",IF($Z317=Constants!$B$7,IF(ISNUMBER(AG317),COUNTIFS($AA$8:$AA$507,"&lt;"&amp;$AA317)+COUNTIFS($AA$8:$AA$507,$AA317,$AG$8:$AG$507,"&lt;"&amp;$AG317)+1,Constants!$B$14),$Z317))</f>
        <v/>
      </c>
      <c r="AI317" s="97" t="str">
        <f aca="false">IF(ISBLANK($C317),"",IF($Z317=Constants!$B$7,LARGE(AB317:AC317,2)*S317,""))</f>
        <v/>
      </c>
      <c r="AJ317" s="97" t="str">
        <f aca="false">IF(ISBLANK($C317),"",IF($Z317=Constants!$B$7,RANK(AI317,$AI$8:$AI$507),$Z317))</f>
        <v/>
      </c>
      <c r="AK317" s="97" t="str">
        <f aca="false">IF(ISBLANK($C317),"",IF($Z317=Constants!$B$7,IF(ISNUMBER(AG317),COUNTIFS($AA$8:$AA$507,"&lt;"&amp;$AA317)+COUNTIFS($AA$8:$AA$507,$AA317,$AG$8:$AG$507,"&lt;"&amp;$AG317)+COUNTIFS($AA$8:$AA$507,$AA317,$AG$8:$AG$507,$AG317,$AJ$8:$AJ$507,"&lt;"&amp;$AJ317)+1,Constants!$B$14),$Z317))</f>
        <v/>
      </c>
      <c r="AL317" s="97" t="str">
        <f aca="false">IF(ISBLANK($C317),"",IF($Z317=Constants!$B$7,IF(ISNUMBER(AH317),AH317-AK317,Constants!$B$14),$Z317))</f>
        <v/>
      </c>
      <c r="AM317" s="98"/>
      <c r="AN317" s="99" t="str">
        <f aca="false">IF(ISBLANK($C317),"",IF($Z317&lt;&gt;Constants!$B$7,$Z317,AD317))</f>
        <v/>
      </c>
      <c r="AO317" s="100" t="str">
        <f aca="false">IF(ISBLANK($C317),"",IF($Z317&lt;&gt;Constants!$B$7,$Z317,S317))</f>
        <v/>
      </c>
      <c r="AP317" s="101" t="str">
        <f aca="false">IF(ISBLANK($C317),"",IF($Z317&lt;&gt;Constants!$B$7,$Z317,AF317))</f>
        <v/>
      </c>
      <c r="AQ317" s="102" t="str">
        <f aca="false">IF(ISBLANK($C317),"",IF($Z317&lt;&gt;Constants!$B$7,$Z317,AA317))</f>
        <v/>
      </c>
      <c r="AR317" s="100" t="str">
        <f aca="false">IF(ISBLANK($C317),"",AL317)</f>
        <v/>
      </c>
      <c r="AS317" s="100" t="str">
        <f aca="false">IF(ISBLANK($C317),"",AK317)</f>
        <v/>
      </c>
      <c r="AT317" s="103" t="str">
        <f aca="false">IF(ISBLANK($C317),"",IF(AS317=Constants!$B$4,COUNTA($C$8:$C$507)+2,IF(AS317=Constants!$B$5,COUNTA($C$8:$C$507)+1,IF(AS317=Constants!$B$6,COUNTA($C$8:$C$507),AS317))))</f>
        <v/>
      </c>
      <c r="AU317" s="5"/>
      <c r="AV317" s="104" t="n">
        <f aca="false">IF(OR(ISNUMBER(AS317),AS317=Constants!$B$4,AS317=Constants!$B$6,AS317=Constants!$B$5),1,0)</f>
        <v>0</v>
      </c>
      <c r="AW317" s="104" t="n">
        <v>310</v>
      </c>
      <c r="AX317" s="104" t="str">
        <f aca="false">IF(ISBLANK($C317),"",IF(ISNUMBER(AT317),AT317+ROW($B317)/1000,""))</f>
        <v/>
      </c>
      <c r="AY317" s="104" t="str">
        <f aca="false">IF(ISNUMBER(AX317),RANK(AX317,$AX$8:$AX$507,1),"")</f>
        <v/>
      </c>
      <c r="AZ317" s="104" t="str">
        <f aca="false">IF(ISBLANK($C317),"",$B317)</f>
        <v/>
      </c>
      <c r="BA317" s="104" t="str">
        <f aca="false">IF(ISBLANK($C317),"",$C317)</f>
        <v/>
      </c>
      <c r="BB317" s="104" t="str">
        <f aca="false">IF(ISBLANK($C317),"",$D317)</f>
        <v/>
      </c>
      <c r="BC317" s="105" t="str">
        <f aca="false">AQ317</f>
        <v/>
      </c>
      <c r="BD317" s="106" t="str">
        <f aca="false">AP317</f>
        <v/>
      </c>
      <c r="BE317" s="104" t="str">
        <f aca="false">IF(ISBLANK($C317),"",AS317)</f>
        <v/>
      </c>
      <c r="BF317" s="107" t="str">
        <f aca="false">IF($AW317&gt;$AV$7,"",VLOOKUP($AW317,$AY$8:$BE$507,7,FALSE()))</f>
        <v/>
      </c>
      <c r="BG317" s="108" t="str">
        <f aca="false">IF($AW317&gt;$AV$7,"",VLOOKUP($AW317,$AY$8:$BE$507,2,FALSE()))</f>
        <v/>
      </c>
      <c r="BH317" s="108" t="str">
        <f aca="false">IF($AW317&gt;$AV$7,"",VLOOKUP($AW317,$AY$8:$BE$507,3,FALSE()))</f>
        <v/>
      </c>
      <c r="BI317" s="108" t="str">
        <f aca="false">IF($AW317&gt;$AV$7,"",VLOOKUP($AW317,$AY$8:$BE$507,4,FALSE()))</f>
        <v/>
      </c>
      <c r="BJ317" s="108" t="str">
        <f aca="false">IF($AW317&gt;$AV$7,"",VLOOKUP($AW317,$AY$8:$BE$507,5,FALSE()))</f>
        <v/>
      </c>
      <c r="BK317" s="109" t="str">
        <f aca="false">IF($AW317&gt;$AV$7,"",VLOOKUP($AW317,$AY$8:$BE$507,6,FALSE()))</f>
        <v/>
      </c>
      <c r="BL317" s="50"/>
    </row>
    <row r="318" customFormat="false" ht="15.75" hidden="false" customHeight="false" outlineLevel="0" collapsed="false">
      <c r="A318" s="5"/>
      <c r="B318" s="124"/>
      <c r="C318" s="125"/>
      <c r="D318" s="110"/>
      <c r="E318" s="130"/>
      <c r="F318" s="135"/>
      <c r="G318" s="88"/>
      <c r="H318" s="136"/>
      <c r="I318" s="137"/>
      <c r="J318" s="91"/>
      <c r="K318" s="92"/>
      <c r="L318" s="137"/>
      <c r="M318" s="93"/>
      <c r="N318" s="94"/>
      <c r="O318" s="130"/>
      <c r="P318" s="96"/>
      <c r="Q318" s="97" t="str">
        <f aca="false">IF(ISBLANK($C318),"",IF(E318=Constants!$B$2, TRUE(), IF(E318=Constants!$B$3, FALSE(), TRUE())))</f>
        <v/>
      </c>
      <c r="R318" s="97" t="str">
        <f aca="false">IF(ISBLANK($C318),"",IF(F318=Constants!$B$2, TRUE(), IF(F318=Constants!$B$3, FALSE(), TRUE())))</f>
        <v/>
      </c>
      <c r="S318" s="97" t="str">
        <f aca="false">IF(ISBLANK($C318),"",IF(G318=Constants!$B$15,Constants!$B$8,IF(G318=Constants!$B$16,Constants!$B$9,Constants!$B$10)))</f>
        <v/>
      </c>
      <c r="T318" s="97" t="str">
        <f aca="false">IF(ISBLANK($C318),"",IF(H318=Constants!$B$2, TRUE(), IF(H318=Constants!$B$3, FALSE(), TRUE())))</f>
        <v/>
      </c>
      <c r="U318" s="97" t="str">
        <f aca="false">IF(ISBLANK($C318),"",IF(I318=Constants!$B$19,Constants!$B$19,Constants!$B$18))</f>
        <v/>
      </c>
      <c r="V318" s="97" t="str">
        <f aca="false">IF(ISBLANK($C318),"",IF(COUNTA(J318:K318)=0,"",IF(AND(OR(ISBLANK(J318),AND(ISNUMBER(J318),J318&gt;=0)),OR(ISBLANK(K318),AND(ISNUMBER(K318),K318&gt;=0))),60*IF(ISBLANK(J318),0,J318)+IF(ISBLANK(K318),0,K318),"")))</f>
        <v/>
      </c>
      <c r="W318" s="97" t="str">
        <f aca="false">IF(ISBLANK($C318),"",IF(L318=Constants!$B$19,Constants!$B$19,Constants!$B$18))</f>
        <v/>
      </c>
      <c r="X318" s="97" t="str">
        <f aca="false">IF(ISBLANK($C318),"",IF(COUNTA(M318:N318)=0,"",IF(AND(OR(ISBLANK(M318),AND(ISNUMBER(M318),M318&gt;=0)),OR(ISBLANK(N318),AND(ISNUMBER(N318),N318&gt;=0))),60*IF(ISBLANK(M318),0,M318)+IF(ISBLANK(N318),0,N318),"")))</f>
        <v/>
      </c>
      <c r="Y318" s="97" t="str">
        <f aca="false">IF(ISBLANK($C318),"",IF(O318=Constants!$B$2, TRUE(), IF(O318=Constants!$B$3, FALSE(), FALSE())))</f>
        <v/>
      </c>
      <c r="Z318" s="97" t="str">
        <f aca="false">IF(ISBLANK($C318),"",IF(Y318,Constants!$B$4,IF(COUNTA(E318:N318)=0,Constants!$B$5,IF(COUNTA(J318:K318,M318:N318)=0,Constants!$B$6,Constants!$B$7))))</f>
        <v/>
      </c>
      <c r="AA318" s="97" t="str">
        <f aca="false">IF(ISBLANK($C318),"",IF($Z318&lt;&gt;Constants!$B$7,$Z318,IF(OR(NOT(T318),AND(NOT(Q318),COUNTIFS(U318:W318,Constants!$B$18,V318:X318,"&gt;=0")&gt;0),AND(NOT(R318),COUNTIFS(U318:W318,Constants!$B$19,V318:X318,"&gt;=0")&gt;0)),Constants!$B$12,Constants!$B$11)))</f>
        <v/>
      </c>
      <c r="AB318" s="97" t="str">
        <f aca="false">IF($Z318=Constants!$B$7,IF(V318="",Constants!$B$13,V318),"")</f>
        <v/>
      </c>
      <c r="AC318" s="97" t="str">
        <f aca="false">IF($Z318=Constants!$B$7,IF(X318="",Constants!$B$13,X318),"")</f>
        <v/>
      </c>
      <c r="AD318" s="97" t="str">
        <f aca="false">IF($Z318=Constants!$B$7,IF($AB318&gt;=$AC318,1,2),"")</f>
        <v/>
      </c>
      <c r="AE318" s="97" t="str">
        <f aca="false">IF($Z318=Constants!$B$7,LARGE(AB318:AC318,1),"")</f>
        <v/>
      </c>
      <c r="AF318" s="97" t="str">
        <f aca="false">IF(ISBLANK($C318),"",IF($Z318&lt;&gt;Constants!$B$7,$Z318,AE318*S318))</f>
        <v/>
      </c>
      <c r="AG318" s="97" t="str">
        <f aca="false">IF(ISBLANK($C318),"",IF($Z318=Constants!$B$7,IF(ISNUMBER(AF318),RANK(AF318,$AF$8:$AF$507),Constants!$B$14),$Z318))</f>
        <v/>
      </c>
      <c r="AH318" s="97" t="str">
        <f aca="false">IF(ISBLANK($C318),"",IF($Z318=Constants!$B$7,IF(ISNUMBER(AG318),COUNTIFS($AA$8:$AA$507,"&lt;"&amp;$AA318)+COUNTIFS($AA$8:$AA$507,$AA318,$AG$8:$AG$507,"&lt;"&amp;$AG318)+1,Constants!$B$14),$Z318))</f>
        <v/>
      </c>
      <c r="AI318" s="97" t="str">
        <f aca="false">IF(ISBLANK($C318),"",IF($Z318=Constants!$B$7,LARGE(AB318:AC318,2)*S318,""))</f>
        <v/>
      </c>
      <c r="AJ318" s="97" t="str">
        <f aca="false">IF(ISBLANK($C318),"",IF($Z318=Constants!$B$7,RANK(AI318,$AI$8:$AI$507),$Z318))</f>
        <v/>
      </c>
      <c r="AK318" s="97" t="str">
        <f aca="false">IF(ISBLANK($C318),"",IF($Z318=Constants!$B$7,IF(ISNUMBER(AG318),COUNTIFS($AA$8:$AA$507,"&lt;"&amp;$AA318)+COUNTIFS($AA$8:$AA$507,$AA318,$AG$8:$AG$507,"&lt;"&amp;$AG318)+COUNTIFS($AA$8:$AA$507,$AA318,$AG$8:$AG$507,$AG318,$AJ$8:$AJ$507,"&lt;"&amp;$AJ318)+1,Constants!$B$14),$Z318))</f>
        <v/>
      </c>
      <c r="AL318" s="97" t="str">
        <f aca="false">IF(ISBLANK($C318),"",IF($Z318=Constants!$B$7,IF(ISNUMBER(AH318),AH318-AK318,Constants!$B$14),$Z318))</f>
        <v/>
      </c>
      <c r="AM318" s="98"/>
      <c r="AN318" s="99" t="str">
        <f aca="false">IF(ISBLANK($C318),"",IF($Z318&lt;&gt;Constants!$B$7,$Z318,AD318))</f>
        <v/>
      </c>
      <c r="AO318" s="100" t="str">
        <f aca="false">IF(ISBLANK($C318),"",IF($Z318&lt;&gt;Constants!$B$7,$Z318,S318))</f>
        <v/>
      </c>
      <c r="AP318" s="101" t="str">
        <f aca="false">IF(ISBLANK($C318),"",IF($Z318&lt;&gt;Constants!$B$7,$Z318,AF318))</f>
        <v/>
      </c>
      <c r="AQ318" s="102" t="str">
        <f aca="false">IF(ISBLANK($C318),"",IF($Z318&lt;&gt;Constants!$B$7,$Z318,AA318))</f>
        <v/>
      </c>
      <c r="AR318" s="100" t="str">
        <f aca="false">IF(ISBLANK($C318),"",AL318)</f>
        <v/>
      </c>
      <c r="AS318" s="100" t="str">
        <f aca="false">IF(ISBLANK($C318),"",AK318)</f>
        <v/>
      </c>
      <c r="AT318" s="103" t="str">
        <f aca="false">IF(ISBLANK($C318),"",IF(AS318=Constants!$B$4,COUNTA($C$8:$C$507)+2,IF(AS318=Constants!$B$5,COUNTA($C$8:$C$507)+1,IF(AS318=Constants!$B$6,COUNTA($C$8:$C$507),AS318))))</f>
        <v/>
      </c>
      <c r="AU318" s="5"/>
      <c r="AV318" s="104" t="n">
        <f aca="false">IF(OR(ISNUMBER(AS318),AS318=Constants!$B$4,AS318=Constants!$B$6,AS318=Constants!$B$5),1,0)</f>
        <v>0</v>
      </c>
      <c r="AW318" s="104" t="n">
        <v>311</v>
      </c>
      <c r="AX318" s="104" t="str">
        <f aca="false">IF(ISBLANK($C318),"",IF(ISNUMBER(AT318),AT318+ROW($B318)/1000,""))</f>
        <v/>
      </c>
      <c r="AY318" s="104" t="str">
        <f aca="false">IF(ISNUMBER(AX318),RANK(AX318,$AX$8:$AX$507,1),"")</f>
        <v/>
      </c>
      <c r="AZ318" s="104" t="str">
        <f aca="false">IF(ISBLANK($C318),"",$B318)</f>
        <v/>
      </c>
      <c r="BA318" s="104" t="str">
        <f aca="false">IF(ISBLANK($C318),"",$C318)</f>
        <v/>
      </c>
      <c r="BB318" s="104" t="str">
        <f aca="false">IF(ISBLANK($C318),"",$D318)</f>
        <v/>
      </c>
      <c r="BC318" s="105" t="str">
        <f aca="false">AQ318</f>
        <v/>
      </c>
      <c r="BD318" s="106" t="str">
        <f aca="false">AP318</f>
        <v/>
      </c>
      <c r="BE318" s="104" t="str">
        <f aca="false">IF(ISBLANK($C318),"",AS318)</f>
        <v/>
      </c>
      <c r="BF318" s="107" t="str">
        <f aca="false">IF($AW318&gt;$AV$7,"",VLOOKUP($AW318,$AY$8:$BE$507,7,FALSE()))</f>
        <v/>
      </c>
      <c r="BG318" s="108" t="str">
        <f aca="false">IF($AW318&gt;$AV$7,"",VLOOKUP($AW318,$AY$8:$BE$507,2,FALSE()))</f>
        <v/>
      </c>
      <c r="BH318" s="108" t="str">
        <f aca="false">IF($AW318&gt;$AV$7,"",VLOOKUP($AW318,$AY$8:$BE$507,3,FALSE()))</f>
        <v/>
      </c>
      <c r="BI318" s="108" t="str">
        <f aca="false">IF($AW318&gt;$AV$7,"",VLOOKUP($AW318,$AY$8:$BE$507,4,FALSE()))</f>
        <v/>
      </c>
      <c r="BJ318" s="108" t="str">
        <f aca="false">IF($AW318&gt;$AV$7,"",VLOOKUP($AW318,$AY$8:$BE$507,5,FALSE()))</f>
        <v/>
      </c>
      <c r="BK318" s="109" t="str">
        <f aca="false">IF($AW318&gt;$AV$7,"",VLOOKUP($AW318,$AY$8:$BE$507,6,FALSE()))</f>
        <v/>
      </c>
      <c r="BL318" s="50"/>
    </row>
    <row r="319" customFormat="false" ht="15.75" hidden="false" customHeight="false" outlineLevel="0" collapsed="false">
      <c r="A319" s="5"/>
      <c r="B319" s="124"/>
      <c r="C319" s="125"/>
      <c r="D319" s="110"/>
      <c r="E319" s="130"/>
      <c r="F319" s="135"/>
      <c r="G319" s="88"/>
      <c r="H319" s="136"/>
      <c r="I319" s="137"/>
      <c r="J319" s="91"/>
      <c r="K319" s="92"/>
      <c r="L319" s="137"/>
      <c r="M319" s="93"/>
      <c r="N319" s="94"/>
      <c r="O319" s="130"/>
      <c r="P319" s="96"/>
      <c r="Q319" s="97" t="str">
        <f aca="false">IF(ISBLANK($C319),"",IF(E319=Constants!$B$2, TRUE(), IF(E319=Constants!$B$3, FALSE(), TRUE())))</f>
        <v/>
      </c>
      <c r="R319" s="97" t="str">
        <f aca="false">IF(ISBLANK($C319),"",IF(F319=Constants!$B$2, TRUE(), IF(F319=Constants!$B$3, FALSE(), TRUE())))</f>
        <v/>
      </c>
      <c r="S319" s="97" t="str">
        <f aca="false">IF(ISBLANK($C319),"",IF(G319=Constants!$B$15,Constants!$B$8,IF(G319=Constants!$B$16,Constants!$B$9,Constants!$B$10)))</f>
        <v/>
      </c>
      <c r="T319" s="97" t="str">
        <f aca="false">IF(ISBLANK($C319),"",IF(H319=Constants!$B$2, TRUE(), IF(H319=Constants!$B$3, FALSE(), TRUE())))</f>
        <v/>
      </c>
      <c r="U319" s="97" t="str">
        <f aca="false">IF(ISBLANK($C319),"",IF(I319=Constants!$B$19,Constants!$B$19,Constants!$B$18))</f>
        <v/>
      </c>
      <c r="V319" s="97" t="str">
        <f aca="false">IF(ISBLANK($C319),"",IF(COUNTA(J319:K319)=0,"",IF(AND(OR(ISBLANK(J319),AND(ISNUMBER(J319),J319&gt;=0)),OR(ISBLANK(K319),AND(ISNUMBER(K319),K319&gt;=0))),60*IF(ISBLANK(J319),0,J319)+IF(ISBLANK(K319),0,K319),"")))</f>
        <v/>
      </c>
      <c r="W319" s="97" t="str">
        <f aca="false">IF(ISBLANK($C319),"",IF(L319=Constants!$B$19,Constants!$B$19,Constants!$B$18))</f>
        <v/>
      </c>
      <c r="X319" s="97" t="str">
        <f aca="false">IF(ISBLANK($C319),"",IF(COUNTA(M319:N319)=0,"",IF(AND(OR(ISBLANK(M319),AND(ISNUMBER(M319),M319&gt;=0)),OR(ISBLANK(N319),AND(ISNUMBER(N319),N319&gt;=0))),60*IF(ISBLANK(M319),0,M319)+IF(ISBLANK(N319),0,N319),"")))</f>
        <v/>
      </c>
      <c r="Y319" s="97" t="str">
        <f aca="false">IF(ISBLANK($C319),"",IF(O319=Constants!$B$2, TRUE(), IF(O319=Constants!$B$3, FALSE(), FALSE())))</f>
        <v/>
      </c>
      <c r="Z319" s="97" t="str">
        <f aca="false">IF(ISBLANK($C319),"",IF(Y319,Constants!$B$4,IF(COUNTA(E319:N319)=0,Constants!$B$5,IF(COUNTA(J319:K319,M319:N319)=0,Constants!$B$6,Constants!$B$7))))</f>
        <v/>
      </c>
      <c r="AA319" s="97" t="str">
        <f aca="false">IF(ISBLANK($C319),"",IF($Z319&lt;&gt;Constants!$B$7,$Z319,IF(OR(NOT(T319),AND(NOT(Q319),COUNTIFS(U319:W319,Constants!$B$18,V319:X319,"&gt;=0")&gt;0),AND(NOT(R319),COUNTIFS(U319:W319,Constants!$B$19,V319:X319,"&gt;=0")&gt;0)),Constants!$B$12,Constants!$B$11)))</f>
        <v/>
      </c>
      <c r="AB319" s="97" t="str">
        <f aca="false">IF($Z319=Constants!$B$7,IF(V319="",Constants!$B$13,V319),"")</f>
        <v/>
      </c>
      <c r="AC319" s="97" t="str">
        <f aca="false">IF($Z319=Constants!$B$7,IF(X319="",Constants!$B$13,X319),"")</f>
        <v/>
      </c>
      <c r="AD319" s="97" t="str">
        <f aca="false">IF($Z319=Constants!$B$7,IF($AB319&gt;=$AC319,1,2),"")</f>
        <v/>
      </c>
      <c r="AE319" s="97" t="str">
        <f aca="false">IF($Z319=Constants!$B$7,LARGE(AB319:AC319,1),"")</f>
        <v/>
      </c>
      <c r="AF319" s="97" t="str">
        <f aca="false">IF(ISBLANK($C319),"",IF($Z319&lt;&gt;Constants!$B$7,$Z319,AE319*S319))</f>
        <v/>
      </c>
      <c r="AG319" s="97" t="str">
        <f aca="false">IF(ISBLANK($C319),"",IF($Z319=Constants!$B$7,IF(ISNUMBER(AF319),RANK(AF319,$AF$8:$AF$507),Constants!$B$14),$Z319))</f>
        <v/>
      </c>
      <c r="AH319" s="97" t="str">
        <f aca="false">IF(ISBLANK($C319),"",IF($Z319=Constants!$B$7,IF(ISNUMBER(AG319),COUNTIFS($AA$8:$AA$507,"&lt;"&amp;$AA319)+COUNTIFS($AA$8:$AA$507,$AA319,$AG$8:$AG$507,"&lt;"&amp;$AG319)+1,Constants!$B$14),$Z319))</f>
        <v/>
      </c>
      <c r="AI319" s="97" t="str">
        <f aca="false">IF(ISBLANK($C319),"",IF($Z319=Constants!$B$7,LARGE(AB319:AC319,2)*S319,""))</f>
        <v/>
      </c>
      <c r="AJ319" s="97" t="str">
        <f aca="false">IF(ISBLANK($C319),"",IF($Z319=Constants!$B$7,RANK(AI319,$AI$8:$AI$507),$Z319))</f>
        <v/>
      </c>
      <c r="AK319" s="97" t="str">
        <f aca="false">IF(ISBLANK($C319),"",IF($Z319=Constants!$B$7,IF(ISNUMBER(AG319),COUNTIFS($AA$8:$AA$507,"&lt;"&amp;$AA319)+COUNTIFS($AA$8:$AA$507,$AA319,$AG$8:$AG$507,"&lt;"&amp;$AG319)+COUNTIFS($AA$8:$AA$507,$AA319,$AG$8:$AG$507,$AG319,$AJ$8:$AJ$507,"&lt;"&amp;$AJ319)+1,Constants!$B$14),$Z319))</f>
        <v/>
      </c>
      <c r="AL319" s="97" t="str">
        <f aca="false">IF(ISBLANK($C319),"",IF($Z319=Constants!$B$7,IF(ISNUMBER(AH319),AH319-AK319,Constants!$B$14),$Z319))</f>
        <v/>
      </c>
      <c r="AM319" s="98"/>
      <c r="AN319" s="99" t="str">
        <f aca="false">IF(ISBLANK($C319),"",IF($Z319&lt;&gt;Constants!$B$7,$Z319,AD319))</f>
        <v/>
      </c>
      <c r="AO319" s="100" t="str">
        <f aca="false">IF(ISBLANK($C319),"",IF($Z319&lt;&gt;Constants!$B$7,$Z319,S319))</f>
        <v/>
      </c>
      <c r="AP319" s="101" t="str">
        <f aca="false">IF(ISBLANK($C319),"",IF($Z319&lt;&gt;Constants!$B$7,$Z319,AF319))</f>
        <v/>
      </c>
      <c r="AQ319" s="102" t="str">
        <f aca="false">IF(ISBLANK($C319),"",IF($Z319&lt;&gt;Constants!$B$7,$Z319,AA319))</f>
        <v/>
      </c>
      <c r="AR319" s="100" t="str">
        <f aca="false">IF(ISBLANK($C319),"",AL319)</f>
        <v/>
      </c>
      <c r="AS319" s="100" t="str">
        <f aca="false">IF(ISBLANK($C319),"",AK319)</f>
        <v/>
      </c>
      <c r="AT319" s="103" t="str">
        <f aca="false">IF(ISBLANK($C319),"",IF(AS319=Constants!$B$4,COUNTA($C$8:$C$507)+2,IF(AS319=Constants!$B$5,COUNTA($C$8:$C$507)+1,IF(AS319=Constants!$B$6,COUNTA($C$8:$C$507),AS319))))</f>
        <v/>
      </c>
      <c r="AU319" s="5"/>
      <c r="AV319" s="104" t="n">
        <f aca="false">IF(OR(ISNUMBER(AS319),AS319=Constants!$B$4,AS319=Constants!$B$6,AS319=Constants!$B$5),1,0)</f>
        <v>0</v>
      </c>
      <c r="AW319" s="104" t="n">
        <v>312</v>
      </c>
      <c r="AX319" s="104" t="str">
        <f aca="false">IF(ISBLANK($C319),"",IF(ISNUMBER(AT319),AT319+ROW($B319)/1000,""))</f>
        <v/>
      </c>
      <c r="AY319" s="104" t="str">
        <f aca="false">IF(ISNUMBER(AX319),RANK(AX319,$AX$8:$AX$507,1),"")</f>
        <v/>
      </c>
      <c r="AZ319" s="104" t="str">
        <f aca="false">IF(ISBLANK($C319),"",$B319)</f>
        <v/>
      </c>
      <c r="BA319" s="104" t="str">
        <f aca="false">IF(ISBLANK($C319),"",$C319)</f>
        <v/>
      </c>
      <c r="BB319" s="104" t="str">
        <f aca="false">IF(ISBLANK($C319),"",$D319)</f>
        <v/>
      </c>
      <c r="BC319" s="105" t="str">
        <f aca="false">AQ319</f>
        <v/>
      </c>
      <c r="BD319" s="106" t="str">
        <f aca="false">AP319</f>
        <v/>
      </c>
      <c r="BE319" s="104" t="str">
        <f aca="false">IF(ISBLANK($C319),"",AS319)</f>
        <v/>
      </c>
      <c r="BF319" s="107" t="str">
        <f aca="false">IF($AW319&gt;$AV$7,"",VLOOKUP($AW319,$AY$8:$BE$507,7,FALSE()))</f>
        <v/>
      </c>
      <c r="BG319" s="108" t="str">
        <f aca="false">IF($AW319&gt;$AV$7,"",VLOOKUP($AW319,$AY$8:$BE$507,2,FALSE()))</f>
        <v/>
      </c>
      <c r="BH319" s="108" t="str">
        <f aca="false">IF($AW319&gt;$AV$7,"",VLOOKUP($AW319,$AY$8:$BE$507,3,FALSE()))</f>
        <v/>
      </c>
      <c r="BI319" s="108" t="str">
        <f aca="false">IF($AW319&gt;$AV$7,"",VLOOKUP($AW319,$AY$8:$BE$507,4,FALSE()))</f>
        <v/>
      </c>
      <c r="BJ319" s="108" t="str">
        <f aca="false">IF($AW319&gt;$AV$7,"",VLOOKUP($AW319,$AY$8:$BE$507,5,FALSE()))</f>
        <v/>
      </c>
      <c r="BK319" s="109" t="str">
        <f aca="false">IF($AW319&gt;$AV$7,"",VLOOKUP($AW319,$AY$8:$BE$507,6,FALSE()))</f>
        <v/>
      </c>
      <c r="BL319" s="50"/>
    </row>
    <row r="320" customFormat="false" ht="15.75" hidden="false" customHeight="false" outlineLevel="0" collapsed="false">
      <c r="A320" s="5"/>
      <c r="B320" s="131"/>
      <c r="C320" s="52"/>
      <c r="D320" s="53"/>
      <c r="E320" s="80"/>
      <c r="F320" s="132"/>
      <c r="G320" s="56"/>
      <c r="H320" s="133"/>
      <c r="I320" s="134"/>
      <c r="J320" s="59"/>
      <c r="K320" s="60"/>
      <c r="L320" s="134"/>
      <c r="M320" s="61"/>
      <c r="N320" s="62"/>
      <c r="O320" s="80"/>
      <c r="P320" s="64"/>
      <c r="Q320" s="65" t="str">
        <f aca="false">IF(ISBLANK($C320),"",IF(E320=Constants!$B$2, TRUE(), IF(E320=Constants!$B$3, FALSE(), TRUE())))</f>
        <v/>
      </c>
      <c r="R320" s="65" t="str">
        <f aca="false">IF(ISBLANK($C320),"",IF(F320=Constants!$B$2, TRUE(), IF(F320=Constants!$B$3, FALSE(), TRUE())))</f>
        <v/>
      </c>
      <c r="S320" s="65" t="str">
        <f aca="false">IF(ISBLANK($C320),"",IF(G320=Constants!$B$15,Constants!$B$8,IF(G320=Constants!$B$16,Constants!$B$9,Constants!$B$10)))</f>
        <v/>
      </c>
      <c r="T320" s="65" t="str">
        <f aca="false">IF(ISBLANK($C320),"",IF(H320=Constants!$B$2, TRUE(), IF(H320=Constants!$B$3, FALSE(), TRUE())))</f>
        <v/>
      </c>
      <c r="U320" s="65" t="str">
        <f aca="false">IF(ISBLANK($C320),"",IF(I320=Constants!$B$19,Constants!$B$19,Constants!$B$18))</f>
        <v/>
      </c>
      <c r="V320" s="65" t="str">
        <f aca="false">IF(ISBLANK($C320),"",IF(COUNTA(J320:K320)=0,"",IF(AND(OR(ISBLANK(J320),AND(ISNUMBER(J320),J320&gt;=0)),OR(ISBLANK(K320),AND(ISNUMBER(K320),K320&gt;=0))),60*IF(ISBLANK(J320),0,J320)+IF(ISBLANK(K320),0,K320),"")))</f>
        <v/>
      </c>
      <c r="W320" s="65" t="str">
        <f aca="false">IF(ISBLANK($C320),"",IF(L320=Constants!$B$19,Constants!$B$19,Constants!$B$18))</f>
        <v/>
      </c>
      <c r="X320" s="65" t="str">
        <f aca="false">IF(ISBLANK($C320),"",IF(COUNTA(M320:N320)=0,"",IF(AND(OR(ISBLANK(M320),AND(ISNUMBER(M320),M320&gt;=0)),OR(ISBLANK(N320),AND(ISNUMBER(N320),N320&gt;=0))),60*IF(ISBLANK(M320),0,M320)+IF(ISBLANK(N320),0,N320),"")))</f>
        <v/>
      </c>
      <c r="Y320" s="65" t="str">
        <f aca="false">IF(ISBLANK($C320),"",IF(O320=Constants!$B$2, TRUE(), IF(O320=Constants!$B$3, FALSE(), FALSE())))</f>
        <v/>
      </c>
      <c r="Z320" s="65" t="str">
        <f aca="false">IF(ISBLANK($C320),"",IF(Y320,Constants!$B$4,IF(COUNTA(E320:N320)=0,Constants!$B$5,IF(COUNTA(J320:K320,M320:N320)=0,Constants!$B$6,Constants!$B$7))))</f>
        <v/>
      </c>
      <c r="AA320" s="65" t="str">
        <f aca="false">IF(ISBLANK($C320),"",IF($Z320&lt;&gt;Constants!$B$7,$Z320,IF(OR(NOT(T320),AND(NOT(Q320),COUNTIFS(U320:W320,Constants!$B$18,V320:X320,"&gt;=0")&gt;0),AND(NOT(R320),COUNTIFS(U320:W320,Constants!$B$19,V320:X320,"&gt;=0")&gt;0)),Constants!$B$12,Constants!$B$11)))</f>
        <v/>
      </c>
      <c r="AB320" s="65" t="str">
        <f aca="false">IF($Z320=Constants!$B$7,IF(V320="",Constants!$B$13,V320),"")</f>
        <v/>
      </c>
      <c r="AC320" s="65" t="str">
        <f aca="false">IF($Z320=Constants!$B$7,IF(X320="",Constants!$B$13,X320),"")</f>
        <v/>
      </c>
      <c r="AD320" s="65" t="str">
        <f aca="false">IF($Z320=Constants!$B$7,IF($AB320&gt;=$AC320,1,2),"")</f>
        <v/>
      </c>
      <c r="AE320" s="65" t="str">
        <f aca="false">IF($Z320=Constants!$B$7,LARGE(AB320:AC320,1),"")</f>
        <v/>
      </c>
      <c r="AF320" s="65" t="str">
        <f aca="false">IF(ISBLANK($C320),"",IF($Z320&lt;&gt;Constants!$B$7,$Z320,AE320*S320))</f>
        <v/>
      </c>
      <c r="AG320" s="65" t="str">
        <f aca="false">IF(ISBLANK($C320),"",IF($Z320=Constants!$B$7,IF(ISNUMBER(AF320),RANK(AF320,$AF$8:$AF$507),Constants!$B$14),$Z320))</f>
        <v/>
      </c>
      <c r="AH320" s="65" t="str">
        <f aca="false">IF(ISBLANK($C320),"",IF($Z320=Constants!$B$7,IF(ISNUMBER(AG320),COUNTIFS($AA$8:$AA$507,"&lt;"&amp;$AA320)+COUNTIFS($AA$8:$AA$507,$AA320,$AG$8:$AG$507,"&lt;"&amp;$AG320)+1,Constants!$B$14),$Z320))</f>
        <v/>
      </c>
      <c r="AI320" s="65" t="str">
        <f aca="false">IF(ISBLANK($C320),"",IF($Z320=Constants!$B$7,LARGE(AB320:AC320,2)*S320,""))</f>
        <v/>
      </c>
      <c r="AJ320" s="65" t="str">
        <f aca="false">IF(ISBLANK($C320),"",IF($Z320=Constants!$B$7,RANK(AI320,$AI$8:$AI$507),$Z320))</f>
        <v/>
      </c>
      <c r="AK320" s="65" t="str">
        <f aca="false">IF(ISBLANK($C320),"",IF($Z320=Constants!$B$7,IF(ISNUMBER(AG320),COUNTIFS($AA$8:$AA$507,"&lt;"&amp;$AA320)+COUNTIFS($AA$8:$AA$507,$AA320,$AG$8:$AG$507,"&lt;"&amp;$AG320)+COUNTIFS($AA$8:$AA$507,$AA320,$AG$8:$AG$507,$AG320,$AJ$8:$AJ$507,"&lt;"&amp;$AJ320)+1,Constants!$B$14),$Z320))</f>
        <v/>
      </c>
      <c r="AL320" s="65" t="str">
        <f aca="false">IF(ISBLANK($C320),"",IF($Z320=Constants!$B$7,IF(ISNUMBER(AH320),AH320-AK320,Constants!$B$14),$Z320))</f>
        <v/>
      </c>
      <c r="AM320" s="67"/>
      <c r="AN320" s="68" t="str">
        <f aca="false">IF(ISBLANK($C320),"",IF($Z320&lt;&gt;Constants!$B$7,$Z320,AD320))</f>
        <v/>
      </c>
      <c r="AO320" s="69" t="str">
        <f aca="false">IF(ISBLANK($C320),"",IF($Z320&lt;&gt;Constants!$B$7,$Z320,S320))</f>
        <v/>
      </c>
      <c r="AP320" s="70" t="str">
        <f aca="false">IF(ISBLANK($C320),"",IF($Z320&lt;&gt;Constants!$B$7,$Z320,AF320))</f>
        <v/>
      </c>
      <c r="AQ320" s="71" t="str">
        <f aca="false">IF(ISBLANK($C320),"",IF($Z320&lt;&gt;Constants!$B$7,$Z320,AA320))</f>
        <v/>
      </c>
      <c r="AR320" s="69" t="str">
        <f aca="false">IF(ISBLANK($C320),"",AL320)</f>
        <v/>
      </c>
      <c r="AS320" s="69" t="str">
        <f aca="false">IF(ISBLANK($C320),"",AK320)</f>
        <v/>
      </c>
      <c r="AT320" s="72" t="str">
        <f aca="false">IF(ISBLANK($C320),"",IF(AS320=Constants!$B$4,COUNTA($C$8:$C$507)+2,IF(AS320=Constants!$B$5,COUNTA($C$8:$C$507)+1,IF(AS320=Constants!$B$6,COUNTA($C$8:$C$507),AS320))))</f>
        <v/>
      </c>
      <c r="AU320" s="5"/>
      <c r="AV320" s="73" t="n">
        <f aca="false">IF(OR(ISNUMBER(AS320),AS320=Constants!$B$4,AS320=Constants!$B$6,AS320=Constants!$B$5),1,0)</f>
        <v>0</v>
      </c>
      <c r="AW320" s="73" t="n">
        <v>313</v>
      </c>
      <c r="AX320" s="73" t="str">
        <f aca="false">IF(ISBLANK($C320),"",IF(ISNUMBER(AT320),AT320+ROW($B320)/1000,""))</f>
        <v/>
      </c>
      <c r="AY320" s="73" t="str">
        <f aca="false">IF(ISNUMBER(AX320),RANK(AX320,$AX$8:$AX$507,1),"")</f>
        <v/>
      </c>
      <c r="AZ320" s="73" t="str">
        <f aca="false">IF(ISBLANK($C320),"",$B320)</f>
        <v/>
      </c>
      <c r="BA320" s="73" t="str">
        <f aca="false">IF(ISBLANK($C320),"",$C320)</f>
        <v/>
      </c>
      <c r="BB320" s="73" t="str">
        <f aca="false">IF(ISBLANK($C320),"",$D320)</f>
        <v/>
      </c>
      <c r="BC320" s="74" t="str">
        <f aca="false">AQ320</f>
        <v/>
      </c>
      <c r="BD320" s="75" t="str">
        <f aca="false">AP320</f>
        <v/>
      </c>
      <c r="BE320" s="73" t="str">
        <f aca="false">IF(ISBLANK($C320),"",AS320)</f>
        <v/>
      </c>
      <c r="BF320" s="76" t="str">
        <f aca="false">IF($AW320&gt;$AV$7,"",VLOOKUP($AW320,$AY$8:$BE$507,7,FALSE()))</f>
        <v/>
      </c>
      <c r="BG320" s="77" t="str">
        <f aca="false">IF($AW320&gt;$AV$7,"",VLOOKUP($AW320,$AY$8:$BE$507,2,FALSE()))</f>
        <v/>
      </c>
      <c r="BH320" s="77" t="str">
        <f aca="false">IF($AW320&gt;$AV$7,"",VLOOKUP($AW320,$AY$8:$BE$507,3,FALSE()))</f>
        <v/>
      </c>
      <c r="BI320" s="77" t="str">
        <f aca="false">IF($AW320&gt;$AV$7,"",VLOOKUP($AW320,$AY$8:$BE$507,4,FALSE()))</f>
        <v/>
      </c>
      <c r="BJ320" s="77" t="str">
        <f aca="false">IF($AW320&gt;$AV$7,"",VLOOKUP($AW320,$AY$8:$BE$507,5,FALSE()))</f>
        <v/>
      </c>
      <c r="BK320" s="78" t="str">
        <f aca="false">IF($AW320&gt;$AV$7,"",VLOOKUP($AW320,$AY$8:$BE$507,6,FALSE()))</f>
        <v/>
      </c>
      <c r="BL320" s="50"/>
    </row>
    <row r="321" customFormat="false" ht="15.75" hidden="false" customHeight="false" outlineLevel="0" collapsed="false">
      <c r="A321" s="5"/>
      <c r="B321" s="131"/>
      <c r="C321" s="52"/>
      <c r="D321" s="53"/>
      <c r="E321" s="80"/>
      <c r="F321" s="132"/>
      <c r="G321" s="56"/>
      <c r="H321" s="133"/>
      <c r="I321" s="134"/>
      <c r="J321" s="59"/>
      <c r="K321" s="60"/>
      <c r="L321" s="134"/>
      <c r="M321" s="61"/>
      <c r="N321" s="62"/>
      <c r="O321" s="80"/>
      <c r="P321" s="64"/>
      <c r="Q321" s="65" t="str">
        <f aca="false">IF(ISBLANK($C321),"",IF(E321=Constants!$B$2, TRUE(), IF(E321=Constants!$B$3, FALSE(), TRUE())))</f>
        <v/>
      </c>
      <c r="R321" s="65" t="str">
        <f aca="false">IF(ISBLANK($C321),"",IF(F321=Constants!$B$2, TRUE(), IF(F321=Constants!$B$3, FALSE(), TRUE())))</f>
        <v/>
      </c>
      <c r="S321" s="65" t="str">
        <f aca="false">IF(ISBLANK($C321),"",IF(G321=Constants!$B$15,Constants!$B$8,IF(G321=Constants!$B$16,Constants!$B$9,Constants!$B$10)))</f>
        <v/>
      </c>
      <c r="T321" s="65" t="str">
        <f aca="false">IF(ISBLANK($C321),"",IF(H321=Constants!$B$2, TRUE(), IF(H321=Constants!$B$3, FALSE(), TRUE())))</f>
        <v/>
      </c>
      <c r="U321" s="65" t="str">
        <f aca="false">IF(ISBLANK($C321),"",IF(I321=Constants!$B$19,Constants!$B$19,Constants!$B$18))</f>
        <v/>
      </c>
      <c r="V321" s="65" t="str">
        <f aca="false">IF(ISBLANK($C321),"",IF(COUNTA(J321:K321)=0,"",IF(AND(OR(ISBLANK(J321),AND(ISNUMBER(J321),J321&gt;=0)),OR(ISBLANK(K321),AND(ISNUMBER(K321),K321&gt;=0))),60*IF(ISBLANK(J321),0,J321)+IF(ISBLANK(K321),0,K321),"")))</f>
        <v/>
      </c>
      <c r="W321" s="65" t="str">
        <f aca="false">IF(ISBLANK($C321),"",IF(L321=Constants!$B$19,Constants!$B$19,Constants!$B$18))</f>
        <v/>
      </c>
      <c r="X321" s="65" t="str">
        <f aca="false">IF(ISBLANK($C321),"",IF(COUNTA(M321:N321)=0,"",IF(AND(OR(ISBLANK(M321),AND(ISNUMBER(M321),M321&gt;=0)),OR(ISBLANK(N321),AND(ISNUMBER(N321),N321&gt;=0))),60*IF(ISBLANK(M321),0,M321)+IF(ISBLANK(N321),0,N321),"")))</f>
        <v/>
      </c>
      <c r="Y321" s="65" t="str">
        <f aca="false">IF(ISBLANK($C321),"",IF(O321=Constants!$B$2, TRUE(), IF(O321=Constants!$B$3, FALSE(), FALSE())))</f>
        <v/>
      </c>
      <c r="Z321" s="65" t="str">
        <f aca="false">IF(ISBLANK($C321),"",IF(Y321,Constants!$B$4,IF(COUNTA(E321:N321)=0,Constants!$B$5,IF(COUNTA(J321:K321,M321:N321)=0,Constants!$B$6,Constants!$B$7))))</f>
        <v/>
      </c>
      <c r="AA321" s="65" t="str">
        <f aca="false">IF(ISBLANK($C321),"",IF($Z321&lt;&gt;Constants!$B$7,$Z321,IF(OR(NOT(T321),AND(NOT(Q321),COUNTIFS(U321:W321,Constants!$B$18,V321:X321,"&gt;=0")&gt;0),AND(NOT(R321),COUNTIFS(U321:W321,Constants!$B$19,V321:X321,"&gt;=0")&gt;0)),Constants!$B$12,Constants!$B$11)))</f>
        <v/>
      </c>
      <c r="AB321" s="65" t="str">
        <f aca="false">IF($Z321=Constants!$B$7,IF(V321="",Constants!$B$13,V321),"")</f>
        <v/>
      </c>
      <c r="AC321" s="65" t="str">
        <f aca="false">IF($Z321=Constants!$B$7,IF(X321="",Constants!$B$13,X321),"")</f>
        <v/>
      </c>
      <c r="AD321" s="65" t="str">
        <f aca="false">IF($Z321=Constants!$B$7,IF($AB321&gt;=$AC321,1,2),"")</f>
        <v/>
      </c>
      <c r="AE321" s="65" t="str">
        <f aca="false">IF($Z321=Constants!$B$7,LARGE(AB321:AC321,1),"")</f>
        <v/>
      </c>
      <c r="AF321" s="65" t="str">
        <f aca="false">IF(ISBLANK($C321),"",IF($Z321&lt;&gt;Constants!$B$7,$Z321,AE321*S321))</f>
        <v/>
      </c>
      <c r="AG321" s="65" t="str">
        <f aca="false">IF(ISBLANK($C321),"",IF($Z321=Constants!$B$7,IF(ISNUMBER(AF321),RANK(AF321,$AF$8:$AF$507),Constants!$B$14),$Z321))</f>
        <v/>
      </c>
      <c r="AH321" s="65" t="str">
        <f aca="false">IF(ISBLANK($C321),"",IF($Z321=Constants!$B$7,IF(ISNUMBER(AG321),COUNTIFS($AA$8:$AA$507,"&lt;"&amp;$AA321)+COUNTIFS($AA$8:$AA$507,$AA321,$AG$8:$AG$507,"&lt;"&amp;$AG321)+1,Constants!$B$14),$Z321))</f>
        <v/>
      </c>
      <c r="AI321" s="65" t="str">
        <f aca="false">IF(ISBLANK($C321),"",IF($Z321=Constants!$B$7,LARGE(AB321:AC321,2)*S321,""))</f>
        <v/>
      </c>
      <c r="AJ321" s="65" t="str">
        <f aca="false">IF(ISBLANK($C321),"",IF($Z321=Constants!$B$7,RANK(AI321,$AI$8:$AI$507),$Z321))</f>
        <v/>
      </c>
      <c r="AK321" s="65" t="str">
        <f aca="false">IF(ISBLANK($C321),"",IF($Z321=Constants!$B$7,IF(ISNUMBER(AG321),COUNTIFS($AA$8:$AA$507,"&lt;"&amp;$AA321)+COUNTIFS($AA$8:$AA$507,$AA321,$AG$8:$AG$507,"&lt;"&amp;$AG321)+COUNTIFS($AA$8:$AA$507,$AA321,$AG$8:$AG$507,$AG321,$AJ$8:$AJ$507,"&lt;"&amp;$AJ321)+1,Constants!$B$14),$Z321))</f>
        <v/>
      </c>
      <c r="AL321" s="65" t="str">
        <f aca="false">IF(ISBLANK($C321),"",IF($Z321=Constants!$B$7,IF(ISNUMBER(AH321),AH321-AK321,Constants!$B$14),$Z321))</f>
        <v/>
      </c>
      <c r="AM321" s="67"/>
      <c r="AN321" s="68" t="str">
        <f aca="false">IF(ISBLANK($C321),"",IF($Z321&lt;&gt;Constants!$B$7,$Z321,AD321))</f>
        <v/>
      </c>
      <c r="AO321" s="69" t="str">
        <f aca="false">IF(ISBLANK($C321),"",IF($Z321&lt;&gt;Constants!$B$7,$Z321,S321))</f>
        <v/>
      </c>
      <c r="AP321" s="70" t="str">
        <f aca="false">IF(ISBLANK($C321),"",IF($Z321&lt;&gt;Constants!$B$7,$Z321,AF321))</f>
        <v/>
      </c>
      <c r="AQ321" s="71" t="str">
        <f aca="false">IF(ISBLANK($C321),"",IF($Z321&lt;&gt;Constants!$B$7,$Z321,AA321))</f>
        <v/>
      </c>
      <c r="AR321" s="69" t="str">
        <f aca="false">IF(ISBLANK($C321),"",AL321)</f>
        <v/>
      </c>
      <c r="AS321" s="69" t="str">
        <f aca="false">IF(ISBLANK($C321),"",AK321)</f>
        <v/>
      </c>
      <c r="AT321" s="72" t="str">
        <f aca="false">IF(ISBLANK($C321),"",IF(AS321=Constants!$B$4,COUNTA($C$8:$C$507)+2,IF(AS321=Constants!$B$5,COUNTA($C$8:$C$507)+1,IF(AS321=Constants!$B$6,COUNTA($C$8:$C$507),AS321))))</f>
        <v/>
      </c>
      <c r="AU321" s="5"/>
      <c r="AV321" s="73" t="n">
        <f aca="false">IF(OR(ISNUMBER(AS321),AS321=Constants!$B$4,AS321=Constants!$B$6,AS321=Constants!$B$5),1,0)</f>
        <v>0</v>
      </c>
      <c r="AW321" s="73" t="n">
        <v>314</v>
      </c>
      <c r="AX321" s="73" t="str">
        <f aca="false">IF(ISBLANK($C321),"",IF(ISNUMBER(AT321),AT321+ROW($B321)/1000,""))</f>
        <v/>
      </c>
      <c r="AY321" s="73" t="str">
        <f aca="false">IF(ISNUMBER(AX321),RANK(AX321,$AX$8:$AX$507,1),"")</f>
        <v/>
      </c>
      <c r="AZ321" s="73" t="str">
        <f aca="false">IF(ISBLANK($C321),"",$B321)</f>
        <v/>
      </c>
      <c r="BA321" s="73" t="str">
        <f aca="false">IF(ISBLANK($C321),"",$C321)</f>
        <v/>
      </c>
      <c r="BB321" s="73" t="str">
        <f aca="false">IF(ISBLANK($C321),"",$D321)</f>
        <v/>
      </c>
      <c r="BC321" s="74" t="str">
        <f aca="false">AQ321</f>
        <v/>
      </c>
      <c r="BD321" s="75" t="str">
        <f aca="false">AP321</f>
        <v/>
      </c>
      <c r="BE321" s="73" t="str">
        <f aca="false">IF(ISBLANK($C321),"",AS321)</f>
        <v/>
      </c>
      <c r="BF321" s="76" t="str">
        <f aca="false">IF($AW321&gt;$AV$7,"",VLOOKUP($AW321,$AY$8:$BE$507,7,FALSE()))</f>
        <v/>
      </c>
      <c r="BG321" s="77" t="str">
        <f aca="false">IF($AW321&gt;$AV$7,"",VLOOKUP($AW321,$AY$8:$BE$507,2,FALSE()))</f>
        <v/>
      </c>
      <c r="BH321" s="77" t="str">
        <f aca="false">IF($AW321&gt;$AV$7,"",VLOOKUP($AW321,$AY$8:$BE$507,3,FALSE()))</f>
        <v/>
      </c>
      <c r="BI321" s="77" t="str">
        <f aca="false">IF($AW321&gt;$AV$7,"",VLOOKUP($AW321,$AY$8:$BE$507,4,FALSE()))</f>
        <v/>
      </c>
      <c r="BJ321" s="77" t="str">
        <f aca="false">IF($AW321&gt;$AV$7,"",VLOOKUP($AW321,$AY$8:$BE$507,5,FALSE()))</f>
        <v/>
      </c>
      <c r="BK321" s="78" t="str">
        <f aca="false">IF($AW321&gt;$AV$7,"",VLOOKUP($AW321,$AY$8:$BE$507,6,FALSE()))</f>
        <v/>
      </c>
      <c r="BL321" s="50"/>
    </row>
    <row r="322" customFormat="false" ht="15.75" hidden="false" customHeight="false" outlineLevel="0" collapsed="false">
      <c r="A322" s="5"/>
      <c r="B322" s="131"/>
      <c r="C322" s="52"/>
      <c r="D322" s="53"/>
      <c r="E322" s="80"/>
      <c r="F322" s="132"/>
      <c r="G322" s="56"/>
      <c r="H322" s="133"/>
      <c r="I322" s="134"/>
      <c r="J322" s="59"/>
      <c r="K322" s="60"/>
      <c r="L322" s="134"/>
      <c r="M322" s="61"/>
      <c r="N322" s="62"/>
      <c r="O322" s="80"/>
      <c r="P322" s="64"/>
      <c r="Q322" s="65" t="str">
        <f aca="false">IF(ISBLANK($C322),"",IF(E322=Constants!$B$2, TRUE(), IF(E322=Constants!$B$3, FALSE(), TRUE())))</f>
        <v/>
      </c>
      <c r="R322" s="65" t="str">
        <f aca="false">IF(ISBLANK($C322),"",IF(F322=Constants!$B$2, TRUE(), IF(F322=Constants!$B$3, FALSE(), TRUE())))</f>
        <v/>
      </c>
      <c r="S322" s="65" t="str">
        <f aca="false">IF(ISBLANK($C322),"",IF(G322=Constants!$B$15,Constants!$B$8,IF(G322=Constants!$B$16,Constants!$B$9,Constants!$B$10)))</f>
        <v/>
      </c>
      <c r="T322" s="65" t="str">
        <f aca="false">IF(ISBLANK($C322),"",IF(H322=Constants!$B$2, TRUE(), IF(H322=Constants!$B$3, FALSE(), TRUE())))</f>
        <v/>
      </c>
      <c r="U322" s="65" t="str">
        <f aca="false">IF(ISBLANK($C322),"",IF(I322=Constants!$B$19,Constants!$B$19,Constants!$B$18))</f>
        <v/>
      </c>
      <c r="V322" s="65" t="str">
        <f aca="false">IF(ISBLANK($C322),"",IF(COUNTA(J322:K322)=0,"",IF(AND(OR(ISBLANK(J322),AND(ISNUMBER(J322),J322&gt;=0)),OR(ISBLANK(K322),AND(ISNUMBER(K322),K322&gt;=0))),60*IF(ISBLANK(J322),0,J322)+IF(ISBLANK(K322),0,K322),"")))</f>
        <v/>
      </c>
      <c r="W322" s="65" t="str">
        <f aca="false">IF(ISBLANK($C322),"",IF(L322=Constants!$B$19,Constants!$B$19,Constants!$B$18))</f>
        <v/>
      </c>
      <c r="X322" s="65" t="str">
        <f aca="false">IF(ISBLANK($C322),"",IF(COUNTA(M322:N322)=0,"",IF(AND(OR(ISBLANK(M322),AND(ISNUMBER(M322),M322&gt;=0)),OR(ISBLANK(N322),AND(ISNUMBER(N322),N322&gt;=0))),60*IF(ISBLANK(M322),0,M322)+IF(ISBLANK(N322),0,N322),"")))</f>
        <v/>
      </c>
      <c r="Y322" s="65" t="str">
        <f aca="false">IF(ISBLANK($C322),"",IF(O322=Constants!$B$2, TRUE(), IF(O322=Constants!$B$3, FALSE(), FALSE())))</f>
        <v/>
      </c>
      <c r="Z322" s="65" t="str">
        <f aca="false">IF(ISBLANK($C322),"",IF(Y322,Constants!$B$4,IF(COUNTA(E322:N322)=0,Constants!$B$5,IF(COUNTA(J322:K322,M322:N322)=0,Constants!$B$6,Constants!$B$7))))</f>
        <v/>
      </c>
      <c r="AA322" s="65" t="str">
        <f aca="false">IF(ISBLANK($C322),"",IF($Z322&lt;&gt;Constants!$B$7,$Z322,IF(OR(NOT(T322),AND(NOT(Q322),COUNTIFS(U322:W322,Constants!$B$18,V322:X322,"&gt;=0")&gt;0),AND(NOT(R322),COUNTIFS(U322:W322,Constants!$B$19,V322:X322,"&gt;=0")&gt;0)),Constants!$B$12,Constants!$B$11)))</f>
        <v/>
      </c>
      <c r="AB322" s="65" t="str">
        <f aca="false">IF($Z322=Constants!$B$7,IF(V322="",Constants!$B$13,V322),"")</f>
        <v/>
      </c>
      <c r="AC322" s="65" t="str">
        <f aca="false">IF($Z322=Constants!$B$7,IF(X322="",Constants!$B$13,X322),"")</f>
        <v/>
      </c>
      <c r="AD322" s="65" t="str">
        <f aca="false">IF($Z322=Constants!$B$7,IF($AB322&gt;=$AC322,1,2),"")</f>
        <v/>
      </c>
      <c r="AE322" s="65" t="str">
        <f aca="false">IF($Z322=Constants!$B$7,LARGE(AB322:AC322,1),"")</f>
        <v/>
      </c>
      <c r="AF322" s="65" t="str">
        <f aca="false">IF(ISBLANK($C322),"",IF($Z322&lt;&gt;Constants!$B$7,$Z322,AE322*S322))</f>
        <v/>
      </c>
      <c r="AG322" s="65" t="str">
        <f aca="false">IF(ISBLANK($C322),"",IF($Z322=Constants!$B$7,IF(ISNUMBER(AF322),RANK(AF322,$AF$8:$AF$507),Constants!$B$14),$Z322))</f>
        <v/>
      </c>
      <c r="AH322" s="65" t="str">
        <f aca="false">IF(ISBLANK($C322),"",IF($Z322=Constants!$B$7,IF(ISNUMBER(AG322),COUNTIFS($AA$8:$AA$507,"&lt;"&amp;$AA322)+COUNTIFS($AA$8:$AA$507,$AA322,$AG$8:$AG$507,"&lt;"&amp;$AG322)+1,Constants!$B$14),$Z322))</f>
        <v/>
      </c>
      <c r="AI322" s="65" t="str">
        <f aca="false">IF(ISBLANK($C322),"",IF($Z322=Constants!$B$7,LARGE(AB322:AC322,2)*S322,""))</f>
        <v/>
      </c>
      <c r="AJ322" s="65" t="str">
        <f aca="false">IF(ISBLANK($C322),"",IF($Z322=Constants!$B$7,RANK(AI322,$AI$8:$AI$507),$Z322))</f>
        <v/>
      </c>
      <c r="AK322" s="65" t="str">
        <f aca="false">IF(ISBLANK($C322),"",IF($Z322=Constants!$B$7,IF(ISNUMBER(AG322),COUNTIFS($AA$8:$AA$507,"&lt;"&amp;$AA322)+COUNTIFS($AA$8:$AA$507,$AA322,$AG$8:$AG$507,"&lt;"&amp;$AG322)+COUNTIFS($AA$8:$AA$507,$AA322,$AG$8:$AG$507,$AG322,$AJ$8:$AJ$507,"&lt;"&amp;$AJ322)+1,Constants!$B$14),$Z322))</f>
        <v/>
      </c>
      <c r="AL322" s="65" t="str">
        <f aca="false">IF(ISBLANK($C322),"",IF($Z322=Constants!$B$7,IF(ISNUMBER(AH322),AH322-AK322,Constants!$B$14),$Z322))</f>
        <v/>
      </c>
      <c r="AM322" s="67"/>
      <c r="AN322" s="68" t="str">
        <f aca="false">IF(ISBLANK($C322),"",IF($Z322&lt;&gt;Constants!$B$7,$Z322,AD322))</f>
        <v/>
      </c>
      <c r="AO322" s="69" t="str">
        <f aca="false">IF(ISBLANK($C322),"",IF($Z322&lt;&gt;Constants!$B$7,$Z322,S322))</f>
        <v/>
      </c>
      <c r="AP322" s="70" t="str">
        <f aca="false">IF(ISBLANK($C322),"",IF($Z322&lt;&gt;Constants!$B$7,$Z322,AF322))</f>
        <v/>
      </c>
      <c r="AQ322" s="71" t="str">
        <f aca="false">IF(ISBLANK($C322),"",IF($Z322&lt;&gt;Constants!$B$7,$Z322,AA322))</f>
        <v/>
      </c>
      <c r="AR322" s="69" t="str">
        <f aca="false">IF(ISBLANK($C322),"",AL322)</f>
        <v/>
      </c>
      <c r="AS322" s="69" t="str">
        <f aca="false">IF(ISBLANK($C322),"",AK322)</f>
        <v/>
      </c>
      <c r="AT322" s="72" t="str">
        <f aca="false">IF(ISBLANK($C322),"",IF(AS322=Constants!$B$4,COUNTA($C$8:$C$507)+2,IF(AS322=Constants!$B$5,COUNTA($C$8:$C$507)+1,IF(AS322=Constants!$B$6,COUNTA($C$8:$C$507),AS322))))</f>
        <v/>
      </c>
      <c r="AU322" s="5"/>
      <c r="AV322" s="73" t="n">
        <f aca="false">IF(OR(ISNUMBER(AS322),AS322=Constants!$B$4,AS322=Constants!$B$6,AS322=Constants!$B$5),1,0)</f>
        <v>0</v>
      </c>
      <c r="AW322" s="73" t="n">
        <v>315</v>
      </c>
      <c r="AX322" s="73" t="str">
        <f aca="false">IF(ISBLANK($C322),"",IF(ISNUMBER(AT322),AT322+ROW($B322)/1000,""))</f>
        <v/>
      </c>
      <c r="AY322" s="73" t="str">
        <f aca="false">IF(ISNUMBER(AX322),RANK(AX322,$AX$8:$AX$507,1),"")</f>
        <v/>
      </c>
      <c r="AZ322" s="73" t="str">
        <f aca="false">IF(ISBLANK($C322),"",$B322)</f>
        <v/>
      </c>
      <c r="BA322" s="73" t="str">
        <f aca="false">IF(ISBLANK($C322),"",$C322)</f>
        <v/>
      </c>
      <c r="BB322" s="73" t="str">
        <f aca="false">IF(ISBLANK($C322),"",$D322)</f>
        <v/>
      </c>
      <c r="BC322" s="74" t="str">
        <f aca="false">AQ322</f>
        <v/>
      </c>
      <c r="BD322" s="75" t="str">
        <f aca="false">AP322</f>
        <v/>
      </c>
      <c r="BE322" s="73" t="str">
        <f aca="false">IF(ISBLANK($C322),"",AS322)</f>
        <v/>
      </c>
      <c r="BF322" s="76" t="str">
        <f aca="false">IF($AW322&gt;$AV$7,"",VLOOKUP($AW322,$AY$8:$BE$507,7,FALSE()))</f>
        <v/>
      </c>
      <c r="BG322" s="77" t="str">
        <f aca="false">IF($AW322&gt;$AV$7,"",VLOOKUP($AW322,$AY$8:$BE$507,2,FALSE()))</f>
        <v/>
      </c>
      <c r="BH322" s="77" t="str">
        <f aca="false">IF($AW322&gt;$AV$7,"",VLOOKUP($AW322,$AY$8:$BE$507,3,FALSE()))</f>
        <v/>
      </c>
      <c r="BI322" s="77" t="str">
        <f aca="false">IF($AW322&gt;$AV$7,"",VLOOKUP($AW322,$AY$8:$BE$507,4,FALSE()))</f>
        <v/>
      </c>
      <c r="BJ322" s="77" t="str">
        <f aca="false">IF($AW322&gt;$AV$7,"",VLOOKUP($AW322,$AY$8:$BE$507,5,FALSE()))</f>
        <v/>
      </c>
      <c r="BK322" s="78" t="str">
        <f aca="false">IF($AW322&gt;$AV$7,"",VLOOKUP($AW322,$AY$8:$BE$507,6,FALSE()))</f>
        <v/>
      </c>
      <c r="BL322" s="50"/>
    </row>
    <row r="323" customFormat="false" ht="15.75" hidden="false" customHeight="false" outlineLevel="0" collapsed="false">
      <c r="A323" s="5"/>
      <c r="B323" s="124"/>
      <c r="C323" s="125"/>
      <c r="D323" s="110"/>
      <c r="E323" s="130"/>
      <c r="F323" s="135"/>
      <c r="G323" s="88"/>
      <c r="H323" s="136"/>
      <c r="I323" s="137"/>
      <c r="J323" s="91"/>
      <c r="K323" s="92"/>
      <c r="L323" s="137"/>
      <c r="M323" s="93"/>
      <c r="N323" s="94"/>
      <c r="O323" s="130"/>
      <c r="P323" s="96"/>
      <c r="Q323" s="97" t="str">
        <f aca="false">IF(ISBLANK($C323),"",IF(E323=Constants!$B$2, TRUE(), IF(E323=Constants!$B$3, FALSE(), TRUE())))</f>
        <v/>
      </c>
      <c r="R323" s="97" t="str">
        <f aca="false">IF(ISBLANK($C323),"",IF(F323=Constants!$B$2, TRUE(), IF(F323=Constants!$B$3, FALSE(), TRUE())))</f>
        <v/>
      </c>
      <c r="S323" s="97" t="str">
        <f aca="false">IF(ISBLANK($C323),"",IF(G323=Constants!$B$15,Constants!$B$8,IF(G323=Constants!$B$16,Constants!$B$9,Constants!$B$10)))</f>
        <v/>
      </c>
      <c r="T323" s="97" t="str">
        <f aca="false">IF(ISBLANK($C323),"",IF(H323=Constants!$B$2, TRUE(), IF(H323=Constants!$B$3, FALSE(), TRUE())))</f>
        <v/>
      </c>
      <c r="U323" s="97" t="str">
        <f aca="false">IF(ISBLANK($C323),"",IF(I323=Constants!$B$19,Constants!$B$19,Constants!$B$18))</f>
        <v/>
      </c>
      <c r="V323" s="97" t="str">
        <f aca="false">IF(ISBLANK($C323),"",IF(COUNTA(J323:K323)=0,"",IF(AND(OR(ISBLANK(J323),AND(ISNUMBER(J323),J323&gt;=0)),OR(ISBLANK(K323),AND(ISNUMBER(K323),K323&gt;=0))),60*IF(ISBLANK(J323),0,J323)+IF(ISBLANK(K323),0,K323),"")))</f>
        <v/>
      </c>
      <c r="W323" s="97" t="str">
        <f aca="false">IF(ISBLANK($C323),"",IF(L323=Constants!$B$19,Constants!$B$19,Constants!$B$18))</f>
        <v/>
      </c>
      <c r="X323" s="97" t="str">
        <f aca="false">IF(ISBLANK($C323),"",IF(COUNTA(M323:N323)=0,"",IF(AND(OR(ISBLANK(M323),AND(ISNUMBER(M323),M323&gt;=0)),OR(ISBLANK(N323),AND(ISNUMBER(N323),N323&gt;=0))),60*IF(ISBLANK(M323),0,M323)+IF(ISBLANK(N323),0,N323),"")))</f>
        <v/>
      </c>
      <c r="Y323" s="97" t="str">
        <f aca="false">IF(ISBLANK($C323),"",IF(O323=Constants!$B$2, TRUE(), IF(O323=Constants!$B$3, FALSE(), FALSE())))</f>
        <v/>
      </c>
      <c r="Z323" s="97" t="str">
        <f aca="false">IF(ISBLANK($C323),"",IF(Y323,Constants!$B$4,IF(COUNTA(E323:N323)=0,Constants!$B$5,IF(COUNTA(J323:K323,M323:N323)=0,Constants!$B$6,Constants!$B$7))))</f>
        <v/>
      </c>
      <c r="AA323" s="97" t="str">
        <f aca="false">IF(ISBLANK($C323),"",IF($Z323&lt;&gt;Constants!$B$7,$Z323,IF(OR(NOT(T323),AND(NOT(Q323),COUNTIFS(U323:W323,Constants!$B$18,V323:X323,"&gt;=0")&gt;0),AND(NOT(R323),COUNTIFS(U323:W323,Constants!$B$19,V323:X323,"&gt;=0")&gt;0)),Constants!$B$12,Constants!$B$11)))</f>
        <v/>
      </c>
      <c r="AB323" s="97" t="str">
        <f aca="false">IF($Z323=Constants!$B$7,IF(V323="",Constants!$B$13,V323),"")</f>
        <v/>
      </c>
      <c r="AC323" s="97" t="str">
        <f aca="false">IF($Z323=Constants!$B$7,IF(X323="",Constants!$B$13,X323),"")</f>
        <v/>
      </c>
      <c r="AD323" s="97" t="str">
        <f aca="false">IF($Z323=Constants!$B$7,IF($AB323&gt;=$AC323,1,2),"")</f>
        <v/>
      </c>
      <c r="AE323" s="97" t="str">
        <f aca="false">IF($Z323=Constants!$B$7,LARGE(AB323:AC323,1),"")</f>
        <v/>
      </c>
      <c r="AF323" s="97" t="str">
        <f aca="false">IF(ISBLANK($C323),"",IF($Z323&lt;&gt;Constants!$B$7,$Z323,AE323*S323))</f>
        <v/>
      </c>
      <c r="AG323" s="97" t="str">
        <f aca="false">IF(ISBLANK($C323),"",IF($Z323=Constants!$B$7,IF(ISNUMBER(AF323),RANK(AF323,$AF$8:$AF$507),Constants!$B$14),$Z323))</f>
        <v/>
      </c>
      <c r="AH323" s="97" t="str">
        <f aca="false">IF(ISBLANK($C323),"",IF($Z323=Constants!$B$7,IF(ISNUMBER(AG323),COUNTIFS($AA$8:$AA$507,"&lt;"&amp;$AA323)+COUNTIFS($AA$8:$AA$507,$AA323,$AG$8:$AG$507,"&lt;"&amp;$AG323)+1,Constants!$B$14),$Z323))</f>
        <v/>
      </c>
      <c r="AI323" s="97" t="str">
        <f aca="false">IF(ISBLANK($C323),"",IF($Z323=Constants!$B$7,LARGE(AB323:AC323,2)*S323,""))</f>
        <v/>
      </c>
      <c r="AJ323" s="97" t="str">
        <f aca="false">IF(ISBLANK($C323),"",IF($Z323=Constants!$B$7,RANK(AI323,$AI$8:$AI$507),$Z323))</f>
        <v/>
      </c>
      <c r="AK323" s="97" t="str">
        <f aca="false">IF(ISBLANK($C323),"",IF($Z323=Constants!$B$7,IF(ISNUMBER(AG323),COUNTIFS($AA$8:$AA$507,"&lt;"&amp;$AA323)+COUNTIFS($AA$8:$AA$507,$AA323,$AG$8:$AG$507,"&lt;"&amp;$AG323)+COUNTIFS($AA$8:$AA$507,$AA323,$AG$8:$AG$507,$AG323,$AJ$8:$AJ$507,"&lt;"&amp;$AJ323)+1,Constants!$B$14),$Z323))</f>
        <v/>
      </c>
      <c r="AL323" s="97" t="str">
        <f aca="false">IF(ISBLANK($C323),"",IF($Z323=Constants!$B$7,IF(ISNUMBER(AH323),AH323-AK323,Constants!$B$14),$Z323))</f>
        <v/>
      </c>
      <c r="AM323" s="98"/>
      <c r="AN323" s="99" t="str">
        <f aca="false">IF(ISBLANK($C323),"",IF($Z323&lt;&gt;Constants!$B$7,$Z323,AD323))</f>
        <v/>
      </c>
      <c r="AO323" s="100" t="str">
        <f aca="false">IF(ISBLANK($C323),"",IF($Z323&lt;&gt;Constants!$B$7,$Z323,S323))</f>
        <v/>
      </c>
      <c r="AP323" s="101" t="str">
        <f aca="false">IF(ISBLANK($C323),"",IF($Z323&lt;&gt;Constants!$B$7,$Z323,AF323))</f>
        <v/>
      </c>
      <c r="AQ323" s="102" t="str">
        <f aca="false">IF(ISBLANK($C323),"",IF($Z323&lt;&gt;Constants!$B$7,$Z323,AA323))</f>
        <v/>
      </c>
      <c r="AR323" s="100" t="str">
        <f aca="false">IF(ISBLANK($C323),"",AL323)</f>
        <v/>
      </c>
      <c r="AS323" s="100" t="str">
        <f aca="false">IF(ISBLANK($C323),"",AK323)</f>
        <v/>
      </c>
      <c r="AT323" s="103" t="str">
        <f aca="false">IF(ISBLANK($C323),"",IF(AS323=Constants!$B$4,COUNTA($C$8:$C$507)+2,IF(AS323=Constants!$B$5,COUNTA($C$8:$C$507)+1,IF(AS323=Constants!$B$6,COUNTA($C$8:$C$507),AS323))))</f>
        <v/>
      </c>
      <c r="AU323" s="5"/>
      <c r="AV323" s="104" t="n">
        <f aca="false">IF(OR(ISNUMBER(AS323),AS323=Constants!$B$4,AS323=Constants!$B$6,AS323=Constants!$B$5),1,0)</f>
        <v>0</v>
      </c>
      <c r="AW323" s="104" t="n">
        <v>316</v>
      </c>
      <c r="AX323" s="104" t="str">
        <f aca="false">IF(ISBLANK($C323),"",IF(ISNUMBER(AT323),AT323+ROW($B323)/1000,""))</f>
        <v/>
      </c>
      <c r="AY323" s="104" t="str">
        <f aca="false">IF(ISNUMBER(AX323),RANK(AX323,$AX$8:$AX$507,1),"")</f>
        <v/>
      </c>
      <c r="AZ323" s="104" t="str">
        <f aca="false">IF(ISBLANK($C323),"",$B323)</f>
        <v/>
      </c>
      <c r="BA323" s="104" t="str">
        <f aca="false">IF(ISBLANK($C323),"",$C323)</f>
        <v/>
      </c>
      <c r="BB323" s="104" t="str">
        <f aca="false">IF(ISBLANK($C323),"",$D323)</f>
        <v/>
      </c>
      <c r="BC323" s="105" t="str">
        <f aca="false">AQ323</f>
        <v/>
      </c>
      <c r="BD323" s="106" t="str">
        <f aca="false">AP323</f>
        <v/>
      </c>
      <c r="BE323" s="104" t="str">
        <f aca="false">IF(ISBLANK($C323),"",AS323)</f>
        <v/>
      </c>
      <c r="BF323" s="107" t="str">
        <f aca="false">IF($AW323&gt;$AV$7,"",VLOOKUP($AW323,$AY$8:$BE$507,7,FALSE()))</f>
        <v/>
      </c>
      <c r="BG323" s="108" t="str">
        <f aca="false">IF($AW323&gt;$AV$7,"",VLOOKUP($AW323,$AY$8:$BE$507,2,FALSE()))</f>
        <v/>
      </c>
      <c r="BH323" s="108" t="str">
        <f aca="false">IF($AW323&gt;$AV$7,"",VLOOKUP($AW323,$AY$8:$BE$507,3,FALSE()))</f>
        <v/>
      </c>
      <c r="BI323" s="108" t="str">
        <f aca="false">IF($AW323&gt;$AV$7,"",VLOOKUP($AW323,$AY$8:$BE$507,4,FALSE()))</f>
        <v/>
      </c>
      <c r="BJ323" s="108" t="str">
        <f aca="false">IF($AW323&gt;$AV$7,"",VLOOKUP($AW323,$AY$8:$BE$507,5,FALSE()))</f>
        <v/>
      </c>
      <c r="BK323" s="109" t="str">
        <f aca="false">IF($AW323&gt;$AV$7,"",VLOOKUP($AW323,$AY$8:$BE$507,6,FALSE()))</f>
        <v/>
      </c>
      <c r="BL323" s="50"/>
    </row>
    <row r="324" customFormat="false" ht="15.75" hidden="false" customHeight="false" outlineLevel="0" collapsed="false">
      <c r="A324" s="5"/>
      <c r="B324" s="124"/>
      <c r="C324" s="125"/>
      <c r="D324" s="110"/>
      <c r="E324" s="130"/>
      <c r="F324" s="135"/>
      <c r="G324" s="88"/>
      <c r="H324" s="136"/>
      <c r="I324" s="137"/>
      <c r="J324" s="91"/>
      <c r="K324" s="92"/>
      <c r="L324" s="137"/>
      <c r="M324" s="93"/>
      <c r="N324" s="94"/>
      <c r="O324" s="130"/>
      <c r="P324" s="96"/>
      <c r="Q324" s="97" t="str">
        <f aca="false">IF(ISBLANK($C324),"",IF(E324=Constants!$B$2, TRUE(), IF(E324=Constants!$B$3, FALSE(), TRUE())))</f>
        <v/>
      </c>
      <c r="R324" s="97" t="str">
        <f aca="false">IF(ISBLANK($C324),"",IF(F324=Constants!$B$2, TRUE(), IF(F324=Constants!$B$3, FALSE(), TRUE())))</f>
        <v/>
      </c>
      <c r="S324" s="97" t="str">
        <f aca="false">IF(ISBLANK($C324),"",IF(G324=Constants!$B$15,Constants!$B$8,IF(G324=Constants!$B$16,Constants!$B$9,Constants!$B$10)))</f>
        <v/>
      </c>
      <c r="T324" s="97" t="str">
        <f aca="false">IF(ISBLANK($C324),"",IF(H324=Constants!$B$2, TRUE(), IF(H324=Constants!$B$3, FALSE(), TRUE())))</f>
        <v/>
      </c>
      <c r="U324" s="97" t="str">
        <f aca="false">IF(ISBLANK($C324),"",IF(I324=Constants!$B$19,Constants!$B$19,Constants!$B$18))</f>
        <v/>
      </c>
      <c r="V324" s="97" t="str">
        <f aca="false">IF(ISBLANK($C324),"",IF(COUNTA(J324:K324)=0,"",IF(AND(OR(ISBLANK(J324),AND(ISNUMBER(J324),J324&gt;=0)),OR(ISBLANK(K324),AND(ISNUMBER(K324),K324&gt;=0))),60*IF(ISBLANK(J324),0,J324)+IF(ISBLANK(K324),0,K324),"")))</f>
        <v/>
      </c>
      <c r="W324" s="97" t="str">
        <f aca="false">IF(ISBLANK($C324),"",IF(L324=Constants!$B$19,Constants!$B$19,Constants!$B$18))</f>
        <v/>
      </c>
      <c r="X324" s="97" t="str">
        <f aca="false">IF(ISBLANK($C324),"",IF(COUNTA(M324:N324)=0,"",IF(AND(OR(ISBLANK(M324),AND(ISNUMBER(M324),M324&gt;=0)),OR(ISBLANK(N324),AND(ISNUMBER(N324),N324&gt;=0))),60*IF(ISBLANK(M324),0,M324)+IF(ISBLANK(N324),0,N324),"")))</f>
        <v/>
      </c>
      <c r="Y324" s="97" t="str">
        <f aca="false">IF(ISBLANK($C324),"",IF(O324=Constants!$B$2, TRUE(), IF(O324=Constants!$B$3, FALSE(), FALSE())))</f>
        <v/>
      </c>
      <c r="Z324" s="97" t="str">
        <f aca="false">IF(ISBLANK($C324),"",IF(Y324,Constants!$B$4,IF(COUNTA(E324:N324)=0,Constants!$B$5,IF(COUNTA(J324:K324,M324:N324)=0,Constants!$B$6,Constants!$B$7))))</f>
        <v/>
      </c>
      <c r="AA324" s="97" t="str">
        <f aca="false">IF(ISBLANK($C324),"",IF($Z324&lt;&gt;Constants!$B$7,$Z324,IF(OR(NOT(T324),AND(NOT(Q324),COUNTIFS(U324:W324,Constants!$B$18,V324:X324,"&gt;=0")&gt;0),AND(NOT(R324),COUNTIFS(U324:W324,Constants!$B$19,V324:X324,"&gt;=0")&gt;0)),Constants!$B$12,Constants!$B$11)))</f>
        <v/>
      </c>
      <c r="AB324" s="97" t="str">
        <f aca="false">IF($Z324=Constants!$B$7,IF(V324="",Constants!$B$13,V324),"")</f>
        <v/>
      </c>
      <c r="AC324" s="97" t="str">
        <f aca="false">IF($Z324=Constants!$B$7,IF(X324="",Constants!$B$13,X324),"")</f>
        <v/>
      </c>
      <c r="AD324" s="97" t="str">
        <f aca="false">IF($Z324=Constants!$B$7,IF($AB324&gt;=$AC324,1,2),"")</f>
        <v/>
      </c>
      <c r="AE324" s="97" t="str">
        <f aca="false">IF($Z324=Constants!$B$7,LARGE(AB324:AC324,1),"")</f>
        <v/>
      </c>
      <c r="AF324" s="97" t="str">
        <f aca="false">IF(ISBLANK($C324),"",IF($Z324&lt;&gt;Constants!$B$7,$Z324,AE324*S324))</f>
        <v/>
      </c>
      <c r="AG324" s="97" t="str">
        <f aca="false">IF(ISBLANK($C324),"",IF($Z324=Constants!$B$7,IF(ISNUMBER(AF324),RANK(AF324,$AF$8:$AF$507),Constants!$B$14),$Z324))</f>
        <v/>
      </c>
      <c r="AH324" s="97" t="str">
        <f aca="false">IF(ISBLANK($C324),"",IF($Z324=Constants!$B$7,IF(ISNUMBER(AG324),COUNTIFS($AA$8:$AA$507,"&lt;"&amp;$AA324)+COUNTIFS($AA$8:$AA$507,$AA324,$AG$8:$AG$507,"&lt;"&amp;$AG324)+1,Constants!$B$14),$Z324))</f>
        <v/>
      </c>
      <c r="AI324" s="97" t="str">
        <f aca="false">IF(ISBLANK($C324),"",IF($Z324=Constants!$B$7,LARGE(AB324:AC324,2)*S324,""))</f>
        <v/>
      </c>
      <c r="AJ324" s="97" t="str">
        <f aca="false">IF(ISBLANK($C324),"",IF($Z324=Constants!$B$7,RANK(AI324,$AI$8:$AI$507),$Z324))</f>
        <v/>
      </c>
      <c r="AK324" s="97" t="str">
        <f aca="false">IF(ISBLANK($C324),"",IF($Z324=Constants!$B$7,IF(ISNUMBER(AG324),COUNTIFS($AA$8:$AA$507,"&lt;"&amp;$AA324)+COUNTIFS($AA$8:$AA$507,$AA324,$AG$8:$AG$507,"&lt;"&amp;$AG324)+COUNTIFS($AA$8:$AA$507,$AA324,$AG$8:$AG$507,$AG324,$AJ$8:$AJ$507,"&lt;"&amp;$AJ324)+1,Constants!$B$14),$Z324))</f>
        <v/>
      </c>
      <c r="AL324" s="97" t="str">
        <f aca="false">IF(ISBLANK($C324),"",IF($Z324=Constants!$B$7,IF(ISNUMBER(AH324),AH324-AK324,Constants!$B$14),$Z324))</f>
        <v/>
      </c>
      <c r="AM324" s="98"/>
      <c r="AN324" s="99" t="str">
        <f aca="false">IF(ISBLANK($C324),"",IF($Z324&lt;&gt;Constants!$B$7,$Z324,AD324))</f>
        <v/>
      </c>
      <c r="AO324" s="100" t="str">
        <f aca="false">IF(ISBLANK($C324),"",IF($Z324&lt;&gt;Constants!$B$7,$Z324,S324))</f>
        <v/>
      </c>
      <c r="AP324" s="101" t="str">
        <f aca="false">IF(ISBLANK($C324),"",IF($Z324&lt;&gt;Constants!$B$7,$Z324,AF324))</f>
        <v/>
      </c>
      <c r="AQ324" s="102" t="str">
        <f aca="false">IF(ISBLANK($C324),"",IF($Z324&lt;&gt;Constants!$B$7,$Z324,AA324))</f>
        <v/>
      </c>
      <c r="AR324" s="100" t="str">
        <f aca="false">IF(ISBLANK($C324),"",AL324)</f>
        <v/>
      </c>
      <c r="AS324" s="100" t="str">
        <f aca="false">IF(ISBLANK($C324),"",AK324)</f>
        <v/>
      </c>
      <c r="AT324" s="103" t="str">
        <f aca="false">IF(ISBLANK($C324),"",IF(AS324=Constants!$B$4,COUNTA($C$8:$C$507)+2,IF(AS324=Constants!$B$5,COUNTA($C$8:$C$507)+1,IF(AS324=Constants!$B$6,COUNTA($C$8:$C$507),AS324))))</f>
        <v/>
      </c>
      <c r="AU324" s="5"/>
      <c r="AV324" s="104" t="n">
        <f aca="false">IF(OR(ISNUMBER(AS324),AS324=Constants!$B$4,AS324=Constants!$B$6,AS324=Constants!$B$5),1,0)</f>
        <v>0</v>
      </c>
      <c r="AW324" s="104" t="n">
        <v>317</v>
      </c>
      <c r="AX324" s="104" t="str">
        <f aca="false">IF(ISBLANK($C324),"",IF(ISNUMBER(AT324),AT324+ROW($B324)/1000,""))</f>
        <v/>
      </c>
      <c r="AY324" s="104" t="str">
        <f aca="false">IF(ISNUMBER(AX324),RANK(AX324,$AX$8:$AX$507,1),"")</f>
        <v/>
      </c>
      <c r="AZ324" s="104" t="str">
        <f aca="false">IF(ISBLANK($C324),"",$B324)</f>
        <v/>
      </c>
      <c r="BA324" s="104" t="str">
        <f aca="false">IF(ISBLANK($C324),"",$C324)</f>
        <v/>
      </c>
      <c r="BB324" s="104" t="str">
        <f aca="false">IF(ISBLANK($C324),"",$D324)</f>
        <v/>
      </c>
      <c r="BC324" s="105" t="str">
        <f aca="false">AQ324</f>
        <v/>
      </c>
      <c r="BD324" s="106" t="str">
        <f aca="false">AP324</f>
        <v/>
      </c>
      <c r="BE324" s="104" t="str">
        <f aca="false">IF(ISBLANK($C324),"",AS324)</f>
        <v/>
      </c>
      <c r="BF324" s="107" t="str">
        <f aca="false">IF($AW324&gt;$AV$7,"",VLOOKUP($AW324,$AY$8:$BE$507,7,FALSE()))</f>
        <v/>
      </c>
      <c r="BG324" s="108" t="str">
        <f aca="false">IF($AW324&gt;$AV$7,"",VLOOKUP($AW324,$AY$8:$BE$507,2,FALSE()))</f>
        <v/>
      </c>
      <c r="BH324" s="108" t="str">
        <f aca="false">IF($AW324&gt;$AV$7,"",VLOOKUP($AW324,$AY$8:$BE$507,3,FALSE()))</f>
        <v/>
      </c>
      <c r="BI324" s="108" t="str">
        <f aca="false">IF($AW324&gt;$AV$7,"",VLOOKUP($AW324,$AY$8:$BE$507,4,FALSE()))</f>
        <v/>
      </c>
      <c r="BJ324" s="108" t="str">
        <f aca="false">IF($AW324&gt;$AV$7,"",VLOOKUP($AW324,$AY$8:$BE$507,5,FALSE()))</f>
        <v/>
      </c>
      <c r="BK324" s="109" t="str">
        <f aca="false">IF($AW324&gt;$AV$7,"",VLOOKUP($AW324,$AY$8:$BE$507,6,FALSE()))</f>
        <v/>
      </c>
      <c r="BL324" s="50"/>
    </row>
    <row r="325" customFormat="false" ht="15.75" hidden="false" customHeight="false" outlineLevel="0" collapsed="false">
      <c r="A325" s="5"/>
      <c r="B325" s="124"/>
      <c r="C325" s="125"/>
      <c r="D325" s="110"/>
      <c r="E325" s="130"/>
      <c r="F325" s="135"/>
      <c r="G325" s="88"/>
      <c r="H325" s="136"/>
      <c r="I325" s="137"/>
      <c r="J325" s="91"/>
      <c r="K325" s="92"/>
      <c r="L325" s="137"/>
      <c r="M325" s="93"/>
      <c r="N325" s="94"/>
      <c r="O325" s="130"/>
      <c r="P325" s="96"/>
      <c r="Q325" s="97" t="str">
        <f aca="false">IF(ISBLANK($C325),"",IF(E325=Constants!$B$2, TRUE(), IF(E325=Constants!$B$3, FALSE(), TRUE())))</f>
        <v/>
      </c>
      <c r="R325" s="97" t="str">
        <f aca="false">IF(ISBLANK($C325),"",IF(F325=Constants!$B$2, TRUE(), IF(F325=Constants!$B$3, FALSE(), TRUE())))</f>
        <v/>
      </c>
      <c r="S325" s="97" t="str">
        <f aca="false">IF(ISBLANK($C325),"",IF(G325=Constants!$B$15,Constants!$B$8,IF(G325=Constants!$B$16,Constants!$B$9,Constants!$B$10)))</f>
        <v/>
      </c>
      <c r="T325" s="97" t="str">
        <f aca="false">IF(ISBLANK($C325),"",IF(H325=Constants!$B$2, TRUE(), IF(H325=Constants!$B$3, FALSE(), TRUE())))</f>
        <v/>
      </c>
      <c r="U325" s="97" t="str">
        <f aca="false">IF(ISBLANK($C325),"",IF(I325=Constants!$B$19,Constants!$B$19,Constants!$B$18))</f>
        <v/>
      </c>
      <c r="V325" s="97" t="str">
        <f aca="false">IF(ISBLANK($C325),"",IF(COUNTA(J325:K325)=0,"",IF(AND(OR(ISBLANK(J325),AND(ISNUMBER(J325),J325&gt;=0)),OR(ISBLANK(K325),AND(ISNUMBER(K325),K325&gt;=0))),60*IF(ISBLANK(J325),0,J325)+IF(ISBLANK(K325),0,K325),"")))</f>
        <v/>
      </c>
      <c r="W325" s="97" t="str">
        <f aca="false">IF(ISBLANK($C325),"",IF(L325=Constants!$B$19,Constants!$B$19,Constants!$B$18))</f>
        <v/>
      </c>
      <c r="X325" s="97" t="str">
        <f aca="false">IF(ISBLANK($C325),"",IF(COUNTA(M325:N325)=0,"",IF(AND(OR(ISBLANK(M325),AND(ISNUMBER(M325),M325&gt;=0)),OR(ISBLANK(N325),AND(ISNUMBER(N325),N325&gt;=0))),60*IF(ISBLANK(M325),0,M325)+IF(ISBLANK(N325),0,N325),"")))</f>
        <v/>
      </c>
      <c r="Y325" s="97" t="str">
        <f aca="false">IF(ISBLANK($C325),"",IF(O325=Constants!$B$2, TRUE(), IF(O325=Constants!$B$3, FALSE(), FALSE())))</f>
        <v/>
      </c>
      <c r="Z325" s="97" t="str">
        <f aca="false">IF(ISBLANK($C325),"",IF(Y325,Constants!$B$4,IF(COUNTA(E325:N325)=0,Constants!$B$5,IF(COUNTA(J325:K325,M325:N325)=0,Constants!$B$6,Constants!$B$7))))</f>
        <v/>
      </c>
      <c r="AA325" s="97" t="str">
        <f aca="false">IF(ISBLANK($C325),"",IF($Z325&lt;&gt;Constants!$B$7,$Z325,IF(OR(NOT(T325),AND(NOT(Q325),COUNTIFS(U325:W325,Constants!$B$18,V325:X325,"&gt;=0")&gt;0),AND(NOT(R325),COUNTIFS(U325:W325,Constants!$B$19,V325:X325,"&gt;=0")&gt;0)),Constants!$B$12,Constants!$B$11)))</f>
        <v/>
      </c>
      <c r="AB325" s="97" t="str">
        <f aca="false">IF($Z325=Constants!$B$7,IF(V325="",Constants!$B$13,V325),"")</f>
        <v/>
      </c>
      <c r="AC325" s="97" t="str">
        <f aca="false">IF($Z325=Constants!$B$7,IF(X325="",Constants!$B$13,X325),"")</f>
        <v/>
      </c>
      <c r="AD325" s="97" t="str">
        <f aca="false">IF($Z325=Constants!$B$7,IF($AB325&gt;=$AC325,1,2),"")</f>
        <v/>
      </c>
      <c r="AE325" s="97" t="str">
        <f aca="false">IF($Z325=Constants!$B$7,LARGE(AB325:AC325,1),"")</f>
        <v/>
      </c>
      <c r="AF325" s="97" t="str">
        <f aca="false">IF(ISBLANK($C325),"",IF($Z325&lt;&gt;Constants!$B$7,$Z325,AE325*S325))</f>
        <v/>
      </c>
      <c r="AG325" s="97" t="str">
        <f aca="false">IF(ISBLANK($C325),"",IF($Z325=Constants!$B$7,IF(ISNUMBER(AF325),RANK(AF325,$AF$8:$AF$507),Constants!$B$14),$Z325))</f>
        <v/>
      </c>
      <c r="AH325" s="97" t="str">
        <f aca="false">IF(ISBLANK($C325),"",IF($Z325=Constants!$B$7,IF(ISNUMBER(AG325),COUNTIFS($AA$8:$AA$507,"&lt;"&amp;$AA325)+COUNTIFS($AA$8:$AA$507,$AA325,$AG$8:$AG$507,"&lt;"&amp;$AG325)+1,Constants!$B$14),$Z325))</f>
        <v/>
      </c>
      <c r="AI325" s="97" t="str">
        <f aca="false">IF(ISBLANK($C325),"",IF($Z325=Constants!$B$7,LARGE(AB325:AC325,2)*S325,""))</f>
        <v/>
      </c>
      <c r="AJ325" s="97" t="str">
        <f aca="false">IF(ISBLANK($C325),"",IF($Z325=Constants!$B$7,RANK(AI325,$AI$8:$AI$507),$Z325))</f>
        <v/>
      </c>
      <c r="AK325" s="97" t="str">
        <f aca="false">IF(ISBLANK($C325),"",IF($Z325=Constants!$B$7,IF(ISNUMBER(AG325),COUNTIFS($AA$8:$AA$507,"&lt;"&amp;$AA325)+COUNTIFS($AA$8:$AA$507,$AA325,$AG$8:$AG$507,"&lt;"&amp;$AG325)+COUNTIFS($AA$8:$AA$507,$AA325,$AG$8:$AG$507,$AG325,$AJ$8:$AJ$507,"&lt;"&amp;$AJ325)+1,Constants!$B$14),$Z325))</f>
        <v/>
      </c>
      <c r="AL325" s="97" t="str">
        <f aca="false">IF(ISBLANK($C325),"",IF($Z325=Constants!$B$7,IF(ISNUMBER(AH325),AH325-AK325,Constants!$B$14),$Z325))</f>
        <v/>
      </c>
      <c r="AM325" s="98"/>
      <c r="AN325" s="99" t="str">
        <f aca="false">IF(ISBLANK($C325),"",IF($Z325&lt;&gt;Constants!$B$7,$Z325,AD325))</f>
        <v/>
      </c>
      <c r="AO325" s="100" t="str">
        <f aca="false">IF(ISBLANK($C325),"",IF($Z325&lt;&gt;Constants!$B$7,$Z325,S325))</f>
        <v/>
      </c>
      <c r="AP325" s="101" t="str">
        <f aca="false">IF(ISBLANK($C325),"",IF($Z325&lt;&gt;Constants!$B$7,$Z325,AF325))</f>
        <v/>
      </c>
      <c r="AQ325" s="102" t="str">
        <f aca="false">IF(ISBLANK($C325),"",IF($Z325&lt;&gt;Constants!$B$7,$Z325,AA325))</f>
        <v/>
      </c>
      <c r="AR325" s="100" t="str">
        <f aca="false">IF(ISBLANK($C325),"",AL325)</f>
        <v/>
      </c>
      <c r="AS325" s="100" t="str">
        <f aca="false">IF(ISBLANK($C325),"",AK325)</f>
        <v/>
      </c>
      <c r="AT325" s="103" t="str">
        <f aca="false">IF(ISBLANK($C325),"",IF(AS325=Constants!$B$4,COUNTA($C$8:$C$507)+2,IF(AS325=Constants!$B$5,COUNTA($C$8:$C$507)+1,IF(AS325=Constants!$B$6,COUNTA($C$8:$C$507),AS325))))</f>
        <v/>
      </c>
      <c r="AU325" s="5"/>
      <c r="AV325" s="104" t="n">
        <f aca="false">IF(OR(ISNUMBER(AS325),AS325=Constants!$B$4,AS325=Constants!$B$6,AS325=Constants!$B$5),1,0)</f>
        <v>0</v>
      </c>
      <c r="AW325" s="104" t="n">
        <v>318</v>
      </c>
      <c r="AX325" s="104" t="str">
        <f aca="false">IF(ISBLANK($C325),"",IF(ISNUMBER(AT325),AT325+ROW($B325)/1000,""))</f>
        <v/>
      </c>
      <c r="AY325" s="104" t="str">
        <f aca="false">IF(ISNUMBER(AX325),RANK(AX325,$AX$8:$AX$507,1),"")</f>
        <v/>
      </c>
      <c r="AZ325" s="104" t="str">
        <f aca="false">IF(ISBLANK($C325),"",$B325)</f>
        <v/>
      </c>
      <c r="BA325" s="104" t="str">
        <f aca="false">IF(ISBLANK($C325),"",$C325)</f>
        <v/>
      </c>
      <c r="BB325" s="104" t="str">
        <f aca="false">IF(ISBLANK($C325),"",$D325)</f>
        <v/>
      </c>
      <c r="BC325" s="105" t="str">
        <f aca="false">AQ325</f>
        <v/>
      </c>
      <c r="BD325" s="106" t="str">
        <f aca="false">AP325</f>
        <v/>
      </c>
      <c r="BE325" s="104" t="str">
        <f aca="false">IF(ISBLANK($C325),"",AS325)</f>
        <v/>
      </c>
      <c r="BF325" s="107" t="str">
        <f aca="false">IF($AW325&gt;$AV$7,"",VLOOKUP($AW325,$AY$8:$BE$507,7,FALSE()))</f>
        <v/>
      </c>
      <c r="BG325" s="108" t="str">
        <f aca="false">IF($AW325&gt;$AV$7,"",VLOOKUP($AW325,$AY$8:$BE$507,2,FALSE()))</f>
        <v/>
      </c>
      <c r="BH325" s="108" t="str">
        <f aca="false">IF($AW325&gt;$AV$7,"",VLOOKUP($AW325,$AY$8:$BE$507,3,FALSE()))</f>
        <v/>
      </c>
      <c r="BI325" s="108" t="str">
        <f aca="false">IF($AW325&gt;$AV$7,"",VLOOKUP($AW325,$AY$8:$BE$507,4,FALSE()))</f>
        <v/>
      </c>
      <c r="BJ325" s="108" t="str">
        <f aca="false">IF($AW325&gt;$AV$7,"",VLOOKUP($AW325,$AY$8:$BE$507,5,FALSE()))</f>
        <v/>
      </c>
      <c r="BK325" s="109" t="str">
        <f aca="false">IF($AW325&gt;$AV$7,"",VLOOKUP($AW325,$AY$8:$BE$507,6,FALSE()))</f>
        <v/>
      </c>
      <c r="BL325" s="50"/>
    </row>
    <row r="326" customFormat="false" ht="15.75" hidden="false" customHeight="false" outlineLevel="0" collapsed="false">
      <c r="A326" s="5"/>
      <c r="B326" s="131"/>
      <c r="C326" s="52"/>
      <c r="D326" s="53"/>
      <c r="E326" s="80"/>
      <c r="F326" s="132"/>
      <c r="G326" s="56"/>
      <c r="H326" s="133"/>
      <c r="I326" s="134"/>
      <c r="J326" s="59"/>
      <c r="K326" s="60"/>
      <c r="L326" s="134"/>
      <c r="M326" s="61"/>
      <c r="N326" s="62"/>
      <c r="O326" s="80"/>
      <c r="P326" s="64"/>
      <c r="Q326" s="65" t="str">
        <f aca="false">IF(ISBLANK($C326),"",IF(E326=Constants!$B$2, TRUE(), IF(E326=Constants!$B$3, FALSE(), TRUE())))</f>
        <v/>
      </c>
      <c r="R326" s="65" t="str">
        <f aca="false">IF(ISBLANK($C326),"",IF(F326=Constants!$B$2, TRUE(), IF(F326=Constants!$B$3, FALSE(), TRUE())))</f>
        <v/>
      </c>
      <c r="S326" s="65" t="str">
        <f aca="false">IF(ISBLANK($C326),"",IF(G326=Constants!$B$15,Constants!$B$8,IF(G326=Constants!$B$16,Constants!$B$9,Constants!$B$10)))</f>
        <v/>
      </c>
      <c r="T326" s="65" t="str">
        <f aca="false">IF(ISBLANK($C326),"",IF(H326=Constants!$B$2, TRUE(), IF(H326=Constants!$B$3, FALSE(), TRUE())))</f>
        <v/>
      </c>
      <c r="U326" s="65" t="str">
        <f aca="false">IF(ISBLANK($C326),"",IF(I326=Constants!$B$19,Constants!$B$19,Constants!$B$18))</f>
        <v/>
      </c>
      <c r="V326" s="65" t="str">
        <f aca="false">IF(ISBLANK($C326),"",IF(COUNTA(J326:K326)=0,"",IF(AND(OR(ISBLANK(J326),AND(ISNUMBER(J326),J326&gt;=0)),OR(ISBLANK(K326),AND(ISNUMBER(K326),K326&gt;=0))),60*IF(ISBLANK(J326),0,J326)+IF(ISBLANK(K326),0,K326),"")))</f>
        <v/>
      </c>
      <c r="W326" s="65" t="str">
        <f aca="false">IF(ISBLANK($C326),"",IF(L326=Constants!$B$19,Constants!$B$19,Constants!$B$18))</f>
        <v/>
      </c>
      <c r="X326" s="65" t="str">
        <f aca="false">IF(ISBLANK($C326),"",IF(COUNTA(M326:N326)=0,"",IF(AND(OR(ISBLANK(M326),AND(ISNUMBER(M326),M326&gt;=0)),OR(ISBLANK(N326),AND(ISNUMBER(N326),N326&gt;=0))),60*IF(ISBLANK(M326),0,M326)+IF(ISBLANK(N326),0,N326),"")))</f>
        <v/>
      </c>
      <c r="Y326" s="65" t="str">
        <f aca="false">IF(ISBLANK($C326),"",IF(O326=Constants!$B$2, TRUE(), IF(O326=Constants!$B$3, FALSE(), FALSE())))</f>
        <v/>
      </c>
      <c r="Z326" s="65" t="str">
        <f aca="false">IF(ISBLANK($C326),"",IF(Y326,Constants!$B$4,IF(COUNTA(E326:N326)=0,Constants!$B$5,IF(COUNTA(J326:K326,M326:N326)=0,Constants!$B$6,Constants!$B$7))))</f>
        <v/>
      </c>
      <c r="AA326" s="65" t="str">
        <f aca="false">IF(ISBLANK($C326),"",IF($Z326&lt;&gt;Constants!$B$7,$Z326,IF(OR(NOT(T326),AND(NOT(Q326),COUNTIFS(U326:W326,Constants!$B$18,V326:X326,"&gt;=0")&gt;0),AND(NOT(R326),COUNTIFS(U326:W326,Constants!$B$19,V326:X326,"&gt;=0")&gt;0)),Constants!$B$12,Constants!$B$11)))</f>
        <v/>
      </c>
      <c r="AB326" s="65" t="str">
        <f aca="false">IF($Z326=Constants!$B$7,IF(V326="",Constants!$B$13,V326),"")</f>
        <v/>
      </c>
      <c r="AC326" s="65" t="str">
        <f aca="false">IF($Z326=Constants!$B$7,IF(X326="",Constants!$B$13,X326),"")</f>
        <v/>
      </c>
      <c r="AD326" s="65" t="str">
        <f aca="false">IF($Z326=Constants!$B$7,IF($AB326&gt;=$AC326,1,2),"")</f>
        <v/>
      </c>
      <c r="AE326" s="65" t="str">
        <f aca="false">IF($Z326=Constants!$B$7,LARGE(AB326:AC326,1),"")</f>
        <v/>
      </c>
      <c r="AF326" s="65" t="str">
        <f aca="false">IF(ISBLANK($C326),"",IF($Z326&lt;&gt;Constants!$B$7,$Z326,AE326*S326))</f>
        <v/>
      </c>
      <c r="AG326" s="65" t="str">
        <f aca="false">IF(ISBLANK($C326),"",IF($Z326=Constants!$B$7,IF(ISNUMBER(AF326),RANK(AF326,$AF$8:$AF$507),Constants!$B$14),$Z326))</f>
        <v/>
      </c>
      <c r="AH326" s="65" t="str">
        <f aca="false">IF(ISBLANK($C326),"",IF($Z326=Constants!$B$7,IF(ISNUMBER(AG326),COUNTIFS($AA$8:$AA$507,"&lt;"&amp;$AA326)+COUNTIFS($AA$8:$AA$507,$AA326,$AG$8:$AG$507,"&lt;"&amp;$AG326)+1,Constants!$B$14),$Z326))</f>
        <v/>
      </c>
      <c r="AI326" s="65" t="str">
        <f aca="false">IF(ISBLANK($C326),"",IF($Z326=Constants!$B$7,LARGE(AB326:AC326,2)*S326,""))</f>
        <v/>
      </c>
      <c r="AJ326" s="65" t="str">
        <f aca="false">IF(ISBLANK($C326),"",IF($Z326=Constants!$B$7,RANK(AI326,$AI$8:$AI$507),$Z326))</f>
        <v/>
      </c>
      <c r="AK326" s="65" t="str">
        <f aca="false">IF(ISBLANK($C326),"",IF($Z326=Constants!$B$7,IF(ISNUMBER(AG326),COUNTIFS($AA$8:$AA$507,"&lt;"&amp;$AA326)+COUNTIFS($AA$8:$AA$507,$AA326,$AG$8:$AG$507,"&lt;"&amp;$AG326)+COUNTIFS($AA$8:$AA$507,$AA326,$AG$8:$AG$507,$AG326,$AJ$8:$AJ$507,"&lt;"&amp;$AJ326)+1,Constants!$B$14),$Z326))</f>
        <v/>
      </c>
      <c r="AL326" s="65" t="str">
        <f aca="false">IF(ISBLANK($C326),"",IF($Z326=Constants!$B$7,IF(ISNUMBER(AH326),AH326-AK326,Constants!$B$14),$Z326))</f>
        <v/>
      </c>
      <c r="AM326" s="67"/>
      <c r="AN326" s="68" t="str">
        <f aca="false">IF(ISBLANK($C326),"",IF($Z326&lt;&gt;Constants!$B$7,$Z326,AD326))</f>
        <v/>
      </c>
      <c r="AO326" s="69" t="str">
        <f aca="false">IF(ISBLANK($C326),"",IF($Z326&lt;&gt;Constants!$B$7,$Z326,S326))</f>
        <v/>
      </c>
      <c r="AP326" s="70" t="str">
        <f aca="false">IF(ISBLANK($C326),"",IF($Z326&lt;&gt;Constants!$B$7,$Z326,AF326))</f>
        <v/>
      </c>
      <c r="AQ326" s="71" t="str">
        <f aca="false">IF(ISBLANK($C326),"",IF($Z326&lt;&gt;Constants!$B$7,$Z326,AA326))</f>
        <v/>
      </c>
      <c r="AR326" s="69" t="str">
        <f aca="false">IF(ISBLANK($C326),"",AL326)</f>
        <v/>
      </c>
      <c r="AS326" s="69" t="str">
        <f aca="false">IF(ISBLANK($C326),"",AK326)</f>
        <v/>
      </c>
      <c r="AT326" s="72" t="str">
        <f aca="false">IF(ISBLANK($C326),"",IF(AS326=Constants!$B$4,COUNTA($C$8:$C$507)+2,IF(AS326=Constants!$B$5,COUNTA($C$8:$C$507)+1,IF(AS326=Constants!$B$6,COUNTA($C$8:$C$507),AS326))))</f>
        <v/>
      </c>
      <c r="AU326" s="5"/>
      <c r="AV326" s="73" t="n">
        <f aca="false">IF(OR(ISNUMBER(AS326),AS326=Constants!$B$4,AS326=Constants!$B$6,AS326=Constants!$B$5),1,0)</f>
        <v>0</v>
      </c>
      <c r="AW326" s="73" t="n">
        <v>319</v>
      </c>
      <c r="AX326" s="73" t="str">
        <f aca="false">IF(ISBLANK($C326),"",IF(ISNUMBER(AT326),AT326+ROW($B326)/1000,""))</f>
        <v/>
      </c>
      <c r="AY326" s="73" t="str">
        <f aca="false">IF(ISNUMBER(AX326),RANK(AX326,$AX$8:$AX$507,1),"")</f>
        <v/>
      </c>
      <c r="AZ326" s="73" t="str">
        <f aca="false">IF(ISBLANK($C326),"",$B326)</f>
        <v/>
      </c>
      <c r="BA326" s="73" t="str">
        <f aca="false">IF(ISBLANK($C326),"",$C326)</f>
        <v/>
      </c>
      <c r="BB326" s="73" t="str">
        <f aca="false">IF(ISBLANK($C326),"",$D326)</f>
        <v/>
      </c>
      <c r="BC326" s="74" t="str">
        <f aca="false">AQ326</f>
        <v/>
      </c>
      <c r="BD326" s="75" t="str">
        <f aca="false">AP326</f>
        <v/>
      </c>
      <c r="BE326" s="73" t="str">
        <f aca="false">IF(ISBLANK($C326),"",AS326)</f>
        <v/>
      </c>
      <c r="BF326" s="76" t="str">
        <f aca="false">IF($AW326&gt;$AV$7,"",VLOOKUP($AW326,$AY$8:$BE$507,7,FALSE()))</f>
        <v/>
      </c>
      <c r="BG326" s="77" t="str">
        <f aca="false">IF($AW326&gt;$AV$7,"",VLOOKUP($AW326,$AY$8:$BE$507,2,FALSE()))</f>
        <v/>
      </c>
      <c r="BH326" s="77" t="str">
        <f aca="false">IF($AW326&gt;$AV$7,"",VLOOKUP($AW326,$AY$8:$BE$507,3,FALSE()))</f>
        <v/>
      </c>
      <c r="BI326" s="77" t="str">
        <f aca="false">IF($AW326&gt;$AV$7,"",VLOOKUP($AW326,$AY$8:$BE$507,4,FALSE()))</f>
        <v/>
      </c>
      <c r="BJ326" s="77" t="str">
        <f aca="false">IF($AW326&gt;$AV$7,"",VLOOKUP($AW326,$AY$8:$BE$507,5,FALSE()))</f>
        <v/>
      </c>
      <c r="BK326" s="78" t="str">
        <f aca="false">IF($AW326&gt;$AV$7,"",VLOOKUP($AW326,$AY$8:$BE$507,6,FALSE()))</f>
        <v/>
      </c>
      <c r="BL326" s="50"/>
    </row>
    <row r="327" customFormat="false" ht="15.75" hidden="false" customHeight="false" outlineLevel="0" collapsed="false">
      <c r="A327" s="5"/>
      <c r="B327" s="131"/>
      <c r="C327" s="52"/>
      <c r="D327" s="53"/>
      <c r="E327" s="80"/>
      <c r="F327" s="132"/>
      <c r="G327" s="56"/>
      <c r="H327" s="133"/>
      <c r="I327" s="134"/>
      <c r="J327" s="59"/>
      <c r="K327" s="60"/>
      <c r="L327" s="134"/>
      <c r="M327" s="61"/>
      <c r="N327" s="62"/>
      <c r="O327" s="80"/>
      <c r="P327" s="64"/>
      <c r="Q327" s="65" t="str">
        <f aca="false">IF(ISBLANK($C327),"",IF(E327=Constants!$B$2, TRUE(), IF(E327=Constants!$B$3, FALSE(), TRUE())))</f>
        <v/>
      </c>
      <c r="R327" s="65" t="str">
        <f aca="false">IF(ISBLANK($C327),"",IF(F327=Constants!$B$2, TRUE(), IF(F327=Constants!$B$3, FALSE(), TRUE())))</f>
        <v/>
      </c>
      <c r="S327" s="65" t="str">
        <f aca="false">IF(ISBLANK($C327),"",IF(G327=Constants!$B$15,Constants!$B$8,IF(G327=Constants!$B$16,Constants!$B$9,Constants!$B$10)))</f>
        <v/>
      </c>
      <c r="T327" s="65" t="str">
        <f aca="false">IF(ISBLANK($C327),"",IF(H327=Constants!$B$2, TRUE(), IF(H327=Constants!$B$3, FALSE(), TRUE())))</f>
        <v/>
      </c>
      <c r="U327" s="65" t="str">
        <f aca="false">IF(ISBLANK($C327),"",IF(I327=Constants!$B$19,Constants!$B$19,Constants!$B$18))</f>
        <v/>
      </c>
      <c r="V327" s="65" t="str">
        <f aca="false">IF(ISBLANK($C327),"",IF(COUNTA(J327:K327)=0,"",IF(AND(OR(ISBLANK(J327),AND(ISNUMBER(J327),J327&gt;=0)),OR(ISBLANK(K327),AND(ISNUMBER(K327),K327&gt;=0))),60*IF(ISBLANK(J327),0,J327)+IF(ISBLANK(K327),0,K327),"")))</f>
        <v/>
      </c>
      <c r="W327" s="65" t="str">
        <f aca="false">IF(ISBLANK($C327),"",IF(L327=Constants!$B$19,Constants!$B$19,Constants!$B$18))</f>
        <v/>
      </c>
      <c r="X327" s="65" t="str">
        <f aca="false">IF(ISBLANK($C327),"",IF(COUNTA(M327:N327)=0,"",IF(AND(OR(ISBLANK(M327),AND(ISNUMBER(M327),M327&gt;=0)),OR(ISBLANK(N327),AND(ISNUMBER(N327),N327&gt;=0))),60*IF(ISBLANK(M327),0,M327)+IF(ISBLANK(N327),0,N327),"")))</f>
        <v/>
      </c>
      <c r="Y327" s="65" t="str">
        <f aca="false">IF(ISBLANK($C327),"",IF(O327=Constants!$B$2, TRUE(), IF(O327=Constants!$B$3, FALSE(), FALSE())))</f>
        <v/>
      </c>
      <c r="Z327" s="65" t="str">
        <f aca="false">IF(ISBLANK($C327),"",IF(Y327,Constants!$B$4,IF(COUNTA(E327:N327)=0,Constants!$B$5,IF(COUNTA(J327:K327,M327:N327)=0,Constants!$B$6,Constants!$B$7))))</f>
        <v/>
      </c>
      <c r="AA327" s="65" t="str">
        <f aca="false">IF(ISBLANK($C327),"",IF($Z327&lt;&gt;Constants!$B$7,$Z327,IF(OR(NOT(T327),AND(NOT(Q327),COUNTIFS(U327:W327,Constants!$B$18,V327:X327,"&gt;=0")&gt;0),AND(NOT(R327),COUNTIFS(U327:W327,Constants!$B$19,V327:X327,"&gt;=0")&gt;0)),Constants!$B$12,Constants!$B$11)))</f>
        <v/>
      </c>
      <c r="AB327" s="65" t="str">
        <f aca="false">IF($Z327=Constants!$B$7,IF(V327="",Constants!$B$13,V327),"")</f>
        <v/>
      </c>
      <c r="AC327" s="65" t="str">
        <f aca="false">IF($Z327=Constants!$B$7,IF(X327="",Constants!$B$13,X327),"")</f>
        <v/>
      </c>
      <c r="AD327" s="65" t="str">
        <f aca="false">IF($Z327=Constants!$B$7,IF($AB327&gt;=$AC327,1,2),"")</f>
        <v/>
      </c>
      <c r="AE327" s="65" t="str">
        <f aca="false">IF($Z327=Constants!$B$7,LARGE(AB327:AC327,1),"")</f>
        <v/>
      </c>
      <c r="AF327" s="65" t="str">
        <f aca="false">IF(ISBLANK($C327),"",IF($Z327&lt;&gt;Constants!$B$7,$Z327,AE327*S327))</f>
        <v/>
      </c>
      <c r="AG327" s="65" t="str">
        <f aca="false">IF(ISBLANK($C327),"",IF($Z327=Constants!$B$7,IF(ISNUMBER(AF327),RANK(AF327,$AF$8:$AF$507),Constants!$B$14),$Z327))</f>
        <v/>
      </c>
      <c r="AH327" s="65" t="str">
        <f aca="false">IF(ISBLANK($C327),"",IF($Z327=Constants!$B$7,IF(ISNUMBER(AG327),COUNTIFS($AA$8:$AA$507,"&lt;"&amp;$AA327)+COUNTIFS($AA$8:$AA$507,$AA327,$AG$8:$AG$507,"&lt;"&amp;$AG327)+1,Constants!$B$14),$Z327))</f>
        <v/>
      </c>
      <c r="AI327" s="65" t="str">
        <f aca="false">IF(ISBLANK($C327),"",IF($Z327=Constants!$B$7,LARGE(AB327:AC327,2)*S327,""))</f>
        <v/>
      </c>
      <c r="AJ327" s="65" t="str">
        <f aca="false">IF(ISBLANK($C327),"",IF($Z327=Constants!$B$7,RANK(AI327,$AI$8:$AI$507),$Z327))</f>
        <v/>
      </c>
      <c r="AK327" s="65" t="str">
        <f aca="false">IF(ISBLANK($C327),"",IF($Z327=Constants!$B$7,IF(ISNUMBER(AG327),COUNTIFS($AA$8:$AA$507,"&lt;"&amp;$AA327)+COUNTIFS($AA$8:$AA$507,$AA327,$AG$8:$AG$507,"&lt;"&amp;$AG327)+COUNTIFS($AA$8:$AA$507,$AA327,$AG$8:$AG$507,$AG327,$AJ$8:$AJ$507,"&lt;"&amp;$AJ327)+1,Constants!$B$14),$Z327))</f>
        <v/>
      </c>
      <c r="AL327" s="65" t="str">
        <f aca="false">IF(ISBLANK($C327),"",IF($Z327=Constants!$B$7,IF(ISNUMBER(AH327),AH327-AK327,Constants!$B$14),$Z327))</f>
        <v/>
      </c>
      <c r="AM327" s="67"/>
      <c r="AN327" s="68" t="str">
        <f aca="false">IF(ISBLANK($C327),"",IF($Z327&lt;&gt;Constants!$B$7,$Z327,AD327))</f>
        <v/>
      </c>
      <c r="AO327" s="69" t="str">
        <f aca="false">IF(ISBLANK($C327),"",IF($Z327&lt;&gt;Constants!$B$7,$Z327,S327))</f>
        <v/>
      </c>
      <c r="AP327" s="70" t="str">
        <f aca="false">IF(ISBLANK($C327),"",IF($Z327&lt;&gt;Constants!$B$7,$Z327,AF327))</f>
        <v/>
      </c>
      <c r="AQ327" s="71" t="str">
        <f aca="false">IF(ISBLANK($C327),"",IF($Z327&lt;&gt;Constants!$B$7,$Z327,AA327))</f>
        <v/>
      </c>
      <c r="AR327" s="69" t="str">
        <f aca="false">IF(ISBLANK($C327),"",AL327)</f>
        <v/>
      </c>
      <c r="AS327" s="69" t="str">
        <f aca="false">IF(ISBLANK($C327),"",AK327)</f>
        <v/>
      </c>
      <c r="AT327" s="72" t="str">
        <f aca="false">IF(ISBLANK($C327),"",IF(AS327=Constants!$B$4,COUNTA($C$8:$C$507)+2,IF(AS327=Constants!$B$5,COUNTA($C$8:$C$507)+1,IF(AS327=Constants!$B$6,COUNTA($C$8:$C$507),AS327))))</f>
        <v/>
      </c>
      <c r="AU327" s="5"/>
      <c r="AV327" s="73" t="n">
        <f aca="false">IF(OR(ISNUMBER(AS327),AS327=Constants!$B$4,AS327=Constants!$B$6,AS327=Constants!$B$5),1,0)</f>
        <v>0</v>
      </c>
      <c r="AW327" s="73" t="n">
        <v>320</v>
      </c>
      <c r="AX327" s="73" t="str">
        <f aca="false">IF(ISBLANK($C327),"",IF(ISNUMBER(AT327),AT327+ROW($B327)/1000,""))</f>
        <v/>
      </c>
      <c r="AY327" s="73" t="str">
        <f aca="false">IF(ISNUMBER(AX327),RANK(AX327,$AX$8:$AX$507,1),"")</f>
        <v/>
      </c>
      <c r="AZ327" s="73" t="str">
        <f aca="false">IF(ISBLANK($C327),"",$B327)</f>
        <v/>
      </c>
      <c r="BA327" s="73" t="str">
        <f aca="false">IF(ISBLANK($C327),"",$C327)</f>
        <v/>
      </c>
      <c r="BB327" s="73" t="str">
        <f aca="false">IF(ISBLANK($C327),"",$D327)</f>
        <v/>
      </c>
      <c r="BC327" s="74" t="str">
        <f aca="false">AQ327</f>
        <v/>
      </c>
      <c r="BD327" s="75" t="str">
        <f aca="false">AP327</f>
        <v/>
      </c>
      <c r="BE327" s="73" t="str">
        <f aca="false">IF(ISBLANK($C327),"",AS327)</f>
        <v/>
      </c>
      <c r="BF327" s="76" t="str">
        <f aca="false">IF($AW327&gt;$AV$7,"",VLOOKUP($AW327,$AY$8:$BE$507,7,FALSE()))</f>
        <v/>
      </c>
      <c r="BG327" s="77" t="str">
        <f aca="false">IF($AW327&gt;$AV$7,"",VLOOKUP($AW327,$AY$8:$BE$507,2,FALSE()))</f>
        <v/>
      </c>
      <c r="BH327" s="77" t="str">
        <f aca="false">IF($AW327&gt;$AV$7,"",VLOOKUP($AW327,$AY$8:$BE$507,3,FALSE()))</f>
        <v/>
      </c>
      <c r="BI327" s="77" t="str">
        <f aca="false">IF($AW327&gt;$AV$7,"",VLOOKUP($AW327,$AY$8:$BE$507,4,FALSE()))</f>
        <v/>
      </c>
      <c r="BJ327" s="77" t="str">
        <f aca="false">IF($AW327&gt;$AV$7,"",VLOOKUP($AW327,$AY$8:$BE$507,5,FALSE()))</f>
        <v/>
      </c>
      <c r="BK327" s="78" t="str">
        <f aca="false">IF($AW327&gt;$AV$7,"",VLOOKUP($AW327,$AY$8:$BE$507,6,FALSE()))</f>
        <v/>
      </c>
      <c r="BL327" s="50"/>
    </row>
    <row r="328" customFormat="false" ht="15.75" hidden="false" customHeight="false" outlineLevel="0" collapsed="false">
      <c r="A328" s="5"/>
      <c r="B328" s="131"/>
      <c r="C328" s="52"/>
      <c r="D328" s="53"/>
      <c r="E328" s="80"/>
      <c r="F328" s="132"/>
      <c r="G328" s="56"/>
      <c r="H328" s="133"/>
      <c r="I328" s="134"/>
      <c r="J328" s="59"/>
      <c r="K328" s="60"/>
      <c r="L328" s="134"/>
      <c r="M328" s="61"/>
      <c r="N328" s="62"/>
      <c r="O328" s="80"/>
      <c r="P328" s="64"/>
      <c r="Q328" s="65" t="str">
        <f aca="false">IF(ISBLANK($C328),"",IF(E328=Constants!$B$2, TRUE(), IF(E328=Constants!$B$3, FALSE(), TRUE())))</f>
        <v/>
      </c>
      <c r="R328" s="65" t="str">
        <f aca="false">IF(ISBLANK($C328),"",IF(F328=Constants!$B$2, TRUE(), IF(F328=Constants!$B$3, FALSE(), TRUE())))</f>
        <v/>
      </c>
      <c r="S328" s="65" t="str">
        <f aca="false">IF(ISBLANK($C328),"",IF(G328=Constants!$B$15,Constants!$B$8,IF(G328=Constants!$B$16,Constants!$B$9,Constants!$B$10)))</f>
        <v/>
      </c>
      <c r="T328" s="65" t="str">
        <f aca="false">IF(ISBLANK($C328),"",IF(H328=Constants!$B$2, TRUE(), IF(H328=Constants!$B$3, FALSE(), TRUE())))</f>
        <v/>
      </c>
      <c r="U328" s="65" t="str">
        <f aca="false">IF(ISBLANK($C328),"",IF(I328=Constants!$B$19,Constants!$B$19,Constants!$B$18))</f>
        <v/>
      </c>
      <c r="V328" s="65" t="str">
        <f aca="false">IF(ISBLANK($C328),"",IF(COUNTA(J328:K328)=0,"",IF(AND(OR(ISBLANK(J328),AND(ISNUMBER(J328),J328&gt;=0)),OR(ISBLANK(K328),AND(ISNUMBER(K328),K328&gt;=0))),60*IF(ISBLANK(J328),0,J328)+IF(ISBLANK(K328),0,K328),"")))</f>
        <v/>
      </c>
      <c r="W328" s="65" t="str">
        <f aca="false">IF(ISBLANK($C328),"",IF(L328=Constants!$B$19,Constants!$B$19,Constants!$B$18))</f>
        <v/>
      </c>
      <c r="X328" s="65" t="str">
        <f aca="false">IF(ISBLANK($C328),"",IF(COUNTA(M328:N328)=0,"",IF(AND(OR(ISBLANK(M328),AND(ISNUMBER(M328),M328&gt;=0)),OR(ISBLANK(N328),AND(ISNUMBER(N328),N328&gt;=0))),60*IF(ISBLANK(M328),0,M328)+IF(ISBLANK(N328),0,N328),"")))</f>
        <v/>
      </c>
      <c r="Y328" s="65" t="str">
        <f aca="false">IF(ISBLANK($C328),"",IF(O328=Constants!$B$2, TRUE(), IF(O328=Constants!$B$3, FALSE(), FALSE())))</f>
        <v/>
      </c>
      <c r="Z328" s="65" t="str">
        <f aca="false">IF(ISBLANK($C328),"",IF(Y328,Constants!$B$4,IF(COUNTA(E328:N328)=0,Constants!$B$5,IF(COUNTA(J328:K328,M328:N328)=0,Constants!$B$6,Constants!$B$7))))</f>
        <v/>
      </c>
      <c r="AA328" s="65" t="str">
        <f aca="false">IF(ISBLANK($C328),"",IF($Z328&lt;&gt;Constants!$B$7,$Z328,IF(OR(NOT(T328),AND(NOT(Q328),COUNTIFS(U328:W328,Constants!$B$18,V328:X328,"&gt;=0")&gt;0),AND(NOT(R328),COUNTIFS(U328:W328,Constants!$B$19,V328:X328,"&gt;=0")&gt;0)),Constants!$B$12,Constants!$B$11)))</f>
        <v/>
      </c>
      <c r="AB328" s="65" t="str">
        <f aca="false">IF($Z328=Constants!$B$7,IF(V328="",Constants!$B$13,V328),"")</f>
        <v/>
      </c>
      <c r="AC328" s="65" t="str">
        <f aca="false">IF($Z328=Constants!$B$7,IF(X328="",Constants!$B$13,X328),"")</f>
        <v/>
      </c>
      <c r="AD328" s="65" t="str">
        <f aca="false">IF($Z328=Constants!$B$7,IF($AB328&gt;=$AC328,1,2),"")</f>
        <v/>
      </c>
      <c r="AE328" s="65" t="str">
        <f aca="false">IF($Z328=Constants!$B$7,LARGE(AB328:AC328,1),"")</f>
        <v/>
      </c>
      <c r="AF328" s="65" t="str">
        <f aca="false">IF(ISBLANK($C328),"",IF($Z328&lt;&gt;Constants!$B$7,$Z328,AE328*S328))</f>
        <v/>
      </c>
      <c r="AG328" s="65" t="str">
        <f aca="false">IF(ISBLANK($C328),"",IF($Z328=Constants!$B$7,IF(ISNUMBER(AF328),RANK(AF328,$AF$8:$AF$507),Constants!$B$14),$Z328))</f>
        <v/>
      </c>
      <c r="AH328" s="65" t="str">
        <f aca="false">IF(ISBLANK($C328),"",IF($Z328=Constants!$B$7,IF(ISNUMBER(AG328),COUNTIFS($AA$8:$AA$507,"&lt;"&amp;$AA328)+COUNTIFS($AA$8:$AA$507,$AA328,$AG$8:$AG$507,"&lt;"&amp;$AG328)+1,Constants!$B$14),$Z328))</f>
        <v/>
      </c>
      <c r="AI328" s="65" t="str">
        <f aca="false">IF(ISBLANK($C328),"",IF($Z328=Constants!$B$7,LARGE(AB328:AC328,2)*S328,""))</f>
        <v/>
      </c>
      <c r="AJ328" s="65" t="str">
        <f aca="false">IF(ISBLANK($C328),"",IF($Z328=Constants!$B$7,RANK(AI328,$AI$8:$AI$507),$Z328))</f>
        <v/>
      </c>
      <c r="AK328" s="65" t="str">
        <f aca="false">IF(ISBLANK($C328),"",IF($Z328=Constants!$B$7,IF(ISNUMBER(AG328),COUNTIFS($AA$8:$AA$507,"&lt;"&amp;$AA328)+COUNTIFS($AA$8:$AA$507,$AA328,$AG$8:$AG$507,"&lt;"&amp;$AG328)+COUNTIFS($AA$8:$AA$507,$AA328,$AG$8:$AG$507,$AG328,$AJ$8:$AJ$507,"&lt;"&amp;$AJ328)+1,Constants!$B$14),$Z328))</f>
        <v/>
      </c>
      <c r="AL328" s="65" t="str">
        <f aca="false">IF(ISBLANK($C328),"",IF($Z328=Constants!$B$7,IF(ISNUMBER(AH328),AH328-AK328,Constants!$B$14),$Z328))</f>
        <v/>
      </c>
      <c r="AM328" s="67"/>
      <c r="AN328" s="68" t="str">
        <f aca="false">IF(ISBLANK($C328),"",IF($Z328&lt;&gt;Constants!$B$7,$Z328,AD328))</f>
        <v/>
      </c>
      <c r="AO328" s="69" t="str">
        <f aca="false">IF(ISBLANK($C328),"",IF($Z328&lt;&gt;Constants!$B$7,$Z328,S328))</f>
        <v/>
      </c>
      <c r="AP328" s="70" t="str">
        <f aca="false">IF(ISBLANK($C328),"",IF($Z328&lt;&gt;Constants!$B$7,$Z328,AF328))</f>
        <v/>
      </c>
      <c r="AQ328" s="71" t="str">
        <f aca="false">IF(ISBLANK($C328),"",IF($Z328&lt;&gt;Constants!$B$7,$Z328,AA328))</f>
        <v/>
      </c>
      <c r="AR328" s="69" t="str">
        <f aca="false">IF(ISBLANK($C328),"",AL328)</f>
        <v/>
      </c>
      <c r="AS328" s="69" t="str">
        <f aca="false">IF(ISBLANK($C328),"",AK328)</f>
        <v/>
      </c>
      <c r="AT328" s="72" t="str">
        <f aca="false">IF(ISBLANK($C328),"",IF(AS328=Constants!$B$4,COUNTA($C$8:$C$507)+2,IF(AS328=Constants!$B$5,COUNTA($C$8:$C$507)+1,IF(AS328=Constants!$B$6,COUNTA($C$8:$C$507),AS328))))</f>
        <v/>
      </c>
      <c r="AU328" s="5"/>
      <c r="AV328" s="73" t="n">
        <f aca="false">IF(OR(ISNUMBER(AS328),AS328=Constants!$B$4,AS328=Constants!$B$6,AS328=Constants!$B$5),1,0)</f>
        <v>0</v>
      </c>
      <c r="AW328" s="73" t="n">
        <v>321</v>
      </c>
      <c r="AX328" s="73" t="str">
        <f aca="false">IF(ISBLANK($C328),"",IF(ISNUMBER(AT328),AT328+ROW($B328)/1000,""))</f>
        <v/>
      </c>
      <c r="AY328" s="73" t="str">
        <f aca="false">IF(ISNUMBER(AX328),RANK(AX328,$AX$8:$AX$507,1),"")</f>
        <v/>
      </c>
      <c r="AZ328" s="73" t="str">
        <f aca="false">IF(ISBLANK($C328),"",$B328)</f>
        <v/>
      </c>
      <c r="BA328" s="73" t="str">
        <f aca="false">IF(ISBLANK($C328),"",$C328)</f>
        <v/>
      </c>
      <c r="BB328" s="73" t="str">
        <f aca="false">IF(ISBLANK($C328),"",$D328)</f>
        <v/>
      </c>
      <c r="BC328" s="74" t="str">
        <f aca="false">AQ328</f>
        <v/>
      </c>
      <c r="BD328" s="75" t="str">
        <f aca="false">AP328</f>
        <v/>
      </c>
      <c r="BE328" s="73" t="str">
        <f aca="false">IF(ISBLANK($C328),"",AS328)</f>
        <v/>
      </c>
      <c r="BF328" s="76" t="str">
        <f aca="false">IF($AW328&gt;$AV$7,"",VLOOKUP($AW328,$AY$8:$BE$507,7,FALSE()))</f>
        <v/>
      </c>
      <c r="BG328" s="77" t="str">
        <f aca="false">IF($AW328&gt;$AV$7,"",VLOOKUP($AW328,$AY$8:$BE$507,2,FALSE()))</f>
        <v/>
      </c>
      <c r="BH328" s="77" t="str">
        <f aca="false">IF($AW328&gt;$AV$7,"",VLOOKUP($AW328,$AY$8:$BE$507,3,FALSE()))</f>
        <v/>
      </c>
      <c r="BI328" s="77" t="str">
        <f aca="false">IF($AW328&gt;$AV$7,"",VLOOKUP($AW328,$AY$8:$BE$507,4,FALSE()))</f>
        <v/>
      </c>
      <c r="BJ328" s="77" t="str">
        <f aca="false">IF($AW328&gt;$AV$7,"",VLOOKUP($AW328,$AY$8:$BE$507,5,FALSE()))</f>
        <v/>
      </c>
      <c r="BK328" s="78" t="str">
        <f aca="false">IF($AW328&gt;$AV$7,"",VLOOKUP($AW328,$AY$8:$BE$507,6,FALSE()))</f>
        <v/>
      </c>
      <c r="BL328" s="50"/>
    </row>
    <row r="329" customFormat="false" ht="15.75" hidden="false" customHeight="false" outlineLevel="0" collapsed="false">
      <c r="A329" s="5"/>
      <c r="B329" s="124"/>
      <c r="C329" s="125"/>
      <c r="D329" s="110"/>
      <c r="E329" s="130"/>
      <c r="F329" s="135"/>
      <c r="G329" s="88"/>
      <c r="H329" s="136"/>
      <c r="I329" s="137"/>
      <c r="J329" s="91"/>
      <c r="K329" s="92"/>
      <c r="L329" s="137"/>
      <c r="M329" s="93"/>
      <c r="N329" s="94"/>
      <c r="O329" s="130"/>
      <c r="P329" s="96"/>
      <c r="Q329" s="97" t="str">
        <f aca="false">IF(ISBLANK($C329),"",IF(E329=Constants!$B$2, TRUE(), IF(E329=Constants!$B$3, FALSE(), TRUE())))</f>
        <v/>
      </c>
      <c r="R329" s="97" t="str">
        <f aca="false">IF(ISBLANK($C329),"",IF(F329=Constants!$B$2, TRUE(), IF(F329=Constants!$B$3, FALSE(), TRUE())))</f>
        <v/>
      </c>
      <c r="S329" s="97" t="str">
        <f aca="false">IF(ISBLANK($C329),"",IF(G329=Constants!$B$15,Constants!$B$8,IF(G329=Constants!$B$16,Constants!$B$9,Constants!$B$10)))</f>
        <v/>
      </c>
      <c r="T329" s="97" t="str">
        <f aca="false">IF(ISBLANK($C329),"",IF(H329=Constants!$B$2, TRUE(), IF(H329=Constants!$B$3, FALSE(), TRUE())))</f>
        <v/>
      </c>
      <c r="U329" s="97" t="str">
        <f aca="false">IF(ISBLANK($C329),"",IF(I329=Constants!$B$19,Constants!$B$19,Constants!$B$18))</f>
        <v/>
      </c>
      <c r="V329" s="97" t="str">
        <f aca="false">IF(ISBLANK($C329),"",IF(COUNTA(J329:K329)=0,"",IF(AND(OR(ISBLANK(J329),AND(ISNUMBER(J329),J329&gt;=0)),OR(ISBLANK(K329),AND(ISNUMBER(K329),K329&gt;=0))),60*IF(ISBLANK(J329),0,J329)+IF(ISBLANK(K329),0,K329),"")))</f>
        <v/>
      </c>
      <c r="W329" s="97" t="str">
        <f aca="false">IF(ISBLANK($C329),"",IF(L329=Constants!$B$19,Constants!$B$19,Constants!$B$18))</f>
        <v/>
      </c>
      <c r="X329" s="97" t="str">
        <f aca="false">IF(ISBLANK($C329),"",IF(COUNTA(M329:N329)=0,"",IF(AND(OR(ISBLANK(M329),AND(ISNUMBER(M329),M329&gt;=0)),OR(ISBLANK(N329),AND(ISNUMBER(N329),N329&gt;=0))),60*IF(ISBLANK(M329),0,M329)+IF(ISBLANK(N329),0,N329),"")))</f>
        <v/>
      </c>
      <c r="Y329" s="97" t="str">
        <f aca="false">IF(ISBLANK($C329),"",IF(O329=Constants!$B$2, TRUE(), IF(O329=Constants!$B$3, FALSE(), FALSE())))</f>
        <v/>
      </c>
      <c r="Z329" s="97" t="str">
        <f aca="false">IF(ISBLANK($C329),"",IF(Y329,Constants!$B$4,IF(COUNTA(E329:N329)=0,Constants!$B$5,IF(COUNTA(J329:K329,M329:N329)=0,Constants!$B$6,Constants!$B$7))))</f>
        <v/>
      </c>
      <c r="AA329" s="97" t="str">
        <f aca="false">IF(ISBLANK($C329),"",IF($Z329&lt;&gt;Constants!$B$7,$Z329,IF(OR(NOT(T329),AND(NOT(Q329),COUNTIFS(U329:W329,Constants!$B$18,V329:X329,"&gt;=0")&gt;0),AND(NOT(R329),COUNTIFS(U329:W329,Constants!$B$19,V329:X329,"&gt;=0")&gt;0)),Constants!$B$12,Constants!$B$11)))</f>
        <v/>
      </c>
      <c r="AB329" s="97" t="str">
        <f aca="false">IF($Z329=Constants!$B$7,IF(V329="",Constants!$B$13,V329),"")</f>
        <v/>
      </c>
      <c r="AC329" s="97" t="str">
        <f aca="false">IF($Z329=Constants!$B$7,IF(X329="",Constants!$B$13,X329),"")</f>
        <v/>
      </c>
      <c r="AD329" s="97" t="str">
        <f aca="false">IF($Z329=Constants!$B$7,IF($AB329&gt;=$AC329,1,2),"")</f>
        <v/>
      </c>
      <c r="AE329" s="97" t="str">
        <f aca="false">IF($Z329=Constants!$B$7,LARGE(AB329:AC329,1),"")</f>
        <v/>
      </c>
      <c r="AF329" s="97" t="str">
        <f aca="false">IF(ISBLANK($C329),"",IF($Z329&lt;&gt;Constants!$B$7,$Z329,AE329*S329))</f>
        <v/>
      </c>
      <c r="AG329" s="97" t="str">
        <f aca="false">IF(ISBLANK($C329),"",IF($Z329=Constants!$B$7,IF(ISNUMBER(AF329),RANK(AF329,$AF$8:$AF$507),Constants!$B$14),$Z329))</f>
        <v/>
      </c>
      <c r="AH329" s="97" t="str">
        <f aca="false">IF(ISBLANK($C329),"",IF($Z329=Constants!$B$7,IF(ISNUMBER(AG329),COUNTIFS($AA$8:$AA$507,"&lt;"&amp;$AA329)+COUNTIFS($AA$8:$AA$507,$AA329,$AG$8:$AG$507,"&lt;"&amp;$AG329)+1,Constants!$B$14),$Z329))</f>
        <v/>
      </c>
      <c r="AI329" s="97" t="str">
        <f aca="false">IF(ISBLANK($C329),"",IF($Z329=Constants!$B$7,LARGE(AB329:AC329,2)*S329,""))</f>
        <v/>
      </c>
      <c r="AJ329" s="97" t="str">
        <f aca="false">IF(ISBLANK($C329),"",IF($Z329=Constants!$B$7,RANK(AI329,$AI$8:$AI$507),$Z329))</f>
        <v/>
      </c>
      <c r="AK329" s="97" t="str">
        <f aca="false">IF(ISBLANK($C329),"",IF($Z329=Constants!$B$7,IF(ISNUMBER(AG329),COUNTIFS($AA$8:$AA$507,"&lt;"&amp;$AA329)+COUNTIFS($AA$8:$AA$507,$AA329,$AG$8:$AG$507,"&lt;"&amp;$AG329)+COUNTIFS($AA$8:$AA$507,$AA329,$AG$8:$AG$507,$AG329,$AJ$8:$AJ$507,"&lt;"&amp;$AJ329)+1,Constants!$B$14),$Z329))</f>
        <v/>
      </c>
      <c r="AL329" s="97" t="str">
        <f aca="false">IF(ISBLANK($C329),"",IF($Z329=Constants!$B$7,IF(ISNUMBER(AH329),AH329-AK329,Constants!$B$14),$Z329))</f>
        <v/>
      </c>
      <c r="AM329" s="98"/>
      <c r="AN329" s="99" t="str">
        <f aca="false">IF(ISBLANK($C329),"",IF($Z329&lt;&gt;Constants!$B$7,$Z329,AD329))</f>
        <v/>
      </c>
      <c r="AO329" s="100" t="str">
        <f aca="false">IF(ISBLANK($C329),"",IF($Z329&lt;&gt;Constants!$B$7,$Z329,S329))</f>
        <v/>
      </c>
      <c r="AP329" s="101" t="str">
        <f aca="false">IF(ISBLANK($C329),"",IF($Z329&lt;&gt;Constants!$B$7,$Z329,AF329))</f>
        <v/>
      </c>
      <c r="AQ329" s="102" t="str">
        <f aca="false">IF(ISBLANK($C329),"",IF($Z329&lt;&gt;Constants!$B$7,$Z329,AA329))</f>
        <v/>
      </c>
      <c r="AR329" s="100" t="str">
        <f aca="false">IF(ISBLANK($C329),"",AL329)</f>
        <v/>
      </c>
      <c r="AS329" s="100" t="str">
        <f aca="false">IF(ISBLANK($C329),"",AK329)</f>
        <v/>
      </c>
      <c r="AT329" s="103" t="str">
        <f aca="false">IF(ISBLANK($C329),"",IF(AS329=Constants!$B$4,COUNTA($C$8:$C$507)+2,IF(AS329=Constants!$B$5,COUNTA($C$8:$C$507)+1,IF(AS329=Constants!$B$6,COUNTA($C$8:$C$507),AS329))))</f>
        <v/>
      </c>
      <c r="AU329" s="5"/>
      <c r="AV329" s="104" t="n">
        <f aca="false">IF(OR(ISNUMBER(AS329),AS329=Constants!$B$4,AS329=Constants!$B$6,AS329=Constants!$B$5),1,0)</f>
        <v>0</v>
      </c>
      <c r="AW329" s="104" t="n">
        <v>322</v>
      </c>
      <c r="AX329" s="104" t="str">
        <f aca="false">IF(ISBLANK($C329),"",IF(ISNUMBER(AT329),AT329+ROW($B329)/1000,""))</f>
        <v/>
      </c>
      <c r="AY329" s="104" t="str">
        <f aca="false">IF(ISNUMBER(AX329),RANK(AX329,$AX$8:$AX$507,1),"")</f>
        <v/>
      </c>
      <c r="AZ329" s="104" t="str">
        <f aca="false">IF(ISBLANK($C329),"",$B329)</f>
        <v/>
      </c>
      <c r="BA329" s="104" t="str">
        <f aca="false">IF(ISBLANK($C329),"",$C329)</f>
        <v/>
      </c>
      <c r="BB329" s="104" t="str">
        <f aca="false">IF(ISBLANK($C329),"",$D329)</f>
        <v/>
      </c>
      <c r="BC329" s="105" t="str">
        <f aca="false">AQ329</f>
        <v/>
      </c>
      <c r="BD329" s="106" t="str">
        <f aca="false">AP329</f>
        <v/>
      </c>
      <c r="BE329" s="104" t="str">
        <f aca="false">IF(ISBLANK($C329),"",AS329)</f>
        <v/>
      </c>
      <c r="BF329" s="107" t="str">
        <f aca="false">IF($AW329&gt;$AV$7,"",VLOOKUP($AW329,$AY$8:$BE$507,7,FALSE()))</f>
        <v/>
      </c>
      <c r="BG329" s="108" t="str">
        <f aca="false">IF($AW329&gt;$AV$7,"",VLOOKUP($AW329,$AY$8:$BE$507,2,FALSE()))</f>
        <v/>
      </c>
      <c r="BH329" s="108" t="str">
        <f aca="false">IF($AW329&gt;$AV$7,"",VLOOKUP($AW329,$AY$8:$BE$507,3,FALSE()))</f>
        <v/>
      </c>
      <c r="BI329" s="108" t="str">
        <f aca="false">IF($AW329&gt;$AV$7,"",VLOOKUP($AW329,$AY$8:$BE$507,4,FALSE()))</f>
        <v/>
      </c>
      <c r="BJ329" s="108" t="str">
        <f aca="false">IF($AW329&gt;$AV$7,"",VLOOKUP($AW329,$AY$8:$BE$507,5,FALSE()))</f>
        <v/>
      </c>
      <c r="BK329" s="109" t="str">
        <f aca="false">IF($AW329&gt;$AV$7,"",VLOOKUP($AW329,$AY$8:$BE$507,6,FALSE()))</f>
        <v/>
      </c>
      <c r="BL329" s="50"/>
    </row>
    <row r="330" customFormat="false" ht="15.75" hidden="false" customHeight="false" outlineLevel="0" collapsed="false">
      <c r="A330" s="5"/>
      <c r="B330" s="124"/>
      <c r="C330" s="125"/>
      <c r="D330" s="110"/>
      <c r="E330" s="130"/>
      <c r="F330" s="135"/>
      <c r="G330" s="88"/>
      <c r="H330" s="136"/>
      <c r="I330" s="137"/>
      <c r="J330" s="91"/>
      <c r="K330" s="92"/>
      <c r="L330" s="137"/>
      <c r="M330" s="93"/>
      <c r="N330" s="94"/>
      <c r="O330" s="130"/>
      <c r="P330" s="96"/>
      <c r="Q330" s="97" t="str">
        <f aca="false">IF(ISBLANK($C330),"",IF(E330=Constants!$B$2, TRUE(), IF(E330=Constants!$B$3, FALSE(), TRUE())))</f>
        <v/>
      </c>
      <c r="R330" s="97" t="str">
        <f aca="false">IF(ISBLANK($C330),"",IF(F330=Constants!$B$2, TRUE(), IF(F330=Constants!$B$3, FALSE(), TRUE())))</f>
        <v/>
      </c>
      <c r="S330" s="97" t="str">
        <f aca="false">IF(ISBLANK($C330),"",IF(G330=Constants!$B$15,Constants!$B$8,IF(G330=Constants!$B$16,Constants!$B$9,Constants!$B$10)))</f>
        <v/>
      </c>
      <c r="T330" s="97" t="str">
        <f aca="false">IF(ISBLANK($C330),"",IF(H330=Constants!$B$2, TRUE(), IF(H330=Constants!$B$3, FALSE(), TRUE())))</f>
        <v/>
      </c>
      <c r="U330" s="97" t="str">
        <f aca="false">IF(ISBLANK($C330),"",IF(I330=Constants!$B$19,Constants!$B$19,Constants!$B$18))</f>
        <v/>
      </c>
      <c r="V330" s="97" t="str">
        <f aca="false">IF(ISBLANK($C330),"",IF(COUNTA(J330:K330)=0,"",IF(AND(OR(ISBLANK(J330),AND(ISNUMBER(J330),J330&gt;=0)),OR(ISBLANK(K330),AND(ISNUMBER(K330),K330&gt;=0))),60*IF(ISBLANK(J330),0,J330)+IF(ISBLANK(K330),0,K330),"")))</f>
        <v/>
      </c>
      <c r="W330" s="97" t="str">
        <f aca="false">IF(ISBLANK($C330),"",IF(L330=Constants!$B$19,Constants!$B$19,Constants!$B$18))</f>
        <v/>
      </c>
      <c r="X330" s="97" t="str">
        <f aca="false">IF(ISBLANK($C330),"",IF(COUNTA(M330:N330)=0,"",IF(AND(OR(ISBLANK(M330),AND(ISNUMBER(M330),M330&gt;=0)),OR(ISBLANK(N330),AND(ISNUMBER(N330),N330&gt;=0))),60*IF(ISBLANK(M330),0,M330)+IF(ISBLANK(N330),0,N330),"")))</f>
        <v/>
      </c>
      <c r="Y330" s="97" t="str">
        <f aca="false">IF(ISBLANK($C330),"",IF(O330=Constants!$B$2, TRUE(), IF(O330=Constants!$B$3, FALSE(), FALSE())))</f>
        <v/>
      </c>
      <c r="Z330" s="97" t="str">
        <f aca="false">IF(ISBLANK($C330),"",IF(Y330,Constants!$B$4,IF(COUNTA(E330:N330)=0,Constants!$B$5,IF(COUNTA(J330:K330,M330:N330)=0,Constants!$B$6,Constants!$B$7))))</f>
        <v/>
      </c>
      <c r="AA330" s="97" t="str">
        <f aca="false">IF(ISBLANK($C330),"",IF($Z330&lt;&gt;Constants!$B$7,$Z330,IF(OR(NOT(T330),AND(NOT(Q330),COUNTIFS(U330:W330,Constants!$B$18,V330:X330,"&gt;=0")&gt;0),AND(NOT(R330),COUNTIFS(U330:W330,Constants!$B$19,V330:X330,"&gt;=0")&gt;0)),Constants!$B$12,Constants!$B$11)))</f>
        <v/>
      </c>
      <c r="AB330" s="97" t="str">
        <f aca="false">IF($Z330=Constants!$B$7,IF(V330="",Constants!$B$13,V330),"")</f>
        <v/>
      </c>
      <c r="AC330" s="97" t="str">
        <f aca="false">IF($Z330=Constants!$B$7,IF(X330="",Constants!$B$13,X330),"")</f>
        <v/>
      </c>
      <c r="AD330" s="97" t="str">
        <f aca="false">IF($Z330=Constants!$B$7,IF($AB330&gt;=$AC330,1,2),"")</f>
        <v/>
      </c>
      <c r="AE330" s="97" t="str">
        <f aca="false">IF($Z330=Constants!$B$7,LARGE(AB330:AC330,1),"")</f>
        <v/>
      </c>
      <c r="AF330" s="97" t="str">
        <f aca="false">IF(ISBLANK($C330),"",IF($Z330&lt;&gt;Constants!$B$7,$Z330,AE330*S330))</f>
        <v/>
      </c>
      <c r="AG330" s="97" t="str">
        <f aca="false">IF(ISBLANK($C330),"",IF($Z330=Constants!$B$7,IF(ISNUMBER(AF330),RANK(AF330,$AF$8:$AF$507),Constants!$B$14),$Z330))</f>
        <v/>
      </c>
      <c r="AH330" s="97" t="str">
        <f aca="false">IF(ISBLANK($C330),"",IF($Z330=Constants!$B$7,IF(ISNUMBER(AG330),COUNTIFS($AA$8:$AA$507,"&lt;"&amp;$AA330)+COUNTIFS($AA$8:$AA$507,$AA330,$AG$8:$AG$507,"&lt;"&amp;$AG330)+1,Constants!$B$14),$Z330))</f>
        <v/>
      </c>
      <c r="AI330" s="97" t="str">
        <f aca="false">IF(ISBLANK($C330),"",IF($Z330=Constants!$B$7,LARGE(AB330:AC330,2)*S330,""))</f>
        <v/>
      </c>
      <c r="AJ330" s="97" t="str">
        <f aca="false">IF(ISBLANK($C330),"",IF($Z330=Constants!$B$7,RANK(AI330,$AI$8:$AI$507),$Z330))</f>
        <v/>
      </c>
      <c r="AK330" s="97" t="str">
        <f aca="false">IF(ISBLANK($C330),"",IF($Z330=Constants!$B$7,IF(ISNUMBER(AG330),COUNTIFS($AA$8:$AA$507,"&lt;"&amp;$AA330)+COUNTIFS($AA$8:$AA$507,$AA330,$AG$8:$AG$507,"&lt;"&amp;$AG330)+COUNTIFS($AA$8:$AA$507,$AA330,$AG$8:$AG$507,$AG330,$AJ$8:$AJ$507,"&lt;"&amp;$AJ330)+1,Constants!$B$14),$Z330))</f>
        <v/>
      </c>
      <c r="AL330" s="97" t="str">
        <f aca="false">IF(ISBLANK($C330),"",IF($Z330=Constants!$B$7,IF(ISNUMBER(AH330),AH330-AK330,Constants!$B$14),$Z330))</f>
        <v/>
      </c>
      <c r="AM330" s="98"/>
      <c r="AN330" s="99" t="str">
        <f aca="false">IF(ISBLANK($C330),"",IF($Z330&lt;&gt;Constants!$B$7,$Z330,AD330))</f>
        <v/>
      </c>
      <c r="AO330" s="100" t="str">
        <f aca="false">IF(ISBLANK($C330),"",IF($Z330&lt;&gt;Constants!$B$7,$Z330,S330))</f>
        <v/>
      </c>
      <c r="AP330" s="101" t="str">
        <f aca="false">IF(ISBLANK($C330),"",IF($Z330&lt;&gt;Constants!$B$7,$Z330,AF330))</f>
        <v/>
      </c>
      <c r="AQ330" s="102" t="str">
        <f aca="false">IF(ISBLANK($C330),"",IF($Z330&lt;&gt;Constants!$B$7,$Z330,AA330))</f>
        <v/>
      </c>
      <c r="AR330" s="100" t="str">
        <f aca="false">IF(ISBLANK($C330),"",AL330)</f>
        <v/>
      </c>
      <c r="AS330" s="100" t="str">
        <f aca="false">IF(ISBLANK($C330),"",AK330)</f>
        <v/>
      </c>
      <c r="AT330" s="103" t="str">
        <f aca="false">IF(ISBLANK($C330),"",IF(AS330=Constants!$B$4,COUNTA($C$8:$C$507)+2,IF(AS330=Constants!$B$5,COUNTA($C$8:$C$507)+1,IF(AS330=Constants!$B$6,COUNTA($C$8:$C$507),AS330))))</f>
        <v/>
      </c>
      <c r="AU330" s="5"/>
      <c r="AV330" s="104" t="n">
        <f aca="false">IF(OR(ISNUMBER(AS330),AS330=Constants!$B$4,AS330=Constants!$B$6,AS330=Constants!$B$5),1,0)</f>
        <v>0</v>
      </c>
      <c r="AW330" s="104" t="n">
        <v>323</v>
      </c>
      <c r="AX330" s="104" t="str">
        <f aca="false">IF(ISBLANK($C330),"",IF(ISNUMBER(AT330),AT330+ROW($B330)/1000,""))</f>
        <v/>
      </c>
      <c r="AY330" s="104" t="str">
        <f aca="false">IF(ISNUMBER(AX330),RANK(AX330,$AX$8:$AX$507,1),"")</f>
        <v/>
      </c>
      <c r="AZ330" s="104" t="str">
        <f aca="false">IF(ISBLANK($C330),"",$B330)</f>
        <v/>
      </c>
      <c r="BA330" s="104" t="str">
        <f aca="false">IF(ISBLANK($C330),"",$C330)</f>
        <v/>
      </c>
      <c r="BB330" s="104" t="str">
        <f aca="false">IF(ISBLANK($C330),"",$D330)</f>
        <v/>
      </c>
      <c r="BC330" s="105" t="str">
        <f aca="false">AQ330</f>
        <v/>
      </c>
      <c r="BD330" s="106" t="str">
        <f aca="false">AP330</f>
        <v/>
      </c>
      <c r="BE330" s="104" t="str">
        <f aca="false">IF(ISBLANK($C330),"",AS330)</f>
        <v/>
      </c>
      <c r="BF330" s="107" t="str">
        <f aca="false">IF($AW330&gt;$AV$7,"",VLOOKUP($AW330,$AY$8:$BE$507,7,FALSE()))</f>
        <v/>
      </c>
      <c r="BG330" s="108" t="str">
        <f aca="false">IF($AW330&gt;$AV$7,"",VLOOKUP($AW330,$AY$8:$BE$507,2,FALSE()))</f>
        <v/>
      </c>
      <c r="BH330" s="108" t="str">
        <f aca="false">IF($AW330&gt;$AV$7,"",VLOOKUP($AW330,$AY$8:$BE$507,3,FALSE()))</f>
        <v/>
      </c>
      <c r="BI330" s="108" t="str">
        <f aca="false">IF($AW330&gt;$AV$7,"",VLOOKUP($AW330,$AY$8:$BE$507,4,FALSE()))</f>
        <v/>
      </c>
      <c r="BJ330" s="108" t="str">
        <f aca="false">IF($AW330&gt;$AV$7,"",VLOOKUP($AW330,$AY$8:$BE$507,5,FALSE()))</f>
        <v/>
      </c>
      <c r="BK330" s="109" t="str">
        <f aca="false">IF($AW330&gt;$AV$7,"",VLOOKUP($AW330,$AY$8:$BE$507,6,FALSE()))</f>
        <v/>
      </c>
      <c r="BL330" s="50"/>
    </row>
    <row r="331" customFormat="false" ht="15.75" hidden="false" customHeight="false" outlineLevel="0" collapsed="false">
      <c r="A331" s="5"/>
      <c r="B331" s="124"/>
      <c r="C331" s="125"/>
      <c r="D331" s="110"/>
      <c r="E331" s="130"/>
      <c r="F331" s="135"/>
      <c r="G331" s="88"/>
      <c r="H331" s="136"/>
      <c r="I331" s="137"/>
      <c r="J331" s="91"/>
      <c r="K331" s="92"/>
      <c r="L331" s="137"/>
      <c r="M331" s="93"/>
      <c r="N331" s="94"/>
      <c r="O331" s="130"/>
      <c r="P331" s="96"/>
      <c r="Q331" s="97" t="str">
        <f aca="false">IF(ISBLANK($C331),"",IF(E331=Constants!$B$2, TRUE(), IF(E331=Constants!$B$3, FALSE(), TRUE())))</f>
        <v/>
      </c>
      <c r="R331" s="97" t="str">
        <f aca="false">IF(ISBLANK($C331),"",IF(F331=Constants!$B$2, TRUE(), IF(F331=Constants!$B$3, FALSE(), TRUE())))</f>
        <v/>
      </c>
      <c r="S331" s="97" t="str">
        <f aca="false">IF(ISBLANK($C331),"",IF(G331=Constants!$B$15,Constants!$B$8,IF(G331=Constants!$B$16,Constants!$B$9,Constants!$B$10)))</f>
        <v/>
      </c>
      <c r="T331" s="97" t="str">
        <f aca="false">IF(ISBLANK($C331),"",IF(H331=Constants!$B$2, TRUE(), IF(H331=Constants!$B$3, FALSE(), TRUE())))</f>
        <v/>
      </c>
      <c r="U331" s="97" t="str">
        <f aca="false">IF(ISBLANK($C331),"",IF(I331=Constants!$B$19,Constants!$B$19,Constants!$B$18))</f>
        <v/>
      </c>
      <c r="V331" s="97" t="str">
        <f aca="false">IF(ISBLANK($C331),"",IF(COUNTA(J331:K331)=0,"",IF(AND(OR(ISBLANK(J331),AND(ISNUMBER(J331),J331&gt;=0)),OR(ISBLANK(K331),AND(ISNUMBER(K331),K331&gt;=0))),60*IF(ISBLANK(J331),0,J331)+IF(ISBLANK(K331),0,K331),"")))</f>
        <v/>
      </c>
      <c r="W331" s="97" t="str">
        <f aca="false">IF(ISBLANK($C331),"",IF(L331=Constants!$B$19,Constants!$B$19,Constants!$B$18))</f>
        <v/>
      </c>
      <c r="X331" s="97" t="str">
        <f aca="false">IF(ISBLANK($C331),"",IF(COUNTA(M331:N331)=0,"",IF(AND(OR(ISBLANK(M331),AND(ISNUMBER(M331),M331&gt;=0)),OR(ISBLANK(N331),AND(ISNUMBER(N331),N331&gt;=0))),60*IF(ISBLANK(M331),0,M331)+IF(ISBLANK(N331),0,N331),"")))</f>
        <v/>
      </c>
      <c r="Y331" s="97" t="str">
        <f aca="false">IF(ISBLANK($C331),"",IF(O331=Constants!$B$2, TRUE(), IF(O331=Constants!$B$3, FALSE(), FALSE())))</f>
        <v/>
      </c>
      <c r="Z331" s="97" t="str">
        <f aca="false">IF(ISBLANK($C331),"",IF(Y331,Constants!$B$4,IF(COUNTA(E331:N331)=0,Constants!$B$5,IF(COUNTA(J331:K331,M331:N331)=0,Constants!$B$6,Constants!$B$7))))</f>
        <v/>
      </c>
      <c r="AA331" s="97" t="str">
        <f aca="false">IF(ISBLANK($C331),"",IF($Z331&lt;&gt;Constants!$B$7,$Z331,IF(OR(NOT(T331),AND(NOT(Q331),COUNTIFS(U331:W331,Constants!$B$18,V331:X331,"&gt;=0")&gt;0),AND(NOT(R331),COUNTIFS(U331:W331,Constants!$B$19,V331:X331,"&gt;=0")&gt;0)),Constants!$B$12,Constants!$B$11)))</f>
        <v/>
      </c>
      <c r="AB331" s="97" t="str">
        <f aca="false">IF($Z331=Constants!$B$7,IF(V331="",Constants!$B$13,V331),"")</f>
        <v/>
      </c>
      <c r="AC331" s="97" t="str">
        <f aca="false">IF($Z331=Constants!$B$7,IF(X331="",Constants!$B$13,X331),"")</f>
        <v/>
      </c>
      <c r="AD331" s="97" t="str">
        <f aca="false">IF($Z331=Constants!$B$7,IF($AB331&gt;=$AC331,1,2),"")</f>
        <v/>
      </c>
      <c r="AE331" s="97" t="str">
        <f aca="false">IF($Z331=Constants!$B$7,LARGE(AB331:AC331,1),"")</f>
        <v/>
      </c>
      <c r="AF331" s="97" t="str">
        <f aca="false">IF(ISBLANK($C331),"",IF($Z331&lt;&gt;Constants!$B$7,$Z331,AE331*S331))</f>
        <v/>
      </c>
      <c r="AG331" s="97" t="str">
        <f aca="false">IF(ISBLANK($C331),"",IF($Z331=Constants!$B$7,IF(ISNUMBER(AF331),RANK(AF331,$AF$8:$AF$507),Constants!$B$14),$Z331))</f>
        <v/>
      </c>
      <c r="AH331" s="97" t="str">
        <f aca="false">IF(ISBLANK($C331),"",IF($Z331=Constants!$B$7,IF(ISNUMBER(AG331),COUNTIFS($AA$8:$AA$507,"&lt;"&amp;$AA331)+COUNTIFS($AA$8:$AA$507,$AA331,$AG$8:$AG$507,"&lt;"&amp;$AG331)+1,Constants!$B$14),$Z331))</f>
        <v/>
      </c>
      <c r="AI331" s="97" t="str">
        <f aca="false">IF(ISBLANK($C331),"",IF($Z331=Constants!$B$7,LARGE(AB331:AC331,2)*S331,""))</f>
        <v/>
      </c>
      <c r="AJ331" s="97" t="str">
        <f aca="false">IF(ISBLANK($C331),"",IF($Z331=Constants!$B$7,RANK(AI331,$AI$8:$AI$507),$Z331))</f>
        <v/>
      </c>
      <c r="AK331" s="97" t="str">
        <f aca="false">IF(ISBLANK($C331),"",IF($Z331=Constants!$B$7,IF(ISNUMBER(AG331),COUNTIFS($AA$8:$AA$507,"&lt;"&amp;$AA331)+COUNTIFS($AA$8:$AA$507,$AA331,$AG$8:$AG$507,"&lt;"&amp;$AG331)+COUNTIFS($AA$8:$AA$507,$AA331,$AG$8:$AG$507,$AG331,$AJ$8:$AJ$507,"&lt;"&amp;$AJ331)+1,Constants!$B$14),$Z331))</f>
        <v/>
      </c>
      <c r="AL331" s="97" t="str">
        <f aca="false">IF(ISBLANK($C331),"",IF($Z331=Constants!$B$7,IF(ISNUMBER(AH331),AH331-AK331,Constants!$B$14),$Z331))</f>
        <v/>
      </c>
      <c r="AM331" s="98"/>
      <c r="AN331" s="99" t="str">
        <f aca="false">IF(ISBLANK($C331),"",IF($Z331&lt;&gt;Constants!$B$7,$Z331,AD331))</f>
        <v/>
      </c>
      <c r="AO331" s="100" t="str">
        <f aca="false">IF(ISBLANK($C331),"",IF($Z331&lt;&gt;Constants!$B$7,$Z331,S331))</f>
        <v/>
      </c>
      <c r="AP331" s="101" t="str">
        <f aca="false">IF(ISBLANK($C331),"",IF($Z331&lt;&gt;Constants!$B$7,$Z331,AF331))</f>
        <v/>
      </c>
      <c r="AQ331" s="102" t="str">
        <f aca="false">IF(ISBLANK($C331),"",IF($Z331&lt;&gt;Constants!$B$7,$Z331,AA331))</f>
        <v/>
      </c>
      <c r="AR331" s="100" t="str">
        <f aca="false">IF(ISBLANK($C331),"",AL331)</f>
        <v/>
      </c>
      <c r="AS331" s="100" t="str">
        <f aca="false">IF(ISBLANK($C331),"",AK331)</f>
        <v/>
      </c>
      <c r="AT331" s="103" t="str">
        <f aca="false">IF(ISBLANK($C331),"",IF(AS331=Constants!$B$4,COUNTA($C$8:$C$507)+2,IF(AS331=Constants!$B$5,COUNTA($C$8:$C$507)+1,IF(AS331=Constants!$B$6,COUNTA($C$8:$C$507),AS331))))</f>
        <v/>
      </c>
      <c r="AU331" s="5"/>
      <c r="AV331" s="104" t="n">
        <f aca="false">IF(OR(ISNUMBER(AS331),AS331=Constants!$B$4,AS331=Constants!$B$6,AS331=Constants!$B$5),1,0)</f>
        <v>0</v>
      </c>
      <c r="AW331" s="104" t="n">
        <v>324</v>
      </c>
      <c r="AX331" s="104" t="str">
        <f aca="false">IF(ISBLANK($C331),"",IF(ISNUMBER(AT331),AT331+ROW($B331)/1000,""))</f>
        <v/>
      </c>
      <c r="AY331" s="104" t="str">
        <f aca="false">IF(ISNUMBER(AX331),RANK(AX331,$AX$8:$AX$507,1),"")</f>
        <v/>
      </c>
      <c r="AZ331" s="104" t="str">
        <f aca="false">IF(ISBLANK($C331),"",$B331)</f>
        <v/>
      </c>
      <c r="BA331" s="104" t="str">
        <f aca="false">IF(ISBLANK($C331),"",$C331)</f>
        <v/>
      </c>
      <c r="BB331" s="104" t="str">
        <f aca="false">IF(ISBLANK($C331),"",$D331)</f>
        <v/>
      </c>
      <c r="BC331" s="105" t="str">
        <f aca="false">AQ331</f>
        <v/>
      </c>
      <c r="BD331" s="106" t="str">
        <f aca="false">AP331</f>
        <v/>
      </c>
      <c r="BE331" s="104" t="str">
        <f aca="false">IF(ISBLANK($C331),"",AS331)</f>
        <v/>
      </c>
      <c r="BF331" s="107" t="str">
        <f aca="false">IF($AW331&gt;$AV$7,"",VLOOKUP($AW331,$AY$8:$BE$507,7,FALSE()))</f>
        <v/>
      </c>
      <c r="BG331" s="108" t="str">
        <f aca="false">IF($AW331&gt;$AV$7,"",VLOOKUP($AW331,$AY$8:$BE$507,2,FALSE()))</f>
        <v/>
      </c>
      <c r="BH331" s="108" t="str">
        <f aca="false">IF($AW331&gt;$AV$7,"",VLOOKUP($AW331,$AY$8:$BE$507,3,FALSE()))</f>
        <v/>
      </c>
      <c r="BI331" s="108" t="str">
        <f aca="false">IF($AW331&gt;$AV$7,"",VLOOKUP($AW331,$AY$8:$BE$507,4,FALSE()))</f>
        <v/>
      </c>
      <c r="BJ331" s="108" t="str">
        <f aca="false">IF($AW331&gt;$AV$7,"",VLOOKUP($AW331,$AY$8:$BE$507,5,FALSE()))</f>
        <v/>
      </c>
      <c r="BK331" s="109" t="str">
        <f aca="false">IF($AW331&gt;$AV$7,"",VLOOKUP($AW331,$AY$8:$BE$507,6,FALSE()))</f>
        <v/>
      </c>
      <c r="BL331" s="50"/>
    </row>
    <row r="332" customFormat="false" ht="15.75" hidden="false" customHeight="false" outlineLevel="0" collapsed="false">
      <c r="A332" s="5"/>
      <c r="B332" s="131"/>
      <c r="C332" s="52"/>
      <c r="D332" s="53"/>
      <c r="E332" s="80"/>
      <c r="F332" s="132"/>
      <c r="G332" s="56"/>
      <c r="H332" s="133"/>
      <c r="I332" s="134"/>
      <c r="J332" s="59"/>
      <c r="K332" s="60"/>
      <c r="L332" s="134"/>
      <c r="M332" s="61"/>
      <c r="N332" s="62"/>
      <c r="O332" s="80"/>
      <c r="P332" s="64"/>
      <c r="Q332" s="65" t="str">
        <f aca="false">IF(ISBLANK($C332),"",IF(E332=Constants!$B$2, TRUE(), IF(E332=Constants!$B$3, FALSE(), TRUE())))</f>
        <v/>
      </c>
      <c r="R332" s="65" t="str">
        <f aca="false">IF(ISBLANK($C332),"",IF(F332=Constants!$B$2, TRUE(), IF(F332=Constants!$B$3, FALSE(), TRUE())))</f>
        <v/>
      </c>
      <c r="S332" s="65" t="str">
        <f aca="false">IF(ISBLANK($C332),"",IF(G332=Constants!$B$15,Constants!$B$8,IF(G332=Constants!$B$16,Constants!$B$9,Constants!$B$10)))</f>
        <v/>
      </c>
      <c r="T332" s="65" t="str">
        <f aca="false">IF(ISBLANK($C332),"",IF(H332=Constants!$B$2, TRUE(), IF(H332=Constants!$B$3, FALSE(), TRUE())))</f>
        <v/>
      </c>
      <c r="U332" s="65" t="str">
        <f aca="false">IF(ISBLANK($C332),"",IF(I332=Constants!$B$19,Constants!$B$19,Constants!$B$18))</f>
        <v/>
      </c>
      <c r="V332" s="65" t="str">
        <f aca="false">IF(ISBLANK($C332),"",IF(COUNTA(J332:K332)=0,"",IF(AND(OR(ISBLANK(J332),AND(ISNUMBER(J332),J332&gt;=0)),OR(ISBLANK(K332),AND(ISNUMBER(K332),K332&gt;=0))),60*IF(ISBLANK(J332),0,J332)+IF(ISBLANK(K332),0,K332),"")))</f>
        <v/>
      </c>
      <c r="W332" s="65" t="str">
        <f aca="false">IF(ISBLANK($C332),"",IF(L332=Constants!$B$19,Constants!$B$19,Constants!$B$18))</f>
        <v/>
      </c>
      <c r="X332" s="65" t="str">
        <f aca="false">IF(ISBLANK($C332),"",IF(COUNTA(M332:N332)=0,"",IF(AND(OR(ISBLANK(M332),AND(ISNUMBER(M332),M332&gt;=0)),OR(ISBLANK(N332),AND(ISNUMBER(N332),N332&gt;=0))),60*IF(ISBLANK(M332),0,M332)+IF(ISBLANK(N332),0,N332),"")))</f>
        <v/>
      </c>
      <c r="Y332" s="65" t="str">
        <f aca="false">IF(ISBLANK($C332),"",IF(O332=Constants!$B$2, TRUE(), IF(O332=Constants!$B$3, FALSE(), FALSE())))</f>
        <v/>
      </c>
      <c r="Z332" s="65" t="str">
        <f aca="false">IF(ISBLANK($C332),"",IF(Y332,Constants!$B$4,IF(COUNTA(E332:N332)=0,Constants!$B$5,IF(COUNTA(J332:K332,M332:N332)=0,Constants!$B$6,Constants!$B$7))))</f>
        <v/>
      </c>
      <c r="AA332" s="65" t="str">
        <f aca="false">IF(ISBLANK($C332),"",IF($Z332&lt;&gt;Constants!$B$7,$Z332,IF(OR(NOT(T332),AND(NOT(Q332),COUNTIFS(U332:W332,Constants!$B$18,V332:X332,"&gt;=0")&gt;0),AND(NOT(R332),COUNTIFS(U332:W332,Constants!$B$19,V332:X332,"&gt;=0")&gt;0)),Constants!$B$12,Constants!$B$11)))</f>
        <v/>
      </c>
      <c r="AB332" s="65" t="str">
        <f aca="false">IF($Z332=Constants!$B$7,IF(V332="",Constants!$B$13,V332),"")</f>
        <v/>
      </c>
      <c r="AC332" s="65" t="str">
        <f aca="false">IF($Z332=Constants!$B$7,IF(X332="",Constants!$B$13,X332),"")</f>
        <v/>
      </c>
      <c r="AD332" s="65" t="str">
        <f aca="false">IF($Z332=Constants!$B$7,IF($AB332&gt;=$AC332,1,2),"")</f>
        <v/>
      </c>
      <c r="AE332" s="65" t="str">
        <f aca="false">IF($Z332=Constants!$B$7,LARGE(AB332:AC332,1),"")</f>
        <v/>
      </c>
      <c r="AF332" s="65" t="str">
        <f aca="false">IF(ISBLANK($C332),"",IF($Z332&lt;&gt;Constants!$B$7,$Z332,AE332*S332))</f>
        <v/>
      </c>
      <c r="AG332" s="65" t="str">
        <f aca="false">IF(ISBLANK($C332),"",IF($Z332=Constants!$B$7,IF(ISNUMBER(AF332),RANK(AF332,$AF$8:$AF$507),Constants!$B$14),$Z332))</f>
        <v/>
      </c>
      <c r="AH332" s="65" t="str">
        <f aca="false">IF(ISBLANK($C332),"",IF($Z332=Constants!$B$7,IF(ISNUMBER(AG332),COUNTIFS($AA$8:$AA$507,"&lt;"&amp;$AA332)+COUNTIFS($AA$8:$AA$507,$AA332,$AG$8:$AG$507,"&lt;"&amp;$AG332)+1,Constants!$B$14),$Z332))</f>
        <v/>
      </c>
      <c r="AI332" s="65" t="str">
        <f aca="false">IF(ISBLANK($C332),"",IF($Z332=Constants!$B$7,LARGE(AB332:AC332,2)*S332,""))</f>
        <v/>
      </c>
      <c r="AJ332" s="65" t="str">
        <f aca="false">IF(ISBLANK($C332),"",IF($Z332=Constants!$B$7,RANK(AI332,$AI$8:$AI$507),$Z332))</f>
        <v/>
      </c>
      <c r="AK332" s="65" t="str">
        <f aca="false">IF(ISBLANK($C332),"",IF($Z332=Constants!$B$7,IF(ISNUMBER(AG332),COUNTIFS($AA$8:$AA$507,"&lt;"&amp;$AA332)+COUNTIFS($AA$8:$AA$507,$AA332,$AG$8:$AG$507,"&lt;"&amp;$AG332)+COUNTIFS($AA$8:$AA$507,$AA332,$AG$8:$AG$507,$AG332,$AJ$8:$AJ$507,"&lt;"&amp;$AJ332)+1,Constants!$B$14),$Z332))</f>
        <v/>
      </c>
      <c r="AL332" s="65" t="str">
        <f aca="false">IF(ISBLANK($C332),"",IF($Z332=Constants!$B$7,IF(ISNUMBER(AH332),AH332-AK332,Constants!$B$14),$Z332))</f>
        <v/>
      </c>
      <c r="AM332" s="67"/>
      <c r="AN332" s="68" t="str">
        <f aca="false">IF(ISBLANK($C332),"",IF($Z332&lt;&gt;Constants!$B$7,$Z332,AD332))</f>
        <v/>
      </c>
      <c r="AO332" s="69" t="str">
        <f aca="false">IF(ISBLANK($C332),"",IF($Z332&lt;&gt;Constants!$B$7,$Z332,S332))</f>
        <v/>
      </c>
      <c r="AP332" s="70" t="str">
        <f aca="false">IF(ISBLANK($C332),"",IF($Z332&lt;&gt;Constants!$B$7,$Z332,AF332))</f>
        <v/>
      </c>
      <c r="AQ332" s="71" t="str">
        <f aca="false">IF(ISBLANK($C332),"",IF($Z332&lt;&gt;Constants!$B$7,$Z332,AA332))</f>
        <v/>
      </c>
      <c r="AR332" s="69" t="str">
        <f aca="false">IF(ISBLANK($C332),"",AL332)</f>
        <v/>
      </c>
      <c r="AS332" s="69" t="str">
        <f aca="false">IF(ISBLANK($C332),"",AK332)</f>
        <v/>
      </c>
      <c r="AT332" s="72" t="str">
        <f aca="false">IF(ISBLANK($C332),"",IF(AS332=Constants!$B$4,COUNTA($C$8:$C$507)+2,IF(AS332=Constants!$B$5,COUNTA($C$8:$C$507)+1,IF(AS332=Constants!$B$6,COUNTA($C$8:$C$507),AS332))))</f>
        <v/>
      </c>
      <c r="AU332" s="5"/>
      <c r="AV332" s="73" t="n">
        <f aca="false">IF(OR(ISNUMBER(AS332),AS332=Constants!$B$4,AS332=Constants!$B$6,AS332=Constants!$B$5),1,0)</f>
        <v>0</v>
      </c>
      <c r="AW332" s="73" t="n">
        <v>325</v>
      </c>
      <c r="AX332" s="73" t="str">
        <f aca="false">IF(ISBLANK($C332),"",IF(ISNUMBER(AT332),AT332+ROW($B332)/1000,""))</f>
        <v/>
      </c>
      <c r="AY332" s="73" t="str">
        <f aca="false">IF(ISNUMBER(AX332),RANK(AX332,$AX$8:$AX$507,1),"")</f>
        <v/>
      </c>
      <c r="AZ332" s="73" t="str">
        <f aca="false">IF(ISBLANK($C332),"",$B332)</f>
        <v/>
      </c>
      <c r="BA332" s="73" t="str">
        <f aca="false">IF(ISBLANK($C332),"",$C332)</f>
        <v/>
      </c>
      <c r="BB332" s="73" t="str">
        <f aca="false">IF(ISBLANK($C332),"",$D332)</f>
        <v/>
      </c>
      <c r="BC332" s="74" t="str">
        <f aca="false">AQ332</f>
        <v/>
      </c>
      <c r="BD332" s="75" t="str">
        <f aca="false">AP332</f>
        <v/>
      </c>
      <c r="BE332" s="73" t="str">
        <f aca="false">IF(ISBLANK($C332),"",AS332)</f>
        <v/>
      </c>
      <c r="BF332" s="76" t="str">
        <f aca="false">IF($AW332&gt;$AV$7,"",VLOOKUP($AW332,$AY$8:$BE$507,7,FALSE()))</f>
        <v/>
      </c>
      <c r="BG332" s="77" t="str">
        <f aca="false">IF($AW332&gt;$AV$7,"",VLOOKUP($AW332,$AY$8:$BE$507,2,FALSE()))</f>
        <v/>
      </c>
      <c r="BH332" s="77" t="str">
        <f aca="false">IF($AW332&gt;$AV$7,"",VLOOKUP($AW332,$AY$8:$BE$507,3,FALSE()))</f>
        <v/>
      </c>
      <c r="BI332" s="77" t="str">
        <f aca="false">IF($AW332&gt;$AV$7,"",VLOOKUP($AW332,$AY$8:$BE$507,4,FALSE()))</f>
        <v/>
      </c>
      <c r="BJ332" s="77" t="str">
        <f aca="false">IF($AW332&gt;$AV$7,"",VLOOKUP($AW332,$AY$8:$BE$507,5,FALSE()))</f>
        <v/>
      </c>
      <c r="BK332" s="78" t="str">
        <f aca="false">IF($AW332&gt;$AV$7,"",VLOOKUP($AW332,$AY$8:$BE$507,6,FALSE()))</f>
        <v/>
      </c>
      <c r="BL332" s="50"/>
    </row>
    <row r="333" customFormat="false" ht="15.75" hidden="false" customHeight="false" outlineLevel="0" collapsed="false">
      <c r="A333" s="5"/>
      <c r="B333" s="131"/>
      <c r="C333" s="52"/>
      <c r="D333" s="53"/>
      <c r="E333" s="80"/>
      <c r="F333" s="132"/>
      <c r="G333" s="56"/>
      <c r="H333" s="133"/>
      <c r="I333" s="134"/>
      <c r="J333" s="59"/>
      <c r="K333" s="60"/>
      <c r="L333" s="134"/>
      <c r="M333" s="61"/>
      <c r="N333" s="62"/>
      <c r="O333" s="80"/>
      <c r="P333" s="64"/>
      <c r="Q333" s="65" t="str">
        <f aca="false">IF(ISBLANK($C333),"",IF(E333=Constants!$B$2, TRUE(), IF(E333=Constants!$B$3, FALSE(), TRUE())))</f>
        <v/>
      </c>
      <c r="R333" s="65" t="str">
        <f aca="false">IF(ISBLANK($C333),"",IF(F333=Constants!$B$2, TRUE(), IF(F333=Constants!$B$3, FALSE(), TRUE())))</f>
        <v/>
      </c>
      <c r="S333" s="65" t="str">
        <f aca="false">IF(ISBLANK($C333),"",IF(G333=Constants!$B$15,Constants!$B$8,IF(G333=Constants!$B$16,Constants!$B$9,Constants!$B$10)))</f>
        <v/>
      </c>
      <c r="T333" s="65" t="str">
        <f aca="false">IF(ISBLANK($C333),"",IF(H333=Constants!$B$2, TRUE(), IF(H333=Constants!$B$3, FALSE(), TRUE())))</f>
        <v/>
      </c>
      <c r="U333" s="65" t="str">
        <f aca="false">IF(ISBLANK($C333),"",IF(I333=Constants!$B$19,Constants!$B$19,Constants!$B$18))</f>
        <v/>
      </c>
      <c r="V333" s="65" t="str">
        <f aca="false">IF(ISBLANK($C333),"",IF(COUNTA(J333:K333)=0,"",IF(AND(OR(ISBLANK(J333),AND(ISNUMBER(J333),J333&gt;=0)),OR(ISBLANK(K333),AND(ISNUMBER(K333),K333&gt;=0))),60*IF(ISBLANK(J333),0,J333)+IF(ISBLANK(K333),0,K333),"")))</f>
        <v/>
      </c>
      <c r="W333" s="65" t="str">
        <f aca="false">IF(ISBLANK($C333),"",IF(L333=Constants!$B$19,Constants!$B$19,Constants!$B$18))</f>
        <v/>
      </c>
      <c r="X333" s="65" t="str">
        <f aca="false">IF(ISBLANK($C333),"",IF(COUNTA(M333:N333)=0,"",IF(AND(OR(ISBLANK(M333),AND(ISNUMBER(M333),M333&gt;=0)),OR(ISBLANK(N333),AND(ISNUMBER(N333),N333&gt;=0))),60*IF(ISBLANK(M333),0,M333)+IF(ISBLANK(N333),0,N333),"")))</f>
        <v/>
      </c>
      <c r="Y333" s="65" t="str">
        <f aca="false">IF(ISBLANK($C333),"",IF(O333=Constants!$B$2, TRUE(), IF(O333=Constants!$B$3, FALSE(), FALSE())))</f>
        <v/>
      </c>
      <c r="Z333" s="65" t="str">
        <f aca="false">IF(ISBLANK($C333),"",IF(Y333,Constants!$B$4,IF(COUNTA(E333:N333)=0,Constants!$B$5,IF(COUNTA(J333:K333,M333:N333)=0,Constants!$B$6,Constants!$B$7))))</f>
        <v/>
      </c>
      <c r="AA333" s="65" t="str">
        <f aca="false">IF(ISBLANK($C333),"",IF($Z333&lt;&gt;Constants!$B$7,$Z333,IF(OR(NOT(T333),AND(NOT(Q333),COUNTIFS(U333:W333,Constants!$B$18,V333:X333,"&gt;=0")&gt;0),AND(NOT(R333),COUNTIFS(U333:W333,Constants!$B$19,V333:X333,"&gt;=0")&gt;0)),Constants!$B$12,Constants!$B$11)))</f>
        <v/>
      </c>
      <c r="AB333" s="65" t="str">
        <f aca="false">IF($Z333=Constants!$B$7,IF(V333="",Constants!$B$13,V333),"")</f>
        <v/>
      </c>
      <c r="AC333" s="65" t="str">
        <f aca="false">IF($Z333=Constants!$B$7,IF(X333="",Constants!$B$13,X333),"")</f>
        <v/>
      </c>
      <c r="AD333" s="65" t="str">
        <f aca="false">IF($Z333=Constants!$B$7,IF($AB333&gt;=$AC333,1,2),"")</f>
        <v/>
      </c>
      <c r="AE333" s="65" t="str">
        <f aca="false">IF($Z333=Constants!$B$7,LARGE(AB333:AC333,1),"")</f>
        <v/>
      </c>
      <c r="AF333" s="65" t="str">
        <f aca="false">IF(ISBLANK($C333),"",IF($Z333&lt;&gt;Constants!$B$7,$Z333,AE333*S333))</f>
        <v/>
      </c>
      <c r="AG333" s="65" t="str">
        <f aca="false">IF(ISBLANK($C333),"",IF($Z333=Constants!$B$7,IF(ISNUMBER(AF333),RANK(AF333,$AF$8:$AF$507),Constants!$B$14),$Z333))</f>
        <v/>
      </c>
      <c r="AH333" s="65" t="str">
        <f aca="false">IF(ISBLANK($C333),"",IF($Z333=Constants!$B$7,IF(ISNUMBER(AG333),COUNTIFS($AA$8:$AA$507,"&lt;"&amp;$AA333)+COUNTIFS($AA$8:$AA$507,$AA333,$AG$8:$AG$507,"&lt;"&amp;$AG333)+1,Constants!$B$14),$Z333))</f>
        <v/>
      </c>
      <c r="AI333" s="65" t="str">
        <f aca="false">IF(ISBLANK($C333),"",IF($Z333=Constants!$B$7,LARGE(AB333:AC333,2)*S333,""))</f>
        <v/>
      </c>
      <c r="AJ333" s="65" t="str">
        <f aca="false">IF(ISBLANK($C333),"",IF($Z333=Constants!$B$7,RANK(AI333,$AI$8:$AI$507),$Z333))</f>
        <v/>
      </c>
      <c r="AK333" s="65" t="str">
        <f aca="false">IF(ISBLANK($C333),"",IF($Z333=Constants!$B$7,IF(ISNUMBER(AG333),COUNTIFS($AA$8:$AA$507,"&lt;"&amp;$AA333)+COUNTIFS($AA$8:$AA$507,$AA333,$AG$8:$AG$507,"&lt;"&amp;$AG333)+COUNTIFS($AA$8:$AA$507,$AA333,$AG$8:$AG$507,$AG333,$AJ$8:$AJ$507,"&lt;"&amp;$AJ333)+1,Constants!$B$14),$Z333))</f>
        <v/>
      </c>
      <c r="AL333" s="65" t="str">
        <f aca="false">IF(ISBLANK($C333),"",IF($Z333=Constants!$B$7,IF(ISNUMBER(AH333),AH333-AK333,Constants!$B$14),$Z333))</f>
        <v/>
      </c>
      <c r="AM333" s="67"/>
      <c r="AN333" s="68" t="str">
        <f aca="false">IF(ISBLANK($C333),"",IF($Z333&lt;&gt;Constants!$B$7,$Z333,AD333))</f>
        <v/>
      </c>
      <c r="AO333" s="69" t="str">
        <f aca="false">IF(ISBLANK($C333),"",IF($Z333&lt;&gt;Constants!$B$7,$Z333,S333))</f>
        <v/>
      </c>
      <c r="AP333" s="70" t="str">
        <f aca="false">IF(ISBLANK($C333),"",IF($Z333&lt;&gt;Constants!$B$7,$Z333,AF333))</f>
        <v/>
      </c>
      <c r="AQ333" s="71" t="str">
        <f aca="false">IF(ISBLANK($C333),"",IF($Z333&lt;&gt;Constants!$B$7,$Z333,AA333))</f>
        <v/>
      </c>
      <c r="AR333" s="69" t="str">
        <f aca="false">IF(ISBLANK($C333),"",AL333)</f>
        <v/>
      </c>
      <c r="AS333" s="69" t="str">
        <f aca="false">IF(ISBLANK($C333),"",AK333)</f>
        <v/>
      </c>
      <c r="AT333" s="72" t="str">
        <f aca="false">IF(ISBLANK($C333),"",IF(AS333=Constants!$B$4,COUNTA($C$8:$C$507)+2,IF(AS333=Constants!$B$5,COUNTA($C$8:$C$507)+1,IF(AS333=Constants!$B$6,COUNTA($C$8:$C$507),AS333))))</f>
        <v/>
      </c>
      <c r="AU333" s="5"/>
      <c r="AV333" s="73" t="n">
        <f aca="false">IF(OR(ISNUMBER(AS333),AS333=Constants!$B$4,AS333=Constants!$B$6,AS333=Constants!$B$5),1,0)</f>
        <v>0</v>
      </c>
      <c r="AW333" s="73" t="n">
        <v>326</v>
      </c>
      <c r="AX333" s="73" t="str">
        <f aca="false">IF(ISBLANK($C333),"",IF(ISNUMBER(AT333),AT333+ROW($B333)/1000,""))</f>
        <v/>
      </c>
      <c r="AY333" s="73" t="str">
        <f aca="false">IF(ISNUMBER(AX333),RANK(AX333,$AX$8:$AX$507,1),"")</f>
        <v/>
      </c>
      <c r="AZ333" s="73" t="str">
        <f aca="false">IF(ISBLANK($C333),"",$B333)</f>
        <v/>
      </c>
      <c r="BA333" s="73" t="str">
        <f aca="false">IF(ISBLANK($C333),"",$C333)</f>
        <v/>
      </c>
      <c r="BB333" s="73" t="str">
        <f aca="false">IF(ISBLANK($C333),"",$D333)</f>
        <v/>
      </c>
      <c r="BC333" s="74" t="str">
        <f aca="false">AQ333</f>
        <v/>
      </c>
      <c r="BD333" s="75" t="str">
        <f aca="false">AP333</f>
        <v/>
      </c>
      <c r="BE333" s="73" t="str">
        <f aca="false">IF(ISBLANK($C333),"",AS333)</f>
        <v/>
      </c>
      <c r="BF333" s="76" t="str">
        <f aca="false">IF($AW333&gt;$AV$7,"",VLOOKUP($AW333,$AY$8:$BE$507,7,FALSE()))</f>
        <v/>
      </c>
      <c r="BG333" s="77" t="str">
        <f aca="false">IF($AW333&gt;$AV$7,"",VLOOKUP($AW333,$AY$8:$BE$507,2,FALSE()))</f>
        <v/>
      </c>
      <c r="BH333" s="77" t="str">
        <f aca="false">IF($AW333&gt;$AV$7,"",VLOOKUP($AW333,$AY$8:$BE$507,3,FALSE()))</f>
        <v/>
      </c>
      <c r="BI333" s="77" t="str">
        <f aca="false">IF($AW333&gt;$AV$7,"",VLOOKUP($AW333,$AY$8:$BE$507,4,FALSE()))</f>
        <v/>
      </c>
      <c r="BJ333" s="77" t="str">
        <f aca="false">IF($AW333&gt;$AV$7,"",VLOOKUP($AW333,$AY$8:$BE$507,5,FALSE()))</f>
        <v/>
      </c>
      <c r="BK333" s="78" t="str">
        <f aca="false">IF($AW333&gt;$AV$7,"",VLOOKUP($AW333,$AY$8:$BE$507,6,FALSE()))</f>
        <v/>
      </c>
      <c r="BL333" s="50"/>
    </row>
    <row r="334" customFormat="false" ht="15.75" hidden="false" customHeight="false" outlineLevel="0" collapsed="false">
      <c r="A334" s="5"/>
      <c r="B334" s="131"/>
      <c r="C334" s="52"/>
      <c r="D334" s="53"/>
      <c r="E334" s="80"/>
      <c r="F334" s="132"/>
      <c r="G334" s="56"/>
      <c r="H334" s="133"/>
      <c r="I334" s="134"/>
      <c r="J334" s="59"/>
      <c r="K334" s="60"/>
      <c r="L334" s="134"/>
      <c r="M334" s="61"/>
      <c r="N334" s="62"/>
      <c r="O334" s="80"/>
      <c r="P334" s="64"/>
      <c r="Q334" s="65" t="str">
        <f aca="false">IF(ISBLANK($C334),"",IF(E334=Constants!$B$2, TRUE(), IF(E334=Constants!$B$3, FALSE(), TRUE())))</f>
        <v/>
      </c>
      <c r="R334" s="65" t="str">
        <f aca="false">IF(ISBLANK($C334),"",IF(F334=Constants!$B$2, TRUE(), IF(F334=Constants!$B$3, FALSE(), TRUE())))</f>
        <v/>
      </c>
      <c r="S334" s="65" t="str">
        <f aca="false">IF(ISBLANK($C334),"",IF(G334=Constants!$B$15,Constants!$B$8,IF(G334=Constants!$B$16,Constants!$B$9,Constants!$B$10)))</f>
        <v/>
      </c>
      <c r="T334" s="65" t="str">
        <f aca="false">IF(ISBLANK($C334),"",IF(H334=Constants!$B$2, TRUE(), IF(H334=Constants!$B$3, FALSE(), TRUE())))</f>
        <v/>
      </c>
      <c r="U334" s="65" t="str">
        <f aca="false">IF(ISBLANK($C334),"",IF(I334=Constants!$B$19,Constants!$B$19,Constants!$B$18))</f>
        <v/>
      </c>
      <c r="V334" s="65" t="str">
        <f aca="false">IF(ISBLANK($C334),"",IF(COUNTA(J334:K334)=0,"",IF(AND(OR(ISBLANK(J334),AND(ISNUMBER(J334),J334&gt;=0)),OR(ISBLANK(K334),AND(ISNUMBER(K334),K334&gt;=0))),60*IF(ISBLANK(J334),0,J334)+IF(ISBLANK(K334),0,K334),"")))</f>
        <v/>
      </c>
      <c r="W334" s="65" t="str">
        <f aca="false">IF(ISBLANK($C334),"",IF(L334=Constants!$B$19,Constants!$B$19,Constants!$B$18))</f>
        <v/>
      </c>
      <c r="X334" s="65" t="str">
        <f aca="false">IF(ISBLANK($C334),"",IF(COUNTA(M334:N334)=0,"",IF(AND(OR(ISBLANK(M334),AND(ISNUMBER(M334),M334&gt;=0)),OR(ISBLANK(N334),AND(ISNUMBER(N334),N334&gt;=0))),60*IF(ISBLANK(M334),0,M334)+IF(ISBLANK(N334),0,N334),"")))</f>
        <v/>
      </c>
      <c r="Y334" s="65" t="str">
        <f aca="false">IF(ISBLANK($C334),"",IF(O334=Constants!$B$2, TRUE(), IF(O334=Constants!$B$3, FALSE(), FALSE())))</f>
        <v/>
      </c>
      <c r="Z334" s="65" t="str">
        <f aca="false">IF(ISBLANK($C334),"",IF(Y334,Constants!$B$4,IF(COUNTA(E334:N334)=0,Constants!$B$5,IF(COUNTA(J334:K334,M334:N334)=0,Constants!$B$6,Constants!$B$7))))</f>
        <v/>
      </c>
      <c r="AA334" s="65" t="str">
        <f aca="false">IF(ISBLANK($C334),"",IF($Z334&lt;&gt;Constants!$B$7,$Z334,IF(OR(NOT(T334),AND(NOT(Q334),COUNTIFS(U334:W334,Constants!$B$18,V334:X334,"&gt;=0")&gt;0),AND(NOT(R334),COUNTIFS(U334:W334,Constants!$B$19,V334:X334,"&gt;=0")&gt;0)),Constants!$B$12,Constants!$B$11)))</f>
        <v/>
      </c>
      <c r="AB334" s="65" t="str">
        <f aca="false">IF($Z334=Constants!$B$7,IF(V334="",Constants!$B$13,V334),"")</f>
        <v/>
      </c>
      <c r="AC334" s="65" t="str">
        <f aca="false">IF($Z334=Constants!$B$7,IF(X334="",Constants!$B$13,X334),"")</f>
        <v/>
      </c>
      <c r="AD334" s="65" t="str">
        <f aca="false">IF($Z334=Constants!$B$7,IF($AB334&gt;=$AC334,1,2),"")</f>
        <v/>
      </c>
      <c r="AE334" s="65" t="str">
        <f aca="false">IF($Z334=Constants!$B$7,LARGE(AB334:AC334,1),"")</f>
        <v/>
      </c>
      <c r="AF334" s="65" t="str">
        <f aca="false">IF(ISBLANK($C334),"",IF($Z334&lt;&gt;Constants!$B$7,$Z334,AE334*S334))</f>
        <v/>
      </c>
      <c r="AG334" s="65" t="str">
        <f aca="false">IF(ISBLANK($C334),"",IF($Z334=Constants!$B$7,IF(ISNUMBER(AF334),RANK(AF334,$AF$8:$AF$507),Constants!$B$14),$Z334))</f>
        <v/>
      </c>
      <c r="AH334" s="65" t="str">
        <f aca="false">IF(ISBLANK($C334),"",IF($Z334=Constants!$B$7,IF(ISNUMBER(AG334),COUNTIFS($AA$8:$AA$507,"&lt;"&amp;$AA334)+COUNTIFS($AA$8:$AA$507,$AA334,$AG$8:$AG$507,"&lt;"&amp;$AG334)+1,Constants!$B$14),$Z334))</f>
        <v/>
      </c>
      <c r="AI334" s="65" t="str">
        <f aca="false">IF(ISBLANK($C334),"",IF($Z334=Constants!$B$7,LARGE(AB334:AC334,2)*S334,""))</f>
        <v/>
      </c>
      <c r="AJ334" s="65" t="str">
        <f aca="false">IF(ISBLANK($C334),"",IF($Z334=Constants!$B$7,RANK(AI334,$AI$8:$AI$507),$Z334))</f>
        <v/>
      </c>
      <c r="AK334" s="65" t="str">
        <f aca="false">IF(ISBLANK($C334),"",IF($Z334=Constants!$B$7,IF(ISNUMBER(AG334),COUNTIFS($AA$8:$AA$507,"&lt;"&amp;$AA334)+COUNTIFS($AA$8:$AA$507,$AA334,$AG$8:$AG$507,"&lt;"&amp;$AG334)+COUNTIFS($AA$8:$AA$507,$AA334,$AG$8:$AG$507,$AG334,$AJ$8:$AJ$507,"&lt;"&amp;$AJ334)+1,Constants!$B$14),$Z334))</f>
        <v/>
      </c>
      <c r="AL334" s="65" t="str">
        <f aca="false">IF(ISBLANK($C334),"",IF($Z334=Constants!$B$7,IF(ISNUMBER(AH334),AH334-AK334,Constants!$B$14),$Z334))</f>
        <v/>
      </c>
      <c r="AM334" s="67"/>
      <c r="AN334" s="68" t="str">
        <f aca="false">IF(ISBLANK($C334),"",IF($Z334&lt;&gt;Constants!$B$7,$Z334,AD334))</f>
        <v/>
      </c>
      <c r="AO334" s="69" t="str">
        <f aca="false">IF(ISBLANK($C334),"",IF($Z334&lt;&gt;Constants!$B$7,$Z334,S334))</f>
        <v/>
      </c>
      <c r="AP334" s="70" t="str">
        <f aca="false">IF(ISBLANK($C334),"",IF($Z334&lt;&gt;Constants!$B$7,$Z334,AF334))</f>
        <v/>
      </c>
      <c r="AQ334" s="71" t="str">
        <f aca="false">IF(ISBLANK($C334),"",IF($Z334&lt;&gt;Constants!$B$7,$Z334,AA334))</f>
        <v/>
      </c>
      <c r="AR334" s="69" t="str">
        <f aca="false">IF(ISBLANK($C334),"",AL334)</f>
        <v/>
      </c>
      <c r="AS334" s="69" t="str">
        <f aca="false">IF(ISBLANK($C334),"",AK334)</f>
        <v/>
      </c>
      <c r="AT334" s="72" t="str">
        <f aca="false">IF(ISBLANK($C334),"",IF(AS334=Constants!$B$4,COUNTA($C$8:$C$507)+2,IF(AS334=Constants!$B$5,COUNTA($C$8:$C$507)+1,IF(AS334=Constants!$B$6,COUNTA($C$8:$C$507),AS334))))</f>
        <v/>
      </c>
      <c r="AU334" s="5"/>
      <c r="AV334" s="73" t="n">
        <f aca="false">IF(OR(ISNUMBER(AS334),AS334=Constants!$B$4,AS334=Constants!$B$6,AS334=Constants!$B$5),1,0)</f>
        <v>0</v>
      </c>
      <c r="AW334" s="73" t="n">
        <v>327</v>
      </c>
      <c r="AX334" s="73" t="str">
        <f aca="false">IF(ISBLANK($C334),"",IF(ISNUMBER(AT334),AT334+ROW($B334)/1000,""))</f>
        <v/>
      </c>
      <c r="AY334" s="73" t="str">
        <f aca="false">IF(ISNUMBER(AX334),RANK(AX334,$AX$8:$AX$507,1),"")</f>
        <v/>
      </c>
      <c r="AZ334" s="73" t="str">
        <f aca="false">IF(ISBLANK($C334),"",$B334)</f>
        <v/>
      </c>
      <c r="BA334" s="73" t="str">
        <f aca="false">IF(ISBLANK($C334),"",$C334)</f>
        <v/>
      </c>
      <c r="BB334" s="73" t="str">
        <f aca="false">IF(ISBLANK($C334),"",$D334)</f>
        <v/>
      </c>
      <c r="BC334" s="74" t="str">
        <f aca="false">AQ334</f>
        <v/>
      </c>
      <c r="BD334" s="75" t="str">
        <f aca="false">AP334</f>
        <v/>
      </c>
      <c r="BE334" s="73" t="str">
        <f aca="false">IF(ISBLANK($C334),"",AS334)</f>
        <v/>
      </c>
      <c r="BF334" s="76" t="str">
        <f aca="false">IF($AW334&gt;$AV$7,"",VLOOKUP($AW334,$AY$8:$BE$507,7,FALSE()))</f>
        <v/>
      </c>
      <c r="BG334" s="77" t="str">
        <f aca="false">IF($AW334&gt;$AV$7,"",VLOOKUP($AW334,$AY$8:$BE$507,2,FALSE()))</f>
        <v/>
      </c>
      <c r="BH334" s="77" t="str">
        <f aca="false">IF($AW334&gt;$AV$7,"",VLOOKUP($AW334,$AY$8:$BE$507,3,FALSE()))</f>
        <v/>
      </c>
      <c r="BI334" s="77" t="str">
        <f aca="false">IF($AW334&gt;$AV$7,"",VLOOKUP($AW334,$AY$8:$BE$507,4,FALSE()))</f>
        <v/>
      </c>
      <c r="BJ334" s="77" t="str">
        <f aca="false">IF($AW334&gt;$AV$7,"",VLOOKUP($AW334,$AY$8:$BE$507,5,FALSE()))</f>
        <v/>
      </c>
      <c r="BK334" s="78" t="str">
        <f aca="false">IF($AW334&gt;$AV$7,"",VLOOKUP($AW334,$AY$8:$BE$507,6,FALSE()))</f>
        <v/>
      </c>
      <c r="BL334" s="50"/>
    </row>
    <row r="335" customFormat="false" ht="15.75" hidden="false" customHeight="false" outlineLevel="0" collapsed="false">
      <c r="A335" s="5"/>
      <c r="B335" s="124"/>
      <c r="C335" s="125"/>
      <c r="D335" s="110"/>
      <c r="E335" s="130"/>
      <c r="F335" s="135"/>
      <c r="G335" s="88"/>
      <c r="H335" s="136"/>
      <c r="I335" s="137"/>
      <c r="J335" s="91"/>
      <c r="K335" s="92"/>
      <c r="L335" s="137"/>
      <c r="M335" s="93"/>
      <c r="N335" s="94"/>
      <c r="O335" s="130"/>
      <c r="P335" s="96"/>
      <c r="Q335" s="97" t="str">
        <f aca="false">IF(ISBLANK($C335),"",IF(E335=Constants!$B$2, TRUE(), IF(E335=Constants!$B$3, FALSE(), TRUE())))</f>
        <v/>
      </c>
      <c r="R335" s="97" t="str">
        <f aca="false">IF(ISBLANK($C335),"",IF(F335=Constants!$B$2, TRUE(), IF(F335=Constants!$B$3, FALSE(), TRUE())))</f>
        <v/>
      </c>
      <c r="S335" s="97" t="str">
        <f aca="false">IF(ISBLANK($C335),"",IF(G335=Constants!$B$15,Constants!$B$8,IF(G335=Constants!$B$16,Constants!$B$9,Constants!$B$10)))</f>
        <v/>
      </c>
      <c r="T335" s="97" t="str">
        <f aca="false">IF(ISBLANK($C335),"",IF(H335=Constants!$B$2, TRUE(), IF(H335=Constants!$B$3, FALSE(), TRUE())))</f>
        <v/>
      </c>
      <c r="U335" s="97" t="str">
        <f aca="false">IF(ISBLANK($C335),"",IF(I335=Constants!$B$19,Constants!$B$19,Constants!$B$18))</f>
        <v/>
      </c>
      <c r="V335" s="97" t="str">
        <f aca="false">IF(ISBLANK($C335),"",IF(COUNTA(J335:K335)=0,"",IF(AND(OR(ISBLANK(J335),AND(ISNUMBER(J335),J335&gt;=0)),OR(ISBLANK(K335),AND(ISNUMBER(K335),K335&gt;=0))),60*IF(ISBLANK(J335),0,J335)+IF(ISBLANK(K335),0,K335),"")))</f>
        <v/>
      </c>
      <c r="W335" s="97" t="str">
        <f aca="false">IF(ISBLANK($C335),"",IF(L335=Constants!$B$19,Constants!$B$19,Constants!$B$18))</f>
        <v/>
      </c>
      <c r="X335" s="97" t="str">
        <f aca="false">IF(ISBLANK($C335),"",IF(COUNTA(M335:N335)=0,"",IF(AND(OR(ISBLANK(M335),AND(ISNUMBER(M335),M335&gt;=0)),OR(ISBLANK(N335),AND(ISNUMBER(N335),N335&gt;=0))),60*IF(ISBLANK(M335),0,M335)+IF(ISBLANK(N335),0,N335),"")))</f>
        <v/>
      </c>
      <c r="Y335" s="97" t="str">
        <f aca="false">IF(ISBLANK($C335),"",IF(O335=Constants!$B$2, TRUE(), IF(O335=Constants!$B$3, FALSE(), FALSE())))</f>
        <v/>
      </c>
      <c r="Z335" s="97" t="str">
        <f aca="false">IF(ISBLANK($C335),"",IF(Y335,Constants!$B$4,IF(COUNTA(E335:N335)=0,Constants!$B$5,IF(COUNTA(J335:K335,M335:N335)=0,Constants!$B$6,Constants!$B$7))))</f>
        <v/>
      </c>
      <c r="AA335" s="97" t="str">
        <f aca="false">IF(ISBLANK($C335),"",IF($Z335&lt;&gt;Constants!$B$7,$Z335,IF(OR(NOT(T335),AND(NOT(Q335),COUNTIFS(U335:W335,Constants!$B$18,V335:X335,"&gt;=0")&gt;0),AND(NOT(R335),COUNTIFS(U335:W335,Constants!$B$19,V335:X335,"&gt;=0")&gt;0)),Constants!$B$12,Constants!$B$11)))</f>
        <v/>
      </c>
      <c r="AB335" s="97" t="str">
        <f aca="false">IF($Z335=Constants!$B$7,IF(V335="",Constants!$B$13,V335),"")</f>
        <v/>
      </c>
      <c r="AC335" s="97" t="str">
        <f aca="false">IF($Z335=Constants!$B$7,IF(X335="",Constants!$B$13,X335),"")</f>
        <v/>
      </c>
      <c r="AD335" s="97" t="str">
        <f aca="false">IF($Z335=Constants!$B$7,IF($AB335&gt;=$AC335,1,2),"")</f>
        <v/>
      </c>
      <c r="AE335" s="97" t="str">
        <f aca="false">IF($Z335=Constants!$B$7,LARGE(AB335:AC335,1),"")</f>
        <v/>
      </c>
      <c r="AF335" s="97" t="str">
        <f aca="false">IF(ISBLANK($C335),"",IF($Z335&lt;&gt;Constants!$B$7,$Z335,AE335*S335))</f>
        <v/>
      </c>
      <c r="AG335" s="97" t="str">
        <f aca="false">IF(ISBLANK($C335),"",IF($Z335=Constants!$B$7,IF(ISNUMBER(AF335),RANK(AF335,$AF$8:$AF$507),Constants!$B$14),$Z335))</f>
        <v/>
      </c>
      <c r="AH335" s="97" t="str">
        <f aca="false">IF(ISBLANK($C335),"",IF($Z335=Constants!$B$7,IF(ISNUMBER(AG335),COUNTIFS($AA$8:$AA$507,"&lt;"&amp;$AA335)+COUNTIFS($AA$8:$AA$507,$AA335,$AG$8:$AG$507,"&lt;"&amp;$AG335)+1,Constants!$B$14),$Z335))</f>
        <v/>
      </c>
      <c r="AI335" s="97" t="str">
        <f aca="false">IF(ISBLANK($C335),"",IF($Z335=Constants!$B$7,LARGE(AB335:AC335,2)*S335,""))</f>
        <v/>
      </c>
      <c r="AJ335" s="97" t="str">
        <f aca="false">IF(ISBLANK($C335),"",IF($Z335=Constants!$B$7,RANK(AI335,$AI$8:$AI$507),$Z335))</f>
        <v/>
      </c>
      <c r="AK335" s="97" t="str">
        <f aca="false">IF(ISBLANK($C335),"",IF($Z335=Constants!$B$7,IF(ISNUMBER(AG335),COUNTIFS($AA$8:$AA$507,"&lt;"&amp;$AA335)+COUNTIFS($AA$8:$AA$507,$AA335,$AG$8:$AG$507,"&lt;"&amp;$AG335)+COUNTIFS($AA$8:$AA$507,$AA335,$AG$8:$AG$507,$AG335,$AJ$8:$AJ$507,"&lt;"&amp;$AJ335)+1,Constants!$B$14),$Z335))</f>
        <v/>
      </c>
      <c r="AL335" s="97" t="str">
        <f aca="false">IF(ISBLANK($C335),"",IF($Z335=Constants!$B$7,IF(ISNUMBER(AH335),AH335-AK335,Constants!$B$14),$Z335))</f>
        <v/>
      </c>
      <c r="AM335" s="98"/>
      <c r="AN335" s="99" t="str">
        <f aca="false">IF(ISBLANK($C335),"",IF($Z335&lt;&gt;Constants!$B$7,$Z335,AD335))</f>
        <v/>
      </c>
      <c r="AO335" s="100" t="str">
        <f aca="false">IF(ISBLANK($C335),"",IF($Z335&lt;&gt;Constants!$B$7,$Z335,S335))</f>
        <v/>
      </c>
      <c r="AP335" s="101" t="str">
        <f aca="false">IF(ISBLANK($C335),"",IF($Z335&lt;&gt;Constants!$B$7,$Z335,AF335))</f>
        <v/>
      </c>
      <c r="AQ335" s="102" t="str">
        <f aca="false">IF(ISBLANK($C335),"",IF($Z335&lt;&gt;Constants!$B$7,$Z335,AA335))</f>
        <v/>
      </c>
      <c r="AR335" s="100" t="str">
        <f aca="false">IF(ISBLANK($C335),"",AL335)</f>
        <v/>
      </c>
      <c r="AS335" s="100" t="str">
        <f aca="false">IF(ISBLANK($C335),"",AK335)</f>
        <v/>
      </c>
      <c r="AT335" s="103" t="str">
        <f aca="false">IF(ISBLANK($C335),"",IF(AS335=Constants!$B$4,COUNTA($C$8:$C$507)+2,IF(AS335=Constants!$B$5,COUNTA($C$8:$C$507)+1,IF(AS335=Constants!$B$6,COUNTA($C$8:$C$507),AS335))))</f>
        <v/>
      </c>
      <c r="AU335" s="5"/>
      <c r="AV335" s="104" t="n">
        <f aca="false">IF(OR(ISNUMBER(AS335),AS335=Constants!$B$4,AS335=Constants!$B$6,AS335=Constants!$B$5),1,0)</f>
        <v>0</v>
      </c>
      <c r="AW335" s="104" t="n">
        <v>328</v>
      </c>
      <c r="AX335" s="104" t="str">
        <f aca="false">IF(ISBLANK($C335),"",IF(ISNUMBER(AT335),AT335+ROW($B335)/1000,""))</f>
        <v/>
      </c>
      <c r="AY335" s="104" t="str">
        <f aca="false">IF(ISNUMBER(AX335),RANK(AX335,$AX$8:$AX$507,1),"")</f>
        <v/>
      </c>
      <c r="AZ335" s="104" t="str">
        <f aca="false">IF(ISBLANK($C335),"",$B335)</f>
        <v/>
      </c>
      <c r="BA335" s="104" t="str">
        <f aca="false">IF(ISBLANK($C335),"",$C335)</f>
        <v/>
      </c>
      <c r="BB335" s="104" t="str">
        <f aca="false">IF(ISBLANK($C335),"",$D335)</f>
        <v/>
      </c>
      <c r="BC335" s="105" t="str">
        <f aca="false">AQ335</f>
        <v/>
      </c>
      <c r="BD335" s="106" t="str">
        <f aca="false">AP335</f>
        <v/>
      </c>
      <c r="BE335" s="104" t="str">
        <f aca="false">IF(ISBLANK($C335),"",AS335)</f>
        <v/>
      </c>
      <c r="BF335" s="107" t="str">
        <f aca="false">IF($AW335&gt;$AV$7,"",VLOOKUP($AW335,$AY$8:$BE$507,7,FALSE()))</f>
        <v/>
      </c>
      <c r="BG335" s="108" t="str">
        <f aca="false">IF($AW335&gt;$AV$7,"",VLOOKUP($AW335,$AY$8:$BE$507,2,FALSE()))</f>
        <v/>
      </c>
      <c r="BH335" s="108" t="str">
        <f aca="false">IF($AW335&gt;$AV$7,"",VLOOKUP($AW335,$AY$8:$BE$507,3,FALSE()))</f>
        <v/>
      </c>
      <c r="BI335" s="108" t="str">
        <f aca="false">IF($AW335&gt;$AV$7,"",VLOOKUP($AW335,$AY$8:$BE$507,4,FALSE()))</f>
        <v/>
      </c>
      <c r="BJ335" s="108" t="str">
        <f aca="false">IF($AW335&gt;$AV$7,"",VLOOKUP($AW335,$AY$8:$BE$507,5,FALSE()))</f>
        <v/>
      </c>
      <c r="BK335" s="109" t="str">
        <f aca="false">IF($AW335&gt;$AV$7,"",VLOOKUP($AW335,$AY$8:$BE$507,6,FALSE()))</f>
        <v/>
      </c>
      <c r="BL335" s="50"/>
    </row>
    <row r="336" customFormat="false" ht="15.75" hidden="false" customHeight="false" outlineLevel="0" collapsed="false">
      <c r="A336" s="5"/>
      <c r="B336" s="124"/>
      <c r="C336" s="125"/>
      <c r="D336" s="110"/>
      <c r="E336" s="130"/>
      <c r="F336" s="135"/>
      <c r="G336" s="88"/>
      <c r="H336" s="136"/>
      <c r="I336" s="137"/>
      <c r="J336" s="91"/>
      <c r="K336" s="92"/>
      <c r="L336" s="137"/>
      <c r="M336" s="93"/>
      <c r="N336" s="94"/>
      <c r="O336" s="130"/>
      <c r="P336" s="96"/>
      <c r="Q336" s="97" t="str">
        <f aca="false">IF(ISBLANK($C336),"",IF(E336=Constants!$B$2, TRUE(), IF(E336=Constants!$B$3, FALSE(), TRUE())))</f>
        <v/>
      </c>
      <c r="R336" s="97" t="str">
        <f aca="false">IF(ISBLANK($C336),"",IF(F336=Constants!$B$2, TRUE(), IF(F336=Constants!$B$3, FALSE(), TRUE())))</f>
        <v/>
      </c>
      <c r="S336" s="97" t="str">
        <f aca="false">IF(ISBLANK($C336),"",IF(G336=Constants!$B$15,Constants!$B$8,IF(G336=Constants!$B$16,Constants!$B$9,Constants!$B$10)))</f>
        <v/>
      </c>
      <c r="T336" s="97" t="str">
        <f aca="false">IF(ISBLANK($C336),"",IF(H336=Constants!$B$2, TRUE(), IF(H336=Constants!$B$3, FALSE(), TRUE())))</f>
        <v/>
      </c>
      <c r="U336" s="97" t="str">
        <f aca="false">IF(ISBLANK($C336),"",IF(I336=Constants!$B$19,Constants!$B$19,Constants!$B$18))</f>
        <v/>
      </c>
      <c r="V336" s="97" t="str">
        <f aca="false">IF(ISBLANK($C336),"",IF(COUNTA(J336:K336)=0,"",IF(AND(OR(ISBLANK(J336),AND(ISNUMBER(J336),J336&gt;=0)),OR(ISBLANK(K336),AND(ISNUMBER(K336),K336&gt;=0))),60*IF(ISBLANK(J336),0,J336)+IF(ISBLANK(K336),0,K336),"")))</f>
        <v/>
      </c>
      <c r="W336" s="97" t="str">
        <f aca="false">IF(ISBLANK($C336),"",IF(L336=Constants!$B$19,Constants!$B$19,Constants!$B$18))</f>
        <v/>
      </c>
      <c r="X336" s="97" t="str">
        <f aca="false">IF(ISBLANK($C336),"",IF(COUNTA(M336:N336)=0,"",IF(AND(OR(ISBLANK(M336),AND(ISNUMBER(M336),M336&gt;=0)),OR(ISBLANK(N336),AND(ISNUMBER(N336),N336&gt;=0))),60*IF(ISBLANK(M336),0,M336)+IF(ISBLANK(N336),0,N336),"")))</f>
        <v/>
      </c>
      <c r="Y336" s="97" t="str">
        <f aca="false">IF(ISBLANK($C336),"",IF(O336=Constants!$B$2, TRUE(), IF(O336=Constants!$B$3, FALSE(), FALSE())))</f>
        <v/>
      </c>
      <c r="Z336" s="97" t="str">
        <f aca="false">IF(ISBLANK($C336),"",IF(Y336,Constants!$B$4,IF(COUNTA(E336:N336)=0,Constants!$B$5,IF(COUNTA(J336:K336,M336:N336)=0,Constants!$B$6,Constants!$B$7))))</f>
        <v/>
      </c>
      <c r="AA336" s="97" t="str">
        <f aca="false">IF(ISBLANK($C336),"",IF($Z336&lt;&gt;Constants!$B$7,$Z336,IF(OR(NOT(T336),AND(NOT(Q336),COUNTIFS(U336:W336,Constants!$B$18,V336:X336,"&gt;=0")&gt;0),AND(NOT(R336),COUNTIFS(U336:W336,Constants!$B$19,V336:X336,"&gt;=0")&gt;0)),Constants!$B$12,Constants!$B$11)))</f>
        <v/>
      </c>
      <c r="AB336" s="97" t="str">
        <f aca="false">IF($Z336=Constants!$B$7,IF(V336="",Constants!$B$13,V336),"")</f>
        <v/>
      </c>
      <c r="AC336" s="97" t="str">
        <f aca="false">IF($Z336=Constants!$B$7,IF(X336="",Constants!$B$13,X336),"")</f>
        <v/>
      </c>
      <c r="AD336" s="97" t="str">
        <f aca="false">IF($Z336=Constants!$B$7,IF($AB336&gt;=$AC336,1,2),"")</f>
        <v/>
      </c>
      <c r="AE336" s="97" t="str">
        <f aca="false">IF($Z336=Constants!$B$7,LARGE(AB336:AC336,1),"")</f>
        <v/>
      </c>
      <c r="AF336" s="97" t="str">
        <f aca="false">IF(ISBLANK($C336),"",IF($Z336&lt;&gt;Constants!$B$7,$Z336,AE336*S336))</f>
        <v/>
      </c>
      <c r="AG336" s="97" t="str">
        <f aca="false">IF(ISBLANK($C336),"",IF($Z336=Constants!$B$7,IF(ISNUMBER(AF336),RANK(AF336,$AF$8:$AF$507),Constants!$B$14),$Z336))</f>
        <v/>
      </c>
      <c r="AH336" s="97" t="str">
        <f aca="false">IF(ISBLANK($C336),"",IF($Z336=Constants!$B$7,IF(ISNUMBER(AG336),COUNTIFS($AA$8:$AA$507,"&lt;"&amp;$AA336)+COUNTIFS($AA$8:$AA$507,$AA336,$AG$8:$AG$507,"&lt;"&amp;$AG336)+1,Constants!$B$14),$Z336))</f>
        <v/>
      </c>
      <c r="AI336" s="97" t="str">
        <f aca="false">IF(ISBLANK($C336),"",IF($Z336=Constants!$B$7,LARGE(AB336:AC336,2)*S336,""))</f>
        <v/>
      </c>
      <c r="AJ336" s="97" t="str">
        <f aca="false">IF(ISBLANK($C336),"",IF($Z336=Constants!$B$7,RANK(AI336,$AI$8:$AI$507),$Z336))</f>
        <v/>
      </c>
      <c r="AK336" s="97" t="str">
        <f aca="false">IF(ISBLANK($C336),"",IF($Z336=Constants!$B$7,IF(ISNUMBER(AG336),COUNTIFS($AA$8:$AA$507,"&lt;"&amp;$AA336)+COUNTIFS($AA$8:$AA$507,$AA336,$AG$8:$AG$507,"&lt;"&amp;$AG336)+COUNTIFS($AA$8:$AA$507,$AA336,$AG$8:$AG$507,$AG336,$AJ$8:$AJ$507,"&lt;"&amp;$AJ336)+1,Constants!$B$14),$Z336))</f>
        <v/>
      </c>
      <c r="AL336" s="97" t="str">
        <f aca="false">IF(ISBLANK($C336),"",IF($Z336=Constants!$B$7,IF(ISNUMBER(AH336),AH336-AK336,Constants!$B$14),$Z336))</f>
        <v/>
      </c>
      <c r="AM336" s="98"/>
      <c r="AN336" s="99" t="str">
        <f aca="false">IF(ISBLANK($C336),"",IF($Z336&lt;&gt;Constants!$B$7,$Z336,AD336))</f>
        <v/>
      </c>
      <c r="AO336" s="100" t="str">
        <f aca="false">IF(ISBLANK($C336),"",IF($Z336&lt;&gt;Constants!$B$7,$Z336,S336))</f>
        <v/>
      </c>
      <c r="AP336" s="101" t="str">
        <f aca="false">IF(ISBLANK($C336),"",IF($Z336&lt;&gt;Constants!$B$7,$Z336,AF336))</f>
        <v/>
      </c>
      <c r="AQ336" s="102" t="str">
        <f aca="false">IF(ISBLANK($C336),"",IF($Z336&lt;&gt;Constants!$B$7,$Z336,AA336))</f>
        <v/>
      </c>
      <c r="AR336" s="100" t="str">
        <f aca="false">IF(ISBLANK($C336),"",AL336)</f>
        <v/>
      </c>
      <c r="AS336" s="100" t="str">
        <f aca="false">IF(ISBLANK($C336),"",AK336)</f>
        <v/>
      </c>
      <c r="AT336" s="103" t="str">
        <f aca="false">IF(ISBLANK($C336),"",IF(AS336=Constants!$B$4,COUNTA($C$8:$C$507)+2,IF(AS336=Constants!$B$5,COUNTA($C$8:$C$507)+1,IF(AS336=Constants!$B$6,COUNTA($C$8:$C$507),AS336))))</f>
        <v/>
      </c>
      <c r="AU336" s="5"/>
      <c r="AV336" s="104" t="n">
        <f aca="false">IF(OR(ISNUMBER(AS336),AS336=Constants!$B$4,AS336=Constants!$B$6,AS336=Constants!$B$5),1,0)</f>
        <v>0</v>
      </c>
      <c r="AW336" s="104" t="n">
        <v>329</v>
      </c>
      <c r="AX336" s="104" t="str">
        <f aca="false">IF(ISBLANK($C336),"",IF(ISNUMBER(AT336),AT336+ROW($B336)/1000,""))</f>
        <v/>
      </c>
      <c r="AY336" s="104" t="str">
        <f aca="false">IF(ISNUMBER(AX336),RANK(AX336,$AX$8:$AX$507,1),"")</f>
        <v/>
      </c>
      <c r="AZ336" s="104" t="str">
        <f aca="false">IF(ISBLANK($C336),"",$B336)</f>
        <v/>
      </c>
      <c r="BA336" s="104" t="str">
        <f aca="false">IF(ISBLANK($C336),"",$C336)</f>
        <v/>
      </c>
      <c r="BB336" s="104" t="str">
        <f aca="false">IF(ISBLANK($C336),"",$D336)</f>
        <v/>
      </c>
      <c r="BC336" s="105" t="str">
        <f aca="false">AQ336</f>
        <v/>
      </c>
      <c r="BD336" s="106" t="str">
        <f aca="false">AP336</f>
        <v/>
      </c>
      <c r="BE336" s="104" t="str">
        <f aca="false">IF(ISBLANK($C336),"",AS336)</f>
        <v/>
      </c>
      <c r="BF336" s="107" t="str">
        <f aca="false">IF($AW336&gt;$AV$7,"",VLOOKUP($AW336,$AY$8:$BE$507,7,FALSE()))</f>
        <v/>
      </c>
      <c r="BG336" s="108" t="str">
        <f aca="false">IF($AW336&gt;$AV$7,"",VLOOKUP($AW336,$AY$8:$BE$507,2,FALSE()))</f>
        <v/>
      </c>
      <c r="BH336" s="108" t="str">
        <f aca="false">IF($AW336&gt;$AV$7,"",VLOOKUP($AW336,$AY$8:$BE$507,3,FALSE()))</f>
        <v/>
      </c>
      <c r="BI336" s="108" t="str">
        <f aca="false">IF($AW336&gt;$AV$7,"",VLOOKUP($AW336,$AY$8:$BE$507,4,FALSE()))</f>
        <v/>
      </c>
      <c r="BJ336" s="108" t="str">
        <f aca="false">IF($AW336&gt;$AV$7,"",VLOOKUP($AW336,$AY$8:$BE$507,5,FALSE()))</f>
        <v/>
      </c>
      <c r="BK336" s="109" t="str">
        <f aca="false">IF($AW336&gt;$AV$7,"",VLOOKUP($AW336,$AY$8:$BE$507,6,FALSE()))</f>
        <v/>
      </c>
      <c r="BL336" s="50"/>
    </row>
    <row r="337" customFormat="false" ht="15.75" hidden="false" customHeight="false" outlineLevel="0" collapsed="false">
      <c r="A337" s="5"/>
      <c r="B337" s="124"/>
      <c r="C337" s="125"/>
      <c r="D337" s="110"/>
      <c r="E337" s="130"/>
      <c r="F337" s="135"/>
      <c r="G337" s="88"/>
      <c r="H337" s="136"/>
      <c r="I337" s="137"/>
      <c r="J337" s="91"/>
      <c r="K337" s="92"/>
      <c r="L337" s="137"/>
      <c r="M337" s="93"/>
      <c r="N337" s="94"/>
      <c r="O337" s="130"/>
      <c r="P337" s="96"/>
      <c r="Q337" s="97" t="str">
        <f aca="false">IF(ISBLANK($C337),"",IF(E337=Constants!$B$2, TRUE(), IF(E337=Constants!$B$3, FALSE(), TRUE())))</f>
        <v/>
      </c>
      <c r="R337" s="97" t="str">
        <f aca="false">IF(ISBLANK($C337),"",IF(F337=Constants!$B$2, TRUE(), IF(F337=Constants!$B$3, FALSE(), TRUE())))</f>
        <v/>
      </c>
      <c r="S337" s="97" t="str">
        <f aca="false">IF(ISBLANK($C337),"",IF(G337=Constants!$B$15,Constants!$B$8,IF(G337=Constants!$B$16,Constants!$B$9,Constants!$B$10)))</f>
        <v/>
      </c>
      <c r="T337" s="97" t="str">
        <f aca="false">IF(ISBLANK($C337),"",IF(H337=Constants!$B$2, TRUE(), IF(H337=Constants!$B$3, FALSE(), TRUE())))</f>
        <v/>
      </c>
      <c r="U337" s="97" t="str">
        <f aca="false">IF(ISBLANK($C337),"",IF(I337=Constants!$B$19,Constants!$B$19,Constants!$B$18))</f>
        <v/>
      </c>
      <c r="V337" s="97" t="str">
        <f aca="false">IF(ISBLANK($C337),"",IF(COUNTA(J337:K337)=0,"",IF(AND(OR(ISBLANK(J337),AND(ISNUMBER(J337),J337&gt;=0)),OR(ISBLANK(K337),AND(ISNUMBER(K337),K337&gt;=0))),60*IF(ISBLANK(J337),0,J337)+IF(ISBLANK(K337),0,K337),"")))</f>
        <v/>
      </c>
      <c r="W337" s="97" t="str">
        <f aca="false">IF(ISBLANK($C337),"",IF(L337=Constants!$B$19,Constants!$B$19,Constants!$B$18))</f>
        <v/>
      </c>
      <c r="X337" s="97" t="str">
        <f aca="false">IF(ISBLANK($C337),"",IF(COUNTA(M337:N337)=0,"",IF(AND(OR(ISBLANK(M337),AND(ISNUMBER(M337),M337&gt;=0)),OR(ISBLANK(N337),AND(ISNUMBER(N337),N337&gt;=0))),60*IF(ISBLANK(M337),0,M337)+IF(ISBLANK(N337),0,N337),"")))</f>
        <v/>
      </c>
      <c r="Y337" s="97" t="str">
        <f aca="false">IF(ISBLANK($C337),"",IF(O337=Constants!$B$2, TRUE(), IF(O337=Constants!$B$3, FALSE(), FALSE())))</f>
        <v/>
      </c>
      <c r="Z337" s="97" t="str">
        <f aca="false">IF(ISBLANK($C337),"",IF(Y337,Constants!$B$4,IF(COUNTA(E337:N337)=0,Constants!$B$5,IF(COUNTA(J337:K337,M337:N337)=0,Constants!$B$6,Constants!$B$7))))</f>
        <v/>
      </c>
      <c r="AA337" s="97" t="str">
        <f aca="false">IF(ISBLANK($C337),"",IF($Z337&lt;&gt;Constants!$B$7,$Z337,IF(OR(NOT(T337),AND(NOT(Q337),COUNTIFS(U337:W337,Constants!$B$18,V337:X337,"&gt;=0")&gt;0),AND(NOT(R337),COUNTIFS(U337:W337,Constants!$B$19,V337:X337,"&gt;=0")&gt;0)),Constants!$B$12,Constants!$B$11)))</f>
        <v/>
      </c>
      <c r="AB337" s="97" t="str">
        <f aca="false">IF($Z337=Constants!$B$7,IF(V337="",Constants!$B$13,V337),"")</f>
        <v/>
      </c>
      <c r="AC337" s="97" t="str">
        <f aca="false">IF($Z337=Constants!$B$7,IF(X337="",Constants!$B$13,X337),"")</f>
        <v/>
      </c>
      <c r="AD337" s="97" t="str">
        <f aca="false">IF($Z337=Constants!$B$7,IF($AB337&gt;=$AC337,1,2),"")</f>
        <v/>
      </c>
      <c r="AE337" s="97" t="str">
        <f aca="false">IF($Z337=Constants!$B$7,LARGE(AB337:AC337,1),"")</f>
        <v/>
      </c>
      <c r="AF337" s="97" t="str">
        <f aca="false">IF(ISBLANK($C337),"",IF($Z337&lt;&gt;Constants!$B$7,$Z337,AE337*S337))</f>
        <v/>
      </c>
      <c r="AG337" s="97" t="str">
        <f aca="false">IF(ISBLANK($C337),"",IF($Z337=Constants!$B$7,IF(ISNUMBER(AF337),RANK(AF337,$AF$8:$AF$507),Constants!$B$14),$Z337))</f>
        <v/>
      </c>
      <c r="AH337" s="97" t="str">
        <f aca="false">IF(ISBLANK($C337),"",IF($Z337=Constants!$B$7,IF(ISNUMBER(AG337),COUNTIFS($AA$8:$AA$507,"&lt;"&amp;$AA337)+COUNTIFS($AA$8:$AA$507,$AA337,$AG$8:$AG$507,"&lt;"&amp;$AG337)+1,Constants!$B$14),$Z337))</f>
        <v/>
      </c>
      <c r="AI337" s="97" t="str">
        <f aca="false">IF(ISBLANK($C337),"",IF($Z337=Constants!$B$7,LARGE(AB337:AC337,2)*S337,""))</f>
        <v/>
      </c>
      <c r="AJ337" s="97" t="str">
        <f aca="false">IF(ISBLANK($C337),"",IF($Z337=Constants!$B$7,RANK(AI337,$AI$8:$AI$507),$Z337))</f>
        <v/>
      </c>
      <c r="AK337" s="97" t="str">
        <f aca="false">IF(ISBLANK($C337),"",IF($Z337=Constants!$B$7,IF(ISNUMBER(AG337),COUNTIFS($AA$8:$AA$507,"&lt;"&amp;$AA337)+COUNTIFS($AA$8:$AA$507,$AA337,$AG$8:$AG$507,"&lt;"&amp;$AG337)+COUNTIFS($AA$8:$AA$507,$AA337,$AG$8:$AG$507,$AG337,$AJ$8:$AJ$507,"&lt;"&amp;$AJ337)+1,Constants!$B$14),$Z337))</f>
        <v/>
      </c>
      <c r="AL337" s="97" t="str">
        <f aca="false">IF(ISBLANK($C337),"",IF($Z337=Constants!$B$7,IF(ISNUMBER(AH337),AH337-AK337,Constants!$B$14),$Z337))</f>
        <v/>
      </c>
      <c r="AM337" s="98"/>
      <c r="AN337" s="99" t="str">
        <f aca="false">IF(ISBLANK($C337),"",IF($Z337&lt;&gt;Constants!$B$7,$Z337,AD337))</f>
        <v/>
      </c>
      <c r="AO337" s="100" t="str">
        <f aca="false">IF(ISBLANK($C337),"",IF($Z337&lt;&gt;Constants!$B$7,$Z337,S337))</f>
        <v/>
      </c>
      <c r="AP337" s="101" t="str">
        <f aca="false">IF(ISBLANK($C337),"",IF($Z337&lt;&gt;Constants!$B$7,$Z337,AF337))</f>
        <v/>
      </c>
      <c r="AQ337" s="102" t="str">
        <f aca="false">IF(ISBLANK($C337),"",IF($Z337&lt;&gt;Constants!$B$7,$Z337,AA337))</f>
        <v/>
      </c>
      <c r="AR337" s="100" t="str">
        <f aca="false">IF(ISBLANK($C337),"",AL337)</f>
        <v/>
      </c>
      <c r="AS337" s="100" t="str">
        <f aca="false">IF(ISBLANK($C337),"",AK337)</f>
        <v/>
      </c>
      <c r="AT337" s="103" t="str">
        <f aca="false">IF(ISBLANK($C337),"",IF(AS337=Constants!$B$4,COUNTA($C$8:$C$507)+2,IF(AS337=Constants!$B$5,COUNTA($C$8:$C$507)+1,IF(AS337=Constants!$B$6,COUNTA($C$8:$C$507),AS337))))</f>
        <v/>
      </c>
      <c r="AU337" s="5"/>
      <c r="AV337" s="104" t="n">
        <f aca="false">IF(OR(ISNUMBER(AS337),AS337=Constants!$B$4,AS337=Constants!$B$6,AS337=Constants!$B$5),1,0)</f>
        <v>0</v>
      </c>
      <c r="AW337" s="104" t="n">
        <v>330</v>
      </c>
      <c r="AX337" s="104" t="str">
        <f aca="false">IF(ISBLANK($C337),"",IF(ISNUMBER(AT337),AT337+ROW($B337)/1000,""))</f>
        <v/>
      </c>
      <c r="AY337" s="104" t="str">
        <f aca="false">IF(ISNUMBER(AX337),RANK(AX337,$AX$8:$AX$507,1),"")</f>
        <v/>
      </c>
      <c r="AZ337" s="104" t="str">
        <f aca="false">IF(ISBLANK($C337),"",$B337)</f>
        <v/>
      </c>
      <c r="BA337" s="104" t="str">
        <f aca="false">IF(ISBLANK($C337),"",$C337)</f>
        <v/>
      </c>
      <c r="BB337" s="104" t="str">
        <f aca="false">IF(ISBLANK($C337),"",$D337)</f>
        <v/>
      </c>
      <c r="BC337" s="105" t="str">
        <f aca="false">AQ337</f>
        <v/>
      </c>
      <c r="BD337" s="106" t="str">
        <f aca="false">AP337</f>
        <v/>
      </c>
      <c r="BE337" s="104" t="str">
        <f aca="false">IF(ISBLANK($C337),"",AS337)</f>
        <v/>
      </c>
      <c r="BF337" s="107" t="str">
        <f aca="false">IF($AW337&gt;$AV$7,"",VLOOKUP($AW337,$AY$8:$BE$507,7,FALSE()))</f>
        <v/>
      </c>
      <c r="BG337" s="108" t="str">
        <f aca="false">IF($AW337&gt;$AV$7,"",VLOOKUP($AW337,$AY$8:$BE$507,2,FALSE()))</f>
        <v/>
      </c>
      <c r="BH337" s="108" t="str">
        <f aca="false">IF($AW337&gt;$AV$7,"",VLOOKUP($AW337,$AY$8:$BE$507,3,FALSE()))</f>
        <v/>
      </c>
      <c r="BI337" s="108" t="str">
        <f aca="false">IF($AW337&gt;$AV$7,"",VLOOKUP($AW337,$AY$8:$BE$507,4,FALSE()))</f>
        <v/>
      </c>
      <c r="BJ337" s="108" t="str">
        <f aca="false">IF($AW337&gt;$AV$7,"",VLOOKUP($AW337,$AY$8:$BE$507,5,FALSE()))</f>
        <v/>
      </c>
      <c r="BK337" s="109" t="str">
        <f aca="false">IF($AW337&gt;$AV$7,"",VLOOKUP($AW337,$AY$8:$BE$507,6,FALSE()))</f>
        <v/>
      </c>
      <c r="BL337" s="50"/>
    </row>
    <row r="338" customFormat="false" ht="15.75" hidden="false" customHeight="false" outlineLevel="0" collapsed="false">
      <c r="A338" s="5"/>
      <c r="B338" s="131"/>
      <c r="C338" s="52"/>
      <c r="D338" s="53"/>
      <c r="E338" s="80"/>
      <c r="F338" s="132"/>
      <c r="G338" s="56"/>
      <c r="H338" s="133"/>
      <c r="I338" s="134"/>
      <c r="J338" s="59"/>
      <c r="K338" s="60"/>
      <c r="L338" s="134"/>
      <c r="M338" s="61"/>
      <c r="N338" s="62"/>
      <c r="O338" s="80"/>
      <c r="P338" s="64"/>
      <c r="Q338" s="65" t="str">
        <f aca="false">IF(ISBLANK($C338),"",IF(E338=Constants!$B$2, TRUE(), IF(E338=Constants!$B$3, FALSE(), TRUE())))</f>
        <v/>
      </c>
      <c r="R338" s="65" t="str">
        <f aca="false">IF(ISBLANK($C338),"",IF(F338=Constants!$B$2, TRUE(), IF(F338=Constants!$B$3, FALSE(), TRUE())))</f>
        <v/>
      </c>
      <c r="S338" s="65" t="str">
        <f aca="false">IF(ISBLANK($C338),"",IF(G338=Constants!$B$15,Constants!$B$8,IF(G338=Constants!$B$16,Constants!$B$9,Constants!$B$10)))</f>
        <v/>
      </c>
      <c r="T338" s="65" t="str">
        <f aca="false">IF(ISBLANK($C338),"",IF(H338=Constants!$B$2, TRUE(), IF(H338=Constants!$B$3, FALSE(), TRUE())))</f>
        <v/>
      </c>
      <c r="U338" s="65" t="str">
        <f aca="false">IF(ISBLANK($C338),"",IF(I338=Constants!$B$19,Constants!$B$19,Constants!$B$18))</f>
        <v/>
      </c>
      <c r="V338" s="65" t="str">
        <f aca="false">IF(ISBLANK($C338),"",IF(COUNTA(J338:K338)=0,"",IF(AND(OR(ISBLANK(J338),AND(ISNUMBER(J338),J338&gt;=0)),OR(ISBLANK(K338),AND(ISNUMBER(K338),K338&gt;=0))),60*IF(ISBLANK(J338),0,J338)+IF(ISBLANK(K338),0,K338),"")))</f>
        <v/>
      </c>
      <c r="W338" s="65" t="str">
        <f aca="false">IF(ISBLANK($C338),"",IF(L338=Constants!$B$19,Constants!$B$19,Constants!$B$18))</f>
        <v/>
      </c>
      <c r="X338" s="65" t="str">
        <f aca="false">IF(ISBLANK($C338),"",IF(COUNTA(M338:N338)=0,"",IF(AND(OR(ISBLANK(M338),AND(ISNUMBER(M338),M338&gt;=0)),OR(ISBLANK(N338),AND(ISNUMBER(N338),N338&gt;=0))),60*IF(ISBLANK(M338),0,M338)+IF(ISBLANK(N338),0,N338),"")))</f>
        <v/>
      </c>
      <c r="Y338" s="65" t="str">
        <f aca="false">IF(ISBLANK($C338),"",IF(O338=Constants!$B$2, TRUE(), IF(O338=Constants!$B$3, FALSE(), FALSE())))</f>
        <v/>
      </c>
      <c r="Z338" s="65" t="str">
        <f aca="false">IF(ISBLANK($C338),"",IF(Y338,Constants!$B$4,IF(COUNTA(E338:N338)=0,Constants!$B$5,IF(COUNTA(J338:K338,M338:N338)=0,Constants!$B$6,Constants!$B$7))))</f>
        <v/>
      </c>
      <c r="AA338" s="65" t="str">
        <f aca="false">IF(ISBLANK($C338),"",IF($Z338&lt;&gt;Constants!$B$7,$Z338,IF(OR(NOT(T338),AND(NOT(Q338),COUNTIFS(U338:W338,Constants!$B$18,V338:X338,"&gt;=0")&gt;0),AND(NOT(R338),COUNTIFS(U338:W338,Constants!$B$19,V338:X338,"&gt;=0")&gt;0)),Constants!$B$12,Constants!$B$11)))</f>
        <v/>
      </c>
      <c r="AB338" s="65" t="str">
        <f aca="false">IF($Z338=Constants!$B$7,IF(V338="",Constants!$B$13,V338),"")</f>
        <v/>
      </c>
      <c r="AC338" s="65" t="str">
        <f aca="false">IF($Z338=Constants!$B$7,IF(X338="",Constants!$B$13,X338),"")</f>
        <v/>
      </c>
      <c r="AD338" s="65" t="str">
        <f aca="false">IF($Z338=Constants!$B$7,IF($AB338&gt;=$AC338,1,2),"")</f>
        <v/>
      </c>
      <c r="AE338" s="65" t="str">
        <f aca="false">IF($Z338=Constants!$B$7,LARGE(AB338:AC338,1),"")</f>
        <v/>
      </c>
      <c r="AF338" s="65" t="str">
        <f aca="false">IF(ISBLANK($C338),"",IF($Z338&lt;&gt;Constants!$B$7,$Z338,AE338*S338))</f>
        <v/>
      </c>
      <c r="AG338" s="65" t="str">
        <f aca="false">IF(ISBLANK($C338),"",IF($Z338=Constants!$B$7,IF(ISNUMBER(AF338),RANK(AF338,$AF$8:$AF$507),Constants!$B$14),$Z338))</f>
        <v/>
      </c>
      <c r="AH338" s="65" t="str">
        <f aca="false">IF(ISBLANK($C338),"",IF($Z338=Constants!$B$7,IF(ISNUMBER(AG338),COUNTIFS($AA$8:$AA$507,"&lt;"&amp;$AA338)+COUNTIFS($AA$8:$AA$507,$AA338,$AG$8:$AG$507,"&lt;"&amp;$AG338)+1,Constants!$B$14),$Z338))</f>
        <v/>
      </c>
      <c r="AI338" s="65" t="str">
        <f aca="false">IF(ISBLANK($C338),"",IF($Z338=Constants!$B$7,LARGE(AB338:AC338,2)*S338,""))</f>
        <v/>
      </c>
      <c r="AJ338" s="65" t="str">
        <f aca="false">IF(ISBLANK($C338),"",IF($Z338=Constants!$B$7,RANK(AI338,$AI$8:$AI$507),$Z338))</f>
        <v/>
      </c>
      <c r="AK338" s="65" t="str">
        <f aca="false">IF(ISBLANK($C338),"",IF($Z338=Constants!$B$7,IF(ISNUMBER(AG338),COUNTIFS($AA$8:$AA$507,"&lt;"&amp;$AA338)+COUNTIFS($AA$8:$AA$507,$AA338,$AG$8:$AG$507,"&lt;"&amp;$AG338)+COUNTIFS($AA$8:$AA$507,$AA338,$AG$8:$AG$507,$AG338,$AJ$8:$AJ$507,"&lt;"&amp;$AJ338)+1,Constants!$B$14),$Z338))</f>
        <v/>
      </c>
      <c r="AL338" s="65" t="str">
        <f aca="false">IF(ISBLANK($C338),"",IF($Z338=Constants!$B$7,IF(ISNUMBER(AH338),AH338-AK338,Constants!$B$14),$Z338))</f>
        <v/>
      </c>
      <c r="AM338" s="67"/>
      <c r="AN338" s="68" t="str">
        <f aca="false">IF(ISBLANK($C338),"",IF($Z338&lt;&gt;Constants!$B$7,$Z338,AD338))</f>
        <v/>
      </c>
      <c r="AO338" s="69" t="str">
        <f aca="false">IF(ISBLANK($C338),"",IF($Z338&lt;&gt;Constants!$B$7,$Z338,S338))</f>
        <v/>
      </c>
      <c r="AP338" s="70" t="str">
        <f aca="false">IF(ISBLANK($C338),"",IF($Z338&lt;&gt;Constants!$B$7,$Z338,AF338))</f>
        <v/>
      </c>
      <c r="AQ338" s="71" t="str">
        <f aca="false">IF(ISBLANK($C338),"",IF($Z338&lt;&gt;Constants!$B$7,$Z338,AA338))</f>
        <v/>
      </c>
      <c r="AR338" s="69" t="str">
        <f aca="false">IF(ISBLANK($C338),"",AL338)</f>
        <v/>
      </c>
      <c r="AS338" s="69" t="str">
        <f aca="false">IF(ISBLANK($C338),"",AK338)</f>
        <v/>
      </c>
      <c r="AT338" s="72" t="str">
        <f aca="false">IF(ISBLANK($C338),"",IF(AS338=Constants!$B$4,COUNTA($C$8:$C$507)+2,IF(AS338=Constants!$B$5,COUNTA($C$8:$C$507)+1,IF(AS338=Constants!$B$6,COUNTA($C$8:$C$507),AS338))))</f>
        <v/>
      </c>
      <c r="AU338" s="5"/>
      <c r="AV338" s="73" t="n">
        <f aca="false">IF(OR(ISNUMBER(AS338),AS338=Constants!$B$4,AS338=Constants!$B$6,AS338=Constants!$B$5),1,0)</f>
        <v>0</v>
      </c>
      <c r="AW338" s="73" t="n">
        <v>331</v>
      </c>
      <c r="AX338" s="73" t="str">
        <f aca="false">IF(ISBLANK($C338),"",IF(ISNUMBER(AT338),AT338+ROW($B338)/1000,""))</f>
        <v/>
      </c>
      <c r="AY338" s="73" t="str">
        <f aca="false">IF(ISNUMBER(AX338),RANK(AX338,$AX$8:$AX$507,1),"")</f>
        <v/>
      </c>
      <c r="AZ338" s="73" t="str">
        <f aca="false">IF(ISBLANK($C338),"",$B338)</f>
        <v/>
      </c>
      <c r="BA338" s="73" t="str">
        <f aca="false">IF(ISBLANK($C338),"",$C338)</f>
        <v/>
      </c>
      <c r="BB338" s="73" t="str">
        <f aca="false">IF(ISBLANK($C338),"",$D338)</f>
        <v/>
      </c>
      <c r="BC338" s="74" t="str">
        <f aca="false">AQ338</f>
        <v/>
      </c>
      <c r="BD338" s="75" t="str">
        <f aca="false">AP338</f>
        <v/>
      </c>
      <c r="BE338" s="73" t="str">
        <f aca="false">IF(ISBLANK($C338),"",AS338)</f>
        <v/>
      </c>
      <c r="BF338" s="76" t="str">
        <f aca="false">IF($AW338&gt;$AV$7,"",VLOOKUP($AW338,$AY$8:$BE$507,7,FALSE()))</f>
        <v/>
      </c>
      <c r="BG338" s="77" t="str">
        <f aca="false">IF($AW338&gt;$AV$7,"",VLOOKUP($AW338,$AY$8:$BE$507,2,FALSE()))</f>
        <v/>
      </c>
      <c r="BH338" s="77" t="str">
        <f aca="false">IF($AW338&gt;$AV$7,"",VLOOKUP($AW338,$AY$8:$BE$507,3,FALSE()))</f>
        <v/>
      </c>
      <c r="BI338" s="77" t="str">
        <f aca="false">IF($AW338&gt;$AV$7,"",VLOOKUP($AW338,$AY$8:$BE$507,4,FALSE()))</f>
        <v/>
      </c>
      <c r="BJ338" s="77" t="str">
        <f aca="false">IF($AW338&gt;$AV$7,"",VLOOKUP($AW338,$AY$8:$BE$507,5,FALSE()))</f>
        <v/>
      </c>
      <c r="BK338" s="78" t="str">
        <f aca="false">IF($AW338&gt;$AV$7,"",VLOOKUP($AW338,$AY$8:$BE$507,6,FALSE()))</f>
        <v/>
      </c>
      <c r="BL338" s="50"/>
    </row>
    <row r="339" customFormat="false" ht="15.75" hidden="false" customHeight="false" outlineLevel="0" collapsed="false">
      <c r="A339" s="5"/>
      <c r="B339" s="131"/>
      <c r="C339" s="52"/>
      <c r="D339" s="53"/>
      <c r="E339" s="80"/>
      <c r="F339" s="132"/>
      <c r="G339" s="56"/>
      <c r="H339" s="133"/>
      <c r="I339" s="134"/>
      <c r="J339" s="59"/>
      <c r="K339" s="60"/>
      <c r="L339" s="134"/>
      <c r="M339" s="61"/>
      <c r="N339" s="62"/>
      <c r="O339" s="80"/>
      <c r="P339" s="64"/>
      <c r="Q339" s="65" t="str">
        <f aca="false">IF(ISBLANK($C339),"",IF(E339=Constants!$B$2, TRUE(), IF(E339=Constants!$B$3, FALSE(), TRUE())))</f>
        <v/>
      </c>
      <c r="R339" s="65" t="str">
        <f aca="false">IF(ISBLANK($C339),"",IF(F339=Constants!$B$2, TRUE(), IF(F339=Constants!$B$3, FALSE(), TRUE())))</f>
        <v/>
      </c>
      <c r="S339" s="65" t="str">
        <f aca="false">IF(ISBLANK($C339),"",IF(G339=Constants!$B$15,Constants!$B$8,IF(G339=Constants!$B$16,Constants!$B$9,Constants!$B$10)))</f>
        <v/>
      </c>
      <c r="T339" s="65" t="str">
        <f aca="false">IF(ISBLANK($C339),"",IF(H339=Constants!$B$2, TRUE(), IF(H339=Constants!$B$3, FALSE(), TRUE())))</f>
        <v/>
      </c>
      <c r="U339" s="65" t="str">
        <f aca="false">IF(ISBLANK($C339),"",IF(I339=Constants!$B$19,Constants!$B$19,Constants!$B$18))</f>
        <v/>
      </c>
      <c r="V339" s="65" t="str">
        <f aca="false">IF(ISBLANK($C339),"",IF(COUNTA(J339:K339)=0,"",IF(AND(OR(ISBLANK(J339),AND(ISNUMBER(J339),J339&gt;=0)),OR(ISBLANK(K339),AND(ISNUMBER(K339),K339&gt;=0))),60*IF(ISBLANK(J339),0,J339)+IF(ISBLANK(K339),0,K339),"")))</f>
        <v/>
      </c>
      <c r="W339" s="65" t="str">
        <f aca="false">IF(ISBLANK($C339),"",IF(L339=Constants!$B$19,Constants!$B$19,Constants!$B$18))</f>
        <v/>
      </c>
      <c r="X339" s="65" t="str">
        <f aca="false">IF(ISBLANK($C339),"",IF(COUNTA(M339:N339)=0,"",IF(AND(OR(ISBLANK(M339),AND(ISNUMBER(M339),M339&gt;=0)),OR(ISBLANK(N339),AND(ISNUMBER(N339),N339&gt;=0))),60*IF(ISBLANK(M339),0,M339)+IF(ISBLANK(N339),0,N339),"")))</f>
        <v/>
      </c>
      <c r="Y339" s="65" t="str">
        <f aca="false">IF(ISBLANK($C339),"",IF(O339=Constants!$B$2, TRUE(), IF(O339=Constants!$B$3, FALSE(), FALSE())))</f>
        <v/>
      </c>
      <c r="Z339" s="65" t="str">
        <f aca="false">IF(ISBLANK($C339),"",IF(Y339,Constants!$B$4,IF(COUNTA(E339:N339)=0,Constants!$B$5,IF(COUNTA(J339:K339,M339:N339)=0,Constants!$B$6,Constants!$B$7))))</f>
        <v/>
      </c>
      <c r="AA339" s="65" t="str">
        <f aca="false">IF(ISBLANK($C339),"",IF($Z339&lt;&gt;Constants!$B$7,$Z339,IF(OR(NOT(T339),AND(NOT(Q339),COUNTIFS(U339:W339,Constants!$B$18,V339:X339,"&gt;=0")&gt;0),AND(NOT(R339),COUNTIFS(U339:W339,Constants!$B$19,V339:X339,"&gt;=0")&gt;0)),Constants!$B$12,Constants!$B$11)))</f>
        <v/>
      </c>
      <c r="AB339" s="65" t="str">
        <f aca="false">IF($Z339=Constants!$B$7,IF(V339="",Constants!$B$13,V339),"")</f>
        <v/>
      </c>
      <c r="AC339" s="65" t="str">
        <f aca="false">IF($Z339=Constants!$B$7,IF(X339="",Constants!$B$13,X339),"")</f>
        <v/>
      </c>
      <c r="AD339" s="65" t="str">
        <f aca="false">IF($Z339=Constants!$B$7,IF($AB339&gt;=$AC339,1,2),"")</f>
        <v/>
      </c>
      <c r="AE339" s="65" t="str">
        <f aca="false">IF($Z339=Constants!$B$7,LARGE(AB339:AC339,1),"")</f>
        <v/>
      </c>
      <c r="AF339" s="65" t="str">
        <f aca="false">IF(ISBLANK($C339),"",IF($Z339&lt;&gt;Constants!$B$7,$Z339,AE339*S339))</f>
        <v/>
      </c>
      <c r="AG339" s="65" t="str">
        <f aca="false">IF(ISBLANK($C339),"",IF($Z339=Constants!$B$7,IF(ISNUMBER(AF339),RANK(AF339,$AF$8:$AF$507),Constants!$B$14),$Z339))</f>
        <v/>
      </c>
      <c r="AH339" s="65" t="str">
        <f aca="false">IF(ISBLANK($C339),"",IF($Z339=Constants!$B$7,IF(ISNUMBER(AG339),COUNTIFS($AA$8:$AA$507,"&lt;"&amp;$AA339)+COUNTIFS($AA$8:$AA$507,$AA339,$AG$8:$AG$507,"&lt;"&amp;$AG339)+1,Constants!$B$14),$Z339))</f>
        <v/>
      </c>
      <c r="AI339" s="65" t="str">
        <f aca="false">IF(ISBLANK($C339),"",IF($Z339=Constants!$B$7,LARGE(AB339:AC339,2)*S339,""))</f>
        <v/>
      </c>
      <c r="AJ339" s="65" t="str">
        <f aca="false">IF(ISBLANK($C339),"",IF($Z339=Constants!$B$7,RANK(AI339,$AI$8:$AI$507),$Z339))</f>
        <v/>
      </c>
      <c r="AK339" s="65" t="str">
        <f aca="false">IF(ISBLANK($C339),"",IF($Z339=Constants!$B$7,IF(ISNUMBER(AG339),COUNTIFS($AA$8:$AA$507,"&lt;"&amp;$AA339)+COUNTIFS($AA$8:$AA$507,$AA339,$AG$8:$AG$507,"&lt;"&amp;$AG339)+COUNTIFS($AA$8:$AA$507,$AA339,$AG$8:$AG$507,$AG339,$AJ$8:$AJ$507,"&lt;"&amp;$AJ339)+1,Constants!$B$14),$Z339))</f>
        <v/>
      </c>
      <c r="AL339" s="65" t="str">
        <f aca="false">IF(ISBLANK($C339),"",IF($Z339=Constants!$B$7,IF(ISNUMBER(AH339),AH339-AK339,Constants!$B$14),$Z339))</f>
        <v/>
      </c>
      <c r="AM339" s="67"/>
      <c r="AN339" s="68" t="str">
        <f aca="false">IF(ISBLANK($C339),"",IF($Z339&lt;&gt;Constants!$B$7,$Z339,AD339))</f>
        <v/>
      </c>
      <c r="AO339" s="69" t="str">
        <f aca="false">IF(ISBLANK($C339),"",IF($Z339&lt;&gt;Constants!$B$7,$Z339,S339))</f>
        <v/>
      </c>
      <c r="AP339" s="70" t="str">
        <f aca="false">IF(ISBLANK($C339),"",IF($Z339&lt;&gt;Constants!$B$7,$Z339,AF339))</f>
        <v/>
      </c>
      <c r="AQ339" s="71" t="str">
        <f aca="false">IF(ISBLANK($C339),"",IF($Z339&lt;&gt;Constants!$B$7,$Z339,AA339))</f>
        <v/>
      </c>
      <c r="AR339" s="69" t="str">
        <f aca="false">IF(ISBLANK($C339),"",AL339)</f>
        <v/>
      </c>
      <c r="AS339" s="69" t="str">
        <f aca="false">IF(ISBLANK($C339),"",AK339)</f>
        <v/>
      </c>
      <c r="AT339" s="72" t="str">
        <f aca="false">IF(ISBLANK($C339),"",IF(AS339=Constants!$B$4,COUNTA($C$8:$C$507)+2,IF(AS339=Constants!$B$5,COUNTA($C$8:$C$507)+1,IF(AS339=Constants!$B$6,COUNTA($C$8:$C$507),AS339))))</f>
        <v/>
      </c>
      <c r="AU339" s="5"/>
      <c r="AV339" s="73" t="n">
        <f aca="false">IF(OR(ISNUMBER(AS339),AS339=Constants!$B$4,AS339=Constants!$B$6,AS339=Constants!$B$5),1,0)</f>
        <v>0</v>
      </c>
      <c r="AW339" s="73" t="n">
        <v>332</v>
      </c>
      <c r="AX339" s="73" t="str">
        <f aca="false">IF(ISBLANK($C339),"",IF(ISNUMBER(AT339),AT339+ROW($B339)/1000,""))</f>
        <v/>
      </c>
      <c r="AY339" s="73" t="str">
        <f aca="false">IF(ISNUMBER(AX339),RANK(AX339,$AX$8:$AX$507,1),"")</f>
        <v/>
      </c>
      <c r="AZ339" s="73" t="str">
        <f aca="false">IF(ISBLANK($C339),"",$B339)</f>
        <v/>
      </c>
      <c r="BA339" s="73" t="str">
        <f aca="false">IF(ISBLANK($C339),"",$C339)</f>
        <v/>
      </c>
      <c r="BB339" s="73" t="str">
        <f aca="false">IF(ISBLANK($C339),"",$D339)</f>
        <v/>
      </c>
      <c r="BC339" s="74" t="str">
        <f aca="false">AQ339</f>
        <v/>
      </c>
      <c r="BD339" s="75" t="str">
        <f aca="false">AP339</f>
        <v/>
      </c>
      <c r="BE339" s="73" t="str">
        <f aca="false">IF(ISBLANK($C339),"",AS339)</f>
        <v/>
      </c>
      <c r="BF339" s="76" t="str">
        <f aca="false">IF($AW339&gt;$AV$7,"",VLOOKUP($AW339,$AY$8:$BE$507,7,FALSE()))</f>
        <v/>
      </c>
      <c r="BG339" s="77" t="str">
        <f aca="false">IF($AW339&gt;$AV$7,"",VLOOKUP($AW339,$AY$8:$BE$507,2,FALSE()))</f>
        <v/>
      </c>
      <c r="BH339" s="77" t="str">
        <f aca="false">IF($AW339&gt;$AV$7,"",VLOOKUP($AW339,$AY$8:$BE$507,3,FALSE()))</f>
        <v/>
      </c>
      <c r="BI339" s="77" t="str">
        <f aca="false">IF($AW339&gt;$AV$7,"",VLOOKUP($AW339,$AY$8:$BE$507,4,FALSE()))</f>
        <v/>
      </c>
      <c r="BJ339" s="77" t="str">
        <f aca="false">IF($AW339&gt;$AV$7,"",VLOOKUP($AW339,$AY$8:$BE$507,5,FALSE()))</f>
        <v/>
      </c>
      <c r="BK339" s="78" t="str">
        <f aca="false">IF($AW339&gt;$AV$7,"",VLOOKUP($AW339,$AY$8:$BE$507,6,FALSE()))</f>
        <v/>
      </c>
      <c r="BL339" s="50"/>
    </row>
    <row r="340" customFormat="false" ht="15.75" hidden="false" customHeight="false" outlineLevel="0" collapsed="false">
      <c r="A340" s="5"/>
      <c r="B340" s="131"/>
      <c r="C340" s="52"/>
      <c r="D340" s="53"/>
      <c r="E340" s="80"/>
      <c r="F340" s="132"/>
      <c r="G340" s="56"/>
      <c r="H340" s="133"/>
      <c r="I340" s="134"/>
      <c r="J340" s="59"/>
      <c r="K340" s="60"/>
      <c r="L340" s="134"/>
      <c r="M340" s="61"/>
      <c r="N340" s="62"/>
      <c r="O340" s="80"/>
      <c r="P340" s="64"/>
      <c r="Q340" s="65" t="str">
        <f aca="false">IF(ISBLANK($C340),"",IF(E340=Constants!$B$2, TRUE(), IF(E340=Constants!$B$3, FALSE(), TRUE())))</f>
        <v/>
      </c>
      <c r="R340" s="65" t="str">
        <f aca="false">IF(ISBLANK($C340),"",IF(F340=Constants!$B$2, TRUE(), IF(F340=Constants!$B$3, FALSE(), TRUE())))</f>
        <v/>
      </c>
      <c r="S340" s="65" t="str">
        <f aca="false">IF(ISBLANK($C340),"",IF(G340=Constants!$B$15,Constants!$B$8,IF(G340=Constants!$B$16,Constants!$B$9,Constants!$B$10)))</f>
        <v/>
      </c>
      <c r="T340" s="65" t="str">
        <f aca="false">IF(ISBLANK($C340),"",IF(H340=Constants!$B$2, TRUE(), IF(H340=Constants!$B$3, FALSE(), TRUE())))</f>
        <v/>
      </c>
      <c r="U340" s="65" t="str">
        <f aca="false">IF(ISBLANK($C340),"",IF(I340=Constants!$B$19,Constants!$B$19,Constants!$B$18))</f>
        <v/>
      </c>
      <c r="V340" s="65" t="str">
        <f aca="false">IF(ISBLANK($C340),"",IF(COUNTA(J340:K340)=0,"",IF(AND(OR(ISBLANK(J340),AND(ISNUMBER(J340),J340&gt;=0)),OR(ISBLANK(K340),AND(ISNUMBER(K340),K340&gt;=0))),60*IF(ISBLANK(J340),0,J340)+IF(ISBLANK(K340),0,K340),"")))</f>
        <v/>
      </c>
      <c r="W340" s="65" t="str">
        <f aca="false">IF(ISBLANK($C340),"",IF(L340=Constants!$B$19,Constants!$B$19,Constants!$B$18))</f>
        <v/>
      </c>
      <c r="X340" s="65" t="str">
        <f aca="false">IF(ISBLANK($C340),"",IF(COUNTA(M340:N340)=0,"",IF(AND(OR(ISBLANK(M340),AND(ISNUMBER(M340),M340&gt;=0)),OR(ISBLANK(N340),AND(ISNUMBER(N340),N340&gt;=0))),60*IF(ISBLANK(M340),0,M340)+IF(ISBLANK(N340),0,N340),"")))</f>
        <v/>
      </c>
      <c r="Y340" s="65" t="str">
        <f aca="false">IF(ISBLANK($C340),"",IF(O340=Constants!$B$2, TRUE(), IF(O340=Constants!$B$3, FALSE(), FALSE())))</f>
        <v/>
      </c>
      <c r="Z340" s="65" t="str">
        <f aca="false">IF(ISBLANK($C340),"",IF(Y340,Constants!$B$4,IF(COUNTA(E340:N340)=0,Constants!$B$5,IF(COUNTA(J340:K340,M340:N340)=0,Constants!$B$6,Constants!$B$7))))</f>
        <v/>
      </c>
      <c r="AA340" s="65" t="str">
        <f aca="false">IF(ISBLANK($C340),"",IF($Z340&lt;&gt;Constants!$B$7,$Z340,IF(OR(NOT(T340),AND(NOT(Q340),COUNTIFS(U340:W340,Constants!$B$18,V340:X340,"&gt;=0")&gt;0),AND(NOT(R340),COUNTIFS(U340:W340,Constants!$B$19,V340:X340,"&gt;=0")&gt;0)),Constants!$B$12,Constants!$B$11)))</f>
        <v/>
      </c>
      <c r="AB340" s="65" t="str">
        <f aca="false">IF($Z340=Constants!$B$7,IF(V340="",Constants!$B$13,V340),"")</f>
        <v/>
      </c>
      <c r="AC340" s="65" t="str">
        <f aca="false">IF($Z340=Constants!$B$7,IF(X340="",Constants!$B$13,X340),"")</f>
        <v/>
      </c>
      <c r="AD340" s="65" t="str">
        <f aca="false">IF($Z340=Constants!$B$7,IF($AB340&gt;=$AC340,1,2),"")</f>
        <v/>
      </c>
      <c r="AE340" s="65" t="str">
        <f aca="false">IF($Z340=Constants!$B$7,LARGE(AB340:AC340,1),"")</f>
        <v/>
      </c>
      <c r="AF340" s="65" t="str">
        <f aca="false">IF(ISBLANK($C340),"",IF($Z340&lt;&gt;Constants!$B$7,$Z340,AE340*S340))</f>
        <v/>
      </c>
      <c r="AG340" s="65" t="str">
        <f aca="false">IF(ISBLANK($C340),"",IF($Z340=Constants!$B$7,IF(ISNUMBER(AF340),RANK(AF340,$AF$8:$AF$507),Constants!$B$14),$Z340))</f>
        <v/>
      </c>
      <c r="AH340" s="65" t="str">
        <f aca="false">IF(ISBLANK($C340),"",IF($Z340=Constants!$B$7,IF(ISNUMBER(AG340),COUNTIFS($AA$8:$AA$507,"&lt;"&amp;$AA340)+COUNTIFS($AA$8:$AA$507,$AA340,$AG$8:$AG$507,"&lt;"&amp;$AG340)+1,Constants!$B$14),$Z340))</f>
        <v/>
      </c>
      <c r="AI340" s="65" t="str">
        <f aca="false">IF(ISBLANK($C340),"",IF($Z340=Constants!$B$7,LARGE(AB340:AC340,2)*S340,""))</f>
        <v/>
      </c>
      <c r="AJ340" s="65" t="str">
        <f aca="false">IF(ISBLANK($C340),"",IF($Z340=Constants!$B$7,RANK(AI340,$AI$8:$AI$507),$Z340))</f>
        <v/>
      </c>
      <c r="AK340" s="65" t="str">
        <f aca="false">IF(ISBLANK($C340),"",IF($Z340=Constants!$B$7,IF(ISNUMBER(AG340),COUNTIFS($AA$8:$AA$507,"&lt;"&amp;$AA340)+COUNTIFS($AA$8:$AA$507,$AA340,$AG$8:$AG$507,"&lt;"&amp;$AG340)+COUNTIFS($AA$8:$AA$507,$AA340,$AG$8:$AG$507,$AG340,$AJ$8:$AJ$507,"&lt;"&amp;$AJ340)+1,Constants!$B$14),$Z340))</f>
        <v/>
      </c>
      <c r="AL340" s="65" t="str">
        <f aca="false">IF(ISBLANK($C340),"",IF($Z340=Constants!$B$7,IF(ISNUMBER(AH340),AH340-AK340,Constants!$B$14),$Z340))</f>
        <v/>
      </c>
      <c r="AM340" s="67"/>
      <c r="AN340" s="68" t="str">
        <f aca="false">IF(ISBLANK($C340),"",IF($Z340&lt;&gt;Constants!$B$7,$Z340,AD340))</f>
        <v/>
      </c>
      <c r="AO340" s="69" t="str">
        <f aca="false">IF(ISBLANK($C340),"",IF($Z340&lt;&gt;Constants!$B$7,$Z340,S340))</f>
        <v/>
      </c>
      <c r="AP340" s="70" t="str">
        <f aca="false">IF(ISBLANK($C340),"",IF($Z340&lt;&gt;Constants!$B$7,$Z340,AF340))</f>
        <v/>
      </c>
      <c r="AQ340" s="71" t="str">
        <f aca="false">IF(ISBLANK($C340),"",IF($Z340&lt;&gt;Constants!$B$7,$Z340,AA340))</f>
        <v/>
      </c>
      <c r="AR340" s="69" t="str">
        <f aca="false">IF(ISBLANK($C340),"",AL340)</f>
        <v/>
      </c>
      <c r="AS340" s="69" t="str">
        <f aca="false">IF(ISBLANK($C340),"",AK340)</f>
        <v/>
      </c>
      <c r="AT340" s="72" t="str">
        <f aca="false">IF(ISBLANK($C340),"",IF(AS340=Constants!$B$4,COUNTA($C$8:$C$507)+2,IF(AS340=Constants!$B$5,COUNTA($C$8:$C$507)+1,IF(AS340=Constants!$B$6,COUNTA($C$8:$C$507),AS340))))</f>
        <v/>
      </c>
      <c r="AU340" s="5"/>
      <c r="AV340" s="73" t="n">
        <f aca="false">IF(OR(ISNUMBER(AS340),AS340=Constants!$B$4,AS340=Constants!$B$6,AS340=Constants!$B$5),1,0)</f>
        <v>0</v>
      </c>
      <c r="AW340" s="73" t="n">
        <v>333</v>
      </c>
      <c r="AX340" s="73" t="str">
        <f aca="false">IF(ISBLANK($C340),"",IF(ISNUMBER(AT340),AT340+ROW($B340)/1000,""))</f>
        <v/>
      </c>
      <c r="AY340" s="73" t="str">
        <f aca="false">IF(ISNUMBER(AX340),RANK(AX340,$AX$8:$AX$507,1),"")</f>
        <v/>
      </c>
      <c r="AZ340" s="73" t="str">
        <f aca="false">IF(ISBLANK($C340),"",$B340)</f>
        <v/>
      </c>
      <c r="BA340" s="73" t="str">
        <f aca="false">IF(ISBLANK($C340),"",$C340)</f>
        <v/>
      </c>
      <c r="BB340" s="73" t="str">
        <f aca="false">IF(ISBLANK($C340),"",$D340)</f>
        <v/>
      </c>
      <c r="BC340" s="74" t="str">
        <f aca="false">AQ340</f>
        <v/>
      </c>
      <c r="BD340" s="75" t="str">
        <f aca="false">AP340</f>
        <v/>
      </c>
      <c r="BE340" s="73" t="str">
        <f aca="false">IF(ISBLANK($C340),"",AS340)</f>
        <v/>
      </c>
      <c r="BF340" s="76" t="str">
        <f aca="false">IF($AW340&gt;$AV$7,"",VLOOKUP($AW340,$AY$8:$BE$507,7,FALSE()))</f>
        <v/>
      </c>
      <c r="BG340" s="77" t="str">
        <f aca="false">IF($AW340&gt;$AV$7,"",VLOOKUP($AW340,$AY$8:$BE$507,2,FALSE()))</f>
        <v/>
      </c>
      <c r="BH340" s="77" t="str">
        <f aca="false">IF($AW340&gt;$AV$7,"",VLOOKUP($AW340,$AY$8:$BE$507,3,FALSE()))</f>
        <v/>
      </c>
      <c r="BI340" s="77" t="str">
        <f aca="false">IF($AW340&gt;$AV$7,"",VLOOKUP($AW340,$AY$8:$BE$507,4,FALSE()))</f>
        <v/>
      </c>
      <c r="BJ340" s="77" t="str">
        <f aca="false">IF($AW340&gt;$AV$7,"",VLOOKUP($AW340,$AY$8:$BE$507,5,FALSE()))</f>
        <v/>
      </c>
      <c r="BK340" s="78" t="str">
        <f aca="false">IF($AW340&gt;$AV$7,"",VLOOKUP($AW340,$AY$8:$BE$507,6,FALSE()))</f>
        <v/>
      </c>
      <c r="BL340" s="50"/>
    </row>
    <row r="341" customFormat="false" ht="15.75" hidden="false" customHeight="false" outlineLevel="0" collapsed="false">
      <c r="A341" s="5"/>
      <c r="B341" s="124"/>
      <c r="C341" s="125"/>
      <c r="D341" s="110"/>
      <c r="E341" s="130"/>
      <c r="F341" s="135"/>
      <c r="G341" s="88"/>
      <c r="H341" s="136"/>
      <c r="I341" s="137"/>
      <c r="J341" s="91"/>
      <c r="K341" s="92"/>
      <c r="L341" s="137"/>
      <c r="M341" s="93"/>
      <c r="N341" s="94"/>
      <c r="O341" s="130"/>
      <c r="P341" s="96"/>
      <c r="Q341" s="97" t="str">
        <f aca="false">IF(ISBLANK($C341),"",IF(E341=Constants!$B$2, TRUE(), IF(E341=Constants!$B$3, FALSE(), TRUE())))</f>
        <v/>
      </c>
      <c r="R341" s="97" t="str">
        <f aca="false">IF(ISBLANK($C341),"",IF(F341=Constants!$B$2, TRUE(), IF(F341=Constants!$B$3, FALSE(), TRUE())))</f>
        <v/>
      </c>
      <c r="S341" s="97" t="str">
        <f aca="false">IF(ISBLANK($C341),"",IF(G341=Constants!$B$15,Constants!$B$8,IF(G341=Constants!$B$16,Constants!$B$9,Constants!$B$10)))</f>
        <v/>
      </c>
      <c r="T341" s="97" t="str">
        <f aca="false">IF(ISBLANK($C341),"",IF(H341=Constants!$B$2, TRUE(), IF(H341=Constants!$B$3, FALSE(), TRUE())))</f>
        <v/>
      </c>
      <c r="U341" s="97" t="str">
        <f aca="false">IF(ISBLANK($C341),"",IF(I341=Constants!$B$19,Constants!$B$19,Constants!$B$18))</f>
        <v/>
      </c>
      <c r="V341" s="97" t="str">
        <f aca="false">IF(ISBLANK($C341),"",IF(COUNTA(J341:K341)=0,"",IF(AND(OR(ISBLANK(J341),AND(ISNUMBER(J341),J341&gt;=0)),OR(ISBLANK(K341),AND(ISNUMBER(K341),K341&gt;=0))),60*IF(ISBLANK(J341),0,J341)+IF(ISBLANK(K341),0,K341),"")))</f>
        <v/>
      </c>
      <c r="W341" s="97" t="str">
        <f aca="false">IF(ISBLANK($C341),"",IF(L341=Constants!$B$19,Constants!$B$19,Constants!$B$18))</f>
        <v/>
      </c>
      <c r="X341" s="97" t="str">
        <f aca="false">IF(ISBLANK($C341),"",IF(COUNTA(M341:N341)=0,"",IF(AND(OR(ISBLANK(M341),AND(ISNUMBER(M341),M341&gt;=0)),OR(ISBLANK(N341),AND(ISNUMBER(N341),N341&gt;=0))),60*IF(ISBLANK(M341),0,M341)+IF(ISBLANK(N341),0,N341),"")))</f>
        <v/>
      </c>
      <c r="Y341" s="97" t="str">
        <f aca="false">IF(ISBLANK($C341),"",IF(O341=Constants!$B$2, TRUE(), IF(O341=Constants!$B$3, FALSE(), FALSE())))</f>
        <v/>
      </c>
      <c r="Z341" s="97" t="str">
        <f aca="false">IF(ISBLANK($C341),"",IF(Y341,Constants!$B$4,IF(COUNTA(E341:N341)=0,Constants!$B$5,IF(COUNTA(J341:K341,M341:N341)=0,Constants!$B$6,Constants!$B$7))))</f>
        <v/>
      </c>
      <c r="AA341" s="97" t="str">
        <f aca="false">IF(ISBLANK($C341),"",IF($Z341&lt;&gt;Constants!$B$7,$Z341,IF(OR(NOT(T341),AND(NOT(Q341),COUNTIFS(U341:W341,Constants!$B$18,V341:X341,"&gt;=0")&gt;0),AND(NOT(R341),COUNTIFS(U341:W341,Constants!$B$19,V341:X341,"&gt;=0")&gt;0)),Constants!$B$12,Constants!$B$11)))</f>
        <v/>
      </c>
      <c r="AB341" s="97" t="str">
        <f aca="false">IF($Z341=Constants!$B$7,IF(V341="",Constants!$B$13,V341),"")</f>
        <v/>
      </c>
      <c r="AC341" s="97" t="str">
        <f aca="false">IF($Z341=Constants!$B$7,IF(X341="",Constants!$B$13,X341),"")</f>
        <v/>
      </c>
      <c r="AD341" s="97" t="str">
        <f aca="false">IF($Z341=Constants!$B$7,IF($AB341&gt;=$AC341,1,2),"")</f>
        <v/>
      </c>
      <c r="AE341" s="97" t="str">
        <f aca="false">IF($Z341=Constants!$B$7,LARGE(AB341:AC341,1),"")</f>
        <v/>
      </c>
      <c r="AF341" s="97" t="str">
        <f aca="false">IF(ISBLANK($C341),"",IF($Z341&lt;&gt;Constants!$B$7,$Z341,AE341*S341))</f>
        <v/>
      </c>
      <c r="AG341" s="97" t="str">
        <f aca="false">IF(ISBLANK($C341),"",IF($Z341=Constants!$B$7,IF(ISNUMBER(AF341),RANK(AF341,$AF$8:$AF$507),Constants!$B$14),$Z341))</f>
        <v/>
      </c>
      <c r="AH341" s="97" t="str">
        <f aca="false">IF(ISBLANK($C341),"",IF($Z341=Constants!$B$7,IF(ISNUMBER(AG341),COUNTIFS($AA$8:$AA$507,"&lt;"&amp;$AA341)+COUNTIFS($AA$8:$AA$507,$AA341,$AG$8:$AG$507,"&lt;"&amp;$AG341)+1,Constants!$B$14),$Z341))</f>
        <v/>
      </c>
      <c r="AI341" s="97" t="str">
        <f aca="false">IF(ISBLANK($C341),"",IF($Z341=Constants!$B$7,LARGE(AB341:AC341,2)*S341,""))</f>
        <v/>
      </c>
      <c r="AJ341" s="97" t="str">
        <f aca="false">IF(ISBLANK($C341),"",IF($Z341=Constants!$B$7,RANK(AI341,$AI$8:$AI$507),$Z341))</f>
        <v/>
      </c>
      <c r="AK341" s="97" t="str">
        <f aca="false">IF(ISBLANK($C341),"",IF($Z341=Constants!$B$7,IF(ISNUMBER(AG341),COUNTIFS($AA$8:$AA$507,"&lt;"&amp;$AA341)+COUNTIFS($AA$8:$AA$507,$AA341,$AG$8:$AG$507,"&lt;"&amp;$AG341)+COUNTIFS($AA$8:$AA$507,$AA341,$AG$8:$AG$507,$AG341,$AJ$8:$AJ$507,"&lt;"&amp;$AJ341)+1,Constants!$B$14),$Z341))</f>
        <v/>
      </c>
      <c r="AL341" s="97" t="str">
        <f aca="false">IF(ISBLANK($C341),"",IF($Z341=Constants!$B$7,IF(ISNUMBER(AH341),AH341-AK341,Constants!$B$14),$Z341))</f>
        <v/>
      </c>
      <c r="AM341" s="98"/>
      <c r="AN341" s="99" t="str">
        <f aca="false">IF(ISBLANK($C341),"",IF($Z341&lt;&gt;Constants!$B$7,$Z341,AD341))</f>
        <v/>
      </c>
      <c r="AO341" s="100" t="str">
        <f aca="false">IF(ISBLANK($C341),"",IF($Z341&lt;&gt;Constants!$B$7,$Z341,S341))</f>
        <v/>
      </c>
      <c r="AP341" s="101" t="str">
        <f aca="false">IF(ISBLANK($C341),"",IF($Z341&lt;&gt;Constants!$B$7,$Z341,AF341))</f>
        <v/>
      </c>
      <c r="AQ341" s="102" t="str">
        <f aca="false">IF(ISBLANK($C341),"",IF($Z341&lt;&gt;Constants!$B$7,$Z341,AA341))</f>
        <v/>
      </c>
      <c r="AR341" s="100" t="str">
        <f aca="false">IF(ISBLANK($C341),"",AL341)</f>
        <v/>
      </c>
      <c r="AS341" s="100" t="str">
        <f aca="false">IF(ISBLANK($C341),"",AK341)</f>
        <v/>
      </c>
      <c r="AT341" s="103" t="str">
        <f aca="false">IF(ISBLANK($C341),"",IF(AS341=Constants!$B$4,COUNTA($C$8:$C$507)+2,IF(AS341=Constants!$B$5,COUNTA($C$8:$C$507)+1,IF(AS341=Constants!$B$6,COUNTA($C$8:$C$507),AS341))))</f>
        <v/>
      </c>
      <c r="AU341" s="5"/>
      <c r="AV341" s="104" t="n">
        <f aca="false">IF(OR(ISNUMBER(AS341),AS341=Constants!$B$4,AS341=Constants!$B$6,AS341=Constants!$B$5),1,0)</f>
        <v>0</v>
      </c>
      <c r="AW341" s="104" t="n">
        <v>334</v>
      </c>
      <c r="AX341" s="104" t="str">
        <f aca="false">IF(ISBLANK($C341),"",IF(ISNUMBER(AT341),AT341+ROW($B341)/1000,""))</f>
        <v/>
      </c>
      <c r="AY341" s="104" t="str">
        <f aca="false">IF(ISNUMBER(AX341),RANK(AX341,$AX$8:$AX$507,1),"")</f>
        <v/>
      </c>
      <c r="AZ341" s="104" t="str">
        <f aca="false">IF(ISBLANK($C341),"",$B341)</f>
        <v/>
      </c>
      <c r="BA341" s="104" t="str">
        <f aca="false">IF(ISBLANK($C341),"",$C341)</f>
        <v/>
      </c>
      <c r="BB341" s="104" t="str">
        <f aca="false">IF(ISBLANK($C341),"",$D341)</f>
        <v/>
      </c>
      <c r="BC341" s="105" t="str">
        <f aca="false">AQ341</f>
        <v/>
      </c>
      <c r="BD341" s="106" t="str">
        <f aca="false">AP341</f>
        <v/>
      </c>
      <c r="BE341" s="104" t="str">
        <f aca="false">IF(ISBLANK($C341),"",AS341)</f>
        <v/>
      </c>
      <c r="BF341" s="107" t="str">
        <f aca="false">IF($AW341&gt;$AV$7,"",VLOOKUP($AW341,$AY$8:$BE$507,7,FALSE()))</f>
        <v/>
      </c>
      <c r="BG341" s="108" t="str">
        <f aca="false">IF($AW341&gt;$AV$7,"",VLOOKUP($AW341,$AY$8:$BE$507,2,FALSE()))</f>
        <v/>
      </c>
      <c r="BH341" s="108" t="str">
        <f aca="false">IF($AW341&gt;$AV$7,"",VLOOKUP($AW341,$AY$8:$BE$507,3,FALSE()))</f>
        <v/>
      </c>
      <c r="BI341" s="108" t="str">
        <f aca="false">IF($AW341&gt;$AV$7,"",VLOOKUP($AW341,$AY$8:$BE$507,4,FALSE()))</f>
        <v/>
      </c>
      <c r="BJ341" s="108" t="str">
        <f aca="false">IF($AW341&gt;$AV$7,"",VLOOKUP($AW341,$AY$8:$BE$507,5,FALSE()))</f>
        <v/>
      </c>
      <c r="BK341" s="109" t="str">
        <f aca="false">IF($AW341&gt;$AV$7,"",VLOOKUP($AW341,$AY$8:$BE$507,6,FALSE()))</f>
        <v/>
      </c>
      <c r="BL341" s="50"/>
    </row>
    <row r="342" customFormat="false" ht="15.75" hidden="false" customHeight="false" outlineLevel="0" collapsed="false">
      <c r="A342" s="5"/>
      <c r="B342" s="124"/>
      <c r="C342" s="125"/>
      <c r="D342" s="110"/>
      <c r="E342" s="130"/>
      <c r="F342" s="135"/>
      <c r="G342" s="88"/>
      <c r="H342" s="136"/>
      <c r="I342" s="137"/>
      <c r="J342" s="91"/>
      <c r="K342" s="92"/>
      <c r="L342" s="137"/>
      <c r="M342" s="93"/>
      <c r="N342" s="94"/>
      <c r="O342" s="130"/>
      <c r="P342" s="96"/>
      <c r="Q342" s="97" t="str">
        <f aca="false">IF(ISBLANK($C342),"",IF(E342=Constants!$B$2, TRUE(), IF(E342=Constants!$B$3, FALSE(), TRUE())))</f>
        <v/>
      </c>
      <c r="R342" s="97" t="str">
        <f aca="false">IF(ISBLANK($C342),"",IF(F342=Constants!$B$2, TRUE(), IF(F342=Constants!$B$3, FALSE(), TRUE())))</f>
        <v/>
      </c>
      <c r="S342" s="97" t="str">
        <f aca="false">IF(ISBLANK($C342),"",IF(G342=Constants!$B$15,Constants!$B$8,IF(G342=Constants!$B$16,Constants!$B$9,Constants!$B$10)))</f>
        <v/>
      </c>
      <c r="T342" s="97" t="str">
        <f aca="false">IF(ISBLANK($C342),"",IF(H342=Constants!$B$2, TRUE(), IF(H342=Constants!$B$3, FALSE(), TRUE())))</f>
        <v/>
      </c>
      <c r="U342" s="97" t="str">
        <f aca="false">IF(ISBLANK($C342),"",IF(I342=Constants!$B$19,Constants!$B$19,Constants!$B$18))</f>
        <v/>
      </c>
      <c r="V342" s="97" t="str">
        <f aca="false">IF(ISBLANK($C342),"",IF(COUNTA(J342:K342)=0,"",IF(AND(OR(ISBLANK(J342),AND(ISNUMBER(J342),J342&gt;=0)),OR(ISBLANK(K342),AND(ISNUMBER(K342),K342&gt;=0))),60*IF(ISBLANK(J342),0,J342)+IF(ISBLANK(K342),0,K342),"")))</f>
        <v/>
      </c>
      <c r="W342" s="97" t="str">
        <f aca="false">IF(ISBLANK($C342),"",IF(L342=Constants!$B$19,Constants!$B$19,Constants!$B$18))</f>
        <v/>
      </c>
      <c r="X342" s="97" t="str">
        <f aca="false">IF(ISBLANK($C342),"",IF(COUNTA(M342:N342)=0,"",IF(AND(OR(ISBLANK(M342),AND(ISNUMBER(M342),M342&gt;=0)),OR(ISBLANK(N342),AND(ISNUMBER(N342),N342&gt;=0))),60*IF(ISBLANK(M342),0,M342)+IF(ISBLANK(N342),0,N342),"")))</f>
        <v/>
      </c>
      <c r="Y342" s="97" t="str">
        <f aca="false">IF(ISBLANK($C342),"",IF(O342=Constants!$B$2, TRUE(), IF(O342=Constants!$B$3, FALSE(), FALSE())))</f>
        <v/>
      </c>
      <c r="Z342" s="97" t="str">
        <f aca="false">IF(ISBLANK($C342),"",IF(Y342,Constants!$B$4,IF(COUNTA(E342:N342)=0,Constants!$B$5,IF(COUNTA(J342:K342,M342:N342)=0,Constants!$B$6,Constants!$B$7))))</f>
        <v/>
      </c>
      <c r="AA342" s="97" t="str">
        <f aca="false">IF(ISBLANK($C342),"",IF($Z342&lt;&gt;Constants!$B$7,$Z342,IF(OR(NOT(T342),AND(NOT(Q342),COUNTIFS(U342:W342,Constants!$B$18,V342:X342,"&gt;=0")&gt;0),AND(NOT(R342),COUNTIFS(U342:W342,Constants!$B$19,V342:X342,"&gt;=0")&gt;0)),Constants!$B$12,Constants!$B$11)))</f>
        <v/>
      </c>
      <c r="AB342" s="97" t="str">
        <f aca="false">IF($Z342=Constants!$B$7,IF(V342="",Constants!$B$13,V342),"")</f>
        <v/>
      </c>
      <c r="AC342" s="97" t="str">
        <f aca="false">IF($Z342=Constants!$B$7,IF(X342="",Constants!$B$13,X342),"")</f>
        <v/>
      </c>
      <c r="AD342" s="97" t="str">
        <f aca="false">IF($Z342=Constants!$B$7,IF($AB342&gt;=$AC342,1,2),"")</f>
        <v/>
      </c>
      <c r="AE342" s="97" t="str">
        <f aca="false">IF($Z342=Constants!$B$7,LARGE(AB342:AC342,1),"")</f>
        <v/>
      </c>
      <c r="AF342" s="97" t="str">
        <f aca="false">IF(ISBLANK($C342),"",IF($Z342&lt;&gt;Constants!$B$7,$Z342,AE342*S342))</f>
        <v/>
      </c>
      <c r="AG342" s="97" t="str">
        <f aca="false">IF(ISBLANK($C342),"",IF($Z342=Constants!$B$7,IF(ISNUMBER(AF342),RANK(AF342,$AF$8:$AF$507),Constants!$B$14),$Z342))</f>
        <v/>
      </c>
      <c r="AH342" s="97" t="str">
        <f aca="false">IF(ISBLANK($C342),"",IF($Z342=Constants!$B$7,IF(ISNUMBER(AG342),COUNTIFS($AA$8:$AA$507,"&lt;"&amp;$AA342)+COUNTIFS($AA$8:$AA$507,$AA342,$AG$8:$AG$507,"&lt;"&amp;$AG342)+1,Constants!$B$14),$Z342))</f>
        <v/>
      </c>
      <c r="AI342" s="97" t="str">
        <f aca="false">IF(ISBLANK($C342),"",IF($Z342=Constants!$B$7,LARGE(AB342:AC342,2)*S342,""))</f>
        <v/>
      </c>
      <c r="AJ342" s="97" t="str">
        <f aca="false">IF(ISBLANK($C342),"",IF($Z342=Constants!$B$7,RANK(AI342,$AI$8:$AI$507),$Z342))</f>
        <v/>
      </c>
      <c r="AK342" s="97" t="str">
        <f aca="false">IF(ISBLANK($C342),"",IF($Z342=Constants!$B$7,IF(ISNUMBER(AG342),COUNTIFS($AA$8:$AA$507,"&lt;"&amp;$AA342)+COUNTIFS($AA$8:$AA$507,$AA342,$AG$8:$AG$507,"&lt;"&amp;$AG342)+COUNTIFS($AA$8:$AA$507,$AA342,$AG$8:$AG$507,$AG342,$AJ$8:$AJ$507,"&lt;"&amp;$AJ342)+1,Constants!$B$14),$Z342))</f>
        <v/>
      </c>
      <c r="AL342" s="97" t="str">
        <f aca="false">IF(ISBLANK($C342),"",IF($Z342=Constants!$B$7,IF(ISNUMBER(AH342),AH342-AK342,Constants!$B$14),$Z342))</f>
        <v/>
      </c>
      <c r="AM342" s="98"/>
      <c r="AN342" s="99" t="str">
        <f aca="false">IF(ISBLANK($C342),"",IF($Z342&lt;&gt;Constants!$B$7,$Z342,AD342))</f>
        <v/>
      </c>
      <c r="AO342" s="100" t="str">
        <f aca="false">IF(ISBLANK($C342),"",IF($Z342&lt;&gt;Constants!$B$7,$Z342,S342))</f>
        <v/>
      </c>
      <c r="AP342" s="101" t="str">
        <f aca="false">IF(ISBLANK($C342),"",IF($Z342&lt;&gt;Constants!$B$7,$Z342,AF342))</f>
        <v/>
      </c>
      <c r="AQ342" s="102" t="str">
        <f aca="false">IF(ISBLANK($C342),"",IF($Z342&lt;&gt;Constants!$B$7,$Z342,AA342))</f>
        <v/>
      </c>
      <c r="AR342" s="100" t="str">
        <f aca="false">IF(ISBLANK($C342),"",AL342)</f>
        <v/>
      </c>
      <c r="AS342" s="100" t="str">
        <f aca="false">IF(ISBLANK($C342),"",AK342)</f>
        <v/>
      </c>
      <c r="AT342" s="103" t="str">
        <f aca="false">IF(ISBLANK($C342),"",IF(AS342=Constants!$B$4,COUNTA($C$8:$C$507)+2,IF(AS342=Constants!$B$5,COUNTA($C$8:$C$507)+1,IF(AS342=Constants!$B$6,COUNTA($C$8:$C$507),AS342))))</f>
        <v/>
      </c>
      <c r="AU342" s="5"/>
      <c r="AV342" s="104" t="n">
        <f aca="false">IF(OR(ISNUMBER(AS342),AS342=Constants!$B$4,AS342=Constants!$B$6,AS342=Constants!$B$5),1,0)</f>
        <v>0</v>
      </c>
      <c r="AW342" s="104" t="n">
        <v>335</v>
      </c>
      <c r="AX342" s="104" t="str">
        <f aca="false">IF(ISBLANK($C342),"",IF(ISNUMBER(AT342),AT342+ROW($B342)/1000,""))</f>
        <v/>
      </c>
      <c r="AY342" s="104" t="str">
        <f aca="false">IF(ISNUMBER(AX342),RANK(AX342,$AX$8:$AX$507,1),"")</f>
        <v/>
      </c>
      <c r="AZ342" s="104" t="str">
        <f aca="false">IF(ISBLANK($C342),"",$B342)</f>
        <v/>
      </c>
      <c r="BA342" s="104" t="str">
        <f aca="false">IF(ISBLANK($C342),"",$C342)</f>
        <v/>
      </c>
      <c r="BB342" s="104" t="str">
        <f aca="false">IF(ISBLANK($C342),"",$D342)</f>
        <v/>
      </c>
      <c r="BC342" s="105" t="str">
        <f aca="false">AQ342</f>
        <v/>
      </c>
      <c r="BD342" s="106" t="str">
        <f aca="false">AP342</f>
        <v/>
      </c>
      <c r="BE342" s="104" t="str">
        <f aca="false">IF(ISBLANK($C342),"",AS342)</f>
        <v/>
      </c>
      <c r="BF342" s="107" t="str">
        <f aca="false">IF($AW342&gt;$AV$7,"",VLOOKUP($AW342,$AY$8:$BE$507,7,FALSE()))</f>
        <v/>
      </c>
      <c r="BG342" s="108" t="str">
        <f aca="false">IF($AW342&gt;$AV$7,"",VLOOKUP($AW342,$AY$8:$BE$507,2,FALSE()))</f>
        <v/>
      </c>
      <c r="BH342" s="108" t="str">
        <f aca="false">IF($AW342&gt;$AV$7,"",VLOOKUP($AW342,$AY$8:$BE$507,3,FALSE()))</f>
        <v/>
      </c>
      <c r="BI342" s="108" t="str">
        <f aca="false">IF($AW342&gt;$AV$7,"",VLOOKUP($AW342,$AY$8:$BE$507,4,FALSE()))</f>
        <v/>
      </c>
      <c r="BJ342" s="108" t="str">
        <f aca="false">IF($AW342&gt;$AV$7,"",VLOOKUP($AW342,$AY$8:$BE$507,5,FALSE()))</f>
        <v/>
      </c>
      <c r="BK342" s="109" t="str">
        <f aca="false">IF($AW342&gt;$AV$7,"",VLOOKUP($AW342,$AY$8:$BE$507,6,FALSE()))</f>
        <v/>
      </c>
      <c r="BL342" s="50"/>
    </row>
    <row r="343" customFormat="false" ht="15.75" hidden="false" customHeight="false" outlineLevel="0" collapsed="false">
      <c r="A343" s="5"/>
      <c r="B343" s="124"/>
      <c r="C343" s="125"/>
      <c r="D343" s="110"/>
      <c r="E343" s="130"/>
      <c r="F343" s="135"/>
      <c r="G343" s="88"/>
      <c r="H343" s="136"/>
      <c r="I343" s="137"/>
      <c r="J343" s="91"/>
      <c r="K343" s="92"/>
      <c r="L343" s="137"/>
      <c r="M343" s="93"/>
      <c r="N343" s="94"/>
      <c r="O343" s="130"/>
      <c r="P343" s="96"/>
      <c r="Q343" s="97" t="str">
        <f aca="false">IF(ISBLANK($C343),"",IF(E343=Constants!$B$2, TRUE(), IF(E343=Constants!$B$3, FALSE(), TRUE())))</f>
        <v/>
      </c>
      <c r="R343" s="97" t="str">
        <f aca="false">IF(ISBLANK($C343),"",IF(F343=Constants!$B$2, TRUE(), IF(F343=Constants!$B$3, FALSE(), TRUE())))</f>
        <v/>
      </c>
      <c r="S343" s="97" t="str">
        <f aca="false">IF(ISBLANK($C343),"",IF(G343=Constants!$B$15,Constants!$B$8,IF(G343=Constants!$B$16,Constants!$B$9,Constants!$B$10)))</f>
        <v/>
      </c>
      <c r="T343" s="97" t="str">
        <f aca="false">IF(ISBLANK($C343),"",IF(H343=Constants!$B$2, TRUE(), IF(H343=Constants!$B$3, FALSE(), TRUE())))</f>
        <v/>
      </c>
      <c r="U343" s="97" t="str">
        <f aca="false">IF(ISBLANK($C343),"",IF(I343=Constants!$B$19,Constants!$B$19,Constants!$B$18))</f>
        <v/>
      </c>
      <c r="V343" s="97" t="str">
        <f aca="false">IF(ISBLANK($C343),"",IF(COUNTA(J343:K343)=0,"",IF(AND(OR(ISBLANK(J343),AND(ISNUMBER(J343),J343&gt;=0)),OR(ISBLANK(K343),AND(ISNUMBER(K343),K343&gt;=0))),60*IF(ISBLANK(J343),0,J343)+IF(ISBLANK(K343),0,K343),"")))</f>
        <v/>
      </c>
      <c r="W343" s="97" t="str">
        <f aca="false">IF(ISBLANK($C343),"",IF(L343=Constants!$B$19,Constants!$B$19,Constants!$B$18))</f>
        <v/>
      </c>
      <c r="X343" s="97" t="str">
        <f aca="false">IF(ISBLANK($C343),"",IF(COUNTA(M343:N343)=0,"",IF(AND(OR(ISBLANK(M343),AND(ISNUMBER(M343),M343&gt;=0)),OR(ISBLANK(N343),AND(ISNUMBER(N343),N343&gt;=0))),60*IF(ISBLANK(M343),0,M343)+IF(ISBLANK(N343),0,N343),"")))</f>
        <v/>
      </c>
      <c r="Y343" s="97" t="str">
        <f aca="false">IF(ISBLANK($C343),"",IF(O343=Constants!$B$2, TRUE(), IF(O343=Constants!$B$3, FALSE(), FALSE())))</f>
        <v/>
      </c>
      <c r="Z343" s="97" t="str">
        <f aca="false">IF(ISBLANK($C343),"",IF(Y343,Constants!$B$4,IF(COUNTA(E343:N343)=0,Constants!$B$5,IF(COUNTA(J343:K343,M343:N343)=0,Constants!$B$6,Constants!$B$7))))</f>
        <v/>
      </c>
      <c r="AA343" s="97" t="str">
        <f aca="false">IF(ISBLANK($C343),"",IF($Z343&lt;&gt;Constants!$B$7,$Z343,IF(OR(NOT(T343),AND(NOT(Q343),COUNTIFS(U343:W343,Constants!$B$18,V343:X343,"&gt;=0")&gt;0),AND(NOT(R343),COUNTIFS(U343:W343,Constants!$B$19,V343:X343,"&gt;=0")&gt;0)),Constants!$B$12,Constants!$B$11)))</f>
        <v/>
      </c>
      <c r="AB343" s="97" t="str">
        <f aca="false">IF($Z343=Constants!$B$7,IF(V343="",Constants!$B$13,V343),"")</f>
        <v/>
      </c>
      <c r="AC343" s="97" t="str">
        <f aca="false">IF($Z343=Constants!$B$7,IF(X343="",Constants!$B$13,X343),"")</f>
        <v/>
      </c>
      <c r="AD343" s="97" t="str">
        <f aca="false">IF($Z343=Constants!$B$7,IF($AB343&gt;=$AC343,1,2),"")</f>
        <v/>
      </c>
      <c r="AE343" s="97" t="str">
        <f aca="false">IF($Z343=Constants!$B$7,LARGE(AB343:AC343,1),"")</f>
        <v/>
      </c>
      <c r="AF343" s="97" t="str">
        <f aca="false">IF(ISBLANK($C343),"",IF($Z343&lt;&gt;Constants!$B$7,$Z343,AE343*S343))</f>
        <v/>
      </c>
      <c r="AG343" s="97" t="str">
        <f aca="false">IF(ISBLANK($C343),"",IF($Z343=Constants!$B$7,IF(ISNUMBER(AF343),RANK(AF343,$AF$8:$AF$507),Constants!$B$14),$Z343))</f>
        <v/>
      </c>
      <c r="AH343" s="97" t="str">
        <f aca="false">IF(ISBLANK($C343),"",IF($Z343=Constants!$B$7,IF(ISNUMBER(AG343),COUNTIFS($AA$8:$AA$507,"&lt;"&amp;$AA343)+COUNTIFS($AA$8:$AA$507,$AA343,$AG$8:$AG$507,"&lt;"&amp;$AG343)+1,Constants!$B$14),$Z343))</f>
        <v/>
      </c>
      <c r="AI343" s="97" t="str">
        <f aca="false">IF(ISBLANK($C343),"",IF($Z343=Constants!$B$7,LARGE(AB343:AC343,2)*S343,""))</f>
        <v/>
      </c>
      <c r="AJ343" s="97" t="str">
        <f aca="false">IF(ISBLANK($C343),"",IF($Z343=Constants!$B$7,RANK(AI343,$AI$8:$AI$507),$Z343))</f>
        <v/>
      </c>
      <c r="AK343" s="97" t="str">
        <f aca="false">IF(ISBLANK($C343),"",IF($Z343=Constants!$B$7,IF(ISNUMBER(AG343),COUNTIFS($AA$8:$AA$507,"&lt;"&amp;$AA343)+COUNTIFS($AA$8:$AA$507,$AA343,$AG$8:$AG$507,"&lt;"&amp;$AG343)+COUNTIFS($AA$8:$AA$507,$AA343,$AG$8:$AG$507,$AG343,$AJ$8:$AJ$507,"&lt;"&amp;$AJ343)+1,Constants!$B$14),$Z343))</f>
        <v/>
      </c>
      <c r="AL343" s="97" t="str">
        <f aca="false">IF(ISBLANK($C343),"",IF($Z343=Constants!$B$7,IF(ISNUMBER(AH343),AH343-AK343,Constants!$B$14),$Z343))</f>
        <v/>
      </c>
      <c r="AM343" s="98"/>
      <c r="AN343" s="99" t="str">
        <f aca="false">IF(ISBLANK($C343),"",IF($Z343&lt;&gt;Constants!$B$7,$Z343,AD343))</f>
        <v/>
      </c>
      <c r="AO343" s="100" t="str">
        <f aca="false">IF(ISBLANK($C343),"",IF($Z343&lt;&gt;Constants!$B$7,$Z343,S343))</f>
        <v/>
      </c>
      <c r="AP343" s="101" t="str">
        <f aca="false">IF(ISBLANK($C343),"",IF($Z343&lt;&gt;Constants!$B$7,$Z343,AF343))</f>
        <v/>
      </c>
      <c r="AQ343" s="102" t="str">
        <f aca="false">IF(ISBLANK($C343),"",IF($Z343&lt;&gt;Constants!$B$7,$Z343,AA343))</f>
        <v/>
      </c>
      <c r="AR343" s="100" t="str">
        <f aca="false">IF(ISBLANK($C343),"",AL343)</f>
        <v/>
      </c>
      <c r="AS343" s="100" t="str">
        <f aca="false">IF(ISBLANK($C343),"",AK343)</f>
        <v/>
      </c>
      <c r="AT343" s="103" t="str">
        <f aca="false">IF(ISBLANK($C343),"",IF(AS343=Constants!$B$4,COUNTA($C$8:$C$507)+2,IF(AS343=Constants!$B$5,COUNTA($C$8:$C$507)+1,IF(AS343=Constants!$B$6,COUNTA($C$8:$C$507),AS343))))</f>
        <v/>
      </c>
      <c r="AU343" s="5"/>
      <c r="AV343" s="104" t="n">
        <f aca="false">IF(OR(ISNUMBER(AS343),AS343=Constants!$B$4,AS343=Constants!$B$6,AS343=Constants!$B$5),1,0)</f>
        <v>0</v>
      </c>
      <c r="AW343" s="104" t="n">
        <v>336</v>
      </c>
      <c r="AX343" s="104" t="str">
        <f aca="false">IF(ISBLANK($C343),"",IF(ISNUMBER(AT343),AT343+ROW($B343)/1000,""))</f>
        <v/>
      </c>
      <c r="AY343" s="104" t="str">
        <f aca="false">IF(ISNUMBER(AX343),RANK(AX343,$AX$8:$AX$507,1),"")</f>
        <v/>
      </c>
      <c r="AZ343" s="104" t="str">
        <f aca="false">IF(ISBLANK($C343),"",$B343)</f>
        <v/>
      </c>
      <c r="BA343" s="104" t="str">
        <f aca="false">IF(ISBLANK($C343),"",$C343)</f>
        <v/>
      </c>
      <c r="BB343" s="104" t="str">
        <f aca="false">IF(ISBLANK($C343),"",$D343)</f>
        <v/>
      </c>
      <c r="BC343" s="105" t="str">
        <f aca="false">AQ343</f>
        <v/>
      </c>
      <c r="BD343" s="106" t="str">
        <f aca="false">AP343</f>
        <v/>
      </c>
      <c r="BE343" s="104" t="str">
        <f aca="false">IF(ISBLANK($C343),"",AS343)</f>
        <v/>
      </c>
      <c r="BF343" s="107" t="str">
        <f aca="false">IF($AW343&gt;$AV$7,"",VLOOKUP($AW343,$AY$8:$BE$507,7,FALSE()))</f>
        <v/>
      </c>
      <c r="BG343" s="108" t="str">
        <f aca="false">IF($AW343&gt;$AV$7,"",VLOOKUP($AW343,$AY$8:$BE$507,2,FALSE()))</f>
        <v/>
      </c>
      <c r="BH343" s="108" t="str">
        <f aca="false">IF($AW343&gt;$AV$7,"",VLOOKUP($AW343,$AY$8:$BE$507,3,FALSE()))</f>
        <v/>
      </c>
      <c r="BI343" s="108" t="str">
        <f aca="false">IF($AW343&gt;$AV$7,"",VLOOKUP($AW343,$AY$8:$BE$507,4,FALSE()))</f>
        <v/>
      </c>
      <c r="BJ343" s="108" t="str">
        <f aca="false">IF($AW343&gt;$AV$7,"",VLOOKUP($AW343,$AY$8:$BE$507,5,FALSE()))</f>
        <v/>
      </c>
      <c r="BK343" s="109" t="str">
        <f aca="false">IF($AW343&gt;$AV$7,"",VLOOKUP($AW343,$AY$8:$BE$507,6,FALSE()))</f>
        <v/>
      </c>
      <c r="BL343" s="50"/>
    </row>
    <row r="344" customFormat="false" ht="15.75" hidden="false" customHeight="false" outlineLevel="0" collapsed="false">
      <c r="A344" s="5"/>
      <c r="B344" s="131"/>
      <c r="C344" s="52"/>
      <c r="D344" s="53"/>
      <c r="E344" s="80"/>
      <c r="F344" s="132"/>
      <c r="G344" s="56"/>
      <c r="H344" s="133"/>
      <c r="I344" s="134"/>
      <c r="J344" s="59"/>
      <c r="K344" s="60"/>
      <c r="L344" s="134"/>
      <c r="M344" s="61"/>
      <c r="N344" s="62"/>
      <c r="O344" s="80"/>
      <c r="P344" s="64"/>
      <c r="Q344" s="65" t="str">
        <f aca="false">IF(ISBLANK($C344),"",IF(E344=Constants!$B$2, TRUE(), IF(E344=Constants!$B$3, FALSE(), TRUE())))</f>
        <v/>
      </c>
      <c r="R344" s="65" t="str">
        <f aca="false">IF(ISBLANK($C344),"",IF(F344=Constants!$B$2, TRUE(), IF(F344=Constants!$B$3, FALSE(), TRUE())))</f>
        <v/>
      </c>
      <c r="S344" s="65" t="str">
        <f aca="false">IF(ISBLANK($C344),"",IF(G344=Constants!$B$15,Constants!$B$8,IF(G344=Constants!$B$16,Constants!$B$9,Constants!$B$10)))</f>
        <v/>
      </c>
      <c r="T344" s="65" t="str">
        <f aca="false">IF(ISBLANK($C344),"",IF(H344=Constants!$B$2, TRUE(), IF(H344=Constants!$B$3, FALSE(), TRUE())))</f>
        <v/>
      </c>
      <c r="U344" s="65" t="str">
        <f aca="false">IF(ISBLANK($C344),"",IF(I344=Constants!$B$19,Constants!$B$19,Constants!$B$18))</f>
        <v/>
      </c>
      <c r="V344" s="65" t="str">
        <f aca="false">IF(ISBLANK($C344),"",IF(COUNTA(J344:K344)=0,"",IF(AND(OR(ISBLANK(J344),AND(ISNUMBER(J344),J344&gt;=0)),OR(ISBLANK(K344),AND(ISNUMBER(K344),K344&gt;=0))),60*IF(ISBLANK(J344),0,J344)+IF(ISBLANK(K344),0,K344),"")))</f>
        <v/>
      </c>
      <c r="W344" s="65" t="str">
        <f aca="false">IF(ISBLANK($C344),"",IF(L344=Constants!$B$19,Constants!$B$19,Constants!$B$18))</f>
        <v/>
      </c>
      <c r="X344" s="65" t="str">
        <f aca="false">IF(ISBLANK($C344),"",IF(COUNTA(M344:N344)=0,"",IF(AND(OR(ISBLANK(M344),AND(ISNUMBER(M344),M344&gt;=0)),OR(ISBLANK(N344),AND(ISNUMBER(N344),N344&gt;=0))),60*IF(ISBLANK(M344),0,M344)+IF(ISBLANK(N344),0,N344),"")))</f>
        <v/>
      </c>
      <c r="Y344" s="65" t="str">
        <f aca="false">IF(ISBLANK($C344),"",IF(O344=Constants!$B$2, TRUE(), IF(O344=Constants!$B$3, FALSE(), FALSE())))</f>
        <v/>
      </c>
      <c r="Z344" s="65" t="str">
        <f aca="false">IF(ISBLANK($C344),"",IF(Y344,Constants!$B$4,IF(COUNTA(E344:N344)=0,Constants!$B$5,IF(COUNTA(J344:K344,M344:N344)=0,Constants!$B$6,Constants!$B$7))))</f>
        <v/>
      </c>
      <c r="AA344" s="65" t="str">
        <f aca="false">IF(ISBLANK($C344),"",IF($Z344&lt;&gt;Constants!$B$7,$Z344,IF(OR(NOT(T344),AND(NOT(Q344),COUNTIFS(U344:W344,Constants!$B$18,V344:X344,"&gt;=0")&gt;0),AND(NOT(R344),COUNTIFS(U344:W344,Constants!$B$19,V344:X344,"&gt;=0")&gt;0)),Constants!$B$12,Constants!$B$11)))</f>
        <v/>
      </c>
      <c r="AB344" s="65" t="str">
        <f aca="false">IF($Z344=Constants!$B$7,IF(V344="",Constants!$B$13,V344),"")</f>
        <v/>
      </c>
      <c r="AC344" s="65" t="str">
        <f aca="false">IF($Z344=Constants!$B$7,IF(X344="",Constants!$B$13,X344),"")</f>
        <v/>
      </c>
      <c r="AD344" s="65" t="str">
        <f aca="false">IF($Z344=Constants!$B$7,IF($AB344&gt;=$AC344,1,2),"")</f>
        <v/>
      </c>
      <c r="AE344" s="65" t="str">
        <f aca="false">IF($Z344=Constants!$B$7,LARGE(AB344:AC344,1),"")</f>
        <v/>
      </c>
      <c r="AF344" s="65" t="str">
        <f aca="false">IF(ISBLANK($C344),"",IF($Z344&lt;&gt;Constants!$B$7,$Z344,AE344*S344))</f>
        <v/>
      </c>
      <c r="AG344" s="65" t="str">
        <f aca="false">IF(ISBLANK($C344),"",IF($Z344=Constants!$B$7,IF(ISNUMBER(AF344),RANK(AF344,$AF$8:$AF$507),Constants!$B$14),$Z344))</f>
        <v/>
      </c>
      <c r="AH344" s="65" t="str">
        <f aca="false">IF(ISBLANK($C344),"",IF($Z344=Constants!$B$7,IF(ISNUMBER(AG344),COUNTIFS($AA$8:$AA$507,"&lt;"&amp;$AA344)+COUNTIFS($AA$8:$AA$507,$AA344,$AG$8:$AG$507,"&lt;"&amp;$AG344)+1,Constants!$B$14),$Z344))</f>
        <v/>
      </c>
      <c r="AI344" s="65" t="str">
        <f aca="false">IF(ISBLANK($C344),"",IF($Z344=Constants!$B$7,LARGE(AB344:AC344,2)*S344,""))</f>
        <v/>
      </c>
      <c r="AJ344" s="65" t="str">
        <f aca="false">IF(ISBLANK($C344),"",IF($Z344=Constants!$B$7,RANK(AI344,$AI$8:$AI$507),$Z344))</f>
        <v/>
      </c>
      <c r="AK344" s="65" t="str">
        <f aca="false">IF(ISBLANK($C344),"",IF($Z344=Constants!$B$7,IF(ISNUMBER(AG344),COUNTIFS($AA$8:$AA$507,"&lt;"&amp;$AA344)+COUNTIFS($AA$8:$AA$507,$AA344,$AG$8:$AG$507,"&lt;"&amp;$AG344)+COUNTIFS($AA$8:$AA$507,$AA344,$AG$8:$AG$507,$AG344,$AJ$8:$AJ$507,"&lt;"&amp;$AJ344)+1,Constants!$B$14),$Z344))</f>
        <v/>
      </c>
      <c r="AL344" s="65" t="str">
        <f aca="false">IF(ISBLANK($C344),"",IF($Z344=Constants!$B$7,IF(ISNUMBER(AH344),AH344-AK344,Constants!$B$14),$Z344))</f>
        <v/>
      </c>
      <c r="AM344" s="67"/>
      <c r="AN344" s="68" t="str">
        <f aca="false">IF(ISBLANK($C344),"",IF($Z344&lt;&gt;Constants!$B$7,$Z344,AD344))</f>
        <v/>
      </c>
      <c r="AO344" s="69" t="str">
        <f aca="false">IF(ISBLANK($C344),"",IF($Z344&lt;&gt;Constants!$B$7,$Z344,S344))</f>
        <v/>
      </c>
      <c r="AP344" s="70" t="str">
        <f aca="false">IF(ISBLANK($C344),"",IF($Z344&lt;&gt;Constants!$B$7,$Z344,AF344))</f>
        <v/>
      </c>
      <c r="AQ344" s="71" t="str">
        <f aca="false">IF(ISBLANK($C344),"",IF($Z344&lt;&gt;Constants!$B$7,$Z344,AA344))</f>
        <v/>
      </c>
      <c r="AR344" s="69" t="str">
        <f aca="false">IF(ISBLANK($C344),"",AL344)</f>
        <v/>
      </c>
      <c r="AS344" s="69" t="str">
        <f aca="false">IF(ISBLANK($C344),"",AK344)</f>
        <v/>
      </c>
      <c r="AT344" s="72" t="str">
        <f aca="false">IF(ISBLANK($C344),"",IF(AS344=Constants!$B$4,COUNTA($C$8:$C$507)+2,IF(AS344=Constants!$B$5,COUNTA($C$8:$C$507)+1,IF(AS344=Constants!$B$6,COUNTA($C$8:$C$507),AS344))))</f>
        <v/>
      </c>
      <c r="AU344" s="5"/>
      <c r="AV344" s="73" t="n">
        <f aca="false">IF(OR(ISNUMBER(AS344),AS344=Constants!$B$4,AS344=Constants!$B$6,AS344=Constants!$B$5),1,0)</f>
        <v>0</v>
      </c>
      <c r="AW344" s="73" t="n">
        <v>337</v>
      </c>
      <c r="AX344" s="73" t="str">
        <f aca="false">IF(ISBLANK($C344),"",IF(ISNUMBER(AT344),AT344+ROW($B344)/1000,""))</f>
        <v/>
      </c>
      <c r="AY344" s="73" t="str">
        <f aca="false">IF(ISNUMBER(AX344),RANK(AX344,$AX$8:$AX$507,1),"")</f>
        <v/>
      </c>
      <c r="AZ344" s="73" t="str">
        <f aca="false">IF(ISBLANK($C344),"",$B344)</f>
        <v/>
      </c>
      <c r="BA344" s="73" t="str">
        <f aca="false">IF(ISBLANK($C344),"",$C344)</f>
        <v/>
      </c>
      <c r="BB344" s="73" t="str">
        <f aca="false">IF(ISBLANK($C344),"",$D344)</f>
        <v/>
      </c>
      <c r="BC344" s="74" t="str">
        <f aca="false">AQ344</f>
        <v/>
      </c>
      <c r="BD344" s="75" t="str">
        <f aca="false">AP344</f>
        <v/>
      </c>
      <c r="BE344" s="73" t="str">
        <f aca="false">IF(ISBLANK($C344),"",AS344)</f>
        <v/>
      </c>
      <c r="BF344" s="76" t="str">
        <f aca="false">IF($AW344&gt;$AV$7,"",VLOOKUP($AW344,$AY$8:$BE$507,7,FALSE()))</f>
        <v/>
      </c>
      <c r="BG344" s="77" t="str">
        <f aca="false">IF($AW344&gt;$AV$7,"",VLOOKUP($AW344,$AY$8:$BE$507,2,FALSE()))</f>
        <v/>
      </c>
      <c r="BH344" s="77" t="str">
        <f aca="false">IF($AW344&gt;$AV$7,"",VLOOKUP($AW344,$AY$8:$BE$507,3,FALSE()))</f>
        <v/>
      </c>
      <c r="BI344" s="77" t="str">
        <f aca="false">IF($AW344&gt;$AV$7,"",VLOOKUP($AW344,$AY$8:$BE$507,4,FALSE()))</f>
        <v/>
      </c>
      <c r="BJ344" s="77" t="str">
        <f aca="false">IF($AW344&gt;$AV$7,"",VLOOKUP($AW344,$AY$8:$BE$507,5,FALSE()))</f>
        <v/>
      </c>
      <c r="BK344" s="78" t="str">
        <f aca="false">IF($AW344&gt;$AV$7,"",VLOOKUP($AW344,$AY$8:$BE$507,6,FALSE()))</f>
        <v/>
      </c>
      <c r="BL344" s="50"/>
    </row>
    <row r="345" customFormat="false" ht="15.75" hidden="false" customHeight="false" outlineLevel="0" collapsed="false">
      <c r="A345" s="5"/>
      <c r="B345" s="131"/>
      <c r="C345" s="52"/>
      <c r="D345" s="53"/>
      <c r="E345" s="80"/>
      <c r="F345" s="132"/>
      <c r="G345" s="56"/>
      <c r="H345" s="133"/>
      <c r="I345" s="134"/>
      <c r="J345" s="59"/>
      <c r="K345" s="60"/>
      <c r="L345" s="134"/>
      <c r="M345" s="61"/>
      <c r="N345" s="62"/>
      <c r="O345" s="80"/>
      <c r="P345" s="64"/>
      <c r="Q345" s="65" t="str">
        <f aca="false">IF(ISBLANK($C345),"",IF(E345=Constants!$B$2, TRUE(), IF(E345=Constants!$B$3, FALSE(), TRUE())))</f>
        <v/>
      </c>
      <c r="R345" s="65" t="str">
        <f aca="false">IF(ISBLANK($C345),"",IF(F345=Constants!$B$2, TRUE(), IF(F345=Constants!$B$3, FALSE(), TRUE())))</f>
        <v/>
      </c>
      <c r="S345" s="65" t="str">
        <f aca="false">IF(ISBLANK($C345),"",IF(G345=Constants!$B$15,Constants!$B$8,IF(G345=Constants!$B$16,Constants!$B$9,Constants!$B$10)))</f>
        <v/>
      </c>
      <c r="T345" s="65" t="str">
        <f aca="false">IF(ISBLANK($C345),"",IF(H345=Constants!$B$2, TRUE(), IF(H345=Constants!$B$3, FALSE(), TRUE())))</f>
        <v/>
      </c>
      <c r="U345" s="65" t="str">
        <f aca="false">IF(ISBLANK($C345),"",IF(I345=Constants!$B$19,Constants!$B$19,Constants!$B$18))</f>
        <v/>
      </c>
      <c r="V345" s="65" t="str">
        <f aca="false">IF(ISBLANK($C345),"",IF(COUNTA(J345:K345)=0,"",IF(AND(OR(ISBLANK(J345),AND(ISNUMBER(J345),J345&gt;=0)),OR(ISBLANK(K345),AND(ISNUMBER(K345),K345&gt;=0))),60*IF(ISBLANK(J345),0,J345)+IF(ISBLANK(K345),0,K345),"")))</f>
        <v/>
      </c>
      <c r="W345" s="65" t="str">
        <f aca="false">IF(ISBLANK($C345),"",IF(L345=Constants!$B$19,Constants!$B$19,Constants!$B$18))</f>
        <v/>
      </c>
      <c r="X345" s="65" t="str">
        <f aca="false">IF(ISBLANK($C345),"",IF(COUNTA(M345:N345)=0,"",IF(AND(OR(ISBLANK(M345),AND(ISNUMBER(M345),M345&gt;=0)),OR(ISBLANK(N345),AND(ISNUMBER(N345),N345&gt;=0))),60*IF(ISBLANK(M345),0,M345)+IF(ISBLANK(N345),0,N345),"")))</f>
        <v/>
      </c>
      <c r="Y345" s="65" t="str">
        <f aca="false">IF(ISBLANK($C345),"",IF(O345=Constants!$B$2, TRUE(), IF(O345=Constants!$B$3, FALSE(), FALSE())))</f>
        <v/>
      </c>
      <c r="Z345" s="65" t="str">
        <f aca="false">IF(ISBLANK($C345),"",IF(Y345,Constants!$B$4,IF(COUNTA(E345:N345)=0,Constants!$B$5,IF(COUNTA(J345:K345,M345:N345)=0,Constants!$B$6,Constants!$B$7))))</f>
        <v/>
      </c>
      <c r="AA345" s="65" t="str">
        <f aca="false">IF(ISBLANK($C345),"",IF($Z345&lt;&gt;Constants!$B$7,$Z345,IF(OR(NOT(T345),AND(NOT(Q345),COUNTIFS(U345:W345,Constants!$B$18,V345:X345,"&gt;=0")&gt;0),AND(NOT(R345),COUNTIFS(U345:W345,Constants!$B$19,V345:X345,"&gt;=0")&gt;0)),Constants!$B$12,Constants!$B$11)))</f>
        <v/>
      </c>
      <c r="AB345" s="65" t="str">
        <f aca="false">IF($Z345=Constants!$B$7,IF(V345="",Constants!$B$13,V345),"")</f>
        <v/>
      </c>
      <c r="AC345" s="65" t="str">
        <f aca="false">IF($Z345=Constants!$B$7,IF(X345="",Constants!$B$13,X345),"")</f>
        <v/>
      </c>
      <c r="AD345" s="65" t="str">
        <f aca="false">IF($Z345=Constants!$B$7,IF($AB345&gt;=$AC345,1,2),"")</f>
        <v/>
      </c>
      <c r="AE345" s="65" t="str">
        <f aca="false">IF($Z345=Constants!$B$7,LARGE(AB345:AC345,1),"")</f>
        <v/>
      </c>
      <c r="AF345" s="65" t="str">
        <f aca="false">IF(ISBLANK($C345),"",IF($Z345&lt;&gt;Constants!$B$7,$Z345,AE345*S345))</f>
        <v/>
      </c>
      <c r="AG345" s="65" t="str">
        <f aca="false">IF(ISBLANK($C345),"",IF($Z345=Constants!$B$7,IF(ISNUMBER(AF345),RANK(AF345,$AF$8:$AF$507),Constants!$B$14),$Z345))</f>
        <v/>
      </c>
      <c r="AH345" s="65" t="str">
        <f aca="false">IF(ISBLANK($C345),"",IF($Z345=Constants!$B$7,IF(ISNUMBER(AG345),COUNTIFS($AA$8:$AA$507,"&lt;"&amp;$AA345)+COUNTIFS($AA$8:$AA$507,$AA345,$AG$8:$AG$507,"&lt;"&amp;$AG345)+1,Constants!$B$14),$Z345))</f>
        <v/>
      </c>
      <c r="AI345" s="65" t="str">
        <f aca="false">IF(ISBLANK($C345),"",IF($Z345=Constants!$B$7,LARGE(AB345:AC345,2)*S345,""))</f>
        <v/>
      </c>
      <c r="AJ345" s="65" t="str">
        <f aca="false">IF(ISBLANK($C345),"",IF($Z345=Constants!$B$7,RANK(AI345,$AI$8:$AI$507),$Z345))</f>
        <v/>
      </c>
      <c r="AK345" s="65" t="str">
        <f aca="false">IF(ISBLANK($C345),"",IF($Z345=Constants!$B$7,IF(ISNUMBER(AG345),COUNTIFS($AA$8:$AA$507,"&lt;"&amp;$AA345)+COUNTIFS($AA$8:$AA$507,$AA345,$AG$8:$AG$507,"&lt;"&amp;$AG345)+COUNTIFS($AA$8:$AA$507,$AA345,$AG$8:$AG$507,$AG345,$AJ$8:$AJ$507,"&lt;"&amp;$AJ345)+1,Constants!$B$14),$Z345))</f>
        <v/>
      </c>
      <c r="AL345" s="65" t="str">
        <f aca="false">IF(ISBLANK($C345),"",IF($Z345=Constants!$B$7,IF(ISNUMBER(AH345),AH345-AK345,Constants!$B$14),$Z345))</f>
        <v/>
      </c>
      <c r="AM345" s="67"/>
      <c r="AN345" s="68" t="str">
        <f aca="false">IF(ISBLANK($C345),"",IF($Z345&lt;&gt;Constants!$B$7,$Z345,AD345))</f>
        <v/>
      </c>
      <c r="AO345" s="69" t="str">
        <f aca="false">IF(ISBLANK($C345),"",IF($Z345&lt;&gt;Constants!$B$7,$Z345,S345))</f>
        <v/>
      </c>
      <c r="AP345" s="70" t="str">
        <f aca="false">IF(ISBLANK($C345),"",IF($Z345&lt;&gt;Constants!$B$7,$Z345,AF345))</f>
        <v/>
      </c>
      <c r="AQ345" s="71" t="str">
        <f aca="false">IF(ISBLANK($C345),"",IF($Z345&lt;&gt;Constants!$B$7,$Z345,AA345))</f>
        <v/>
      </c>
      <c r="AR345" s="69" t="str">
        <f aca="false">IF(ISBLANK($C345),"",AL345)</f>
        <v/>
      </c>
      <c r="AS345" s="69" t="str">
        <f aca="false">IF(ISBLANK($C345),"",AK345)</f>
        <v/>
      </c>
      <c r="AT345" s="72" t="str">
        <f aca="false">IF(ISBLANK($C345),"",IF(AS345=Constants!$B$4,COUNTA($C$8:$C$507)+2,IF(AS345=Constants!$B$5,COUNTA($C$8:$C$507)+1,IF(AS345=Constants!$B$6,COUNTA($C$8:$C$507),AS345))))</f>
        <v/>
      </c>
      <c r="AU345" s="5"/>
      <c r="AV345" s="73" t="n">
        <f aca="false">IF(OR(ISNUMBER(AS345),AS345=Constants!$B$4,AS345=Constants!$B$6,AS345=Constants!$B$5),1,0)</f>
        <v>0</v>
      </c>
      <c r="AW345" s="73" t="n">
        <v>338</v>
      </c>
      <c r="AX345" s="73" t="str">
        <f aca="false">IF(ISBLANK($C345),"",IF(ISNUMBER(AT345),AT345+ROW($B345)/1000,""))</f>
        <v/>
      </c>
      <c r="AY345" s="73" t="str">
        <f aca="false">IF(ISNUMBER(AX345),RANK(AX345,$AX$8:$AX$507,1),"")</f>
        <v/>
      </c>
      <c r="AZ345" s="73" t="str">
        <f aca="false">IF(ISBLANK($C345),"",$B345)</f>
        <v/>
      </c>
      <c r="BA345" s="73" t="str">
        <f aca="false">IF(ISBLANK($C345),"",$C345)</f>
        <v/>
      </c>
      <c r="BB345" s="73" t="str">
        <f aca="false">IF(ISBLANK($C345),"",$D345)</f>
        <v/>
      </c>
      <c r="BC345" s="74" t="str">
        <f aca="false">AQ345</f>
        <v/>
      </c>
      <c r="BD345" s="75" t="str">
        <f aca="false">AP345</f>
        <v/>
      </c>
      <c r="BE345" s="73" t="str">
        <f aca="false">IF(ISBLANK($C345),"",AS345)</f>
        <v/>
      </c>
      <c r="BF345" s="76" t="str">
        <f aca="false">IF($AW345&gt;$AV$7,"",VLOOKUP($AW345,$AY$8:$BE$507,7,FALSE()))</f>
        <v/>
      </c>
      <c r="BG345" s="77" t="str">
        <f aca="false">IF($AW345&gt;$AV$7,"",VLOOKUP($AW345,$AY$8:$BE$507,2,FALSE()))</f>
        <v/>
      </c>
      <c r="BH345" s="77" t="str">
        <f aca="false">IF($AW345&gt;$AV$7,"",VLOOKUP($AW345,$AY$8:$BE$507,3,FALSE()))</f>
        <v/>
      </c>
      <c r="BI345" s="77" t="str">
        <f aca="false">IF($AW345&gt;$AV$7,"",VLOOKUP($AW345,$AY$8:$BE$507,4,FALSE()))</f>
        <v/>
      </c>
      <c r="BJ345" s="77" t="str">
        <f aca="false">IF($AW345&gt;$AV$7,"",VLOOKUP($AW345,$AY$8:$BE$507,5,FALSE()))</f>
        <v/>
      </c>
      <c r="BK345" s="78" t="str">
        <f aca="false">IF($AW345&gt;$AV$7,"",VLOOKUP($AW345,$AY$8:$BE$507,6,FALSE()))</f>
        <v/>
      </c>
      <c r="BL345" s="50"/>
    </row>
    <row r="346" customFormat="false" ht="15.75" hidden="false" customHeight="false" outlineLevel="0" collapsed="false">
      <c r="A346" s="5"/>
      <c r="B346" s="131"/>
      <c r="C346" s="52"/>
      <c r="D346" s="53"/>
      <c r="E346" s="80"/>
      <c r="F346" s="132"/>
      <c r="G346" s="56"/>
      <c r="H346" s="133"/>
      <c r="I346" s="134"/>
      <c r="J346" s="59"/>
      <c r="K346" s="60"/>
      <c r="L346" s="134"/>
      <c r="M346" s="61"/>
      <c r="N346" s="62"/>
      <c r="O346" s="80"/>
      <c r="P346" s="64"/>
      <c r="Q346" s="65" t="str">
        <f aca="false">IF(ISBLANK($C346),"",IF(E346=Constants!$B$2, TRUE(), IF(E346=Constants!$B$3, FALSE(), TRUE())))</f>
        <v/>
      </c>
      <c r="R346" s="65" t="str">
        <f aca="false">IF(ISBLANK($C346),"",IF(F346=Constants!$B$2, TRUE(), IF(F346=Constants!$B$3, FALSE(), TRUE())))</f>
        <v/>
      </c>
      <c r="S346" s="65" t="str">
        <f aca="false">IF(ISBLANK($C346),"",IF(G346=Constants!$B$15,Constants!$B$8,IF(G346=Constants!$B$16,Constants!$B$9,Constants!$B$10)))</f>
        <v/>
      </c>
      <c r="T346" s="65" t="str">
        <f aca="false">IF(ISBLANK($C346),"",IF(H346=Constants!$B$2, TRUE(), IF(H346=Constants!$B$3, FALSE(), TRUE())))</f>
        <v/>
      </c>
      <c r="U346" s="65" t="str">
        <f aca="false">IF(ISBLANK($C346),"",IF(I346=Constants!$B$19,Constants!$B$19,Constants!$B$18))</f>
        <v/>
      </c>
      <c r="V346" s="65" t="str">
        <f aca="false">IF(ISBLANK($C346),"",IF(COUNTA(J346:K346)=0,"",IF(AND(OR(ISBLANK(J346),AND(ISNUMBER(J346),J346&gt;=0)),OR(ISBLANK(K346),AND(ISNUMBER(K346),K346&gt;=0))),60*IF(ISBLANK(J346),0,J346)+IF(ISBLANK(K346),0,K346),"")))</f>
        <v/>
      </c>
      <c r="W346" s="65" t="str">
        <f aca="false">IF(ISBLANK($C346),"",IF(L346=Constants!$B$19,Constants!$B$19,Constants!$B$18))</f>
        <v/>
      </c>
      <c r="X346" s="65" t="str">
        <f aca="false">IF(ISBLANK($C346),"",IF(COUNTA(M346:N346)=0,"",IF(AND(OR(ISBLANK(M346),AND(ISNUMBER(M346),M346&gt;=0)),OR(ISBLANK(N346),AND(ISNUMBER(N346),N346&gt;=0))),60*IF(ISBLANK(M346),0,M346)+IF(ISBLANK(N346),0,N346),"")))</f>
        <v/>
      </c>
      <c r="Y346" s="65" t="str">
        <f aca="false">IF(ISBLANK($C346),"",IF(O346=Constants!$B$2, TRUE(), IF(O346=Constants!$B$3, FALSE(), FALSE())))</f>
        <v/>
      </c>
      <c r="Z346" s="65" t="str">
        <f aca="false">IF(ISBLANK($C346),"",IF(Y346,Constants!$B$4,IF(COUNTA(E346:N346)=0,Constants!$B$5,IF(COUNTA(J346:K346,M346:N346)=0,Constants!$B$6,Constants!$B$7))))</f>
        <v/>
      </c>
      <c r="AA346" s="65" t="str">
        <f aca="false">IF(ISBLANK($C346),"",IF($Z346&lt;&gt;Constants!$B$7,$Z346,IF(OR(NOT(T346),AND(NOT(Q346),COUNTIFS(U346:W346,Constants!$B$18,V346:X346,"&gt;=0")&gt;0),AND(NOT(R346),COUNTIFS(U346:W346,Constants!$B$19,V346:X346,"&gt;=0")&gt;0)),Constants!$B$12,Constants!$B$11)))</f>
        <v/>
      </c>
      <c r="AB346" s="65" t="str">
        <f aca="false">IF($Z346=Constants!$B$7,IF(V346="",Constants!$B$13,V346),"")</f>
        <v/>
      </c>
      <c r="AC346" s="65" t="str">
        <f aca="false">IF($Z346=Constants!$B$7,IF(X346="",Constants!$B$13,X346),"")</f>
        <v/>
      </c>
      <c r="AD346" s="65" t="str">
        <f aca="false">IF($Z346=Constants!$B$7,IF($AB346&gt;=$AC346,1,2),"")</f>
        <v/>
      </c>
      <c r="AE346" s="65" t="str">
        <f aca="false">IF($Z346=Constants!$B$7,LARGE(AB346:AC346,1),"")</f>
        <v/>
      </c>
      <c r="AF346" s="65" t="str">
        <f aca="false">IF(ISBLANK($C346),"",IF($Z346&lt;&gt;Constants!$B$7,$Z346,AE346*S346))</f>
        <v/>
      </c>
      <c r="AG346" s="65" t="str">
        <f aca="false">IF(ISBLANK($C346),"",IF($Z346=Constants!$B$7,IF(ISNUMBER(AF346),RANK(AF346,$AF$8:$AF$507),Constants!$B$14),$Z346))</f>
        <v/>
      </c>
      <c r="AH346" s="65" t="str">
        <f aca="false">IF(ISBLANK($C346),"",IF($Z346=Constants!$B$7,IF(ISNUMBER(AG346),COUNTIFS($AA$8:$AA$507,"&lt;"&amp;$AA346)+COUNTIFS($AA$8:$AA$507,$AA346,$AG$8:$AG$507,"&lt;"&amp;$AG346)+1,Constants!$B$14),$Z346))</f>
        <v/>
      </c>
      <c r="AI346" s="65" t="str">
        <f aca="false">IF(ISBLANK($C346),"",IF($Z346=Constants!$B$7,LARGE(AB346:AC346,2)*S346,""))</f>
        <v/>
      </c>
      <c r="AJ346" s="65" t="str">
        <f aca="false">IF(ISBLANK($C346),"",IF($Z346=Constants!$B$7,RANK(AI346,$AI$8:$AI$507),$Z346))</f>
        <v/>
      </c>
      <c r="AK346" s="65" t="str">
        <f aca="false">IF(ISBLANK($C346),"",IF($Z346=Constants!$B$7,IF(ISNUMBER(AG346),COUNTIFS($AA$8:$AA$507,"&lt;"&amp;$AA346)+COUNTIFS($AA$8:$AA$507,$AA346,$AG$8:$AG$507,"&lt;"&amp;$AG346)+COUNTIFS($AA$8:$AA$507,$AA346,$AG$8:$AG$507,$AG346,$AJ$8:$AJ$507,"&lt;"&amp;$AJ346)+1,Constants!$B$14),$Z346))</f>
        <v/>
      </c>
      <c r="AL346" s="65" t="str">
        <f aca="false">IF(ISBLANK($C346),"",IF($Z346=Constants!$B$7,IF(ISNUMBER(AH346),AH346-AK346,Constants!$B$14),$Z346))</f>
        <v/>
      </c>
      <c r="AM346" s="67"/>
      <c r="AN346" s="68" t="str">
        <f aca="false">IF(ISBLANK($C346),"",IF($Z346&lt;&gt;Constants!$B$7,$Z346,AD346))</f>
        <v/>
      </c>
      <c r="AO346" s="69" t="str">
        <f aca="false">IF(ISBLANK($C346),"",IF($Z346&lt;&gt;Constants!$B$7,$Z346,S346))</f>
        <v/>
      </c>
      <c r="AP346" s="70" t="str">
        <f aca="false">IF(ISBLANK($C346),"",IF($Z346&lt;&gt;Constants!$B$7,$Z346,AF346))</f>
        <v/>
      </c>
      <c r="AQ346" s="71" t="str">
        <f aca="false">IF(ISBLANK($C346),"",IF($Z346&lt;&gt;Constants!$B$7,$Z346,AA346))</f>
        <v/>
      </c>
      <c r="AR346" s="69" t="str">
        <f aca="false">IF(ISBLANK($C346),"",AL346)</f>
        <v/>
      </c>
      <c r="AS346" s="69" t="str">
        <f aca="false">IF(ISBLANK($C346),"",AK346)</f>
        <v/>
      </c>
      <c r="AT346" s="72" t="str">
        <f aca="false">IF(ISBLANK($C346),"",IF(AS346=Constants!$B$4,COUNTA($C$8:$C$507)+2,IF(AS346=Constants!$B$5,COUNTA($C$8:$C$507)+1,IF(AS346=Constants!$B$6,COUNTA($C$8:$C$507),AS346))))</f>
        <v/>
      </c>
      <c r="AU346" s="5"/>
      <c r="AV346" s="73" t="n">
        <f aca="false">IF(OR(ISNUMBER(AS346),AS346=Constants!$B$4,AS346=Constants!$B$6,AS346=Constants!$B$5),1,0)</f>
        <v>0</v>
      </c>
      <c r="AW346" s="73" t="n">
        <v>339</v>
      </c>
      <c r="AX346" s="73" t="str">
        <f aca="false">IF(ISBLANK($C346),"",IF(ISNUMBER(AT346),AT346+ROW($B346)/1000,""))</f>
        <v/>
      </c>
      <c r="AY346" s="73" t="str">
        <f aca="false">IF(ISNUMBER(AX346),RANK(AX346,$AX$8:$AX$507,1),"")</f>
        <v/>
      </c>
      <c r="AZ346" s="73" t="str">
        <f aca="false">IF(ISBLANK($C346),"",$B346)</f>
        <v/>
      </c>
      <c r="BA346" s="73" t="str">
        <f aca="false">IF(ISBLANK($C346),"",$C346)</f>
        <v/>
      </c>
      <c r="BB346" s="73" t="str">
        <f aca="false">IF(ISBLANK($C346),"",$D346)</f>
        <v/>
      </c>
      <c r="BC346" s="74" t="str">
        <f aca="false">AQ346</f>
        <v/>
      </c>
      <c r="BD346" s="75" t="str">
        <f aca="false">AP346</f>
        <v/>
      </c>
      <c r="BE346" s="73" t="str">
        <f aca="false">IF(ISBLANK($C346),"",AS346)</f>
        <v/>
      </c>
      <c r="BF346" s="76" t="str">
        <f aca="false">IF($AW346&gt;$AV$7,"",VLOOKUP($AW346,$AY$8:$BE$507,7,FALSE()))</f>
        <v/>
      </c>
      <c r="BG346" s="77" t="str">
        <f aca="false">IF($AW346&gt;$AV$7,"",VLOOKUP($AW346,$AY$8:$BE$507,2,FALSE()))</f>
        <v/>
      </c>
      <c r="BH346" s="77" t="str">
        <f aca="false">IF($AW346&gt;$AV$7,"",VLOOKUP($AW346,$AY$8:$BE$507,3,FALSE()))</f>
        <v/>
      </c>
      <c r="BI346" s="77" t="str">
        <f aca="false">IF($AW346&gt;$AV$7,"",VLOOKUP($AW346,$AY$8:$BE$507,4,FALSE()))</f>
        <v/>
      </c>
      <c r="BJ346" s="77" t="str">
        <f aca="false">IF($AW346&gt;$AV$7,"",VLOOKUP($AW346,$AY$8:$BE$507,5,FALSE()))</f>
        <v/>
      </c>
      <c r="BK346" s="78" t="str">
        <f aca="false">IF($AW346&gt;$AV$7,"",VLOOKUP($AW346,$AY$8:$BE$507,6,FALSE()))</f>
        <v/>
      </c>
      <c r="BL346" s="50"/>
    </row>
    <row r="347" customFormat="false" ht="15.75" hidden="false" customHeight="false" outlineLevel="0" collapsed="false">
      <c r="A347" s="5"/>
      <c r="B347" s="124"/>
      <c r="C347" s="125"/>
      <c r="D347" s="110"/>
      <c r="E347" s="130"/>
      <c r="F347" s="135"/>
      <c r="G347" s="88"/>
      <c r="H347" s="136"/>
      <c r="I347" s="137"/>
      <c r="J347" s="91"/>
      <c r="K347" s="92"/>
      <c r="L347" s="137"/>
      <c r="M347" s="93"/>
      <c r="N347" s="94"/>
      <c r="O347" s="130"/>
      <c r="P347" s="96"/>
      <c r="Q347" s="97" t="str">
        <f aca="false">IF(ISBLANK($C347),"",IF(E347=Constants!$B$2, TRUE(), IF(E347=Constants!$B$3, FALSE(), TRUE())))</f>
        <v/>
      </c>
      <c r="R347" s="97" t="str">
        <f aca="false">IF(ISBLANK($C347),"",IF(F347=Constants!$B$2, TRUE(), IF(F347=Constants!$B$3, FALSE(), TRUE())))</f>
        <v/>
      </c>
      <c r="S347" s="97" t="str">
        <f aca="false">IF(ISBLANK($C347),"",IF(G347=Constants!$B$15,Constants!$B$8,IF(G347=Constants!$B$16,Constants!$B$9,Constants!$B$10)))</f>
        <v/>
      </c>
      <c r="T347" s="97" t="str">
        <f aca="false">IF(ISBLANK($C347),"",IF(H347=Constants!$B$2, TRUE(), IF(H347=Constants!$B$3, FALSE(), TRUE())))</f>
        <v/>
      </c>
      <c r="U347" s="97" t="str">
        <f aca="false">IF(ISBLANK($C347),"",IF(I347=Constants!$B$19,Constants!$B$19,Constants!$B$18))</f>
        <v/>
      </c>
      <c r="V347" s="97" t="str">
        <f aca="false">IF(ISBLANK($C347),"",IF(COUNTA(J347:K347)=0,"",IF(AND(OR(ISBLANK(J347),AND(ISNUMBER(J347),J347&gt;=0)),OR(ISBLANK(K347),AND(ISNUMBER(K347),K347&gt;=0))),60*IF(ISBLANK(J347),0,J347)+IF(ISBLANK(K347),0,K347),"")))</f>
        <v/>
      </c>
      <c r="W347" s="97" t="str">
        <f aca="false">IF(ISBLANK($C347),"",IF(L347=Constants!$B$19,Constants!$B$19,Constants!$B$18))</f>
        <v/>
      </c>
      <c r="X347" s="97" t="str">
        <f aca="false">IF(ISBLANK($C347),"",IF(COUNTA(M347:N347)=0,"",IF(AND(OR(ISBLANK(M347),AND(ISNUMBER(M347),M347&gt;=0)),OR(ISBLANK(N347),AND(ISNUMBER(N347),N347&gt;=0))),60*IF(ISBLANK(M347),0,M347)+IF(ISBLANK(N347),0,N347),"")))</f>
        <v/>
      </c>
      <c r="Y347" s="97" t="str">
        <f aca="false">IF(ISBLANK($C347),"",IF(O347=Constants!$B$2, TRUE(), IF(O347=Constants!$B$3, FALSE(), FALSE())))</f>
        <v/>
      </c>
      <c r="Z347" s="97" t="str">
        <f aca="false">IF(ISBLANK($C347),"",IF(Y347,Constants!$B$4,IF(COUNTA(E347:N347)=0,Constants!$B$5,IF(COUNTA(J347:K347,M347:N347)=0,Constants!$B$6,Constants!$B$7))))</f>
        <v/>
      </c>
      <c r="AA347" s="97" t="str">
        <f aca="false">IF(ISBLANK($C347),"",IF($Z347&lt;&gt;Constants!$B$7,$Z347,IF(OR(NOT(T347),AND(NOT(Q347),COUNTIFS(U347:W347,Constants!$B$18,V347:X347,"&gt;=0")&gt;0),AND(NOT(R347),COUNTIFS(U347:W347,Constants!$B$19,V347:X347,"&gt;=0")&gt;0)),Constants!$B$12,Constants!$B$11)))</f>
        <v/>
      </c>
      <c r="AB347" s="97" t="str">
        <f aca="false">IF($Z347=Constants!$B$7,IF(V347="",Constants!$B$13,V347),"")</f>
        <v/>
      </c>
      <c r="AC347" s="97" t="str">
        <f aca="false">IF($Z347=Constants!$B$7,IF(X347="",Constants!$B$13,X347),"")</f>
        <v/>
      </c>
      <c r="AD347" s="97" t="str">
        <f aca="false">IF($Z347=Constants!$B$7,IF($AB347&gt;=$AC347,1,2),"")</f>
        <v/>
      </c>
      <c r="AE347" s="97" t="str">
        <f aca="false">IF($Z347=Constants!$B$7,LARGE(AB347:AC347,1),"")</f>
        <v/>
      </c>
      <c r="AF347" s="97" t="str">
        <f aca="false">IF(ISBLANK($C347),"",IF($Z347&lt;&gt;Constants!$B$7,$Z347,AE347*S347))</f>
        <v/>
      </c>
      <c r="AG347" s="97" t="str">
        <f aca="false">IF(ISBLANK($C347),"",IF($Z347=Constants!$B$7,IF(ISNUMBER(AF347),RANK(AF347,$AF$8:$AF$507),Constants!$B$14),$Z347))</f>
        <v/>
      </c>
      <c r="AH347" s="97" t="str">
        <f aca="false">IF(ISBLANK($C347),"",IF($Z347=Constants!$B$7,IF(ISNUMBER(AG347),COUNTIFS($AA$8:$AA$507,"&lt;"&amp;$AA347)+COUNTIFS($AA$8:$AA$507,$AA347,$AG$8:$AG$507,"&lt;"&amp;$AG347)+1,Constants!$B$14),$Z347))</f>
        <v/>
      </c>
      <c r="AI347" s="97" t="str">
        <f aca="false">IF(ISBLANK($C347),"",IF($Z347=Constants!$B$7,LARGE(AB347:AC347,2)*S347,""))</f>
        <v/>
      </c>
      <c r="AJ347" s="97" t="str">
        <f aca="false">IF(ISBLANK($C347),"",IF($Z347=Constants!$B$7,RANK(AI347,$AI$8:$AI$507),$Z347))</f>
        <v/>
      </c>
      <c r="AK347" s="97" t="str">
        <f aca="false">IF(ISBLANK($C347),"",IF($Z347=Constants!$B$7,IF(ISNUMBER(AG347),COUNTIFS($AA$8:$AA$507,"&lt;"&amp;$AA347)+COUNTIFS($AA$8:$AA$507,$AA347,$AG$8:$AG$507,"&lt;"&amp;$AG347)+COUNTIFS($AA$8:$AA$507,$AA347,$AG$8:$AG$507,$AG347,$AJ$8:$AJ$507,"&lt;"&amp;$AJ347)+1,Constants!$B$14),$Z347))</f>
        <v/>
      </c>
      <c r="AL347" s="97" t="str">
        <f aca="false">IF(ISBLANK($C347),"",IF($Z347=Constants!$B$7,IF(ISNUMBER(AH347),AH347-AK347,Constants!$B$14),$Z347))</f>
        <v/>
      </c>
      <c r="AM347" s="98"/>
      <c r="AN347" s="99" t="str">
        <f aca="false">IF(ISBLANK($C347),"",IF($Z347&lt;&gt;Constants!$B$7,$Z347,AD347))</f>
        <v/>
      </c>
      <c r="AO347" s="100" t="str">
        <f aca="false">IF(ISBLANK($C347),"",IF($Z347&lt;&gt;Constants!$B$7,$Z347,S347))</f>
        <v/>
      </c>
      <c r="AP347" s="101" t="str">
        <f aca="false">IF(ISBLANK($C347),"",IF($Z347&lt;&gt;Constants!$B$7,$Z347,AF347))</f>
        <v/>
      </c>
      <c r="AQ347" s="102" t="str">
        <f aca="false">IF(ISBLANK($C347),"",IF($Z347&lt;&gt;Constants!$B$7,$Z347,AA347))</f>
        <v/>
      </c>
      <c r="AR347" s="100" t="str">
        <f aca="false">IF(ISBLANK($C347),"",AL347)</f>
        <v/>
      </c>
      <c r="AS347" s="100" t="str">
        <f aca="false">IF(ISBLANK($C347),"",AK347)</f>
        <v/>
      </c>
      <c r="AT347" s="103" t="str">
        <f aca="false">IF(ISBLANK($C347),"",IF(AS347=Constants!$B$4,COUNTA($C$8:$C$507)+2,IF(AS347=Constants!$B$5,COUNTA($C$8:$C$507)+1,IF(AS347=Constants!$B$6,COUNTA($C$8:$C$507),AS347))))</f>
        <v/>
      </c>
      <c r="AU347" s="5"/>
      <c r="AV347" s="104" t="n">
        <f aca="false">IF(OR(ISNUMBER(AS347),AS347=Constants!$B$4,AS347=Constants!$B$6,AS347=Constants!$B$5),1,0)</f>
        <v>0</v>
      </c>
      <c r="AW347" s="104" t="n">
        <v>340</v>
      </c>
      <c r="AX347" s="104" t="str">
        <f aca="false">IF(ISBLANK($C347),"",IF(ISNUMBER(AT347),AT347+ROW($B347)/1000,""))</f>
        <v/>
      </c>
      <c r="AY347" s="104" t="str">
        <f aca="false">IF(ISNUMBER(AX347),RANK(AX347,$AX$8:$AX$507,1),"")</f>
        <v/>
      </c>
      <c r="AZ347" s="104" t="str">
        <f aca="false">IF(ISBLANK($C347),"",$B347)</f>
        <v/>
      </c>
      <c r="BA347" s="104" t="str">
        <f aca="false">IF(ISBLANK($C347),"",$C347)</f>
        <v/>
      </c>
      <c r="BB347" s="104" t="str">
        <f aca="false">IF(ISBLANK($C347),"",$D347)</f>
        <v/>
      </c>
      <c r="BC347" s="105" t="str">
        <f aca="false">AQ347</f>
        <v/>
      </c>
      <c r="BD347" s="106" t="str">
        <f aca="false">AP347</f>
        <v/>
      </c>
      <c r="BE347" s="104" t="str">
        <f aca="false">IF(ISBLANK($C347),"",AS347)</f>
        <v/>
      </c>
      <c r="BF347" s="107" t="str">
        <f aca="false">IF($AW347&gt;$AV$7,"",VLOOKUP($AW347,$AY$8:$BE$507,7,FALSE()))</f>
        <v/>
      </c>
      <c r="BG347" s="108" t="str">
        <f aca="false">IF($AW347&gt;$AV$7,"",VLOOKUP($AW347,$AY$8:$BE$507,2,FALSE()))</f>
        <v/>
      </c>
      <c r="BH347" s="108" t="str">
        <f aca="false">IF($AW347&gt;$AV$7,"",VLOOKUP($AW347,$AY$8:$BE$507,3,FALSE()))</f>
        <v/>
      </c>
      <c r="BI347" s="108" t="str">
        <f aca="false">IF($AW347&gt;$AV$7,"",VLOOKUP($AW347,$AY$8:$BE$507,4,FALSE()))</f>
        <v/>
      </c>
      <c r="BJ347" s="108" t="str">
        <f aca="false">IF($AW347&gt;$AV$7,"",VLOOKUP($AW347,$AY$8:$BE$507,5,FALSE()))</f>
        <v/>
      </c>
      <c r="BK347" s="109" t="str">
        <f aca="false">IF($AW347&gt;$AV$7,"",VLOOKUP($AW347,$AY$8:$BE$507,6,FALSE()))</f>
        <v/>
      </c>
      <c r="BL347" s="50"/>
    </row>
    <row r="348" customFormat="false" ht="15.75" hidden="false" customHeight="false" outlineLevel="0" collapsed="false">
      <c r="A348" s="5"/>
      <c r="B348" s="124"/>
      <c r="C348" s="125"/>
      <c r="D348" s="110"/>
      <c r="E348" s="130"/>
      <c r="F348" s="135"/>
      <c r="G348" s="88"/>
      <c r="H348" s="136"/>
      <c r="I348" s="137"/>
      <c r="J348" s="91"/>
      <c r="K348" s="92"/>
      <c r="L348" s="137"/>
      <c r="M348" s="93"/>
      <c r="N348" s="94"/>
      <c r="O348" s="130"/>
      <c r="P348" s="96"/>
      <c r="Q348" s="97" t="str">
        <f aca="false">IF(ISBLANK($C348),"",IF(E348=Constants!$B$2, TRUE(), IF(E348=Constants!$B$3, FALSE(), TRUE())))</f>
        <v/>
      </c>
      <c r="R348" s="97" t="str">
        <f aca="false">IF(ISBLANK($C348),"",IF(F348=Constants!$B$2, TRUE(), IF(F348=Constants!$B$3, FALSE(), TRUE())))</f>
        <v/>
      </c>
      <c r="S348" s="97" t="str">
        <f aca="false">IF(ISBLANK($C348),"",IF(G348=Constants!$B$15,Constants!$B$8,IF(G348=Constants!$B$16,Constants!$B$9,Constants!$B$10)))</f>
        <v/>
      </c>
      <c r="T348" s="97" t="str">
        <f aca="false">IF(ISBLANK($C348),"",IF(H348=Constants!$B$2, TRUE(), IF(H348=Constants!$B$3, FALSE(), TRUE())))</f>
        <v/>
      </c>
      <c r="U348" s="97" t="str">
        <f aca="false">IF(ISBLANK($C348),"",IF(I348=Constants!$B$19,Constants!$B$19,Constants!$B$18))</f>
        <v/>
      </c>
      <c r="V348" s="97" t="str">
        <f aca="false">IF(ISBLANK($C348),"",IF(COUNTA(J348:K348)=0,"",IF(AND(OR(ISBLANK(J348),AND(ISNUMBER(J348),J348&gt;=0)),OR(ISBLANK(K348),AND(ISNUMBER(K348),K348&gt;=0))),60*IF(ISBLANK(J348),0,J348)+IF(ISBLANK(K348),0,K348),"")))</f>
        <v/>
      </c>
      <c r="W348" s="97" t="str">
        <f aca="false">IF(ISBLANK($C348),"",IF(L348=Constants!$B$19,Constants!$B$19,Constants!$B$18))</f>
        <v/>
      </c>
      <c r="X348" s="97" t="str">
        <f aca="false">IF(ISBLANK($C348),"",IF(COUNTA(M348:N348)=0,"",IF(AND(OR(ISBLANK(M348),AND(ISNUMBER(M348),M348&gt;=0)),OR(ISBLANK(N348),AND(ISNUMBER(N348),N348&gt;=0))),60*IF(ISBLANK(M348),0,M348)+IF(ISBLANK(N348),0,N348),"")))</f>
        <v/>
      </c>
      <c r="Y348" s="97" t="str">
        <f aca="false">IF(ISBLANK($C348),"",IF(O348=Constants!$B$2, TRUE(), IF(O348=Constants!$B$3, FALSE(), FALSE())))</f>
        <v/>
      </c>
      <c r="Z348" s="97" t="str">
        <f aca="false">IF(ISBLANK($C348),"",IF(Y348,Constants!$B$4,IF(COUNTA(E348:N348)=0,Constants!$B$5,IF(COUNTA(J348:K348,M348:N348)=0,Constants!$B$6,Constants!$B$7))))</f>
        <v/>
      </c>
      <c r="AA348" s="97" t="str">
        <f aca="false">IF(ISBLANK($C348),"",IF($Z348&lt;&gt;Constants!$B$7,$Z348,IF(OR(NOT(T348),AND(NOT(Q348),COUNTIFS(U348:W348,Constants!$B$18,V348:X348,"&gt;=0")&gt;0),AND(NOT(R348),COUNTIFS(U348:W348,Constants!$B$19,V348:X348,"&gt;=0")&gt;0)),Constants!$B$12,Constants!$B$11)))</f>
        <v/>
      </c>
      <c r="AB348" s="97" t="str">
        <f aca="false">IF($Z348=Constants!$B$7,IF(V348="",Constants!$B$13,V348),"")</f>
        <v/>
      </c>
      <c r="AC348" s="97" t="str">
        <f aca="false">IF($Z348=Constants!$B$7,IF(X348="",Constants!$B$13,X348),"")</f>
        <v/>
      </c>
      <c r="AD348" s="97" t="str">
        <f aca="false">IF($Z348=Constants!$B$7,IF($AB348&gt;=$AC348,1,2),"")</f>
        <v/>
      </c>
      <c r="AE348" s="97" t="str">
        <f aca="false">IF($Z348=Constants!$B$7,LARGE(AB348:AC348,1),"")</f>
        <v/>
      </c>
      <c r="AF348" s="97" t="str">
        <f aca="false">IF(ISBLANK($C348),"",IF($Z348&lt;&gt;Constants!$B$7,$Z348,AE348*S348))</f>
        <v/>
      </c>
      <c r="AG348" s="97" t="str">
        <f aca="false">IF(ISBLANK($C348),"",IF($Z348=Constants!$B$7,IF(ISNUMBER(AF348),RANK(AF348,$AF$8:$AF$507),Constants!$B$14),$Z348))</f>
        <v/>
      </c>
      <c r="AH348" s="97" t="str">
        <f aca="false">IF(ISBLANK($C348),"",IF($Z348=Constants!$B$7,IF(ISNUMBER(AG348),COUNTIFS($AA$8:$AA$507,"&lt;"&amp;$AA348)+COUNTIFS($AA$8:$AA$507,$AA348,$AG$8:$AG$507,"&lt;"&amp;$AG348)+1,Constants!$B$14),$Z348))</f>
        <v/>
      </c>
      <c r="AI348" s="97" t="str">
        <f aca="false">IF(ISBLANK($C348),"",IF($Z348=Constants!$B$7,LARGE(AB348:AC348,2)*S348,""))</f>
        <v/>
      </c>
      <c r="AJ348" s="97" t="str">
        <f aca="false">IF(ISBLANK($C348),"",IF($Z348=Constants!$B$7,RANK(AI348,$AI$8:$AI$507),$Z348))</f>
        <v/>
      </c>
      <c r="AK348" s="97" t="str">
        <f aca="false">IF(ISBLANK($C348),"",IF($Z348=Constants!$B$7,IF(ISNUMBER(AG348),COUNTIFS($AA$8:$AA$507,"&lt;"&amp;$AA348)+COUNTIFS($AA$8:$AA$507,$AA348,$AG$8:$AG$507,"&lt;"&amp;$AG348)+COUNTIFS($AA$8:$AA$507,$AA348,$AG$8:$AG$507,$AG348,$AJ$8:$AJ$507,"&lt;"&amp;$AJ348)+1,Constants!$B$14),$Z348))</f>
        <v/>
      </c>
      <c r="AL348" s="97" t="str">
        <f aca="false">IF(ISBLANK($C348),"",IF($Z348=Constants!$B$7,IF(ISNUMBER(AH348),AH348-AK348,Constants!$B$14),$Z348))</f>
        <v/>
      </c>
      <c r="AM348" s="98"/>
      <c r="AN348" s="99" t="str">
        <f aca="false">IF(ISBLANK($C348),"",IF($Z348&lt;&gt;Constants!$B$7,$Z348,AD348))</f>
        <v/>
      </c>
      <c r="AO348" s="100" t="str">
        <f aca="false">IF(ISBLANK($C348),"",IF($Z348&lt;&gt;Constants!$B$7,$Z348,S348))</f>
        <v/>
      </c>
      <c r="AP348" s="101" t="str">
        <f aca="false">IF(ISBLANK($C348),"",IF($Z348&lt;&gt;Constants!$B$7,$Z348,AF348))</f>
        <v/>
      </c>
      <c r="AQ348" s="102" t="str">
        <f aca="false">IF(ISBLANK($C348),"",IF($Z348&lt;&gt;Constants!$B$7,$Z348,AA348))</f>
        <v/>
      </c>
      <c r="AR348" s="100" t="str">
        <f aca="false">IF(ISBLANK($C348),"",AL348)</f>
        <v/>
      </c>
      <c r="AS348" s="100" t="str">
        <f aca="false">IF(ISBLANK($C348),"",AK348)</f>
        <v/>
      </c>
      <c r="AT348" s="103" t="str">
        <f aca="false">IF(ISBLANK($C348),"",IF(AS348=Constants!$B$4,COUNTA($C$8:$C$507)+2,IF(AS348=Constants!$B$5,COUNTA($C$8:$C$507)+1,IF(AS348=Constants!$B$6,COUNTA($C$8:$C$507),AS348))))</f>
        <v/>
      </c>
      <c r="AU348" s="5"/>
      <c r="AV348" s="104" t="n">
        <f aca="false">IF(OR(ISNUMBER(AS348),AS348=Constants!$B$4,AS348=Constants!$B$6,AS348=Constants!$B$5),1,0)</f>
        <v>0</v>
      </c>
      <c r="AW348" s="104" t="n">
        <v>341</v>
      </c>
      <c r="AX348" s="104" t="str">
        <f aca="false">IF(ISBLANK($C348),"",IF(ISNUMBER(AT348),AT348+ROW($B348)/1000,""))</f>
        <v/>
      </c>
      <c r="AY348" s="104" t="str">
        <f aca="false">IF(ISNUMBER(AX348),RANK(AX348,$AX$8:$AX$507,1),"")</f>
        <v/>
      </c>
      <c r="AZ348" s="104" t="str">
        <f aca="false">IF(ISBLANK($C348),"",$B348)</f>
        <v/>
      </c>
      <c r="BA348" s="104" t="str">
        <f aca="false">IF(ISBLANK($C348),"",$C348)</f>
        <v/>
      </c>
      <c r="BB348" s="104" t="str">
        <f aca="false">IF(ISBLANK($C348),"",$D348)</f>
        <v/>
      </c>
      <c r="BC348" s="105" t="str">
        <f aca="false">AQ348</f>
        <v/>
      </c>
      <c r="BD348" s="106" t="str">
        <f aca="false">AP348</f>
        <v/>
      </c>
      <c r="BE348" s="104" t="str">
        <f aca="false">IF(ISBLANK($C348),"",AS348)</f>
        <v/>
      </c>
      <c r="BF348" s="107" t="str">
        <f aca="false">IF($AW348&gt;$AV$7,"",VLOOKUP($AW348,$AY$8:$BE$507,7,FALSE()))</f>
        <v/>
      </c>
      <c r="BG348" s="108" t="str">
        <f aca="false">IF($AW348&gt;$AV$7,"",VLOOKUP($AW348,$AY$8:$BE$507,2,FALSE()))</f>
        <v/>
      </c>
      <c r="BH348" s="108" t="str">
        <f aca="false">IF($AW348&gt;$AV$7,"",VLOOKUP($AW348,$AY$8:$BE$507,3,FALSE()))</f>
        <v/>
      </c>
      <c r="BI348" s="108" t="str">
        <f aca="false">IF($AW348&gt;$AV$7,"",VLOOKUP($AW348,$AY$8:$BE$507,4,FALSE()))</f>
        <v/>
      </c>
      <c r="BJ348" s="108" t="str">
        <f aca="false">IF($AW348&gt;$AV$7,"",VLOOKUP($AW348,$AY$8:$BE$507,5,FALSE()))</f>
        <v/>
      </c>
      <c r="BK348" s="109" t="str">
        <f aca="false">IF($AW348&gt;$AV$7,"",VLOOKUP($AW348,$AY$8:$BE$507,6,FALSE()))</f>
        <v/>
      </c>
      <c r="BL348" s="50"/>
    </row>
    <row r="349" customFormat="false" ht="15.75" hidden="false" customHeight="false" outlineLevel="0" collapsed="false">
      <c r="A349" s="5"/>
      <c r="B349" s="124"/>
      <c r="C349" s="125"/>
      <c r="D349" s="110"/>
      <c r="E349" s="130"/>
      <c r="F349" s="135"/>
      <c r="G349" s="88"/>
      <c r="H349" s="136"/>
      <c r="I349" s="137"/>
      <c r="J349" s="91"/>
      <c r="K349" s="92"/>
      <c r="L349" s="137"/>
      <c r="M349" s="93"/>
      <c r="N349" s="94"/>
      <c r="O349" s="130"/>
      <c r="P349" s="96"/>
      <c r="Q349" s="97" t="str">
        <f aca="false">IF(ISBLANK($C349),"",IF(E349=Constants!$B$2, TRUE(), IF(E349=Constants!$B$3, FALSE(), TRUE())))</f>
        <v/>
      </c>
      <c r="R349" s="97" t="str">
        <f aca="false">IF(ISBLANK($C349),"",IF(F349=Constants!$B$2, TRUE(), IF(F349=Constants!$B$3, FALSE(), TRUE())))</f>
        <v/>
      </c>
      <c r="S349" s="97" t="str">
        <f aca="false">IF(ISBLANK($C349),"",IF(G349=Constants!$B$15,Constants!$B$8,IF(G349=Constants!$B$16,Constants!$B$9,Constants!$B$10)))</f>
        <v/>
      </c>
      <c r="T349" s="97" t="str">
        <f aca="false">IF(ISBLANK($C349),"",IF(H349=Constants!$B$2, TRUE(), IF(H349=Constants!$B$3, FALSE(), TRUE())))</f>
        <v/>
      </c>
      <c r="U349" s="97" t="str">
        <f aca="false">IF(ISBLANK($C349),"",IF(I349=Constants!$B$19,Constants!$B$19,Constants!$B$18))</f>
        <v/>
      </c>
      <c r="V349" s="97" t="str">
        <f aca="false">IF(ISBLANK($C349),"",IF(COUNTA(J349:K349)=0,"",IF(AND(OR(ISBLANK(J349),AND(ISNUMBER(J349),J349&gt;=0)),OR(ISBLANK(K349),AND(ISNUMBER(K349),K349&gt;=0))),60*IF(ISBLANK(J349),0,J349)+IF(ISBLANK(K349),0,K349),"")))</f>
        <v/>
      </c>
      <c r="W349" s="97" t="str">
        <f aca="false">IF(ISBLANK($C349),"",IF(L349=Constants!$B$19,Constants!$B$19,Constants!$B$18))</f>
        <v/>
      </c>
      <c r="X349" s="97" t="str">
        <f aca="false">IF(ISBLANK($C349),"",IF(COUNTA(M349:N349)=0,"",IF(AND(OR(ISBLANK(M349),AND(ISNUMBER(M349),M349&gt;=0)),OR(ISBLANK(N349),AND(ISNUMBER(N349),N349&gt;=0))),60*IF(ISBLANK(M349),0,M349)+IF(ISBLANK(N349),0,N349),"")))</f>
        <v/>
      </c>
      <c r="Y349" s="97" t="str">
        <f aca="false">IF(ISBLANK($C349),"",IF(O349=Constants!$B$2, TRUE(), IF(O349=Constants!$B$3, FALSE(), FALSE())))</f>
        <v/>
      </c>
      <c r="Z349" s="97" t="str">
        <f aca="false">IF(ISBLANK($C349),"",IF(Y349,Constants!$B$4,IF(COUNTA(E349:N349)=0,Constants!$B$5,IF(COUNTA(J349:K349,M349:N349)=0,Constants!$B$6,Constants!$B$7))))</f>
        <v/>
      </c>
      <c r="AA349" s="97" t="str">
        <f aca="false">IF(ISBLANK($C349),"",IF($Z349&lt;&gt;Constants!$B$7,$Z349,IF(OR(NOT(T349),AND(NOT(Q349),COUNTIFS(U349:W349,Constants!$B$18,V349:X349,"&gt;=0")&gt;0),AND(NOT(R349),COUNTIFS(U349:W349,Constants!$B$19,V349:X349,"&gt;=0")&gt;0)),Constants!$B$12,Constants!$B$11)))</f>
        <v/>
      </c>
      <c r="AB349" s="97" t="str">
        <f aca="false">IF($Z349=Constants!$B$7,IF(V349="",Constants!$B$13,V349),"")</f>
        <v/>
      </c>
      <c r="AC349" s="97" t="str">
        <f aca="false">IF($Z349=Constants!$B$7,IF(X349="",Constants!$B$13,X349),"")</f>
        <v/>
      </c>
      <c r="AD349" s="97" t="str">
        <f aca="false">IF($Z349=Constants!$B$7,IF($AB349&gt;=$AC349,1,2),"")</f>
        <v/>
      </c>
      <c r="AE349" s="97" t="str">
        <f aca="false">IF($Z349=Constants!$B$7,LARGE(AB349:AC349,1),"")</f>
        <v/>
      </c>
      <c r="AF349" s="97" t="str">
        <f aca="false">IF(ISBLANK($C349),"",IF($Z349&lt;&gt;Constants!$B$7,$Z349,AE349*S349))</f>
        <v/>
      </c>
      <c r="AG349" s="97" t="str">
        <f aca="false">IF(ISBLANK($C349),"",IF($Z349=Constants!$B$7,IF(ISNUMBER(AF349),RANK(AF349,$AF$8:$AF$507),Constants!$B$14),$Z349))</f>
        <v/>
      </c>
      <c r="AH349" s="97" t="str">
        <f aca="false">IF(ISBLANK($C349),"",IF($Z349=Constants!$B$7,IF(ISNUMBER(AG349),COUNTIFS($AA$8:$AA$507,"&lt;"&amp;$AA349)+COUNTIFS($AA$8:$AA$507,$AA349,$AG$8:$AG$507,"&lt;"&amp;$AG349)+1,Constants!$B$14),$Z349))</f>
        <v/>
      </c>
      <c r="AI349" s="97" t="str">
        <f aca="false">IF(ISBLANK($C349),"",IF($Z349=Constants!$B$7,LARGE(AB349:AC349,2)*S349,""))</f>
        <v/>
      </c>
      <c r="AJ349" s="97" t="str">
        <f aca="false">IF(ISBLANK($C349),"",IF($Z349=Constants!$B$7,RANK(AI349,$AI$8:$AI$507),$Z349))</f>
        <v/>
      </c>
      <c r="AK349" s="97" t="str">
        <f aca="false">IF(ISBLANK($C349),"",IF($Z349=Constants!$B$7,IF(ISNUMBER(AG349),COUNTIFS($AA$8:$AA$507,"&lt;"&amp;$AA349)+COUNTIFS($AA$8:$AA$507,$AA349,$AG$8:$AG$507,"&lt;"&amp;$AG349)+COUNTIFS($AA$8:$AA$507,$AA349,$AG$8:$AG$507,$AG349,$AJ$8:$AJ$507,"&lt;"&amp;$AJ349)+1,Constants!$B$14),$Z349))</f>
        <v/>
      </c>
      <c r="AL349" s="97" t="str">
        <f aca="false">IF(ISBLANK($C349),"",IF($Z349=Constants!$B$7,IF(ISNUMBER(AH349),AH349-AK349,Constants!$B$14),$Z349))</f>
        <v/>
      </c>
      <c r="AM349" s="98"/>
      <c r="AN349" s="99" t="str">
        <f aca="false">IF(ISBLANK($C349),"",IF($Z349&lt;&gt;Constants!$B$7,$Z349,AD349))</f>
        <v/>
      </c>
      <c r="AO349" s="100" t="str">
        <f aca="false">IF(ISBLANK($C349),"",IF($Z349&lt;&gt;Constants!$B$7,$Z349,S349))</f>
        <v/>
      </c>
      <c r="AP349" s="101" t="str">
        <f aca="false">IF(ISBLANK($C349),"",IF($Z349&lt;&gt;Constants!$B$7,$Z349,AF349))</f>
        <v/>
      </c>
      <c r="AQ349" s="102" t="str">
        <f aca="false">IF(ISBLANK($C349),"",IF($Z349&lt;&gt;Constants!$B$7,$Z349,AA349))</f>
        <v/>
      </c>
      <c r="AR349" s="100" t="str">
        <f aca="false">IF(ISBLANK($C349),"",AL349)</f>
        <v/>
      </c>
      <c r="AS349" s="100" t="str">
        <f aca="false">IF(ISBLANK($C349),"",AK349)</f>
        <v/>
      </c>
      <c r="AT349" s="103" t="str">
        <f aca="false">IF(ISBLANK($C349),"",IF(AS349=Constants!$B$4,COUNTA($C$8:$C$507)+2,IF(AS349=Constants!$B$5,COUNTA($C$8:$C$507)+1,IF(AS349=Constants!$B$6,COUNTA($C$8:$C$507),AS349))))</f>
        <v/>
      </c>
      <c r="AU349" s="5"/>
      <c r="AV349" s="104" t="n">
        <f aca="false">IF(OR(ISNUMBER(AS349),AS349=Constants!$B$4,AS349=Constants!$B$6,AS349=Constants!$B$5),1,0)</f>
        <v>0</v>
      </c>
      <c r="AW349" s="104" t="n">
        <v>342</v>
      </c>
      <c r="AX349" s="104" t="str">
        <f aca="false">IF(ISBLANK($C349),"",IF(ISNUMBER(AT349),AT349+ROW($B349)/1000,""))</f>
        <v/>
      </c>
      <c r="AY349" s="104" t="str">
        <f aca="false">IF(ISNUMBER(AX349),RANK(AX349,$AX$8:$AX$507,1),"")</f>
        <v/>
      </c>
      <c r="AZ349" s="104" t="str">
        <f aca="false">IF(ISBLANK($C349),"",$B349)</f>
        <v/>
      </c>
      <c r="BA349" s="104" t="str">
        <f aca="false">IF(ISBLANK($C349),"",$C349)</f>
        <v/>
      </c>
      <c r="BB349" s="104" t="str">
        <f aca="false">IF(ISBLANK($C349),"",$D349)</f>
        <v/>
      </c>
      <c r="BC349" s="105" t="str">
        <f aca="false">AQ349</f>
        <v/>
      </c>
      <c r="BD349" s="106" t="str">
        <f aca="false">AP349</f>
        <v/>
      </c>
      <c r="BE349" s="104" t="str">
        <f aca="false">IF(ISBLANK($C349),"",AS349)</f>
        <v/>
      </c>
      <c r="BF349" s="107" t="str">
        <f aca="false">IF($AW349&gt;$AV$7,"",VLOOKUP($AW349,$AY$8:$BE$507,7,FALSE()))</f>
        <v/>
      </c>
      <c r="BG349" s="108" t="str">
        <f aca="false">IF($AW349&gt;$AV$7,"",VLOOKUP($AW349,$AY$8:$BE$507,2,FALSE()))</f>
        <v/>
      </c>
      <c r="BH349" s="108" t="str">
        <f aca="false">IF($AW349&gt;$AV$7,"",VLOOKUP($AW349,$AY$8:$BE$507,3,FALSE()))</f>
        <v/>
      </c>
      <c r="BI349" s="108" t="str">
        <f aca="false">IF($AW349&gt;$AV$7,"",VLOOKUP($AW349,$AY$8:$BE$507,4,FALSE()))</f>
        <v/>
      </c>
      <c r="BJ349" s="108" t="str">
        <f aca="false">IF($AW349&gt;$AV$7,"",VLOOKUP($AW349,$AY$8:$BE$507,5,FALSE()))</f>
        <v/>
      </c>
      <c r="BK349" s="109" t="str">
        <f aca="false">IF($AW349&gt;$AV$7,"",VLOOKUP($AW349,$AY$8:$BE$507,6,FALSE()))</f>
        <v/>
      </c>
      <c r="BL349" s="50"/>
    </row>
    <row r="350" customFormat="false" ht="15.75" hidden="false" customHeight="false" outlineLevel="0" collapsed="false">
      <c r="A350" s="5"/>
      <c r="B350" s="131"/>
      <c r="C350" s="52"/>
      <c r="D350" s="53"/>
      <c r="E350" s="80"/>
      <c r="F350" s="132"/>
      <c r="G350" s="56"/>
      <c r="H350" s="133"/>
      <c r="I350" s="134"/>
      <c r="J350" s="59"/>
      <c r="K350" s="60"/>
      <c r="L350" s="134"/>
      <c r="M350" s="61"/>
      <c r="N350" s="62"/>
      <c r="O350" s="80"/>
      <c r="P350" s="64"/>
      <c r="Q350" s="65" t="str">
        <f aca="false">IF(ISBLANK($C350),"",IF(E350=Constants!$B$2, TRUE(), IF(E350=Constants!$B$3, FALSE(), TRUE())))</f>
        <v/>
      </c>
      <c r="R350" s="65" t="str">
        <f aca="false">IF(ISBLANK($C350),"",IF(F350=Constants!$B$2, TRUE(), IF(F350=Constants!$B$3, FALSE(), TRUE())))</f>
        <v/>
      </c>
      <c r="S350" s="65" t="str">
        <f aca="false">IF(ISBLANK($C350),"",IF(G350=Constants!$B$15,Constants!$B$8,IF(G350=Constants!$B$16,Constants!$B$9,Constants!$B$10)))</f>
        <v/>
      </c>
      <c r="T350" s="65" t="str">
        <f aca="false">IF(ISBLANK($C350),"",IF(H350=Constants!$B$2, TRUE(), IF(H350=Constants!$B$3, FALSE(), TRUE())))</f>
        <v/>
      </c>
      <c r="U350" s="65" t="str">
        <f aca="false">IF(ISBLANK($C350),"",IF(I350=Constants!$B$19,Constants!$B$19,Constants!$B$18))</f>
        <v/>
      </c>
      <c r="V350" s="65" t="str">
        <f aca="false">IF(ISBLANK($C350),"",IF(COUNTA(J350:K350)=0,"",IF(AND(OR(ISBLANK(J350),AND(ISNUMBER(J350),J350&gt;=0)),OR(ISBLANK(K350),AND(ISNUMBER(K350),K350&gt;=0))),60*IF(ISBLANK(J350),0,J350)+IF(ISBLANK(K350),0,K350),"")))</f>
        <v/>
      </c>
      <c r="W350" s="65" t="str">
        <f aca="false">IF(ISBLANK($C350),"",IF(L350=Constants!$B$19,Constants!$B$19,Constants!$B$18))</f>
        <v/>
      </c>
      <c r="X350" s="65" t="str">
        <f aca="false">IF(ISBLANK($C350),"",IF(COUNTA(M350:N350)=0,"",IF(AND(OR(ISBLANK(M350),AND(ISNUMBER(M350),M350&gt;=0)),OR(ISBLANK(N350),AND(ISNUMBER(N350),N350&gt;=0))),60*IF(ISBLANK(M350),0,M350)+IF(ISBLANK(N350),0,N350),"")))</f>
        <v/>
      </c>
      <c r="Y350" s="65" t="str">
        <f aca="false">IF(ISBLANK($C350),"",IF(O350=Constants!$B$2, TRUE(), IF(O350=Constants!$B$3, FALSE(), FALSE())))</f>
        <v/>
      </c>
      <c r="Z350" s="65" t="str">
        <f aca="false">IF(ISBLANK($C350),"",IF(Y350,Constants!$B$4,IF(COUNTA(E350:N350)=0,Constants!$B$5,IF(COUNTA(J350:K350,M350:N350)=0,Constants!$B$6,Constants!$B$7))))</f>
        <v/>
      </c>
      <c r="AA350" s="65" t="str">
        <f aca="false">IF(ISBLANK($C350),"",IF($Z350&lt;&gt;Constants!$B$7,$Z350,IF(OR(NOT(T350),AND(NOT(Q350),COUNTIFS(U350:W350,Constants!$B$18,V350:X350,"&gt;=0")&gt;0),AND(NOT(R350),COUNTIFS(U350:W350,Constants!$B$19,V350:X350,"&gt;=0")&gt;0)),Constants!$B$12,Constants!$B$11)))</f>
        <v/>
      </c>
      <c r="AB350" s="65" t="str">
        <f aca="false">IF($Z350=Constants!$B$7,IF(V350="",Constants!$B$13,V350),"")</f>
        <v/>
      </c>
      <c r="AC350" s="65" t="str">
        <f aca="false">IF($Z350=Constants!$B$7,IF(X350="",Constants!$B$13,X350),"")</f>
        <v/>
      </c>
      <c r="AD350" s="65" t="str">
        <f aca="false">IF($Z350=Constants!$B$7,IF($AB350&gt;=$AC350,1,2),"")</f>
        <v/>
      </c>
      <c r="AE350" s="65" t="str">
        <f aca="false">IF($Z350=Constants!$B$7,LARGE(AB350:AC350,1),"")</f>
        <v/>
      </c>
      <c r="AF350" s="65" t="str">
        <f aca="false">IF(ISBLANK($C350),"",IF($Z350&lt;&gt;Constants!$B$7,$Z350,AE350*S350))</f>
        <v/>
      </c>
      <c r="AG350" s="65" t="str">
        <f aca="false">IF(ISBLANK($C350),"",IF($Z350=Constants!$B$7,IF(ISNUMBER(AF350),RANK(AF350,$AF$8:$AF$507),Constants!$B$14),$Z350))</f>
        <v/>
      </c>
      <c r="AH350" s="65" t="str">
        <f aca="false">IF(ISBLANK($C350),"",IF($Z350=Constants!$B$7,IF(ISNUMBER(AG350),COUNTIFS($AA$8:$AA$507,"&lt;"&amp;$AA350)+COUNTIFS($AA$8:$AA$507,$AA350,$AG$8:$AG$507,"&lt;"&amp;$AG350)+1,Constants!$B$14),$Z350))</f>
        <v/>
      </c>
      <c r="AI350" s="65" t="str">
        <f aca="false">IF(ISBLANK($C350),"",IF($Z350=Constants!$B$7,LARGE(AB350:AC350,2)*S350,""))</f>
        <v/>
      </c>
      <c r="AJ350" s="65" t="str">
        <f aca="false">IF(ISBLANK($C350),"",IF($Z350=Constants!$B$7,RANK(AI350,$AI$8:$AI$507),$Z350))</f>
        <v/>
      </c>
      <c r="AK350" s="65" t="str">
        <f aca="false">IF(ISBLANK($C350),"",IF($Z350=Constants!$B$7,IF(ISNUMBER(AG350),COUNTIFS($AA$8:$AA$507,"&lt;"&amp;$AA350)+COUNTIFS($AA$8:$AA$507,$AA350,$AG$8:$AG$507,"&lt;"&amp;$AG350)+COUNTIFS($AA$8:$AA$507,$AA350,$AG$8:$AG$507,$AG350,$AJ$8:$AJ$507,"&lt;"&amp;$AJ350)+1,Constants!$B$14),$Z350))</f>
        <v/>
      </c>
      <c r="AL350" s="65" t="str">
        <f aca="false">IF(ISBLANK($C350),"",IF($Z350=Constants!$B$7,IF(ISNUMBER(AH350),AH350-AK350,Constants!$B$14),$Z350))</f>
        <v/>
      </c>
      <c r="AM350" s="67"/>
      <c r="AN350" s="68" t="str">
        <f aca="false">IF(ISBLANK($C350),"",IF($Z350&lt;&gt;Constants!$B$7,$Z350,AD350))</f>
        <v/>
      </c>
      <c r="AO350" s="69" t="str">
        <f aca="false">IF(ISBLANK($C350),"",IF($Z350&lt;&gt;Constants!$B$7,$Z350,S350))</f>
        <v/>
      </c>
      <c r="AP350" s="70" t="str">
        <f aca="false">IF(ISBLANK($C350),"",IF($Z350&lt;&gt;Constants!$B$7,$Z350,AF350))</f>
        <v/>
      </c>
      <c r="AQ350" s="71" t="str">
        <f aca="false">IF(ISBLANK($C350),"",IF($Z350&lt;&gt;Constants!$B$7,$Z350,AA350))</f>
        <v/>
      </c>
      <c r="AR350" s="69" t="str">
        <f aca="false">IF(ISBLANK($C350),"",AL350)</f>
        <v/>
      </c>
      <c r="AS350" s="69" t="str">
        <f aca="false">IF(ISBLANK($C350),"",AK350)</f>
        <v/>
      </c>
      <c r="AT350" s="72" t="str">
        <f aca="false">IF(ISBLANK($C350),"",IF(AS350=Constants!$B$4,COUNTA($C$8:$C$507)+2,IF(AS350=Constants!$B$5,COUNTA($C$8:$C$507)+1,IF(AS350=Constants!$B$6,COUNTA($C$8:$C$507),AS350))))</f>
        <v/>
      </c>
      <c r="AU350" s="5"/>
      <c r="AV350" s="73" t="n">
        <f aca="false">IF(OR(ISNUMBER(AS350),AS350=Constants!$B$4,AS350=Constants!$B$6,AS350=Constants!$B$5),1,0)</f>
        <v>0</v>
      </c>
      <c r="AW350" s="73" t="n">
        <v>343</v>
      </c>
      <c r="AX350" s="73" t="str">
        <f aca="false">IF(ISBLANK($C350),"",IF(ISNUMBER(AT350),AT350+ROW($B350)/1000,""))</f>
        <v/>
      </c>
      <c r="AY350" s="73" t="str">
        <f aca="false">IF(ISNUMBER(AX350),RANK(AX350,$AX$8:$AX$507,1),"")</f>
        <v/>
      </c>
      <c r="AZ350" s="73" t="str">
        <f aca="false">IF(ISBLANK($C350),"",$B350)</f>
        <v/>
      </c>
      <c r="BA350" s="73" t="str">
        <f aca="false">IF(ISBLANK($C350),"",$C350)</f>
        <v/>
      </c>
      <c r="BB350" s="73" t="str">
        <f aca="false">IF(ISBLANK($C350),"",$D350)</f>
        <v/>
      </c>
      <c r="BC350" s="74" t="str">
        <f aca="false">AQ350</f>
        <v/>
      </c>
      <c r="BD350" s="75" t="str">
        <f aca="false">AP350</f>
        <v/>
      </c>
      <c r="BE350" s="73" t="str">
        <f aca="false">IF(ISBLANK($C350),"",AS350)</f>
        <v/>
      </c>
      <c r="BF350" s="76" t="str">
        <f aca="false">IF($AW350&gt;$AV$7,"",VLOOKUP($AW350,$AY$8:$BE$507,7,FALSE()))</f>
        <v/>
      </c>
      <c r="BG350" s="77" t="str">
        <f aca="false">IF($AW350&gt;$AV$7,"",VLOOKUP($AW350,$AY$8:$BE$507,2,FALSE()))</f>
        <v/>
      </c>
      <c r="BH350" s="77" t="str">
        <f aca="false">IF($AW350&gt;$AV$7,"",VLOOKUP($AW350,$AY$8:$BE$507,3,FALSE()))</f>
        <v/>
      </c>
      <c r="BI350" s="77" t="str">
        <f aca="false">IF($AW350&gt;$AV$7,"",VLOOKUP($AW350,$AY$8:$BE$507,4,FALSE()))</f>
        <v/>
      </c>
      <c r="BJ350" s="77" t="str">
        <f aca="false">IF($AW350&gt;$AV$7,"",VLOOKUP($AW350,$AY$8:$BE$507,5,FALSE()))</f>
        <v/>
      </c>
      <c r="BK350" s="78" t="str">
        <f aca="false">IF($AW350&gt;$AV$7,"",VLOOKUP($AW350,$AY$8:$BE$507,6,FALSE()))</f>
        <v/>
      </c>
      <c r="BL350" s="50"/>
    </row>
    <row r="351" customFormat="false" ht="15.75" hidden="false" customHeight="false" outlineLevel="0" collapsed="false">
      <c r="A351" s="5"/>
      <c r="B351" s="131"/>
      <c r="C351" s="52"/>
      <c r="D351" s="53"/>
      <c r="E351" s="80"/>
      <c r="F351" s="132"/>
      <c r="G351" s="56"/>
      <c r="H351" s="133"/>
      <c r="I351" s="134"/>
      <c r="J351" s="59"/>
      <c r="K351" s="60"/>
      <c r="L351" s="134"/>
      <c r="M351" s="61"/>
      <c r="N351" s="62"/>
      <c r="O351" s="80"/>
      <c r="P351" s="64"/>
      <c r="Q351" s="65" t="str">
        <f aca="false">IF(ISBLANK($C351),"",IF(E351=Constants!$B$2, TRUE(), IF(E351=Constants!$B$3, FALSE(), TRUE())))</f>
        <v/>
      </c>
      <c r="R351" s="65" t="str">
        <f aca="false">IF(ISBLANK($C351),"",IF(F351=Constants!$B$2, TRUE(), IF(F351=Constants!$B$3, FALSE(), TRUE())))</f>
        <v/>
      </c>
      <c r="S351" s="65" t="str">
        <f aca="false">IF(ISBLANK($C351),"",IF(G351=Constants!$B$15,Constants!$B$8,IF(G351=Constants!$B$16,Constants!$B$9,Constants!$B$10)))</f>
        <v/>
      </c>
      <c r="T351" s="65" t="str">
        <f aca="false">IF(ISBLANK($C351),"",IF(H351=Constants!$B$2, TRUE(), IF(H351=Constants!$B$3, FALSE(), TRUE())))</f>
        <v/>
      </c>
      <c r="U351" s="65" t="str">
        <f aca="false">IF(ISBLANK($C351),"",IF(I351=Constants!$B$19,Constants!$B$19,Constants!$B$18))</f>
        <v/>
      </c>
      <c r="V351" s="65" t="str">
        <f aca="false">IF(ISBLANK($C351),"",IF(COUNTA(J351:K351)=0,"",IF(AND(OR(ISBLANK(J351),AND(ISNUMBER(J351),J351&gt;=0)),OR(ISBLANK(K351),AND(ISNUMBER(K351),K351&gt;=0))),60*IF(ISBLANK(J351),0,J351)+IF(ISBLANK(K351),0,K351),"")))</f>
        <v/>
      </c>
      <c r="W351" s="65" t="str">
        <f aca="false">IF(ISBLANK($C351),"",IF(L351=Constants!$B$19,Constants!$B$19,Constants!$B$18))</f>
        <v/>
      </c>
      <c r="X351" s="65" t="str">
        <f aca="false">IF(ISBLANK($C351),"",IF(COUNTA(M351:N351)=0,"",IF(AND(OR(ISBLANK(M351),AND(ISNUMBER(M351),M351&gt;=0)),OR(ISBLANK(N351),AND(ISNUMBER(N351),N351&gt;=0))),60*IF(ISBLANK(M351),0,M351)+IF(ISBLANK(N351),0,N351),"")))</f>
        <v/>
      </c>
      <c r="Y351" s="65" t="str">
        <f aca="false">IF(ISBLANK($C351),"",IF(O351=Constants!$B$2, TRUE(), IF(O351=Constants!$B$3, FALSE(), FALSE())))</f>
        <v/>
      </c>
      <c r="Z351" s="65" t="str">
        <f aca="false">IF(ISBLANK($C351),"",IF(Y351,Constants!$B$4,IF(COUNTA(E351:N351)=0,Constants!$B$5,IF(COUNTA(J351:K351,M351:N351)=0,Constants!$B$6,Constants!$B$7))))</f>
        <v/>
      </c>
      <c r="AA351" s="65" t="str">
        <f aca="false">IF(ISBLANK($C351),"",IF($Z351&lt;&gt;Constants!$B$7,$Z351,IF(OR(NOT(T351),AND(NOT(Q351),COUNTIFS(U351:W351,Constants!$B$18,V351:X351,"&gt;=0")&gt;0),AND(NOT(R351),COUNTIFS(U351:W351,Constants!$B$19,V351:X351,"&gt;=0")&gt;0)),Constants!$B$12,Constants!$B$11)))</f>
        <v/>
      </c>
      <c r="AB351" s="65" t="str">
        <f aca="false">IF($Z351=Constants!$B$7,IF(V351="",Constants!$B$13,V351),"")</f>
        <v/>
      </c>
      <c r="AC351" s="65" t="str">
        <f aca="false">IF($Z351=Constants!$B$7,IF(X351="",Constants!$B$13,X351),"")</f>
        <v/>
      </c>
      <c r="AD351" s="65" t="str">
        <f aca="false">IF($Z351=Constants!$B$7,IF($AB351&gt;=$AC351,1,2),"")</f>
        <v/>
      </c>
      <c r="AE351" s="65" t="str">
        <f aca="false">IF($Z351=Constants!$B$7,LARGE(AB351:AC351,1),"")</f>
        <v/>
      </c>
      <c r="AF351" s="65" t="str">
        <f aca="false">IF(ISBLANK($C351),"",IF($Z351&lt;&gt;Constants!$B$7,$Z351,AE351*S351))</f>
        <v/>
      </c>
      <c r="AG351" s="65" t="str">
        <f aca="false">IF(ISBLANK($C351),"",IF($Z351=Constants!$B$7,IF(ISNUMBER(AF351),RANK(AF351,$AF$8:$AF$507),Constants!$B$14),$Z351))</f>
        <v/>
      </c>
      <c r="AH351" s="65" t="str">
        <f aca="false">IF(ISBLANK($C351),"",IF($Z351=Constants!$B$7,IF(ISNUMBER(AG351),COUNTIFS($AA$8:$AA$507,"&lt;"&amp;$AA351)+COUNTIFS($AA$8:$AA$507,$AA351,$AG$8:$AG$507,"&lt;"&amp;$AG351)+1,Constants!$B$14),$Z351))</f>
        <v/>
      </c>
      <c r="AI351" s="65" t="str">
        <f aca="false">IF(ISBLANK($C351),"",IF($Z351=Constants!$B$7,LARGE(AB351:AC351,2)*S351,""))</f>
        <v/>
      </c>
      <c r="AJ351" s="65" t="str">
        <f aca="false">IF(ISBLANK($C351),"",IF($Z351=Constants!$B$7,RANK(AI351,$AI$8:$AI$507),$Z351))</f>
        <v/>
      </c>
      <c r="AK351" s="65" t="str">
        <f aca="false">IF(ISBLANK($C351),"",IF($Z351=Constants!$B$7,IF(ISNUMBER(AG351),COUNTIFS($AA$8:$AA$507,"&lt;"&amp;$AA351)+COUNTIFS($AA$8:$AA$507,$AA351,$AG$8:$AG$507,"&lt;"&amp;$AG351)+COUNTIFS($AA$8:$AA$507,$AA351,$AG$8:$AG$507,$AG351,$AJ$8:$AJ$507,"&lt;"&amp;$AJ351)+1,Constants!$B$14),$Z351))</f>
        <v/>
      </c>
      <c r="AL351" s="65" t="str">
        <f aca="false">IF(ISBLANK($C351),"",IF($Z351=Constants!$B$7,IF(ISNUMBER(AH351),AH351-AK351,Constants!$B$14),$Z351))</f>
        <v/>
      </c>
      <c r="AM351" s="67"/>
      <c r="AN351" s="68" t="str">
        <f aca="false">IF(ISBLANK($C351),"",IF($Z351&lt;&gt;Constants!$B$7,$Z351,AD351))</f>
        <v/>
      </c>
      <c r="AO351" s="69" t="str">
        <f aca="false">IF(ISBLANK($C351),"",IF($Z351&lt;&gt;Constants!$B$7,$Z351,S351))</f>
        <v/>
      </c>
      <c r="AP351" s="70" t="str">
        <f aca="false">IF(ISBLANK($C351),"",IF($Z351&lt;&gt;Constants!$B$7,$Z351,AF351))</f>
        <v/>
      </c>
      <c r="AQ351" s="71" t="str">
        <f aca="false">IF(ISBLANK($C351),"",IF($Z351&lt;&gt;Constants!$B$7,$Z351,AA351))</f>
        <v/>
      </c>
      <c r="AR351" s="69" t="str">
        <f aca="false">IF(ISBLANK($C351),"",AL351)</f>
        <v/>
      </c>
      <c r="AS351" s="69" t="str">
        <f aca="false">IF(ISBLANK($C351),"",AK351)</f>
        <v/>
      </c>
      <c r="AT351" s="72" t="str">
        <f aca="false">IF(ISBLANK($C351),"",IF(AS351=Constants!$B$4,COUNTA($C$8:$C$507)+2,IF(AS351=Constants!$B$5,COUNTA($C$8:$C$507)+1,IF(AS351=Constants!$B$6,COUNTA($C$8:$C$507),AS351))))</f>
        <v/>
      </c>
      <c r="AU351" s="5"/>
      <c r="AV351" s="73" t="n">
        <f aca="false">IF(OR(ISNUMBER(AS351),AS351=Constants!$B$4,AS351=Constants!$B$6,AS351=Constants!$B$5),1,0)</f>
        <v>0</v>
      </c>
      <c r="AW351" s="73" t="n">
        <v>344</v>
      </c>
      <c r="AX351" s="73" t="str">
        <f aca="false">IF(ISBLANK($C351),"",IF(ISNUMBER(AT351),AT351+ROW($B351)/1000,""))</f>
        <v/>
      </c>
      <c r="AY351" s="73" t="str">
        <f aca="false">IF(ISNUMBER(AX351),RANK(AX351,$AX$8:$AX$507,1),"")</f>
        <v/>
      </c>
      <c r="AZ351" s="73" t="str">
        <f aca="false">IF(ISBLANK($C351),"",$B351)</f>
        <v/>
      </c>
      <c r="BA351" s="73" t="str">
        <f aca="false">IF(ISBLANK($C351),"",$C351)</f>
        <v/>
      </c>
      <c r="BB351" s="73" t="str">
        <f aca="false">IF(ISBLANK($C351),"",$D351)</f>
        <v/>
      </c>
      <c r="BC351" s="74" t="str">
        <f aca="false">AQ351</f>
        <v/>
      </c>
      <c r="BD351" s="75" t="str">
        <f aca="false">AP351</f>
        <v/>
      </c>
      <c r="BE351" s="73" t="str">
        <f aca="false">IF(ISBLANK($C351),"",AS351)</f>
        <v/>
      </c>
      <c r="BF351" s="76" t="str">
        <f aca="false">IF($AW351&gt;$AV$7,"",VLOOKUP($AW351,$AY$8:$BE$507,7,FALSE()))</f>
        <v/>
      </c>
      <c r="BG351" s="77" t="str">
        <f aca="false">IF($AW351&gt;$AV$7,"",VLOOKUP($AW351,$AY$8:$BE$507,2,FALSE()))</f>
        <v/>
      </c>
      <c r="BH351" s="77" t="str">
        <f aca="false">IF($AW351&gt;$AV$7,"",VLOOKUP($AW351,$AY$8:$BE$507,3,FALSE()))</f>
        <v/>
      </c>
      <c r="BI351" s="77" t="str">
        <f aca="false">IF($AW351&gt;$AV$7,"",VLOOKUP($AW351,$AY$8:$BE$507,4,FALSE()))</f>
        <v/>
      </c>
      <c r="BJ351" s="77" t="str">
        <f aca="false">IF($AW351&gt;$AV$7,"",VLOOKUP($AW351,$AY$8:$BE$507,5,FALSE()))</f>
        <v/>
      </c>
      <c r="BK351" s="78" t="str">
        <f aca="false">IF($AW351&gt;$AV$7,"",VLOOKUP($AW351,$AY$8:$BE$507,6,FALSE()))</f>
        <v/>
      </c>
      <c r="BL351" s="50"/>
    </row>
    <row r="352" customFormat="false" ht="15.75" hidden="false" customHeight="false" outlineLevel="0" collapsed="false">
      <c r="A352" s="5"/>
      <c r="B352" s="131"/>
      <c r="C352" s="52"/>
      <c r="D352" s="53"/>
      <c r="E352" s="80"/>
      <c r="F352" s="132"/>
      <c r="G352" s="56"/>
      <c r="H352" s="133"/>
      <c r="I352" s="134"/>
      <c r="J352" s="59"/>
      <c r="K352" s="60"/>
      <c r="L352" s="134"/>
      <c r="M352" s="61"/>
      <c r="N352" s="62"/>
      <c r="O352" s="80"/>
      <c r="P352" s="64"/>
      <c r="Q352" s="65" t="str">
        <f aca="false">IF(ISBLANK($C352),"",IF(E352=Constants!$B$2, TRUE(), IF(E352=Constants!$B$3, FALSE(), TRUE())))</f>
        <v/>
      </c>
      <c r="R352" s="65" t="str">
        <f aca="false">IF(ISBLANK($C352),"",IF(F352=Constants!$B$2, TRUE(), IF(F352=Constants!$B$3, FALSE(), TRUE())))</f>
        <v/>
      </c>
      <c r="S352" s="65" t="str">
        <f aca="false">IF(ISBLANK($C352),"",IF(G352=Constants!$B$15,Constants!$B$8,IF(G352=Constants!$B$16,Constants!$B$9,Constants!$B$10)))</f>
        <v/>
      </c>
      <c r="T352" s="65" t="str">
        <f aca="false">IF(ISBLANK($C352),"",IF(H352=Constants!$B$2, TRUE(), IF(H352=Constants!$B$3, FALSE(), TRUE())))</f>
        <v/>
      </c>
      <c r="U352" s="65" t="str">
        <f aca="false">IF(ISBLANK($C352),"",IF(I352=Constants!$B$19,Constants!$B$19,Constants!$B$18))</f>
        <v/>
      </c>
      <c r="V352" s="65" t="str">
        <f aca="false">IF(ISBLANK($C352),"",IF(COUNTA(J352:K352)=0,"",IF(AND(OR(ISBLANK(J352),AND(ISNUMBER(J352),J352&gt;=0)),OR(ISBLANK(K352),AND(ISNUMBER(K352),K352&gt;=0))),60*IF(ISBLANK(J352),0,J352)+IF(ISBLANK(K352),0,K352),"")))</f>
        <v/>
      </c>
      <c r="W352" s="65" t="str">
        <f aca="false">IF(ISBLANK($C352),"",IF(L352=Constants!$B$19,Constants!$B$19,Constants!$B$18))</f>
        <v/>
      </c>
      <c r="X352" s="65" t="str">
        <f aca="false">IF(ISBLANK($C352),"",IF(COUNTA(M352:N352)=0,"",IF(AND(OR(ISBLANK(M352),AND(ISNUMBER(M352),M352&gt;=0)),OR(ISBLANK(N352),AND(ISNUMBER(N352),N352&gt;=0))),60*IF(ISBLANK(M352),0,M352)+IF(ISBLANK(N352),0,N352),"")))</f>
        <v/>
      </c>
      <c r="Y352" s="65" t="str">
        <f aca="false">IF(ISBLANK($C352),"",IF(O352=Constants!$B$2, TRUE(), IF(O352=Constants!$B$3, FALSE(), FALSE())))</f>
        <v/>
      </c>
      <c r="Z352" s="65" t="str">
        <f aca="false">IF(ISBLANK($C352),"",IF(Y352,Constants!$B$4,IF(COUNTA(E352:N352)=0,Constants!$B$5,IF(COUNTA(J352:K352,M352:N352)=0,Constants!$B$6,Constants!$B$7))))</f>
        <v/>
      </c>
      <c r="AA352" s="65" t="str">
        <f aca="false">IF(ISBLANK($C352),"",IF($Z352&lt;&gt;Constants!$B$7,$Z352,IF(OR(NOT(T352),AND(NOT(Q352),COUNTIFS(U352:W352,Constants!$B$18,V352:X352,"&gt;=0")&gt;0),AND(NOT(R352),COUNTIFS(U352:W352,Constants!$B$19,V352:X352,"&gt;=0")&gt;0)),Constants!$B$12,Constants!$B$11)))</f>
        <v/>
      </c>
      <c r="AB352" s="65" t="str">
        <f aca="false">IF($Z352=Constants!$B$7,IF(V352="",Constants!$B$13,V352),"")</f>
        <v/>
      </c>
      <c r="AC352" s="65" t="str">
        <f aca="false">IF($Z352=Constants!$B$7,IF(X352="",Constants!$B$13,X352),"")</f>
        <v/>
      </c>
      <c r="AD352" s="65" t="str">
        <f aca="false">IF($Z352=Constants!$B$7,IF($AB352&gt;=$AC352,1,2),"")</f>
        <v/>
      </c>
      <c r="AE352" s="65" t="str">
        <f aca="false">IF($Z352=Constants!$B$7,LARGE(AB352:AC352,1),"")</f>
        <v/>
      </c>
      <c r="AF352" s="65" t="str">
        <f aca="false">IF(ISBLANK($C352),"",IF($Z352&lt;&gt;Constants!$B$7,$Z352,AE352*S352))</f>
        <v/>
      </c>
      <c r="AG352" s="65" t="str">
        <f aca="false">IF(ISBLANK($C352),"",IF($Z352=Constants!$B$7,IF(ISNUMBER(AF352),RANK(AF352,$AF$8:$AF$507),Constants!$B$14),$Z352))</f>
        <v/>
      </c>
      <c r="AH352" s="65" t="str">
        <f aca="false">IF(ISBLANK($C352),"",IF($Z352=Constants!$B$7,IF(ISNUMBER(AG352),COUNTIFS($AA$8:$AA$507,"&lt;"&amp;$AA352)+COUNTIFS($AA$8:$AA$507,$AA352,$AG$8:$AG$507,"&lt;"&amp;$AG352)+1,Constants!$B$14),$Z352))</f>
        <v/>
      </c>
      <c r="AI352" s="65" t="str">
        <f aca="false">IF(ISBLANK($C352),"",IF($Z352=Constants!$B$7,LARGE(AB352:AC352,2)*S352,""))</f>
        <v/>
      </c>
      <c r="AJ352" s="65" t="str">
        <f aca="false">IF(ISBLANK($C352),"",IF($Z352=Constants!$B$7,RANK(AI352,$AI$8:$AI$507),$Z352))</f>
        <v/>
      </c>
      <c r="AK352" s="65" t="str">
        <f aca="false">IF(ISBLANK($C352),"",IF($Z352=Constants!$B$7,IF(ISNUMBER(AG352),COUNTIFS($AA$8:$AA$507,"&lt;"&amp;$AA352)+COUNTIFS($AA$8:$AA$507,$AA352,$AG$8:$AG$507,"&lt;"&amp;$AG352)+COUNTIFS($AA$8:$AA$507,$AA352,$AG$8:$AG$507,$AG352,$AJ$8:$AJ$507,"&lt;"&amp;$AJ352)+1,Constants!$B$14),$Z352))</f>
        <v/>
      </c>
      <c r="AL352" s="65" t="str">
        <f aca="false">IF(ISBLANK($C352),"",IF($Z352=Constants!$B$7,IF(ISNUMBER(AH352),AH352-AK352,Constants!$B$14),$Z352))</f>
        <v/>
      </c>
      <c r="AM352" s="67"/>
      <c r="AN352" s="68" t="str">
        <f aca="false">IF(ISBLANK($C352),"",IF($Z352&lt;&gt;Constants!$B$7,$Z352,AD352))</f>
        <v/>
      </c>
      <c r="AO352" s="69" t="str">
        <f aca="false">IF(ISBLANK($C352),"",IF($Z352&lt;&gt;Constants!$B$7,$Z352,S352))</f>
        <v/>
      </c>
      <c r="AP352" s="70" t="str">
        <f aca="false">IF(ISBLANK($C352),"",IF($Z352&lt;&gt;Constants!$B$7,$Z352,AF352))</f>
        <v/>
      </c>
      <c r="AQ352" s="71" t="str">
        <f aca="false">IF(ISBLANK($C352),"",IF($Z352&lt;&gt;Constants!$B$7,$Z352,AA352))</f>
        <v/>
      </c>
      <c r="AR352" s="69" t="str">
        <f aca="false">IF(ISBLANK($C352),"",AL352)</f>
        <v/>
      </c>
      <c r="AS352" s="69" t="str">
        <f aca="false">IF(ISBLANK($C352),"",AK352)</f>
        <v/>
      </c>
      <c r="AT352" s="72" t="str">
        <f aca="false">IF(ISBLANK($C352),"",IF(AS352=Constants!$B$4,COUNTA($C$8:$C$507)+2,IF(AS352=Constants!$B$5,COUNTA($C$8:$C$507)+1,IF(AS352=Constants!$B$6,COUNTA($C$8:$C$507),AS352))))</f>
        <v/>
      </c>
      <c r="AU352" s="5"/>
      <c r="AV352" s="73" t="n">
        <f aca="false">IF(OR(ISNUMBER(AS352),AS352=Constants!$B$4,AS352=Constants!$B$6,AS352=Constants!$B$5),1,0)</f>
        <v>0</v>
      </c>
      <c r="AW352" s="73" t="n">
        <v>345</v>
      </c>
      <c r="AX352" s="73" t="str">
        <f aca="false">IF(ISBLANK($C352),"",IF(ISNUMBER(AT352),AT352+ROW($B352)/1000,""))</f>
        <v/>
      </c>
      <c r="AY352" s="73" t="str">
        <f aca="false">IF(ISNUMBER(AX352),RANK(AX352,$AX$8:$AX$507,1),"")</f>
        <v/>
      </c>
      <c r="AZ352" s="73" t="str">
        <f aca="false">IF(ISBLANK($C352),"",$B352)</f>
        <v/>
      </c>
      <c r="BA352" s="73" t="str">
        <f aca="false">IF(ISBLANK($C352),"",$C352)</f>
        <v/>
      </c>
      <c r="BB352" s="73" t="str">
        <f aca="false">IF(ISBLANK($C352),"",$D352)</f>
        <v/>
      </c>
      <c r="BC352" s="74" t="str">
        <f aca="false">AQ352</f>
        <v/>
      </c>
      <c r="BD352" s="75" t="str">
        <f aca="false">AP352</f>
        <v/>
      </c>
      <c r="BE352" s="73" t="str">
        <f aca="false">IF(ISBLANK($C352),"",AS352)</f>
        <v/>
      </c>
      <c r="BF352" s="76" t="str">
        <f aca="false">IF($AW352&gt;$AV$7,"",VLOOKUP($AW352,$AY$8:$BE$507,7,FALSE()))</f>
        <v/>
      </c>
      <c r="BG352" s="77" t="str">
        <f aca="false">IF($AW352&gt;$AV$7,"",VLOOKUP($AW352,$AY$8:$BE$507,2,FALSE()))</f>
        <v/>
      </c>
      <c r="BH352" s="77" t="str">
        <f aca="false">IF($AW352&gt;$AV$7,"",VLOOKUP($AW352,$AY$8:$BE$507,3,FALSE()))</f>
        <v/>
      </c>
      <c r="BI352" s="77" t="str">
        <f aca="false">IF($AW352&gt;$AV$7,"",VLOOKUP($AW352,$AY$8:$BE$507,4,FALSE()))</f>
        <v/>
      </c>
      <c r="BJ352" s="77" t="str">
        <f aca="false">IF($AW352&gt;$AV$7,"",VLOOKUP($AW352,$AY$8:$BE$507,5,FALSE()))</f>
        <v/>
      </c>
      <c r="BK352" s="78" t="str">
        <f aca="false">IF($AW352&gt;$AV$7,"",VLOOKUP($AW352,$AY$8:$BE$507,6,FALSE()))</f>
        <v/>
      </c>
      <c r="BL352" s="50"/>
    </row>
    <row r="353" customFormat="false" ht="15.75" hidden="false" customHeight="false" outlineLevel="0" collapsed="false">
      <c r="A353" s="5"/>
      <c r="B353" s="124"/>
      <c r="C353" s="125"/>
      <c r="D353" s="110"/>
      <c r="E353" s="130"/>
      <c r="F353" s="135"/>
      <c r="G353" s="88"/>
      <c r="H353" s="136"/>
      <c r="I353" s="137"/>
      <c r="J353" s="91"/>
      <c r="K353" s="92"/>
      <c r="L353" s="137"/>
      <c r="M353" s="93"/>
      <c r="N353" s="94"/>
      <c r="O353" s="130"/>
      <c r="P353" s="96"/>
      <c r="Q353" s="97" t="str">
        <f aca="false">IF(ISBLANK($C353),"",IF(E353=Constants!$B$2, TRUE(), IF(E353=Constants!$B$3, FALSE(), TRUE())))</f>
        <v/>
      </c>
      <c r="R353" s="97" t="str">
        <f aca="false">IF(ISBLANK($C353),"",IF(F353=Constants!$B$2, TRUE(), IF(F353=Constants!$B$3, FALSE(), TRUE())))</f>
        <v/>
      </c>
      <c r="S353" s="97" t="str">
        <f aca="false">IF(ISBLANK($C353),"",IF(G353=Constants!$B$15,Constants!$B$8,IF(G353=Constants!$B$16,Constants!$B$9,Constants!$B$10)))</f>
        <v/>
      </c>
      <c r="T353" s="97" t="str">
        <f aca="false">IF(ISBLANK($C353),"",IF(H353=Constants!$B$2, TRUE(), IF(H353=Constants!$B$3, FALSE(), TRUE())))</f>
        <v/>
      </c>
      <c r="U353" s="97" t="str">
        <f aca="false">IF(ISBLANK($C353),"",IF(I353=Constants!$B$19,Constants!$B$19,Constants!$B$18))</f>
        <v/>
      </c>
      <c r="V353" s="97" t="str">
        <f aca="false">IF(ISBLANK($C353),"",IF(COUNTA(J353:K353)=0,"",IF(AND(OR(ISBLANK(J353),AND(ISNUMBER(J353),J353&gt;=0)),OR(ISBLANK(K353),AND(ISNUMBER(K353),K353&gt;=0))),60*IF(ISBLANK(J353),0,J353)+IF(ISBLANK(K353),0,K353),"")))</f>
        <v/>
      </c>
      <c r="W353" s="97" t="str">
        <f aca="false">IF(ISBLANK($C353),"",IF(L353=Constants!$B$19,Constants!$B$19,Constants!$B$18))</f>
        <v/>
      </c>
      <c r="X353" s="97" t="str">
        <f aca="false">IF(ISBLANK($C353),"",IF(COUNTA(M353:N353)=0,"",IF(AND(OR(ISBLANK(M353),AND(ISNUMBER(M353),M353&gt;=0)),OR(ISBLANK(N353),AND(ISNUMBER(N353),N353&gt;=0))),60*IF(ISBLANK(M353),0,M353)+IF(ISBLANK(N353),0,N353),"")))</f>
        <v/>
      </c>
      <c r="Y353" s="97" t="str">
        <f aca="false">IF(ISBLANK($C353),"",IF(O353=Constants!$B$2, TRUE(), IF(O353=Constants!$B$3, FALSE(), FALSE())))</f>
        <v/>
      </c>
      <c r="Z353" s="97" t="str">
        <f aca="false">IF(ISBLANK($C353),"",IF(Y353,Constants!$B$4,IF(COUNTA(E353:N353)=0,Constants!$B$5,IF(COUNTA(J353:K353,M353:N353)=0,Constants!$B$6,Constants!$B$7))))</f>
        <v/>
      </c>
      <c r="AA353" s="97" t="str">
        <f aca="false">IF(ISBLANK($C353),"",IF($Z353&lt;&gt;Constants!$B$7,$Z353,IF(OR(NOT(T353),AND(NOT(Q353),COUNTIFS(U353:W353,Constants!$B$18,V353:X353,"&gt;=0")&gt;0),AND(NOT(R353),COUNTIFS(U353:W353,Constants!$B$19,V353:X353,"&gt;=0")&gt;0)),Constants!$B$12,Constants!$B$11)))</f>
        <v/>
      </c>
      <c r="AB353" s="97" t="str">
        <f aca="false">IF($Z353=Constants!$B$7,IF(V353="",Constants!$B$13,V353),"")</f>
        <v/>
      </c>
      <c r="AC353" s="97" t="str">
        <f aca="false">IF($Z353=Constants!$B$7,IF(X353="",Constants!$B$13,X353),"")</f>
        <v/>
      </c>
      <c r="AD353" s="97" t="str">
        <f aca="false">IF($Z353=Constants!$B$7,IF($AB353&gt;=$AC353,1,2),"")</f>
        <v/>
      </c>
      <c r="AE353" s="97" t="str">
        <f aca="false">IF($Z353=Constants!$B$7,LARGE(AB353:AC353,1),"")</f>
        <v/>
      </c>
      <c r="AF353" s="97" t="str">
        <f aca="false">IF(ISBLANK($C353),"",IF($Z353&lt;&gt;Constants!$B$7,$Z353,AE353*S353))</f>
        <v/>
      </c>
      <c r="AG353" s="97" t="str">
        <f aca="false">IF(ISBLANK($C353),"",IF($Z353=Constants!$B$7,IF(ISNUMBER(AF353),RANK(AF353,$AF$8:$AF$507),Constants!$B$14),$Z353))</f>
        <v/>
      </c>
      <c r="AH353" s="97" t="str">
        <f aca="false">IF(ISBLANK($C353),"",IF($Z353=Constants!$B$7,IF(ISNUMBER(AG353),COUNTIFS($AA$8:$AA$507,"&lt;"&amp;$AA353)+COUNTIFS($AA$8:$AA$507,$AA353,$AG$8:$AG$507,"&lt;"&amp;$AG353)+1,Constants!$B$14),$Z353))</f>
        <v/>
      </c>
      <c r="AI353" s="97" t="str">
        <f aca="false">IF(ISBLANK($C353),"",IF($Z353=Constants!$B$7,LARGE(AB353:AC353,2)*S353,""))</f>
        <v/>
      </c>
      <c r="AJ353" s="97" t="str">
        <f aca="false">IF(ISBLANK($C353),"",IF($Z353=Constants!$B$7,RANK(AI353,$AI$8:$AI$507),$Z353))</f>
        <v/>
      </c>
      <c r="AK353" s="97" t="str">
        <f aca="false">IF(ISBLANK($C353),"",IF($Z353=Constants!$B$7,IF(ISNUMBER(AG353),COUNTIFS($AA$8:$AA$507,"&lt;"&amp;$AA353)+COUNTIFS($AA$8:$AA$507,$AA353,$AG$8:$AG$507,"&lt;"&amp;$AG353)+COUNTIFS($AA$8:$AA$507,$AA353,$AG$8:$AG$507,$AG353,$AJ$8:$AJ$507,"&lt;"&amp;$AJ353)+1,Constants!$B$14),$Z353))</f>
        <v/>
      </c>
      <c r="AL353" s="97" t="str">
        <f aca="false">IF(ISBLANK($C353),"",IF($Z353=Constants!$B$7,IF(ISNUMBER(AH353),AH353-AK353,Constants!$B$14),$Z353))</f>
        <v/>
      </c>
      <c r="AM353" s="98"/>
      <c r="AN353" s="99" t="str">
        <f aca="false">IF(ISBLANK($C353),"",IF($Z353&lt;&gt;Constants!$B$7,$Z353,AD353))</f>
        <v/>
      </c>
      <c r="AO353" s="100" t="str">
        <f aca="false">IF(ISBLANK($C353),"",IF($Z353&lt;&gt;Constants!$B$7,$Z353,S353))</f>
        <v/>
      </c>
      <c r="AP353" s="101" t="str">
        <f aca="false">IF(ISBLANK($C353),"",IF($Z353&lt;&gt;Constants!$B$7,$Z353,AF353))</f>
        <v/>
      </c>
      <c r="AQ353" s="102" t="str">
        <f aca="false">IF(ISBLANK($C353),"",IF($Z353&lt;&gt;Constants!$B$7,$Z353,AA353))</f>
        <v/>
      </c>
      <c r="AR353" s="100" t="str">
        <f aca="false">IF(ISBLANK($C353),"",AL353)</f>
        <v/>
      </c>
      <c r="AS353" s="100" t="str">
        <f aca="false">IF(ISBLANK($C353),"",AK353)</f>
        <v/>
      </c>
      <c r="AT353" s="103" t="str">
        <f aca="false">IF(ISBLANK($C353),"",IF(AS353=Constants!$B$4,COUNTA($C$8:$C$507)+2,IF(AS353=Constants!$B$5,COUNTA($C$8:$C$507)+1,IF(AS353=Constants!$B$6,COUNTA($C$8:$C$507),AS353))))</f>
        <v/>
      </c>
      <c r="AU353" s="5"/>
      <c r="AV353" s="104" t="n">
        <f aca="false">IF(OR(ISNUMBER(AS353),AS353=Constants!$B$4,AS353=Constants!$B$6,AS353=Constants!$B$5),1,0)</f>
        <v>0</v>
      </c>
      <c r="AW353" s="104" t="n">
        <v>346</v>
      </c>
      <c r="AX353" s="104" t="str">
        <f aca="false">IF(ISBLANK($C353),"",IF(ISNUMBER(AT353),AT353+ROW($B353)/1000,""))</f>
        <v/>
      </c>
      <c r="AY353" s="104" t="str">
        <f aca="false">IF(ISNUMBER(AX353),RANK(AX353,$AX$8:$AX$507,1),"")</f>
        <v/>
      </c>
      <c r="AZ353" s="104" t="str">
        <f aca="false">IF(ISBLANK($C353),"",$B353)</f>
        <v/>
      </c>
      <c r="BA353" s="104" t="str">
        <f aca="false">IF(ISBLANK($C353),"",$C353)</f>
        <v/>
      </c>
      <c r="BB353" s="104" t="str">
        <f aca="false">IF(ISBLANK($C353),"",$D353)</f>
        <v/>
      </c>
      <c r="BC353" s="105" t="str">
        <f aca="false">AQ353</f>
        <v/>
      </c>
      <c r="BD353" s="106" t="str">
        <f aca="false">AP353</f>
        <v/>
      </c>
      <c r="BE353" s="104" t="str">
        <f aca="false">IF(ISBLANK($C353),"",AS353)</f>
        <v/>
      </c>
      <c r="BF353" s="107" t="str">
        <f aca="false">IF($AW353&gt;$AV$7,"",VLOOKUP($AW353,$AY$8:$BE$507,7,FALSE()))</f>
        <v/>
      </c>
      <c r="BG353" s="108" t="str">
        <f aca="false">IF($AW353&gt;$AV$7,"",VLOOKUP($AW353,$AY$8:$BE$507,2,FALSE()))</f>
        <v/>
      </c>
      <c r="BH353" s="108" t="str">
        <f aca="false">IF($AW353&gt;$AV$7,"",VLOOKUP($AW353,$AY$8:$BE$507,3,FALSE()))</f>
        <v/>
      </c>
      <c r="BI353" s="108" t="str">
        <f aca="false">IF($AW353&gt;$AV$7,"",VLOOKUP($AW353,$AY$8:$BE$507,4,FALSE()))</f>
        <v/>
      </c>
      <c r="BJ353" s="108" t="str">
        <f aca="false">IF($AW353&gt;$AV$7,"",VLOOKUP($AW353,$AY$8:$BE$507,5,FALSE()))</f>
        <v/>
      </c>
      <c r="BK353" s="109" t="str">
        <f aca="false">IF($AW353&gt;$AV$7,"",VLOOKUP($AW353,$AY$8:$BE$507,6,FALSE()))</f>
        <v/>
      </c>
      <c r="BL353" s="50"/>
    </row>
    <row r="354" customFormat="false" ht="15.75" hidden="false" customHeight="false" outlineLevel="0" collapsed="false">
      <c r="A354" s="5"/>
      <c r="B354" s="124"/>
      <c r="C354" s="125"/>
      <c r="D354" s="110"/>
      <c r="E354" s="130"/>
      <c r="F354" s="135"/>
      <c r="G354" s="88"/>
      <c r="H354" s="136"/>
      <c r="I354" s="137"/>
      <c r="J354" s="91"/>
      <c r="K354" s="92"/>
      <c r="L354" s="137"/>
      <c r="M354" s="93"/>
      <c r="N354" s="94"/>
      <c r="O354" s="130"/>
      <c r="P354" s="96"/>
      <c r="Q354" s="97" t="str">
        <f aca="false">IF(ISBLANK($C354),"",IF(E354=Constants!$B$2, TRUE(), IF(E354=Constants!$B$3, FALSE(), TRUE())))</f>
        <v/>
      </c>
      <c r="R354" s="97" t="str">
        <f aca="false">IF(ISBLANK($C354),"",IF(F354=Constants!$B$2, TRUE(), IF(F354=Constants!$B$3, FALSE(), TRUE())))</f>
        <v/>
      </c>
      <c r="S354" s="97" t="str">
        <f aca="false">IF(ISBLANK($C354),"",IF(G354=Constants!$B$15,Constants!$B$8,IF(G354=Constants!$B$16,Constants!$B$9,Constants!$B$10)))</f>
        <v/>
      </c>
      <c r="T354" s="97" t="str">
        <f aca="false">IF(ISBLANK($C354),"",IF(H354=Constants!$B$2, TRUE(), IF(H354=Constants!$B$3, FALSE(), TRUE())))</f>
        <v/>
      </c>
      <c r="U354" s="97" t="str">
        <f aca="false">IF(ISBLANK($C354),"",IF(I354=Constants!$B$19,Constants!$B$19,Constants!$B$18))</f>
        <v/>
      </c>
      <c r="V354" s="97" t="str">
        <f aca="false">IF(ISBLANK($C354),"",IF(COUNTA(J354:K354)=0,"",IF(AND(OR(ISBLANK(J354),AND(ISNUMBER(J354),J354&gt;=0)),OR(ISBLANK(K354),AND(ISNUMBER(K354),K354&gt;=0))),60*IF(ISBLANK(J354),0,J354)+IF(ISBLANK(K354),0,K354),"")))</f>
        <v/>
      </c>
      <c r="W354" s="97" t="str">
        <f aca="false">IF(ISBLANK($C354),"",IF(L354=Constants!$B$19,Constants!$B$19,Constants!$B$18))</f>
        <v/>
      </c>
      <c r="X354" s="97" t="str">
        <f aca="false">IF(ISBLANK($C354),"",IF(COUNTA(M354:N354)=0,"",IF(AND(OR(ISBLANK(M354),AND(ISNUMBER(M354),M354&gt;=0)),OR(ISBLANK(N354),AND(ISNUMBER(N354),N354&gt;=0))),60*IF(ISBLANK(M354),0,M354)+IF(ISBLANK(N354),0,N354),"")))</f>
        <v/>
      </c>
      <c r="Y354" s="97" t="str">
        <f aca="false">IF(ISBLANK($C354),"",IF(O354=Constants!$B$2, TRUE(), IF(O354=Constants!$B$3, FALSE(), FALSE())))</f>
        <v/>
      </c>
      <c r="Z354" s="97" t="str">
        <f aca="false">IF(ISBLANK($C354),"",IF(Y354,Constants!$B$4,IF(COUNTA(E354:N354)=0,Constants!$B$5,IF(COUNTA(J354:K354,M354:N354)=0,Constants!$B$6,Constants!$B$7))))</f>
        <v/>
      </c>
      <c r="AA354" s="97" t="str">
        <f aca="false">IF(ISBLANK($C354),"",IF($Z354&lt;&gt;Constants!$B$7,$Z354,IF(OR(NOT(T354),AND(NOT(Q354),COUNTIFS(U354:W354,Constants!$B$18,V354:X354,"&gt;=0")&gt;0),AND(NOT(R354),COUNTIFS(U354:W354,Constants!$B$19,V354:X354,"&gt;=0")&gt;0)),Constants!$B$12,Constants!$B$11)))</f>
        <v/>
      </c>
      <c r="AB354" s="97" t="str">
        <f aca="false">IF($Z354=Constants!$B$7,IF(V354="",Constants!$B$13,V354),"")</f>
        <v/>
      </c>
      <c r="AC354" s="97" t="str">
        <f aca="false">IF($Z354=Constants!$B$7,IF(X354="",Constants!$B$13,X354),"")</f>
        <v/>
      </c>
      <c r="AD354" s="97" t="str">
        <f aca="false">IF($Z354=Constants!$B$7,IF($AB354&gt;=$AC354,1,2),"")</f>
        <v/>
      </c>
      <c r="AE354" s="97" t="str">
        <f aca="false">IF($Z354=Constants!$B$7,LARGE(AB354:AC354,1),"")</f>
        <v/>
      </c>
      <c r="AF354" s="97" t="str">
        <f aca="false">IF(ISBLANK($C354),"",IF($Z354&lt;&gt;Constants!$B$7,$Z354,AE354*S354))</f>
        <v/>
      </c>
      <c r="AG354" s="97" t="str">
        <f aca="false">IF(ISBLANK($C354),"",IF($Z354=Constants!$B$7,IF(ISNUMBER(AF354),RANK(AF354,$AF$8:$AF$507),Constants!$B$14),$Z354))</f>
        <v/>
      </c>
      <c r="AH354" s="97" t="str">
        <f aca="false">IF(ISBLANK($C354),"",IF($Z354=Constants!$B$7,IF(ISNUMBER(AG354),COUNTIFS($AA$8:$AA$507,"&lt;"&amp;$AA354)+COUNTIFS($AA$8:$AA$507,$AA354,$AG$8:$AG$507,"&lt;"&amp;$AG354)+1,Constants!$B$14),$Z354))</f>
        <v/>
      </c>
      <c r="AI354" s="97" t="str">
        <f aca="false">IF(ISBLANK($C354),"",IF($Z354=Constants!$B$7,LARGE(AB354:AC354,2)*S354,""))</f>
        <v/>
      </c>
      <c r="AJ354" s="97" t="str">
        <f aca="false">IF(ISBLANK($C354),"",IF($Z354=Constants!$B$7,RANK(AI354,$AI$8:$AI$507),$Z354))</f>
        <v/>
      </c>
      <c r="AK354" s="97" t="str">
        <f aca="false">IF(ISBLANK($C354),"",IF($Z354=Constants!$B$7,IF(ISNUMBER(AG354),COUNTIFS($AA$8:$AA$507,"&lt;"&amp;$AA354)+COUNTIFS($AA$8:$AA$507,$AA354,$AG$8:$AG$507,"&lt;"&amp;$AG354)+COUNTIFS($AA$8:$AA$507,$AA354,$AG$8:$AG$507,$AG354,$AJ$8:$AJ$507,"&lt;"&amp;$AJ354)+1,Constants!$B$14),$Z354))</f>
        <v/>
      </c>
      <c r="AL354" s="97" t="str">
        <f aca="false">IF(ISBLANK($C354),"",IF($Z354=Constants!$B$7,IF(ISNUMBER(AH354),AH354-AK354,Constants!$B$14),$Z354))</f>
        <v/>
      </c>
      <c r="AM354" s="98"/>
      <c r="AN354" s="99" t="str">
        <f aca="false">IF(ISBLANK($C354),"",IF($Z354&lt;&gt;Constants!$B$7,$Z354,AD354))</f>
        <v/>
      </c>
      <c r="AO354" s="100" t="str">
        <f aca="false">IF(ISBLANK($C354),"",IF($Z354&lt;&gt;Constants!$B$7,$Z354,S354))</f>
        <v/>
      </c>
      <c r="AP354" s="101" t="str">
        <f aca="false">IF(ISBLANK($C354),"",IF($Z354&lt;&gt;Constants!$B$7,$Z354,AF354))</f>
        <v/>
      </c>
      <c r="AQ354" s="102" t="str">
        <f aca="false">IF(ISBLANK($C354),"",IF($Z354&lt;&gt;Constants!$B$7,$Z354,AA354))</f>
        <v/>
      </c>
      <c r="AR354" s="100" t="str">
        <f aca="false">IF(ISBLANK($C354),"",AL354)</f>
        <v/>
      </c>
      <c r="AS354" s="100" t="str">
        <f aca="false">IF(ISBLANK($C354),"",AK354)</f>
        <v/>
      </c>
      <c r="AT354" s="103" t="str">
        <f aca="false">IF(ISBLANK($C354),"",IF(AS354=Constants!$B$4,COUNTA($C$8:$C$507)+2,IF(AS354=Constants!$B$5,COUNTA($C$8:$C$507)+1,IF(AS354=Constants!$B$6,COUNTA($C$8:$C$507),AS354))))</f>
        <v/>
      </c>
      <c r="AU354" s="5"/>
      <c r="AV354" s="104" t="n">
        <f aca="false">IF(OR(ISNUMBER(AS354),AS354=Constants!$B$4,AS354=Constants!$B$6,AS354=Constants!$B$5),1,0)</f>
        <v>0</v>
      </c>
      <c r="AW354" s="104" t="n">
        <v>347</v>
      </c>
      <c r="AX354" s="104" t="str">
        <f aca="false">IF(ISBLANK($C354),"",IF(ISNUMBER(AT354),AT354+ROW($B354)/1000,""))</f>
        <v/>
      </c>
      <c r="AY354" s="104" t="str">
        <f aca="false">IF(ISNUMBER(AX354),RANK(AX354,$AX$8:$AX$507,1),"")</f>
        <v/>
      </c>
      <c r="AZ354" s="104" t="str">
        <f aca="false">IF(ISBLANK($C354),"",$B354)</f>
        <v/>
      </c>
      <c r="BA354" s="104" t="str">
        <f aca="false">IF(ISBLANK($C354),"",$C354)</f>
        <v/>
      </c>
      <c r="BB354" s="104" t="str">
        <f aca="false">IF(ISBLANK($C354),"",$D354)</f>
        <v/>
      </c>
      <c r="BC354" s="105" t="str">
        <f aca="false">AQ354</f>
        <v/>
      </c>
      <c r="BD354" s="106" t="str">
        <f aca="false">AP354</f>
        <v/>
      </c>
      <c r="BE354" s="104" t="str">
        <f aca="false">IF(ISBLANK($C354),"",AS354)</f>
        <v/>
      </c>
      <c r="BF354" s="107" t="str">
        <f aca="false">IF($AW354&gt;$AV$7,"",VLOOKUP($AW354,$AY$8:$BE$507,7,FALSE()))</f>
        <v/>
      </c>
      <c r="BG354" s="108" t="str">
        <f aca="false">IF($AW354&gt;$AV$7,"",VLOOKUP($AW354,$AY$8:$BE$507,2,FALSE()))</f>
        <v/>
      </c>
      <c r="BH354" s="108" t="str">
        <f aca="false">IF($AW354&gt;$AV$7,"",VLOOKUP($AW354,$AY$8:$BE$507,3,FALSE()))</f>
        <v/>
      </c>
      <c r="BI354" s="108" t="str">
        <f aca="false">IF($AW354&gt;$AV$7,"",VLOOKUP($AW354,$AY$8:$BE$507,4,FALSE()))</f>
        <v/>
      </c>
      <c r="BJ354" s="108" t="str">
        <f aca="false">IF($AW354&gt;$AV$7,"",VLOOKUP($AW354,$AY$8:$BE$507,5,FALSE()))</f>
        <v/>
      </c>
      <c r="BK354" s="109" t="str">
        <f aca="false">IF($AW354&gt;$AV$7,"",VLOOKUP($AW354,$AY$8:$BE$507,6,FALSE()))</f>
        <v/>
      </c>
      <c r="BL354" s="50"/>
    </row>
    <row r="355" customFormat="false" ht="15.75" hidden="false" customHeight="false" outlineLevel="0" collapsed="false">
      <c r="A355" s="5"/>
      <c r="B355" s="124"/>
      <c r="C355" s="125"/>
      <c r="D355" s="110"/>
      <c r="E355" s="130"/>
      <c r="F355" s="135"/>
      <c r="G355" s="88"/>
      <c r="H355" s="136"/>
      <c r="I355" s="137"/>
      <c r="J355" s="91"/>
      <c r="K355" s="92"/>
      <c r="L355" s="137"/>
      <c r="M355" s="93"/>
      <c r="N355" s="94"/>
      <c r="O355" s="130"/>
      <c r="P355" s="96"/>
      <c r="Q355" s="97" t="str">
        <f aca="false">IF(ISBLANK($C355),"",IF(E355=Constants!$B$2, TRUE(), IF(E355=Constants!$B$3, FALSE(), TRUE())))</f>
        <v/>
      </c>
      <c r="R355" s="97" t="str">
        <f aca="false">IF(ISBLANK($C355),"",IF(F355=Constants!$B$2, TRUE(), IF(F355=Constants!$B$3, FALSE(), TRUE())))</f>
        <v/>
      </c>
      <c r="S355" s="97" t="str">
        <f aca="false">IF(ISBLANK($C355),"",IF(G355=Constants!$B$15,Constants!$B$8,IF(G355=Constants!$B$16,Constants!$B$9,Constants!$B$10)))</f>
        <v/>
      </c>
      <c r="T355" s="97" t="str">
        <f aca="false">IF(ISBLANK($C355),"",IF(H355=Constants!$B$2, TRUE(), IF(H355=Constants!$B$3, FALSE(), TRUE())))</f>
        <v/>
      </c>
      <c r="U355" s="97" t="str">
        <f aca="false">IF(ISBLANK($C355),"",IF(I355=Constants!$B$19,Constants!$B$19,Constants!$B$18))</f>
        <v/>
      </c>
      <c r="V355" s="97" t="str">
        <f aca="false">IF(ISBLANK($C355),"",IF(COUNTA(J355:K355)=0,"",IF(AND(OR(ISBLANK(J355),AND(ISNUMBER(J355),J355&gt;=0)),OR(ISBLANK(K355),AND(ISNUMBER(K355),K355&gt;=0))),60*IF(ISBLANK(J355),0,J355)+IF(ISBLANK(K355),0,K355),"")))</f>
        <v/>
      </c>
      <c r="W355" s="97" t="str">
        <f aca="false">IF(ISBLANK($C355),"",IF(L355=Constants!$B$19,Constants!$B$19,Constants!$B$18))</f>
        <v/>
      </c>
      <c r="X355" s="97" t="str">
        <f aca="false">IF(ISBLANK($C355),"",IF(COUNTA(M355:N355)=0,"",IF(AND(OR(ISBLANK(M355),AND(ISNUMBER(M355),M355&gt;=0)),OR(ISBLANK(N355),AND(ISNUMBER(N355),N355&gt;=0))),60*IF(ISBLANK(M355),0,M355)+IF(ISBLANK(N355),0,N355),"")))</f>
        <v/>
      </c>
      <c r="Y355" s="97" t="str">
        <f aca="false">IF(ISBLANK($C355),"",IF(O355=Constants!$B$2, TRUE(), IF(O355=Constants!$B$3, FALSE(), FALSE())))</f>
        <v/>
      </c>
      <c r="Z355" s="97" t="str">
        <f aca="false">IF(ISBLANK($C355),"",IF(Y355,Constants!$B$4,IF(COUNTA(E355:N355)=0,Constants!$B$5,IF(COUNTA(J355:K355,M355:N355)=0,Constants!$B$6,Constants!$B$7))))</f>
        <v/>
      </c>
      <c r="AA355" s="97" t="str">
        <f aca="false">IF(ISBLANK($C355),"",IF($Z355&lt;&gt;Constants!$B$7,$Z355,IF(OR(NOT(T355),AND(NOT(Q355),COUNTIFS(U355:W355,Constants!$B$18,V355:X355,"&gt;=0")&gt;0),AND(NOT(R355),COUNTIFS(U355:W355,Constants!$B$19,V355:X355,"&gt;=0")&gt;0)),Constants!$B$12,Constants!$B$11)))</f>
        <v/>
      </c>
      <c r="AB355" s="97" t="str">
        <f aca="false">IF($Z355=Constants!$B$7,IF(V355="",Constants!$B$13,V355),"")</f>
        <v/>
      </c>
      <c r="AC355" s="97" t="str">
        <f aca="false">IF($Z355=Constants!$B$7,IF(X355="",Constants!$B$13,X355),"")</f>
        <v/>
      </c>
      <c r="AD355" s="97" t="str">
        <f aca="false">IF($Z355=Constants!$B$7,IF($AB355&gt;=$AC355,1,2),"")</f>
        <v/>
      </c>
      <c r="AE355" s="97" t="str">
        <f aca="false">IF($Z355=Constants!$B$7,LARGE(AB355:AC355,1),"")</f>
        <v/>
      </c>
      <c r="AF355" s="97" t="str">
        <f aca="false">IF(ISBLANK($C355),"",IF($Z355&lt;&gt;Constants!$B$7,$Z355,AE355*S355))</f>
        <v/>
      </c>
      <c r="AG355" s="97" t="str">
        <f aca="false">IF(ISBLANK($C355),"",IF($Z355=Constants!$B$7,IF(ISNUMBER(AF355),RANK(AF355,$AF$8:$AF$507),Constants!$B$14),$Z355))</f>
        <v/>
      </c>
      <c r="AH355" s="97" t="str">
        <f aca="false">IF(ISBLANK($C355),"",IF($Z355=Constants!$B$7,IF(ISNUMBER(AG355),COUNTIFS($AA$8:$AA$507,"&lt;"&amp;$AA355)+COUNTIFS($AA$8:$AA$507,$AA355,$AG$8:$AG$507,"&lt;"&amp;$AG355)+1,Constants!$B$14),$Z355))</f>
        <v/>
      </c>
      <c r="AI355" s="97" t="str">
        <f aca="false">IF(ISBLANK($C355),"",IF($Z355=Constants!$B$7,LARGE(AB355:AC355,2)*S355,""))</f>
        <v/>
      </c>
      <c r="AJ355" s="97" t="str">
        <f aca="false">IF(ISBLANK($C355),"",IF($Z355=Constants!$B$7,RANK(AI355,$AI$8:$AI$507),$Z355))</f>
        <v/>
      </c>
      <c r="AK355" s="97" t="str">
        <f aca="false">IF(ISBLANK($C355),"",IF($Z355=Constants!$B$7,IF(ISNUMBER(AG355),COUNTIFS($AA$8:$AA$507,"&lt;"&amp;$AA355)+COUNTIFS($AA$8:$AA$507,$AA355,$AG$8:$AG$507,"&lt;"&amp;$AG355)+COUNTIFS($AA$8:$AA$507,$AA355,$AG$8:$AG$507,$AG355,$AJ$8:$AJ$507,"&lt;"&amp;$AJ355)+1,Constants!$B$14),$Z355))</f>
        <v/>
      </c>
      <c r="AL355" s="97" t="str">
        <f aca="false">IF(ISBLANK($C355),"",IF($Z355=Constants!$B$7,IF(ISNUMBER(AH355),AH355-AK355,Constants!$B$14),$Z355))</f>
        <v/>
      </c>
      <c r="AM355" s="98"/>
      <c r="AN355" s="99" t="str">
        <f aca="false">IF(ISBLANK($C355),"",IF($Z355&lt;&gt;Constants!$B$7,$Z355,AD355))</f>
        <v/>
      </c>
      <c r="AO355" s="100" t="str">
        <f aca="false">IF(ISBLANK($C355),"",IF($Z355&lt;&gt;Constants!$B$7,$Z355,S355))</f>
        <v/>
      </c>
      <c r="AP355" s="101" t="str">
        <f aca="false">IF(ISBLANK($C355),"",IF($Z355&lt;&gt;Constants!$B$7,$Z355,AF355))</f>
        <v/>
      </c>
      <c r="AQ355" s="102" t="str">
        <f aca="false">IF(ISBLANK($C355),"",IF($Z355&lt;&gt;Constants!$B$7,$Z355,AA355))</f>
        <v/>
      </c>
      <c r="AR355" s="100" t="str">
        <f aca="false">IF(ISBLANK($C355),"",AL355)</f>
        <v/>
      </c>
      <c r="AS355" s="100" t="str">
        <f aca="false">IF(ISBLANK($C355),"",AK355)</f>
        <v/>
      </c>
      <c r="AT355" s="103" t="str">
        <f aca="false">IF(ISBLANK($C355),"",IF(AS355=Constants!$B$4,COUNTA($C$8:$C$507)+2,IF(AS355=Constants!$B$5,COUNTA($C$8:$C$507)+1,IF(AS355=Constants!$B$6,COUNTA($C$8:$C$507),AS355))))</f>
        <v/>
      </c>
      <c r="AU355" s="5"/>
      <c r="AV355" s="104" t="n">
        <f aca="false">IF(OR(ISNUMBER(AS355),AS355=Constants!$B$4,AS355=Constants!$B$6,AS355=Constants!$B$5),1,0)</f>
        <v>0</v>
      </c>
      <c r="AW355" s="104" t="n">
        <v>348</v>
      </c>
      <c r="AX355" s="104" t="str">
        <f aca="false">IF(ISBLANK($C355),"",IF(ISNUMBER(AT355),AT355+ROW($B355)/1000,""))</f>
        <v/>
      </c>
      <c r="AY355" s="104" t="str">
        <f aca="false">IF(ISNUMBER(AX355),RANK(AX355,$AX$8:$AX$507,1),"")</f>
        <v/>
      </c>
      <c r="AZ355" s="104" t="str">
        <f aca="false">IF(ISBLANK($C355),"",$B355)</f>
        <v/>
      </c>
      <c r="BA355" s="104" t="str">
        <f aca="false">IF(ISBLANK($C355),"",$C355)</f>
        <v/>
      </c>
      <c r="BB355" s="104" t="str">
        <f aca="false">IF(ISBLANK($C355),"",$D355)</f>
        <v/>
      </c>
      <c r="BC355" s="105" t="str">
        <f aca="false">AQ355</f>
        <v/>
      </c>
      <c r="BD355" s="106" t="str">
        <f aca="false">AP355</f>
        <v/>
      </c>
      <c r="BE355" s="104" t="str">
        <f aca="false">IF(ISBLANK($C355),"",AS355)</f>
        <v/>
      </c>
      <c r="BF355" s="107" t="str">
        <f aca="false">IF($AW355&gt;$AV$7,"",VLOOKUP($AW355,$AY$8:$BE$507,7,FALSE()))</f>
        <v/>
      </c>
      <c r="BG355" s="108" t="str">
        <f aca="false">IF($AW355&gt;$AV$7,"",VLOOKUP($AW355,$AY$8:$BE$507,2,FALSE()))</f>
        <v/>
      </c>
      <c r="BH355" s="108" t="str">
        <f aca="false">IF($AW355&gt;$AV$7,"",VLOOKUP($AW355,$AY$8:$BE$507,3,FALSE()))</f>
        <v/>
      </c>
      <c r="BI355" s="108" t="str">
        <f aca="false">IF($AW355&gt;$AV$7,"",VLOOKUP($AW355,$AY$8:$BE$507,4,FALSE()))</f>
        <v/>
      </c>
      <c r="BJ355" s="108" t="str">
        <f aca="false">IF($AW355&gt;$AV$7,"",VLOOKUP($AW355,$AY$8:$BE$507,5,FALSE()))</f>
        <v/>
      </c>
      <c r="BK355" s="109" t="str">
        <f aca="false">IF($AW355&gt;$AV$7,"",VLOOKUP($AW355,$AY$8:$BE$507,6,FALSE()))</f>
        <v/>
      </c>
      <c r="BL355" s="50"/>
    </row>
    <row r="356" customFormat="false" ht="15.75" hidden="false" customHeight="false" outlineLevel="0" collapsed="false">
      <c r="A356" s="5"/>
      <c r="B356" s="131"/>
      <c r="C356" s="52"/>
      <c r="D356" s="53"/>
      <c r="E356" s="80"/>
      <c r="F356" s="132"/>
      <c r="G356" s="56"/>
      <c r="H356" s="133"/>
      <c r="I356" s="134"/>
      <c r="J356" s="59"/>
      <c r="K356" s="60"/>
      <c r="L356" s="134"/>
      <c r="M356" s="61"/>
      <c r="N356" s="62"/>
      <c r="O356" s="80"/>
      <c r="P356" s="64"/>
      <c r="Q356" s="65" t="str">
        <f aca="false">IF(ISBLANK($C356),"",IF(E356=Constants!$B$2, TRUE(), IF(E356=Constants!$B$3, FALSE(), TRUE())))</f>
        <v/>
      </c>
      <c r="R356" s="65" t="str">
        <f aca="false">IF(ISBLANK($C356),"",IF(F356=Constants!$B$2, TRUE(), IF(F356=Constants!$B$3, FALSE(), TRUE())))</f>
        <v/>
      </c>
      <c r="S356" s="65" t="str">
        <f aca="false">IF(ISBLANK($C356),"",IF(G356=Constants!$B$15,Constants!$B$8,IF(G356=Constants!$B$16,Constants!$B$9,Constants!$B$10)))</f>
        <v/>
      </c>
      <c r="T356" s="65" t="str">
        <f aca="false">IF(ISBLANK($C356),"",IF(H356=Constants!$B$2, TRUE(), IF(H356=Constants!$B$3, FALSE(), TRUE())))</f>
        <v/>
      </c>
      <c r="U356" s="65" t="str">
        <f aca="false">IF(ISBLANK($C356),"",IF(I356=Constants!$B$19,Constants!$B$19,Constants!$B$18))</f>
        <v/>
      </c>
      <c r="V356" s="65" t="str">
        <f aca="false">IF(ISBLANK($C356),"",IF(COUNTA(J356:K356)=0,"",IF(AND(OR(ISBLANK(J356),AND(ISNUMBER(J356),J356&gt;=0)),OR(ISBLANK(K356),AND(ISNUMBER(K356),K356&gt;=0))),60*IF(ISBLANK(J356),0,J356)+IF(ISBLANK(K356),0,K356),"")))</f>
        <v/>
      </c>
      <c r="W356" s="65" t="str">
        <f aca="false">IF(ISBLANK($C356),"",IF(L356=Constants!$B$19,Constants!$B$19,Constants!$B$18))</f>
        <v/>
      </c>
      <c r="X356" s="65" t="str">
        <f aca="false">IF(ISBLANK($C356),"",IF(COUNTA(M356:N356)=0,"",IF(AND(OR(ISBLANK(M356),AND(ISNUMBER(M356),M356&gt;=0)),OR(ISBLANK(N356),AND(ISNUMBER(N356),N356&gt;=0))),60*IF(ISBLANK(M356),0,M356)+IF(ISBLANK(N356),0,N356),"")))</f>
        <v/>
      </c>
      <c r="Y356" s="65" t="str">
        <f aca="false">IF(ISBLANK($C356),"",IF(O356=Constants!$B$2, TRUE(), IF(O356=Constants!$B$3, FALSE(), FALSE())))</f>
        <v/>
      </c>
      <c r="Z356" s="65" t="str">
        <f aca="false">IF(ISBLANK($C356),"",IF(Y356,Constants!$B$4,IF(COUNTA(E356:N356)=0,Constants!$B$5,IF(COUNTA(J356:K356,M356:N356)=0,Constants!$B$6,Constants!$B$7))))</f>
        <v/>
      </c>
      <c r="AA356" s="65" t="str">
        <f aca="false">IF(ISBLANK($C356),"",IF($Z356&lt;&gt;Constants!$B$7,$Z356,IF(OR(NOT(T356),AND(NOT(Q356),COUNTIFS(U356:W356,Constants!$B$18,V356:X356,"&gt;=0")&gt;0),AND(NOT(R356),COUNTIFS(U356:W356,Constants!$B$19,V356:X356,"&gt;=0")&gt;0)),Constants!$B$12,Constants!$B$11)))</f>
        <v/>
      </c>
      <c r="AB356" s="65" t="str">
        <f aca="false">IF($Z356=Constants!$B$7,IF(V356="",Constants!$B$13,V356),"")</f>
        <v/>
      </c>
      <c r="AC356" s="65" t="str">
        <f aca="false">IF($Z356=Constants!$B$7,IF(X356="",Constants!$B$13,X356),"")</f>
        <v/>
      </c>
      <c r="AD356" s="65" t="str">
        <f aca="false">IF($Z356=Constants!$B$7,IF($AB356&gt;=$AC356,1,2),"")</f>
        <v/>
      </c>
      <c r="AE356" s="65" t="str">
        <f aca="false">IF($Z356=Constants!$B$7,LARGE(AB356:AC356,1),"")</f>
        <v/>
      </c>
      <c r="AF356" s="65" t="str">
        <f aca="false">IF(ISBLANK($C356),"",IF($Z356&lt;&gt;Constants!$B$7,$Z356,AE356*S356))</f>
        <v/>
      </c>
      <c r="AG356" s="65" t="str">
        <f aca="false">IF(ISBLANK($C356),"",IF($Z356=Constants!$B$7,IF(ISNUMBER(AF356),RANK(AF356,$AF$8:$AF$507),Constants!$B$14),$Z356))</f>
        <v/>
      </c>
      <c r="AH356" s="65" t="str">
        <f aca="false">IF(ISBLANK($C356),"",IF($Z356=Constants!$B$7,IF(ISNUMBER(AG356),COUNTIFS($AA$8:$AA$507,"&lt;"&amp;$AA356)+COUNTIFS($AA$8:$AA$507,$AA356,$AG$8:$AG$507,"&lt;"&amp;$AG356)+1,Constants!$B$14),$Z356))</f>
        <v/>
      </c>
      <c r="AI356" s="65" t="str">
        <f aca="false">IF(ISBLANK($C356),"",IF($Z356=Constants!$B$7,LARGE(AB356:AC356,2)*S356,""))</f>
        <v/>
      </c>
      <c r="AJ356" s="65" t="str">
        <f aca="false">IF(ISBLANK($C356),"",IF($Z356=Constants!$B$7,RANK(AI356,$AI$8:$AI$507),$Z356))</f>
        <v/>
      </c>
      <c r="AK356" s="65" t="str">
        <f aca="false">IF(ISBLANK($C356),"",IF($Z356=Constants!$B$7,IF(ISNUMBER(AG356),COUNTIFS($AA$8:$AA$507,"&lt;"&amp;$AA356)+COUNTIFS($AA$8:$AA$507,$AA356,$AG$8:$AG$507,"&lt;"&amp;$AG356)+COUNTIFS($AA$8:$AA$507,$AA356,$AG$8:$AG$507,$AG356,$AJ$8:$AJ$507,"&lt;"&amp;$AJ356)+1,Constants!$B$14),$Z356))</f>
        <v/>
      </c>
      <c r="AL356" s="65" t="str">
        <f aca="false">IF(ISBLANK($C356),"",IF($Z356=Constants!$B$7,IF(ISNUMBER(AH356),AH356-AK356,Constants!$B$14),$Z356))</f>
        <v/>
      </c>
      <c r="AM356" s="67"/>
      <c r="AN356" s="68" t="str">
        <f aca="false">IF(ISBLANK($C356),"",IF($Z356&lt;&gt;Constants!$B$7,$Z356,AD356))</f>
        <v/>
      </c>
      <c r="AO356" s="69" t="str">
        <f aca="false">IF(ISBLANK($C356),"",IF($Z356&lt;&gt;Constants!$B$7,$Z356,S356))</f>
        <v/>
      </c>
      <c r="AP356" s="70" t="str">
        <f aca="false">IF(ISBLANK($C356),"",IF($Z356&lt;&gt;Constants!$B$7,$Z356,AF356))</f>
        <v/>
      </c>
      <c r="AQ356" s="71" t="str">
        <f aca="false">IF(ISBLANK($C356),"",IF($Z356&lt;&gt;Constants!$B$7,$Z356,AA356))</f>
        <v/>
      </c>
      <c r="AR356" s="69" t="str">
        <f aca="false">IF(ISBLANK($C356),"",AL356)</f>
        <v/>
      </c>
      <c r="AS356" s="69" t="str">
        <f aca="false">IF(ISBLANK($C356),"",AK356)</f>
        <v/>
      </c>
      <c r="AT356" s="72" t="str">
        <f aca="false">IF(ISBLANK($C356),"",IF(AS356=Constants!$B$4,COUNTA($C$8:$C$507)+2,IF(AS356=Constants!$B$5,COUNTA($C$8:$C$507)+1,IF(AS356=Constants!$B$6,COUNTA($C$8:$C$507),AS356))))</f>
        <v/>
      </c>
      <c r="AU356" s="5"/>
      <c r="AV356" s="73" t="n">
        <f aca="false">IF(OR(ISNUMBER(AS356),AS356=Constants!$B$4,AS356=Constants!$B$6,AS356=Constants!$B$5),1,0)</f>
        <v>0</v>
      </c>
      <c r="AW356" s="73" t="n">
        <v>349</v>
      </c>
      <c r="AX356" s="73" t="str">
        <f aca="false">IF(ISBLANK($C356),"",IF(ISNUMBER(AT356),AT356+ROW($B356)/1000,""))</f>
        <v/>
      </c>
      <c r="AY356" s="73" t="str">
        <f aca="false">IF(ISNUMBER(AX356),RANK(AX356,$AX$8:$AX$507,1),"")</f>
        <v/>
      </c>
      <c r="AZ356" s="73" t="str">
        <f aca="false">IF(ISBLANK($C356),"",$B356)</f>
        <v/>
      </c>
      <c r="BA356" s="73" t="str">
        <f aca="false">IF(ISBLANK($C356),"",$C356)</f>
        <v/>
      </c>
      <c r="BB356" s="73" t="str">
        <f aca="false">IF(ISBLANK($C356),"",$D356)</f>
        <v/>
      </c>
      <c r="BC356" s="74" t="str">
        <f aca="false">AQ356</f>
        <v/>
      </c>
      <c r="BD356" s="75" t="str">
        <f aca="false">AP356</f>
        <v/>
      </c>
      <c r="BE356" s="73" t="str">
        <f aca="false">IF(ISBLANK($C356),"",AS356)</f>
        <v/>
      </c>
      <c r="BF356" s="76" t="str">
        <f aca="false">IF($AW356&gt;$AV$7,"",VLOOKUP($AW356,$AY$8:$BE$507,7,FALSE()))</f>
        <v/>
      </c>
      <c r="BG356" s="77" t="str">
        <f aca="false">IF($AW356&gt;$AV$7,"",VLOOKUP($AW356,$AY$8:$BE$507,2,FALSE()))</f>
        <v/>
      </c>
      <c r="BH356" s="77" t="str">
        <f aca="false">IF($AW356&gt;$AV$7,"",VLOOKUP($AW356,$AY$8:$BE$507,3,FALSE()))</f>
        <v/>
      </c>
      <c r="BI356" s="77" t="str">
        <f aca="false">IF($AW356&gt;$AV$7,"",VLOOKUP($AW356,$AY$8:$BE$507,4,FALSE()))</f>
        <v/>
      </c>
      <c r="BJ356" s="77" t="str">
        <f aca="false">IF($AW356&gt;$AV$7,"",VLOOKUP($AW356,$AY$8:$BE$507,5,FALSE()))</f>
        <v/>
      </c>
      <c r="BK356" s="78" t="str">
        <f aca="false">IF($AW356&gt;$AV$7,"",VLOOKUP($AW356,$AY$8:$BE$507,6,FALSE()))</f>
        <v/>
      </c>
      <c r="BL356" s="50"/>
    </row>
    <row r="357" customFormat="false" ht="15.75" hidden="false" customHeight="false" outlineLevel="0" collapsed="false">
      <c r="A357" s="5"/>
      <c r="B357" s="131"/>
      <c r="C357" s="52"/>
      <c r="D357" s="53"/>
      <c r="E357" s="80"/>
      <c r="F357" s="132"/>
      <c r="G357" s="56"/>
      <c r="H357" s="133"/>
      <c r="I357" s="134"/>
      <c r="J357" s="59"/>
      <c r="K357" s="60"/>
      <c r="L357" s="134"/>
      <c r="M357" s="61"/>
      <c r="N357" s="62"/>
      <c r="O357" s="80"/>
      <c r="P357" s="64"/>
      <c r="Q357" s="65" t="str">
        <f aca="false">IF(ISBLANK($C357),"",IF(E357=Constants!$B$2, TRUE(), IF(E357=Constants!$B$3, FALSE(), TRUE())))</f>
        <v/>
      </c>
      <c r="R357" s="65" t="str">
        <f aca="false">IF(ISBLANK($C357),"",IF(F357=Constants!$B$2, TRUE(), IF(F357=Constants!$B$3, FALSE(), TRUE())))</f>
        <v/>
      </c>
      <c r="S357" s="65" t="str">
        <f aca="false">IF(ISBLANK($C357),"",IF(G357=Constants!$B$15,Constants!$B$8,IF(G357=Constants!$B$16,Constants!$B$9,Constants!$B$10)))</f>
        <v/>
      </c>
      <c r="T357" s="65" t="str">
        <f aca="false">IF(ISBLANK($C357),"",IF(H357=Constants!$B$2, TRUE(), IF(H357=Constants!$B$3, FALSE(), TRUE())))</f>
        <v/>
      </c>
      <c r="U357" s="65" t="str">
        <f aca="false">IF(ISBLANK($C357),"",IF(I357=Constants!$B$19,Constants!$B$19,Constants!$B$18))</f>
        <v/>
      </c>
      <c r="V357" s="65" t="str">
        <f aca="false">IF(ISBLANK($C357),"",IF(COUNTA(J357:K357)=0,"",IF(AND(OR(ISBLANK(J357),AND(ISNUMBER(J357),J357&gt;=0)),OR(ISBLANK(K357),AND(ISNUMBER(K357),K357&gt;=0))),60*IF(ISBLANK(J357),0,J357)+IF(ISBLANK(K357),0,K357),"")))</f>
        <v/>
      </c>
      <c r="W357" s="65" t="str">
        <f aca="false">IF(ISBLANK($C357),"",IF(L357=Constants!$B$19,Constants!$B$19,Constants!$B$18))</f>
        <v/>
      </c>
      <c r="X357" s="65" t="str">
        <f aca="false">IF(ISBLANK($C357),"",IF(COUNTA(M357:N357)=0,"",IF(AND(OR(ISBLANK(M357),AND(ISNUMBER(M357),M357&gt;=0)),OR(ISBLANK(N357),AND(ISNUMBER(N357),N357&gt;=0))),60*IF(ISBLANK(M357),0,M357)+IF(ISBLANK(N357),0,N357),"")))</f>
        <v/>
      </c>
      <c r="Y357" s="65" t="str">
        <f aca="false">IF(ISBLANK($C357),"",IF(O357=Constants!$B$2, TRUE(), IF(O357=Constants!$B$3, FALSE(), FALSE())))</f>
        <v/>
      </c>
      <c r="Z357" s="65" t="str">
        <f aca="false">IF(ISBLANK($C357),"",IF(Y357,Constants!$B$4,IF(COUNTA(E357:N357)=0,Constants!$B$5,IF(COUNTA(J357:K357,M357:N357)=0,Constants!$B$6,Constants!$B$7))))</f>
        <v/>
      </c>
      <c r="AA357" s="65" t="str">
        <f aca="false">IF(ISBLANK($C357),"",IF($Z357&lt;&gt;Constants!$B$7,$Z357,IF(OR(NOT(T357),AND(NOT(Q357),COUNTIFS(U357:W357,Constants!$B$18,V357:X357,"&gt;=0")&gt;0),AND(NOT(R357),COUNTIFS(U357:W357,Constants!$B$19,V357:X357,"&gt;=0")&gt;0)),Constants!$B$12,Constants!$B$11)))</f>
        <v/>
      </c>
      <c r="AB357" s="65" t="str">
        <f aca="false">IF($Z357=Constants!$B$7,IF(V357="",Constants!$B$13,V357),"")</f>
        <v/>
      </c>
      <c r="AC357" s="65" t="str">
        <f aca="false">IF($Z357=Constants!$B$7,IF(X357="",Constants!$B$13,X357),"")</f>
        <v/>
      </c>
      <c r="AD357" s="65" t="str">
        <f aca="false">IF($Z357=Constants!$B$7,IF($AB357&gt;=$AC357,1,2),"")</f>
        <v/>
      </c>
      <c r="AE357" s="65" t="str">
        <f aca="false">IF($Z357=Constants!$B$7,LARGE(AB357:AC357,1),"")</f>
        <v/>
      </c>
      <c r="AF357" s="65" t="str">
        <f aca="false">IF(ISBLANK($C357),"",IF($Z357&lt;&gt;Constants!$B$7,$Z357,AE357*S357))</f>
        <v/>
      </c>
      <c r="AG357" s="65" t="str">
        <f aca="false">IF(ISBLANK($C357),"",IF($Z357=Constants!$B$7,IF(ISNUMBER(AF357),RANK(AF357,$AF$8:$AF$507),Constants!$B$14),$Z357))</f>
        <v/>
      </c>
      <c r="AH357" s="65" t="str">
        <f aca="false">IF(ISBLANK($C357),"",IF($Z357=Constants!$B$7,IF(ISNUMBER(AG357),COUNTIFS($AA$8:$AA$507,"&lt;"&amp;$AA357)+COUNTIFS($AA$8:$AA$507,$AA357,$AG$8:$AG$507,"&lt;"&amp;$AG357)+1,Constants!$B$14),$Z357))</f>
        <v/>
      </c>
      <c r="AI357" s="65" t="str">
        <f aca="false">IF(ISBLANK($C357),"",IF($Z357=Constants!$B$7,LARGE(AB357:AC357,2)*S357,""))</f>
        <v/>
      </c>
      <c r="AJ357" s="65" t="str">
        <f aca="false">IF(ISBLANK($C357),"",IF($Z357=Constants!$B$7,RANK(AI357,$AI$8:$AI$507),$Z357))</f>
        <v/>
      </c>
      <c r="AK357" s="65" t="str">
        <f aca="false">IF(ISBLANK($C357),"",IF($Z357=Constants!$B$7,IF(ISNUMBER(AG357),COUNTIFS($AA$8:$AA$507,"&lt;"&amp;$AA357)+COUNTIFS($AA$8:$AA$507,$AA357,$AG$8:$AG$507,"&lt;"&amp;$AG357)+COUNTIFS($AA$8:$AA$507,$AA357,$AG$8:$AG$507,$AG357,$AJ$8:$AJ$507,"&lt;"&amp;$AJ357)+1,Constants!$B$14),$Z357))</f>
        <v/>
      </c>
      <c r="AL357" s="65" t="str">
        <f aca="false">IF(ISBLANK($C357),"",IF($Z357=Constants!$B$7,IF(ISNUMBER(AH357),AH357-AK357,Constants!$B$14),$Z357))</f>
        <v/>
      </c>
      <c r="AM357" s="67"/>
      <c r="AN357" s="68" t="str">
        <f aca="false">IF(ISBLANK($C357),"",IF($Z357&lt;&gt;Constants!$B$7,$Z357,AD357))</f>
        <v/>
      </c>
      <c r="AO357" s="69" t="str">
        <f aca="false">IF(ISBLANK($C357),"",IF($Z357&lt;&gt;Constants!$B$7,$Z357,S357))</f>
        <v/>
      </c>
      <c r="AP357" s="70" t="str">
        <f aca="false">IF(ISBLANK($C357),"",IF($Z357&lt;&gt;Constants!$B$7,$Z357,AF357))</f>
        <v/>
      </c>
      <c r="AQ357" s="71" t="str">
        <f aca="false">IF(ISBLANK($C357),"",IF($Z357&lt;&gt;Constants!$B$7,$Z357,AA357))</f>
        <v/>
      </c>
      <c r="AR357" s="69" t="str">
        <f aca="false">IF(ISBLANK($C357),"",AL357)</f>
        <v/>
      </c>
      <c r="AS357" s="69" t="str">
        <f aca="false">IF(ISBLANK($C357),"",AK357)</f>
        <v/>
      </c>
      <c r="AT357" s="72" t="str">
        <f aca="false">IF(ISBLANK($C357),"",IF(AS357=Constants!$B$4,COUNTA($C$8:$C$507)+2,IF(AS357=Constants!$B$5,COUNTA($C$8:$C$507)+1,IF(AS357=Constants!$B$6,COUNTA($C$8:$C$507),AS357))))</f>
        <v/>
      </c>
      <c r="AU357" s="5"/>
      <c r="AV357" s="73" t="n">
        <f aca="false">IF(OR(ISNUMBER(AS357),AS357=Constants!$B$4,AS357=Constants!$B$6,AS357=Constants!$B$5),1,0)</f>
        <v>0</v>
      </c>
      <c r="AW357" s="73" t="n">
        <v>350</v>
      </c>
      <c r="AX357" s="73" t="str">
        <f aca="false">IF(ISBLANK($C357),"",IF(ISNUMBER(AT357),AT357+ROW($B357)/1000,""))</f>
        <v/>
      </c>
      <c r="AY357" s="73" t="str">
        <f aca="false">IF(ISNUMBER(AX357),RANK(AX357,$AX$8:$AX$507,1),"")</f>
        <v/>
      </c>
      <c r="AZ357" s="73" t="str">
        <f aca="false">IF(ISBLANK($C357),"",$B357)</f>
        <v/>
      </c>
      <c r="BA357" s="73" t="str">
        <f aca="false">IF(ISBLANK($C357),"",$C357)</f>
        <v/>
      </c>
      <c r="BB357" s="73" t="str">
        <f aca="false">IF(ISBLANK($C357),"",$D357)</f>
        <v/>
      </c>
      <c r="BC357" s="74" t="str">
        <f aca="false">AQ357</f>
        <v/>
      </c>
      <c r="BD357" s="75" t="str">
        <f aca="false">AP357</f>
        <v/>
      </c>
      <c r="BE357" s="73" t="str">
        <f aca="false">IF(ISBLANK($C357),"",AS357)</f>
        <v/>
      </c>
      <c r="BF357" s="76" t="str">
        <f aca="false">IF($AW357&gt;$AV$7,"",VLOOKUP($AW357,$AY$8:$BE$507,7,FALSE()))</f>
        <v/>
      </c>
      <c r="BG357" s="77" t="str">
        <f aca="false">IF($AW357&gt;$AV$7,"",VLOOKUP($AW357,$AY$8:$BE$507,2,FALSE()))</f>
        <v/>
      </c>
      <c r="BH357" s="77" t="str">
        <f aca="false">IF($AW357&gt;$AV$7,"",VLOOKUP($AW357,$AY$8:$BE$507,3,FALSE()))</f>
        <v/>
      </c>
      <c r="BI357" s="77" t="str">
        <f aca="false">IF($AW357&gt;$AV$7,"",VLOOKUP($AW357,$AY$8:$BE$507,4,FALSE()))</f>
        <v/>
      </c>
      <c r="BJ357" s="77" t="str">
        <f aca="false">IF($AW357&gt;$AV$7,"",VLOOKUP($AW357,$AY$8:$BE$507,5,FALSE()))</f>
        <v/>
      </c>
      <c r="BK357" s="78" t="str">
        <f aca="false">IF($AW357&gt;$AV$7,"",VLOOKUP($AW357,$AY$8:$BE$507,6,FALSE()))</f>
        <v/>
      </c>
      <c r="BL357" s="50"/>
    </row>
    <row r="358" customFormat="false" ht="15.75" hidden="false" customHeight="false" outlineLevel="0" collapsed="false">
      <c r="A358" s="5"/>
      <c r="B358" s="131"/>
      <c r="C358" s="52"/>
      <c r="D358" s="53"/>
      <c r="E358" s="80"/>
      <c r="F358" s="132"/>
      <c r="G358" s="56"/>
      <c r="H358" s="133"/>
      <c r="I358" s="134"/>
      <c r="J358" s="59"/>
      <c r="K358" s="60"/>
      <c r="L358" s="134"/>
      <c r="M358" s="61"/>
      <c r="N358" s="62"/>
      <c r="O358" s="80"/>
      <c r="P358" s="64"/>
      <c r="Q358" s="65" t="str">
        <f aca="false">IF(ISBLANK($C358),"",IF(E358=Constants!$B$2, TRUE(), IF(E358=Constants!$B$3, FALSE(), TRUE())))</f>
        <v/>
      </c>
      <c r="R358" s="65" t="str">
        <f aca="false">IF(ISBLANK($C358),"",IF(F358=Constants!$B$2, TRUE(), IF(F358=Constants!$B$3, FALSE(), TRUE())))</f>
        <v/>
      </c>
      <c r="S358" s="65" t="str">
        <f aca="false">IF(ISBLANK($C358),"",IF(G358=Constants!$B$15,Constants!$B$8,IF(G358=Constants!$B$16,Constants!$B$9,Constants!$B$10)))</f>
        <v/>
      </c>
      <c r="T358" s="65" t="str">
        <f aca="false">IF(ISBLANK($C358),"",IF(H358=Constants!$B$2, TRUE(), IF(H358=Constants!$B$3, FALSE(), TRUE())))</f>
        <v/>
      </c>
      <c r="U358" s="65" t="str">
        <f aca="false">IF(ISBLANK($C358),"",IF(I358=Constants!$B$19,Constants!$B$19,Constants!$B$18))</f>
        <v/>
      </c>
      <c r="V358" s="65" t="str">
        <f aca="false">IF(ISBLANK($C358),"",IF(COUNTA(J358:K358)=0,"",IF(AND(OR(ISBLANK(J358),AND(ISNUMBER(J358),J358&gt;=0)),OR(ISBLANK(K358),AND(ISNUMBER(K358),K358&gt;=0))),60*IF(ISBLANK(J358),0,J358)+IF(ISBLANK(K358),0,K358),"")))</f>
        <v/>
      </c>
      <c r="W358" s="65" t="str">
        <f aca="false">IF(ISBLANK($C358),"",IF(L358=Constants!$B$19,Constants!$B$19,Constants!$B$18))</f>
        <v/>
      </c>
      <c r="X358" s="65" t="str">
        <f aca="false">IF(ISBLANK($C358),"",IF(COUNTA(M358:N358)=0,"",IF(AND(OR(ISBLANK(M358),AND(ISNUMBER(M358),M358&gt;=0)),OR(ISBLANK(N358),AND(ISNUMBER(N358),N358&gt;=0))),60*IF(ISBLANK(M358),0,M358)+IF(ISBLANK(N358),0,N358),"")))</f>
        <v/>
      </c>
      <c r="Y358" s="65" t="str">
        <f aca="false">IF(ISBLANK($C358),"",IF(O358=Constants!$B$2, TRUE(), IF(O358=Constants!$B$3, FALSE(), FALSE())))</f>
        <v/>
      </c>
      <c r="Z358" s="65" t="str">
        <f aca="false">IF(ISBLANK($C358),"",IF(Y358,Constants!$B$4,IF(COUNTA(E358:N358)=0,Constants!$B$5,IF(COUNTA(J358:K358,M358:N358)=0,Constants!$B$6,Constants!$B$7))))</f>
        <v/>
      </c>
      <c r="AA358" s="65" t="str">
        <f aca="false">IF(ISBLANK($C358),"",IF($Z358&lt;&gt;Constants!$B$7,$Z358,IF(OR(NOT(T358),AND(NOT(Q358),COUNTIFS(U358:W358,Constants!$B$18,V358:X358,"&gt;=0")&gt;0),AND(NOT(R358),COUNTIFS(U358:W358,Constants!$B$19,V358:X358,"&gt;=0")&gt;0)),Constants!$B$12,Constants!$B$11)))</f>
        <v/>
      </c>
      <c r="AB358" s="65" t="str">
        <f aca="false">IF($Z358=Constants!$B$7,IF(V358="",Constants!$B$13,V358),"")</f>
        <v/>
      </c>
      <c r="AC358" s="65" t="str">
        <f aca="false">IF($Z358=Constants!$B$7,IF(X358="",Constants!$B$13,X358),"")</f>
        <v/>
      </c>
      <c r="AD358" s="65" t="str">
        <f aca="false">IF($Z358=Constants!$B$7,IF($AB358&gt;=$AC358,1,2),"")</f>
        <v/>
      </c>
      <c r="AE358" s="65" t="str">
        <f aca="false">IF($Z358=Constants!$B$7,LARGE(AB358:AC358,1),"")</f>
        <v/>
      </c>
      <c r="AF358" s="65" t="str">
        <f aca="false">IF(ISBLANK($C358),"",IF($Z358&lt;&gt;Constants!$B$7,$Z358,AE358*S358))</f>
        <v/>
      </c>
      <c r="AG358" s="65" t="str">
        <f aca="false">IF(ISBLANK($C358),"",IF($Z358=Constants!$B$7,IF(ISNUMBER(AF358),RANK(AF358,$AF$8:$AF$507),Constants!$B$14),$Z358))</f>
        <v/>
      </c>
      <c r="AH358" s="65" t="str">
        <f aca="false">IF(ISBLANK($C358),"",IF($Z358=Constants!$B$7,IF(ISNUMBER(AG358),COUNTIFS($AA$8:$AA$507,"&lt;"&amp;$AA358)+COUNTIFS($AA$8:$AA$507,$AA358,$AG$8:$AG$507,"&lt;"&amp;$AG358)+1,Constants!$B$14),$Z358))</f>
        <v/>
      </c>
      <c r="AI358" s="65" t="str">
        <f aca="false">IF(ISBLANK($C358),"",IF($Z358=Constants!$B$7,LARGE(AB358:AC358,2)*S358,""))</f>
        <v/>
      </c>
      <c r="AJ358" s="65" t="str">
        <f aca="false">IF(ISBLANK($C358),"",IF($Z358=Constants!$B$7,RANK(AI358,$AI$8:$AI$507),$Z358))</f>
        <v/>
      </c>
      <c r="AK358" s="65" t="str">
        <f aca="false">IF(ISBLANK($C358),"",IF($Z358=Constants!$B$7,IF(ISNUMBER(AG358),COUNTIFS($AA$8:$AA$507,"&lt;"&amp;$AA358)+COUNTIFS($AA$8:$AA$507,$AA358,$AG$8:$AG$507,"&lt;"&amp;$AG358)+COUNTIFS($AA$8:$AA$507,$AA358,$AG$8:$AG$507,$AG358,$AJ$8:$AJ$507,"&lt;"&amp;$AJ358)+1,Constants!$B$14),$Z358))</f>
        <v/>
      </c>
      <c r="AL358" s="65" t="str">
        <f aca="false">IF(ISBLANK($C358),"",IF($Z358=Constants!$B$7,IF(ISNUMBER(AH358),AH358-AK358,Constants!$B$14),$Z358))</f>
        <v/>
      </c>
      <c r="AM358" s="67"/>
      <c r="AN358" s="68" t="str">
        <f aca="false">IF(ISBLANK($C358),"",IF($Z358&lt;&gt;Constants!$B$7,$Z358,AD358))</f>
        <v/>
      </c>
      <c r="AO358" s="69" t="str">
        <f aca="false">IF(ISBLANK($C358),"",IF($Z358&lt;&gt;Constants!$B$7,$Z358,S358))</f>
        <v/>
      </c>
      <c r="AP358" s="70" t="str">
        <f aca="false">IF(ISBLANK($C358),"",IF($Z358&lt;&gt;Constants!$B$7,$Z358,AF358))</f>
        <v/>
      </c>
      <c r="AQ358" s="71" t="str">
        <f aca="false">IF(ISBLANK($C358),"",IF($Z358&lt;&gt;Constants!$B$7,$Z358,AA358))</f>
        <v/>
      </c>
      <c r="AR358" s="69" t="str">
        <f aca="false">IF(ISBLANK($C358),"",AL358)</f>
        <v/>
      </c>
      <c r="AS358" s="69" t="str">
        <f aca="false">IF(ISBLANK($C358),"",AK358)</f>
        <v/>
      </c>
      <c r="AT358" s="72" t="str">
        <f aca="false">IF(ISBLANK($C358),"",IF(AS358=Constants!$B$4,COUNTA($C$8:$C$507)+2,IF(AS358=Constants!$B$5,COUNTA($C$8:$C$507)+1,IF(AS358=Constants!$B$6,COUNTA($C$8:$C$507),AS358))))</f>
        <v/>
      </c>
      <c r="AU358" s="5"/>
      <c r="AV358" s="73" t="n">
        <f aca="false">IF(OR(ISNUMBER(AS358),AS358=Constants!$B$4,AS358=Constants!$B$6,AS358=Constants!$B$5),1,0)</f>
        <v>0</v>
      </c>
      <c r="AW358" s="73" t="n">
        <v>351</v>
      </c>
      <c r="AX358" s="73" t="str">
        <f aca="false">IF(ISBLANK($C358),"",IF(ISNUMBER(AT358),AT358+ROW($B358)/1000,""))</f>
        <v/>
      </c>
      <c r="AY358" s="73" t="str">
        <f aca="false">IF(ISNUMBER(AX358),RANK(AX358,$AX$8:$AX$507,1),"")</f>
        <v/>
      </c>
      <c r="AZ358" s="73" t="str">
        <f aca="false">IF(ISBLANK($C358),"",$B358)</f>
        <v/>
      </c>
      <c r="BA358" s="73" t="str">
        <f aca="false">IF(ISBLANK($C358),"",$C358)</f>
        <v/>
      </c>
      <c r="BB358" s="73" t="str">
        <f aca="false">IF(ISBLANK($C358),"",$D358)</f>
        <v/>
      </c>
      <c r="BC358" s="74" t="str">
        <f aca="false">AQ358</f>
        <v/>
      </c>
      <c r="BD358" s="75" t="str">
        <f aca="false">AP358</f>
        <v/>
      </c>
      <c r="BE358" s="73" t="str">
        <f aca="false">IF(ISBLANK($C358),"",AS358)</f>
        <v/>
      </c>
      <c r="BF358" s="76" t="str">
        <f aca="false">IF($AW358&gt;$AV$7,"",VLOOKUP($AW358,$AY$8:$BE$507,7,FALSE()))</f>
        <v/>
      </c>
      <c r="BG358" s="77" t="str">
        <f aca="false">IF($AW358&gt;$AV$7,"",VLOOKUP($AW358,$AY$8:$BE$507,2,FALSE()))</f>
        <v/>
      </c>
      <c r="BH358" s="77" t="str">
        <f aca="false">IF($AW358&gt;$AV$7,"",VLOOKUP($AW358,$AY$8:$BE$507,3,FALSE()))</f>
        <v/>
      </c>
      <c r="BI358" s="77" t="str">
        <f aca="false">IF($AW358&gt;$AV$7,"",VLOOKUP($AW358,$AY$8:$BE$507,4,FALSE()))</f>
        <v/>
      </c>
      <c r="BJ358" s="77" t="str">
        <f aca="false">IF($AW358&gt;$AV$7,"",VLOOKUP($AW358,$AY$8:$BE$507,5,FALSE()))</f>
        <v/>
      </c>
      <c r="BK358" s="78" t="str">
        <f aca="false">IF($AW358&gt;$AV$7,"",VLOOKUP($AW358,$AY$8:$BE$507,6,FALSE()))</f>
        <v/>
      </c>
      <c r="BL358" s="50"/>
    </row>
    <row r="359" customFormat="false" ht="15.75" hidden="false" customHeight="false" outlineLevel="0" collapsed="false">
      <c r="A359" s="5"/>
      <c r="B359" s="124"/>
      <c r="C359" s="125"/>
      <c r="D359" s="110"/>
      <c r="E359" s="130"/>
      <c r="F359" s="135"/>
      <c r="G359" s="88"/>
      <c r="H359" s="136"/>
      <c r="I359" s="137"/>
      <c r="J359" s="91"/>
      <c r="K359" s="92"/>
      <c r="L359" s="137"/>
      <c r="M359" s="93"/>
      <c r="N359" s="94"/>
      <c r="O359" s="130"/>
      <c r="P359" s="96"/>
      <c r="Q359" s="97" t="str">
        <f aca="false">IF(ISBLANK($C359),"",IF(E359=Constants!$B$2, TRUE(), IF(E359=Constants!$B$3, FALSE(), TRUE())))</f>
        <v/>
      </c>
      <c r="R359" s="97" t="str">
        <f aca="false">IF(ISBLANK($C359),"",IF(F359=Constants!$B$2, TRUE(), IF(F359=Constants!$B$3, FALSE(), TRUE())))</f>
        <v/>
      </c>
      <c r="S359" s="97" t="str">
        <f aca="false">IF(ISBLANK($C359),"",IF(G359=Constants!$B$15,Constants!$B$8,IF(G359=Constants!$B$16,Constants!$B$9,Constants!$B$10)))</f>
        <v/>
      </c>
      <c r="T359" s="97" t="str">
        <f aca="false">IF(ISBLANK($C359),"",IF(H359=Constants!$B$2, TRUE(), IF(H359=Constants!$B$3, FALSE(), TRUE())))</f>
        <v/>
      </c>
      <c r="U359" s="97" t="str">
        <f aca="false">IF(ISBLANK($C359),"",IF(I359=Constants!$B$19,Constants!$B$19,Constants!$B$18))</f>
        <v/>
      </c>
      <c r="V359" s="97" t="str">
        <f aca="false">IF(ISBLANK($C359),"",IF(COUNTA(J359:K359)=0,"",IF(AND(OR(ISBLANK(J359),AND(ISNUMBER(J359),J359&gt;=0)),OR(ISBLANK(K359),AND(ISNUMBER(K359),K359&gt;=0))),60*IF(ISBLANK(J359),0,J359)+IF(ISBLANK(K359),0,K359),"")))</f>
        <v/>
      </c>
      <c r="W359" s="97" t="str">
        <f aca="false">IF(ISBLANK($C359),"",IF(L359=Constants!$B$19,Constants!$B$19,Constants!$B$18))</f>
        <v/>
      </c>
      <c r="X359" s="97" t="str">
        <f aca="false">IF(ISBLANK($C359),"",IF(COUNTA(M359:N359)=0,"",IF(AND(OR(ISBLANK(M359),AND(ISNUMBER(M359),M359&gt;=0)),OR(ISBLANK(N359),AND(ISNUMBER(N359),N359&gt;=0))),60*IF(ISBLANK(M359),0,M359)+IF(ISBLANK(N359),0,N359),"")))</f>
        <v/>
      </c>
      <c r="Y359" s="97" t="str">
        <f aca="false">IF(ISBLANK($C359),"",IF(O359=Constants!$B$2, TRUE(), IF(O359=Constants!$B$3, FALSE(), FALSE())))</f>
        <v/>
      </c>
      <c r="Z359" s="97" t="str">
        <f aca="false">IF(ISBLANK($C359),"",IF(Y359,Constants!$B$4,IF(COUNTA(E359:N359)=0,Constants!$B$5,IF(COUNTA(J359:K359,M359:N359)=0,Constants!$B$6,Constants!$B$7))))</f>
        <v/>
      </c>
      <c r="AA359" s="97" t="str">
        <f aca="false">IF(ISBLANK($C359),"",IF($Z359&lt;&gt;Constants!$B$7,$Z359,IF(OR(NOT(T359),AND(NOT(Q359),COUNTIFS(U359:W359,Constants!$B$18,V359:X359,"&gt;=0")&gt;0),AND(NOT(R359),COUNTIFS(U359:W359,Constants!$B$19,V359:X359,"&gt;=0")&gt;0)),Constants!$B$12,Constants!$B$11)))</f>
        <v/>
      </c>
      <c r="AB359" s="97" t="str">
        <f aca="false">IF($Z359=Constants!$B$7,IF(V359="",Constants!$B$13,V359),"")</f>
        <v/>
      </c>
      <c r="AC359" s="97" t="str">
        <f aca="false">IF($Z359=Constants!$B$7,IF(X359="",Constants!$B$13,X359),"")</f>
        <v/>
      </c>
      <c r="AD359" s="97" t="str">
        <f aca="false">IF($Z359=Constants!$B$7,IF($AB359&gt;=$AC359,1,2),"")</f>
        <v/>
      </c>
      <c r="AE359" s="97" t="str">
        <f aca="false">IF($Z359=Constants!$B$7,LARGE(AB359:AC359,1),"")</f>
        <v/>
      </c>
      <c r="AF359" s="97" t="str">
        <f aca="false">IF(ISBLANK($C359),"",IF($Z359&lt;&gt;Constants!$B$7,$Z359,AE359*S359))</f>
        <v/>
      </c>
      <c r="AG359" s="97" t="str">
        <f aca="false">IF(ISBLANK($C359),"",IF($Z359=Constants!$B$7,IF(ISNUMBER(AF359),RANK(AF359,$AF$8:$AF$507),Constants!$B$14),$Z359))</f>
        <v/>
      </c>
      <c r="AH359" s="97" t="str">
        <f aca="false">IF(ISBLANK($C359),"",IF($Z359=Constants!$B$7,IF(ISNUMBER(AG359),COUNTIFS($AA$8:$AA$507,"&lt;"&amp;$AA359)+COUNTIFS($AA$8:$AA$507,$AA359,$AG$8:$AG$507,"&lt;"&amp;$AG359)+1,Constants!$B$14),$Z359))</f>
        <v/>
      </c>
      <c r="AI359" s="97" t="str">
        <f aca="false">IF(ISBLANK($C359),"",IF($Z359=Constants!$B$7,LARGE(AB359:AC359,2)*S359,""))</f>
        <v/>
      </c>
      <c r="AJ359" s="97" t="str">
        <f aca="false">IF(ISBLANK($C359),"",IF($Z359=Constants!$B$7,RANK(AI359,$AI$8:$AI$507),$Z359))</f>
        <v/>
      </c>
      <c r="AK359" s="97" t="str">
        <f aca="false">IF(ISBLANK($C359),"",IF($Z359=Constants!$B$7,IF(ISNUMBER(AG359),COUNTIFS($AA$8:$AA$507,"&lt;"&amp;$AA359)+COUNTIFS($AA$8:$AA$507,$AA359,$AG$8:$AG$507,"&lt;"&amp;$AG359)+COUNTIFS($AA$8:$AA$507,$AA359,$AG$8:$AG$507,$AG359,$AJ$8:$AJ$507,"&lt;"&amp;$AJ359)+1,Constants!$B$14),$Z359))</f>
        <v/>
      </c>
      <c r="AL359" s="97" t="str">
        <f aca="false">IF(ISBLANK($C359),"",IF($Z359=Constants!$B$7,IF(ISNUMBER(AH359),AH359-AK359,Constants!$B$14),$Z359))</f>
        <v/>
      </c>
      <c r="AM359" s="98"/>
      <c r="AN359" s="99" t="str">
        <f aca="false">IF(ISBLANK($C359),"",IF($Z359&lt;&gt;Constants!$B$7,$Z359,AD359))</f>
        <v/>
      </c>
      <c r="AO359" s="100" t="str">
        <f aca="false">IF(ISBLANK($C359),"",IF($Z359&lt;&gt;Constants!$B$7,$Z359,S359))</f>
        <v/>
      </c>
      <c r="AP359" s="101" t="str">
        <f aca="false">IF(ISBLANK($C359),"",IF($Z359&lt;&gt;Constants!$B$7,$Z359,AF359))</f>
        <v/>
      </c>
      <c r="AQ359" s="102" t="str">
        <f aca="false">IF(ISBLANK($C359),"",IF($Z359&lt;&gt;Constants!$B$7,$Z359,AA359))</f>
        <v/>
      </c>
      <c r="AR359" s="100" t="str">
        <f aca="false">IF(ISBLANK($C359),"",AL359)</f>
        <v/>
      </c>
      <c r="AS359" s="100" t="str">
        <f aca="false">IF(ISBLANK($C359),"",AK359)</f>
        <v/>
      </c>
      <c r="AT359" s="103" t="str">
        <f aca="false">IF(ISBLANK($C359),"",IF(AS359=Constants!$B$4,COUNTA($C$8:$C$507)+2,IF(AS359=Constants!$B$5,COUNTA($C$8:$C$507)+1,IF(AS359=Constants!$B$6,COUNTA($C$8:$C$507),AS359))))</f>
        <v/>
      </c>
      <c r="AU359" s="5"/>
      <c r="AV359" s="104" t="n">
        <f aca="false">IF(OR(ISNUMBER(AS359),AS359=Constants!$B$4,AS359=Constants!$B$6,AS359=Constants!$B$5),1,0)</f>
        <v>0</v>
      </c>
      <c r="AW359" s="104" t="n">
        <v>352</v>
      </c>
      <c r="AX359" s="104" t="str">
        <f aca="false">IF(ISBLANK($C359),"",IF(ISNUMBER(AT359),AT359+ROW($B359)/1000,""))</f>
        <v/>
      </c>
      <c r="AY359" s="104" t="str">
        <f aca="false">IF(ISNUMBER(AX359),RANK(AX359,$AX$8:$AX$507,1),"")</f>
        <v/>
      </c>
      <c r="AZ359" s="104" t="str">
        <f aca="false">IF(ISBLANK($C359),"",$B359)</f>
        <v/>
      </c>
      <c r="BA359" s="104" t="str">
        <f aca="false">IF(ISBLANK($C359),"",$C359)</f>
        <v/>
      </c>
      <c r="BB359" s="104" t="str">
        <f aca="false">IF(ISBLANK($C359),"",$D359)</f>
        <v/>
      </c>
      <c r="BC359" s="105" t="str">
        <f aca="false">AQ359</f>
        <v/>
      </c>
      <c r="BD359" s="106" t="str">
        <f aca="false">AP359</f>
        <v/>
      </c>
      <c r="BE359" s="104" t="str">
        <f aca="false">IF(ISBLANK($C359),"",AS359)</f>
        <v/>
      </c>
      <c r="BF359" s="107" t="str">
        <f aca="false">IF($AW359&gt;$AV$7,"",VLOOKUP($AW359,$AY$8:$BE$507,7,FALSE()))</f>
        <v/>
      </c>
      <c r="BG359" s="108" t="str">
        <f aca="false">IF($AW359&gt;$AV$7,"",VLOOKUP($AW359,$AY$8:$BE$507,2,FALSE()))</f>
        <v/>
      </c>
      <c r="BH359" s="108" t="str">
        <f aca="false">IF($AW359&gt;$AV$7,"",VLOOKUP($AW359,$AY$8:$BE$507,3,FALSE()))</f>
        <v/>
      </c>
      <c r="BI359" s="108" t="str">
        <f aca="false">IF($AW359&gt;$AV$7,"",VLOOKUP($AW359,$AY$8:$BE$507,4,FALSE()))</f>
        <v/>
      </c>
      <c r="BJ359" s="108" t="str">
        <f aca="false">IF($AW359&gt;$AV$7,"",VLOOKUP($AW359,$AY$8:$BE$507,5,FALSE()))</f>
        <v/>
      </c>
      <c r="BK359" s="109" t="str">
        <f aca="false">IF($AW359&gt;$AV$7,"",VLOOKUP($AW359,$AY$8:$BE$507,6,FALSE()))</f>
        <v/>
      </c>
      <c r="BL359" s="50"/>
    </row>
    <row r="360" customFormat="false" ht="15.75" hidden="false" customHeight="false" outlineLevel="0" collapsed="false">
      <c r="A360" s="5"/>
      <c r="B360" s="124"/>
      <c r="C360" s="125"/>
      <c r="D360" s="110"/>
      <c r="E360" s="130"/>
      <c r="F360" s="135"/>
      <c r="G360" s="88"/>
      <c r="H360" s="136"/>
      <c r="I360" s="137"/>
      <c r="J360" s="91"/>
      <c r="K360" s="92"/>
      <c r="L360" s="137"/>
      <c r="M360" s="93"/>
      <c r="N360" s="94"/>
      <c r="O360" s="130"/>
      <c r="P360" s="96"/>
      <c r="Q360" s="97" t="str">
        <f aca="false">IF(ISBLANK($C360),"",IF(E360=Constants!$B$2, TRUE(), IF(E360=Constants!$B$3, FALSE(), TRUE())))</f>
        <v/>
      </c>
      <c r="R360" s="97" t="str">
        <f aca="false">IF(ISBLANK($C360),"",IF(F360=Constants!$B$2, TRUE(), IF(F360=Constants!$B$3, FALSE(), TRUE())))</f>
        <v/>
      </c>
      <c r="S360" s="97" t="str">
        <f aca="false">IF(ISBLANK($C360),"",IF(G360=Constants!$B$15,Constants!$B$8,IF(G360=Constants!$B$16,Constants!$B$9,Constants!$B$10)))</f>
        <v/>
      </c>
      <c r="T360" s="97" t="str">
        <f aca="false">IF(ISBLANK($C360),"",IF(H360=Constants!$B$2, TRUE(), IF(H360=Constants!$B$3, FALSE(), TRUE())))</f>
        <v/>
      </c>
      <c r="U360" s="97" t="str">
        <f aca="false">IF(ISBLANK($C360),"",IF(I360=Constants!$B$19,Constants!$B$19,Constants!$B$18))</f>
        <v/>
      </c>
      <c r="V360" s="97" t="str">
        <f aca="false">IF(ISBLANK($C360),"",IF(COUNTA(J360:K360)=0,"",IF(AND(OR(ISBLANK(J360),AND(ISNUMBER(J360),J360&gt;=0)),OR(ISBLANK(K360),AND(ISNUMBER(K360),K360&gt;=0))),60*IF(ISBLANK(J360),0,J360)+IF(ISBLANK(K360),0,K360),"")))</f>
        <v/>
      </c>
      <c r="W360" s="97" t="str">
        <f aca="false">IF(ISBLANK($C360),"",IF(L360=Constants!$B$19,Constants!$B$19,Constants!$B$18))</f>
        <v/>
      </c>
      <c r="X360" s="97" t="str">
        <f aca="false">IF(ISBLANK($C360),"",IF(COUNTA(M360:N360)=0,"",IF(AND(OR(ISBLANK(M360),AND(ISNUMBER(M360),M360&gt;=0)),OR(ISBLANK(N360),AND(ISNUMBER(N360),N360&gt;=0))),60*IF(ISBLANK(M360),0,M360)+IF(ISBLANK(N360),0,N360),"")))</f>
        <v/>
      </c>
      <c r="Y360" s="97" t="str">
        <f aca="false">IF(ISBLANK($C360),"",IF(O360=Constants!$B$2, TRUE(), IF(O360=Constants!$B$3, FALSE(), FALSE())))</f>
        <v/>
      </c>
      <c r="Z360" s="97" t="str">
        <f aca="false">IF(ISBLANK($C360),"",IF(Y360,Constants!$B$4,IF(COUNTA(E360:N360)=0,Constants!$B$5,IF(COUNTA(J360:K360,M360:N360)=0,Constants!$B$6,Constants!$B$7))))</f>
        <v/>
      </c>
      <c r="AA360" s="97" t="str">
        <f aca="false">IF(ISBLANK($C360),"",IF($Z360&lt;&gt;Constants!$B$7,$Z360,IF(OR(NOT(T360),AND(NOT(Q360),COUNTIFS(U360:W360,Constants!$B$18,V360:X360,"&gt;=0")&gt;0),AND(NOT(R360),COUNTIFS(U360:W360,Constants!$B$19,V360:X360,"&gt;=0")&gt;0)),Constants!$B$12,Constants!$B$11)))</f>
        <v/>
      </c>
      <c r="AB360" s="97" t="str">
        <f aca="false">IF($Z360=Constants!$B$7,IF(V360="",Constants!$B$13,V360),"")</f>
        <v/>
      </c>
      <c r="AC360" s="97" t="str">
        <f aca="false">IF($Z360=Constants!$B$7,IF(X360="",Constants!$B$13,X360),"")</f>
        <v/>
      </c>
      <c r="AD360" s="97" t="str">
        <f aca="false">IF($Z360=Constants!$B$7,IF($AB360&gt;=$AC360,1,2),"")</f>
        <v/>
      </c>
      <c r="AE360" s="97" t="str">
        <f aca="false">IF($Z360=Constants!$B$7,LARGE(AB360:AC360,1),"")</f>
        <v/>
      </c>
      <c r="AF360" s="97" t="str">
        <f aca="false">IF(ISBLANK($C360),"",IF($Z360&lt;&gt;Constants!$B$7,$Z360,AE360*S360))</f>
        <v/>
      </c>
      <c r="AG360" s="97" t="str">
        <f aca="false">IF(ISBLANK($C360),"",IF($Z360=Constants!$B$7,IF(ISNUMBER(AF360),RANK(AF360,$AF$8:$AF$507),Constants!$B$14),$Z360))</f>
        <v/>
      </c>
      <c r="AH360" s="97" t="str">
        <f aca="false">IF(ISBLANK($C360),"",IF($Z360=Constants!$B$7,IF(ISNUMBER(AG360),COUNTIFS($AA$8:$AA$507,"&lt;"&amp;$AA360)+COUNTIFS($AA$8:$AA$507,$AA360,$AG$8:$AG$507,"&lt;"&amp;$AG360)+1,Constants!$B$14),$Z360))</f>
        <v/>
      </c>
      <c r="AI360" s="97" t="str">
        <f aca="false">IF(ISBLANK($C360),"",IF($Z360=Constants!$B$7,LARGE(AB360:AC360,2)*S360,""))</f>
        <v/>
      </c>
      <c r="AJ360" s="97" t="str">
        <f aca="false">IF(ISBLANK($C360),"",IF($Z360=Constants!$B$7,RANK(AI360,$AI$8:$AI$507),$Z360))</f>
        <v/>
      </c>
      <c r="AK360" s="97" t="str">
        <f aca="false">IF(ISBLANK($C360),"",IF($Z360=Constants!$B$7,IF(ISNUMBER(AG360),COUNTIFS($AA$8:$AA$507,"&lt;"&amp;$AA360)+COUNTIFS($AA$8:$AA$507,$AA360,$AG$8:$AG$507,"&lt;"&amp;$AG360)+COUNTIFS($AA$8:$AA$507,$AA360,$AG$8:$AG$507,$AG360,$AJ$8:$AJ$507,"&lt;"&amp;$AJ360)+1,Constants!$B$14),$Z360))</f>
        <v/>
      </c>
      <c r="AL360" s="97" t="str">
        <f aca="false">IF(ISBLANK($C360),"",IF($Z360=Constants!$B$7,IF(ISNUMBER(AH360),AH360-AK360,Constants!$B$14),$Z360))</f>
        <v/>
      </c>
      <c r="AM360" s="98"/>
      <c r="AN360" s="99" t="str">
        <f aca="false">IF(ISBLANK($C360),"",IF($Z360&lt;&gt;Constants!$B$7,$Z360,AD360))</f>
        <v/>
      </c>
      <c r="AO360" s="100" t="str">
        <f aca="false">IF(ISBLANK($C360),"",IF($Z360&lt;&gt;Constants!$B$7,$Z360,S360))</f>
        <v/>
      </c>
      <c r="AP360" s="101" t="str">
        <f aca="false">IF(ISBLANK($C360),"",IF($Z360&lt;&gt;Constants!$B$7,$Z360,AF360))</f>
        <v/>
      </c>
      <c r="AQ360" s="102" t="str">
        <f aca="false">IF(ISBLANK($C360),"",IF($Z360&lt;&gt;Constants!$B$7,$Z360,AA360))</f>
        <v/>
      </c>
      <c r="AR360" s="100" t="str">
        <f aca="false">IF(ISBLANK($C360),"",AL360)</f>
        <v/>
      </c>
      <c r="AS360" s="100" t="str">
        <f aca="false">IF(ISBLANK($C360),"",AK360)</f>
        <v/>
      </c>
      <c r="AT360" s="103" t="str">
        <f aca="false">IF(ISBLANK($C360),"",IF(AS360=Constants!$B$4,COUNTA($C$8:$C$507)+2,IF(AS360=Constants!$B$5,COUNTA($C$8:$C$507)+1,IF(AS360=Constants!$B$6,COUNTA($C$8:$C$507),AS360))))</f>
        <v/>
      </c>
      <c r="AU360" s="5"/>
      <c r="AV360" s="104" t="n">
        <f aca="false">IF(OR(ISNUMBER(AS360),AS360=Constants!$B$4,AS360=Constants!$B$6,AS360=Constants!$B$5),1,0)</f>
        <v>0</v>
      </c>
      <c r="AW360" s="104" t="n">
        <v>353</v>
      </c>
      <c r="AX360" s="104" t="str">
        <f aca="false">IF(ISBLANK($C360),"",IF(ISNUMBER(AT360),AT360+ROW($B360)/1000,""))</f>
        <v/>
      </c>
      <c r="AY360" s="104" t="str">
        <f aca="false">IF(ISNUMBER(AX360),RANK(AX360,$AX$8:$AX$507,1),"")</f>
        <v/>
      </c>
      <c r="AZ360" s="104" t="str">
        <f aca="false">IF(ISBLANK($C360),"",$B360)</f>
        <v/>
      </c>
      <c r="BA360" s="104" t="str">
        <f aca="false">IF(ISBLANK($C360),"",$C360)</f>
        <v/>
      </c>
      <c r="BB360" s="104" t="str">
        <f aca="false">IF(ISBLANK($C360),"",$D360)</f>
        <v/>
      </c>
      <c r="BC360" s="105" t="str">
        <f aca="false">AQ360</f>
        <v/>
      </c>
      <c r="BD360" s="106" t="str">
        <f aca="false">AP360</f>
        <v/>
      </c>
      <c r="BE360" s="104" t="str">
        <f aca="false">IF(ISBLANK($C360),"",AS360)</f>
        <v/>
      </c>
      <c r="BF360" s="107" t="str">
        <f aca="false">IF($AW360&gt;$AV$7,"",VLOOKUP($AW360,$AY$8:$BE$507,7,FALSE()))</f>
        <v/>
      </c>
      <c r="BG360" s="108" t="str">
        <f aca="false">IF($AW360&gt;$AV$7,"",VLOOKUP($AW360,$AY$8:$BE$507,2,FALSE()))</f>
        <v/>
      </c>
      <c r="BH360" s="108" t="str">
        <f aca="false">IF($AW360&gt;$AV$7,"",VLOOKUP($AW360,$AY$8:$BE$507,3,FALSE()))</f>
        <v/>
      </c>
      <c r="BI360" s="108" t="str">
        <f aca="false">IF($AW360&gt;$AV$7,"",VLOOKUP($AW360,$AY$8:$BE$507,4,FALSE()))</f>
        <v/>
      </c>
      <c r="BJ360" s="108" t="str">
        <f aca="false">IF($AW360&gt;$AV$7,"",VLOOKUP($AW360,$AY$8:$BE$507,5,FALSE()))</f>
        <v/>
      </c>
      <c r="BK360" s="109" t="str">
        <f aca="false">IF($AW360&gt;$AV$7,"",VLOOKUP($AW360,$AY$8:$BE$507,6,FALSE()))</f>
        <v/>
      </c>
      <c r="BL360" s="50"/>
    </row>
    <row r="361" customFormat="false" ht="15.75" hidden="false" customHeight="false" outlineLevel="0" collapsed="false">
      <c r="A361" s="5"/>
      <c r="B361" s="124"/>
      <c r="C361" s="125"/>
      <c r="D361" s="110"/>
      <c r="E361" s="130"/>
      <c r="F361" s="135"/>
      <c r="G361" s="88"/>
      <c r="H361" s="136"/>
      <c r="I361" s="137"/>
      <c r="J361" s="91"/>
      <c r="K361" s="92"/>
      <c r="L361" s="137"/>
      <c r="M361" s="93"/>
      <c r="N361" s="94"/>
      <c r="O361" s="130"/>
      <c r="P361" s="96"/>
      <c r="Q361" s="97" t="str">
        <f aca="false">IF(ISBLANK($C361),"",IF(E361=Constants!$B$2, TRUE(), IF(E361=Constants!$B$3, FALSE(), TRUE())))</f>
        <v/>
      </c>
      <c r="R361" s="97" t="str">
        <f aca="false">IF(ISBLANK($C361),"",IF(F361=Constants!$B$2, TRUE(), IF(F361=Constants!$B$3, FALSE(), TRUE())))</f>
        <v/>
      </c>
      <c r="S361" s="97" t="str">
        <f aca="false">IF(ISBLANK($C361),"",IF(G361=Constants!$B$15,Constants!$B$8,IF(G361=Constants!$B$16,Constants!$B$9,Constants!$B$10)))</f>
        <v/>
      </c>
      <c r="T361" s="97" t="str">
        <f aca="false">IF(ISBLANK($C361),"",IF(H361=Constants!$B$2, TRUE(), IF(H361=Constants!$B$3, FALSE(), TRUE())))</f>
        <v/>
      </c>
      <c r="U361" s="97" t="str">
        <f aca="false">IF(ISBLANK($C361),"",IF(I361=Constants!$B$19,Constants!$B$19,Constants!$B$18))</f>
        <v/>
      </c>
      <c r="V361" s="97" t="str">
        <f aca="false">IF(ISBLANK($C361),"",IF(COUNTA(J361:K361)=0,"",IF(AND(OR(ISBLANK(J361),AND(ISNUMBER(J361),J361&gt;=0)),OR(ISBLANK(K361),AND(ISNUMBER(K361),K361&gt;=0))),60*IF(ISBLANK(J361),0,J361)+IF(ISBLANK(K361),0,K361),"")))</f>
        <v/>
      </c>
      <c r="W361" s="97" t="str">
        <f aca="false">IF(ISBLANK($C361),"",IF(L361=Constants!$B$19,Constants!$B$19,Constants!$B$18))</f>
        <v/>
      </c>
      <c r="X361" s="97" t="str">
        <f aca="false">IF(ISBLANK($C361),"",IF(COUNTA(M361:N361)=0,"",IF(AND(OR(ISBLANK(M361),AND(ISNUMBER(M361),M361&gt;=0)),OR(ISBLANK(N361),AND(ISNUMBER(N361),N361&gt;=0))),60*IF(ISBLANK(M361),0,M361)+IF(ISBLANK(N361),0,N361),"")))</f>
        <v/>
      </c>
      <c r="Y361" s="97" t="str">
        <f aca="false">IF(ISBLANK($C361),"",IF(O361=Constants!$B$2, TRUE(), IF(O361=Constants!$B$3, FALSE(), FALSE())))</f>
        <v/>
      </c>
      <c r="Z361" s="97" t="str">
        <f aca="false">IF(ISBLANK($C361),"",IF(Y361,Constants!$B$4,IF(COUNTA(E361:N361)=0,Constants!$B$5,IF(COUNTA(J361:K361,M361:N361)=0,Constants!$B$6,Constants!$B$7))))</f>
        <v/>
      </c>
      <c r="AA361" s="97" t="str">
        <f aca="false">IF(ISBLANK($C361),"",IF($Z361&lt;&gt;Constants!$B$7,$Z361,IF(OR(NOT(T361),AND(NOT(Q361),COUNTIFS(U361:W361,Constants!$B$18,V361:X361,"&gt;=0")&gt;0),AND(NOT(R361),COUNTIFS(U361:W361,Constants!$B$19,V361:X361,"&gt;=0")&gt;0)),Constants!$B$12,Constants!$B$11)))</f>
        <v/>
      </c>
      <c r="AB361" s="97" t="str">
        <f aca="false">IF($Z361=Constants!$B$7,IF(V361="",Constants!$B$13,V361),"")</f>
        <v/>
      </c>
      <c r="AC361" s="97" t="str">
        <f aca="false">IF($Z361=Constants!$B$7,IF(X361="",Constants!$B$13,X361),"")</f>
        <v/>
      </c>
      <c r="AD361" s="97" t="str">
        <f aca="false">IF($Z361=Constants!$B$7,IF($AB361&gt;=$AC361,1,2),"")</f>
        <v/>
      </c>
      <c r="AE361" s="97" t="str">
        <f aca="false">IF($Z361=Constants!$B$7,LARGE(AB361:AC361,1),"")</f>
        <v/>
      </c>
      <c r="AF361" s="97" t="str">
        <f aca="false">IF(ISBLANK($C361),"",IF($Z361&lt;&gt;Constants!$B$7,$Z361,AE361*S361))</f>
        <v/>
      </c>
      <c r="AG361" s="97" t="str">
        <f aca="false">IF(ISBLANK($C361),"",IF($Z361=Constants!$B$7,IF(ISNUMBER(AF361),RANK(AF361,$AF$8:$AF$507),Constants!$B$14),$Z361))</f>
        <v/>
      </c>
      <c r="AH361" s="97" t="str">
        <f aca="false">IF(ISBLANK($C361),"",IF($Z361=Constants!$B$7,IF(ISNUMBER(AG361),COUNTIFS($AA$8:$AA$507,"&lt;"&amp;$AA361)+COUNTIFS($AA$8:$AA$507,$AA361,$AG$8:$AG$507,"&lt;"&amp;$AG361)+1,Constants!$B$14),$Z361))</f>
        <v/>
      </c>
      <c r="AI361" s="97" t="str">
        <f aca="false">IF(ISBLANK($C361),"",IF($Z361=Constants!$B$7,LARGE(AB361:AC361,2)*S361,""))</f>
        <v/>
      </c>
      <c r="AJ361" s="97" t="str">
        <f aca="false">IF(ISBLANK($C361),"",IF($Z361=Constants!$B$7,RANK(AI361,$AI$8:$AI$507),$Z361))</f>
        <v/>
      </c>
      <c r="AK361" s="97" t="str">
        <f aca="false">IF(ISBLANK($C361),"",IF($Z361=Constants!$B$7,IF(ISNUMBER(AG361),COUNTIFS($AA$8:$AA$507,"&lt;"&amp;$AA361)+COUNTIFS($AA$8:$AA$507,$AA361,$AG$8:$AG$507,"&lt;"&amp;$AG361)+COUNTIFS($AA$8:$AA$507,$AA361,$AG$8:$AG$507,$AG361,$AJ$8:$AJ$507,"&lt;"&amp;$AJ361)+1,Constants!$B$14),$Z361))</f>
        <v/>
      </c>
      <c r="AL361" s="97" t="str">
        <f aca="false">IF(ISBLANK($C361),"",IF($Z361=Constants!$B$7,IF(ISNUMBER(AH361),AH361-AK361,Constants!$B$14),$Z361))</f>
        <v/>
      </c>
      <c r="AM361" s="98"/>
      <c r="AN361" s="99" t="str">
        <f aca="false">IF(ISBLANK($C361),"",IF($Z361&lt;&gt;Constants!$B$7,$Z361,AD361))</f>
        <v/>
      </c>
      <c r="AO361" s="100" t="str">
        <f aca="false">IF(ISBLANK($C361),"",IF($Z361&lt;&gt;Constants!$B$7,$Z361,S361))</f>
        <v/>
      </c>
      <c r="AP361" s="101" t="str">
        <f aca="false">IF(ISBLANK($C361),"",IF($Z361&lt;&gt;Constants!$B$7,$Z361,AF361))</f>
        <v/>
      </c>
      <c r="AQ361" s="102" t="str">
        <f aca="false">IF(ISBLANK($C361),"",IF($Z361&lt;&gt;Constants!$B$7,$Z361,AA361))</f>
        <v/>
      </c>
      <c r="AR361" s="100" t="str">
        <f aca="false">IF(ISBLANK($C361),"",AL361)</f>
        <v/>
      </c>
      <c r="AS361" s="100" t="str">
        <f aca="false">IF(ISBLANK($C361),"",AK361)</f>
        <v/>
      </c>
      <c r="AT361" s="103" t="str">
        <f aca="false">IF(ISBLANK($C361),"",IF(AS361=Constants!$B$4,COUNTA($C$8:$C$507)+2,IF(AS361=Constants!$B$5,COUNTA($C$8:$C$507)+1,IF(AS361=Constants!$B$6,COUNTA($C$8:$C$507),AS361))))</f>
        <v/>
      </c>
      <c r="AU361" s="5"/>
      <c r="AV361" s="104" t="n">
        <f aca="false">IF(OR(ISNUMBER(AS361),AS361=Constants!$B$4,AS361=Constants!$B$6,AS361=Constants!$B$5),1,0)</f>
        <v>0</v>
      </c>
      <c r="AW361" s="104" t="n">
        <v>354</v>
      </c>
      <c r="AX361" s="104" t="str">
        <f aca="false">IF(ISBLANK($C361),"",IF(ISNUMBER(AT361),AT361+ROW($B361)/1000,""))</f>
        <v/>
      </c>
      <c r="AY361" s="104" t="str">
        <f aca="false">IF(ISNUMBER(AX361),RANK(AX361,$AX$8:$AX$507,1),"")</f>
        <v/>
      </c>
      <c r="AZ361" s="104" t="str">
        <f aca="false">IF(ISBLANK($C361),"",$B361)</f>
        <v/>
      </c>
      <c r="BA361" s="104" t="str">
        <f aca="false">IF(ISBLANK($C361),"",$C361)</f>
        <v/>
      </c>
      <c r="BB361" s="104" t="str">
        <f aca="false">IF(ISBLANK($C361),"",$D361)</f>
        <v/>
      </c>
      <c r="BC361" s="105" t="str">
        <f aca="false">AQ361</f>
        <v/>
      </c>
      <c r="BD361" s="106" t="str">
        <f aca="false">AP361</f>
        <v/>
      </c>
      <c r="BE361" s="104" t="str">
        <f aca="false">IF(ISBLANK($C361),"",AS361)</f>
        <v/>
      </c>
      <c r="BF361" s="107" t="str">
        <f aca="false">IF($AW361&gt;$AV$7,"",VLOOKUP($AW361,$AY$8:$BE$507,7,FALSE()))</f>
        <v/>
      </c>
      <c r="BG361" s="108" t="str">
        <f aca="false">IF($AW361&gt;$AV$7,"",VLOOKUP($AW361,$AY$8:$BE$507,2,FALSE()))</f>
        <v/>
      </c>
      <c r="BH361" s="108" t="str">
        <f aca="false">IF($AW361&gt;$AV$7,"",VLOOKUP($AW361,$AY$8:$BE$507,3,FALSE()))</f>
        <v/>
      </c>
      <c r="BI361" s="108" t="str">
        <f aca="false">IF($AW361&gt;$AV$7,"",VLOOKUP($AW361,$AY$8:$BE$507,4,FALSE()))</f>
        <v/>
      </c>
      <c r="BJ361" s="108" t="str">
        <f aca="false">IF($AW361&gt;$AV$7,"",VLOOKUP($AW361,$AY$8:$BE$507,5,FALSE()))</f>
        <v/>
      </c>
      <c r="BK361" s="109" t="str">
        <f aca="false">IF($AW361&gt;$AV$7,"",VLOOKUP($AW361,$AY$8:$BE$507,6,FALSE()))</f>
        <v/>
      </c>
      <c r="BL361" s="50"/>
    </row>
    <row r="362" customFormat="false" ht="15.75" hidden="false" customHeight="false" outlineLevel="0" collapsed="false">
      <c r="A362" s="5"/>
      <c r="B362" s="131"/>
      <c r="C362" s="52"/>
      <c r="D362" s="53"/>
      <c r="E362" s="80"/>
      <c r="F362" s="132"/>
      <c r="G362" s="56"/>
      <c r="H362" s="133"/>
      <c r="I362" s="134"/>
      <c r="J362" s="59"/>
      <c r="K362" s="60"/>
      <c r="L362" s="134"/>
      <c r="M362" s="61"/>
      <c r="N362" s="62"/>
      <c r="O362" s="80"/>
      <c r="P362" s="64"/>
      <c r="Q362" s="65" t="str">
        <f aca="false">IF(ISBLANK($C362),"",IF(E362=Constants!$B$2, TRUE(), IF(E362=Constants!$B$3, FALSE(), TRUE())))</f>
        <v/>
      </c>
      <c r="R362" s="65" t="str">
        <f aca="false">IF(ISBLANK($C362),"",IF(F362=Constants!$B$2, TRUE(), IF(F362=Constants!$B$3, FALSE(), TRUE())))</f>
        <v/>
      </c>
      <c r="S362" s="65" t="str">
        <f aca="false">IF(ISBLANK($C362),"",IF(G362=Constants!$B$15,Constants!$B$8,IF(G362=Constants!$B$16,Constants!$B$9,Constants!$B$10)))</f>
        <v/>
      </c>
      <c r="T362" s="65" t="str">
        <f aca="false">IF(ISBLANK($C362),"",IF(H362=Constants!$B$2, TRUE(), IF(H362=Constants!$B$3, FALSE(), TRUE())))</f>
        <v/>
      </c>
      <c r="U362" s="65" t="str">
        <f aca="false">IF(ISBLANK($C362),"",IF(I362=Constants!$B$19,Constants!$B$19,Constants!$B$18))</f>
        <v/>
      </c>
      <c r="V362" s="65" t="str">
        <f aca="false">IF(ISBLANK($C362),"",IF(COUNTA(J362:K362)=0,"",IF(AND(OR(ISBLANK(J362),AND(ISNUMBER(J362),J362&gt;=0)),OR(ISBLANK(K362),AND(ISNUMBER(K362),K362&gt;=0))),60*IF(ISBLANK(J362),0,J362)+IF(ISBLANK(K362),0,K362),"")))</f>
        <v/>
      </c>
      <c r="W362" s="65" t="str">
        <f aca="false">IF(ISBLANK($C362),"",IF(L362=Constants!$B$19,Constants!$B$19,Constants!$B$18))</f>
        <v/>
      </c>
      <c r="X362" s="65" t="str">
        <f aca="false">IF(ISBLANK($C362),"",IF(COUNTA(M362:N362)=0,"",IF(AND(OR(ISBLANK(M362),AND(ISNUMBER(M362),M362&gt;=0)),OR(ISBLANK(N362),AND(ISNUMBER(N362),N362&gt;=0))),60*IF(ISBLANK(M362),0,M362)+IF(ISBLANK(N362),0,N362),"")))</f>
        <v/>
      </c>
      <c r="Y362" s="65" t="str">
        <f aca="false">IF(ISBLANK($C362),"",IF(O362=Constants!$B$2, TRUE(), IF(O362=Constants!$B$3, FALSE(), FALSE())))</f>
        <v/>
      </c>
      <c r="Z362" s="65" t="str">
        <f aca="false">IF(ISBLANK($C362),"",IF(Y362,Constants!$B$4,IF(COUNTA(E362:N362)=0,Constants!$B$5,IF(COUNTA(J362:K362,M362:N362)=0,Constants!$B$6,Constants!$B$7))))</f>
        <v/>
      </c>
      <c r="AA362" s="65" t="str">
        <f aca="false">IF(ISBLANK($C362),"",IF($Z362&lt;&gt;Constants!$B$7,$Z362,IF(OR(NOT(T362),AND(NOT(Q362),COUNTIFS(U362:W362,Constants!$B$18,V362:X362,"&gt;=0")&gt;0),AND(NOT(R362),COUNTIFS(U362:W362,Constants!$B$19,V362:X362,"&gt;=0")&gt;0)),Constants!$B$12,Constants!$B$11)))</f>
        <v/>
      </c>
      <c r="AB362" s="65" t="str">
        <f aca="false">IF($Z362=Constants!$B$7,IF(V362="",Constants!$B$13,V362),"")</f>
        <v/>
      </c>
      <c r="AC362" s="65" t="str">
        <f aca="false">IF($Z362=Constants!$B$7,IF(X362="",Constants!$B$13,X362),"")</f>
        <v/>
      </c>
      <c r="AD362" s="65" t="str">
        <f aca="false">IF($Z362=Constants!$B$7,IF($AB362&gt;=$AC362,1,2),"")</f>
        <v/>
      </c>
      <c r="AE362" s="65" t="str">
        <f aca="false">IF($Z362=Constants!$B$7,LARGE(AB362:AC362,1),"")</f>
        <v/>
      </c>
      <c r="AF362" s="65" t="str">
        <f aca="false">IF(ISBLANK($C362),"",IF($Z362&lt;&gt;Constants!$B$7,$Z362,AE362*S362))</f>
        <v/>
      </c>
      <c r="AG362" s="65" t="str">
        <f aca="false">IF(ISBLANK($C362),"",IF($Z362=Constants!$B$7,IF(ISNUMBER(AF362),RANK(AF362,$AF$8:$AF$507),Constants!$B$14),$Z362))</f>
        <v/>
      </c>
      <c r="AH362" s="65" t="str">
        <f aca="false">IF(ISBLANK($C362),"",IF($Z362=Constants!$B$7,IF(ISNUMBER(AG362),COUNTIFS($AA$8:$AA$507,"&lt;"&amp;$AA362)+COUNTIFS($AA$8:$AA$507,$AA362,$AG$8:$AG$507,"&lt;"&amp;$AG362)+1,Constants!$B$14),$Z362))</f>
        <v/>
      </c>
      <c r="AI362" s="65" t="str">
        <f aca="false">IF(ISBLANK($C362),"",IF($Z362=Constants!$B$7,LARGE(AB362:AC362,2)*S362,""))</f>
        <v/>
      </c>
      <c r="AJ362" s="65" t="str">
        <f aca="false">IF(ISBLANK($C362),"",IF($Z362=Constants!$B$7,RANK(AI362,$AI$8:$AI$507),$Z362))</f>
        <v/>
      </c>
      <c r="AK362" s="65" t="str">
        <f aca="false">IF(ISBLANK($C362),"",IF($Z362=Constants!$B$7,IF(ISNUMBER(AG362),COUNTIFS($AA$8:$AA$507,"&lt;"&amp;$AA362)+COUNTIFS($AA$8:$AA$507,$AA362,$AG$8:$AG$507,"&lt;"&amp;$AG362)+COUNTIFS($AA$8:$AA$507,$AA362,$AG$8:$AG$507,$AG362,$AJ$8:$AJ$507,"&lt;"&amp;$AJ362)+1,Constants!$B$14),$Z362))</f>
        <v/>
      </c>
      <c r="AL362" s="65" t="str">
        <f aca="false">IF(ISBLANK($C362),"",IF($Z362=Constants!$B$7,IF(ISNUMBER(AH362),AH362-AK362,Constants!$B$14),$Z362))</f>
        <v/>
      </c>
      <c r="AM362" s="67"/>
      <c r="AN362" s="68" t="str">
        <f aca="false">IF(ISBLANK($C362),"",IF($Z362&lt;&gt;Constants!$B$7,$Z362,AD362))</f>
        <v/>
      </c>
      <c r="AO362" s="69" t="str">
        <f aca="false">IF(ISBLANK($C362),"",IF($Z362&lt;&gt;Constants!$B$7,$Z362,S362))</f>
        <v/>
      </c>
      <c r="AP362" s="70" t="str">
        <f aca="false">IF(ISBLANK($C362),"",IF($Z362&lt;&gt;Constants!$B$7,$Z362,AF362))</f>
        <v/>
      </c>
      <c r="AQ362" s="71" t="str">
        <f aca="false">IF(ISBLANK($C362),"",IF($Z362&lt;&gt;Constants!$B$7,$Z362,AA362))</f>
        <v/>
      </c>
      <c r="AR362" s="69" t="str">
        <f aca="false">IF(ISBLANK($C362),"",AL362)</f>
        <v/>
      </c>
      <c r="AS362" s="69" t="str">
        <f aca="false">IF(ISBLANK($C362),"",AK362)</f>
        <v/>
      </c>
      <c r="AT362" s="72" t="str">
        <f aca="false">IF(ISBLANK($C362),"",IF(AS362=Constants!$B$4,COUNTA($C$8:$C$507)+2,IF(AS362=Constants!$B$5,COUNTA($C$8:$C$507)+1,IF(AS362=Constants!$B$6,COUNTA($C$8:$C$507),AS362))))</f>
        <v/>
      </c>
      <c r="AU362" s="5"/>
      <c r="AV362" s="73" t="n">
        <f aca="false">IF(OR(ISNUMBER(AS362),AS362=Constants!$B$4,AS362=Constants!$B$6,AS362=Constants!$B$5),1,0)</f>
        <v>0</v>
      </c>
      <c r="AW362" s="73" t="n">
        <v>355</v>
      </c>
      <c r="AX362" s="73" t="str">
        <f aca="false">IF(ISBLANK($C362),"",IF(ISNUMBER(AT362),AT362+ROW($B362)/1000,""))</f>
        <v/>
      </c>
      <c r="AY362" s="73" t="str">
        <f aca="false">IF(ISNUMBER(AX362),RANK(AX362,$AX$8:$AX$507,1),"")</f>
        <v/>
      </c>
      <c r="AZ362" s="73" t="str">
        <f aca="false">IF(ISBLANK($C362),"",$B362)</f>
        <v/>
      </c>
      <c r="BA362" s="73" t="str">
        <f aca="false">IF(ISBLANK($C362),"",$C362)</f>
        <v/>
      </c>
      <c r="BB362" s="73" t="str">
        <f aca="false">IF(ISBLANK($C362),"",$D362)</f>
        <v/>
      </c>
      <c r="BC362" s="74" t="str">
        <f aca="false">AQ362</f>
        <v/>
      </c>
      <c r="BD362" s="75" t="str">
        <f aca="false">AP362</f>
        <v/>
      </c>
      <c r="BE362" s="73" t="str">
        <f aca="false">IF(ISBLANK($C362),"",AS362)</f>
        <v/>
      </c>
      <c r="BF362" s="76" t="str">
        <f aca="false">IF($AW362&gt;$AV$7,"",VLOOKUP($AW362,$AY$8:$BE$507,7,FALSE()))</f>
        <v/>
      </c>
      <c r="BG362" s="77" t="str">
        <f aca="false">IF($AW362&gt;$AV$7,"",VLOOKUP($AW362,$AY$8:$BE$507,2,FALSE()))</f>
        <v/>
      </c>
      <c r="BH362" s="77" t="str">
        <f aca="false">IF($AW362&gt;$AV$7,"",VLOOKUP($AW362,$AY$8:$BE$507,3,FALSE()))</f>
        <v/>
      </c>
      <c r="BI362" s="77" t="str">
        <f aca="false">IF($AW362&gt;$AV$7,"",VLOOKUP($AW362,$AY$8:$BE$507,4,FALSE()))</f>
        <v/>
      </c>
      <c r="BJ362" s="77" t="str">
        <f aca="false">IF($AW362&gt;$AV$7,"",VLOOKUP($AW362,$AY$8:$BE$507,5,FALSE()))</f>
        <v/>
      </c>
      <c r="BK362" s="78" t="str">
        <f aca="false">IF($AW362&gt;$AV$7,"",VLOOKUP($AW362,$AY$8:$BE$507,6,FALSE()))</f>
        <v/>
      </c>
      <c r="BL362" s="50"/>
    </row>
    <row r="363" customFormat="false" ht="15.75" hidden="false" customHeight="false" outlineLevel="0" collapsed="false">
      <c r="A363" s="5"/>
      <c r="B363" s="131"/>
      <c r="C363" s="52"/>
      <c r="D363" s="53"/>
      <c r="E363" s="80"/>
      <c r="F363" s="132"/>
      <c r="G363" s="56"/>
      <c r="H363" s="133"/>
      <c r="I363" s="134"/>
      <c r="J363" s="59"/>
      <c r="K363" s="60"/>
      <c r="L363" s="134"/>
      <c r="M363" s="61"/>
      <c r="N363" s="62"/>
      <c r="O363" s="80"/>
      <c r="P363" s="64"/>
      <c r="Q363" s="65" t="str">
        <f aca="false">IF(ISBLANK($C363),"",IF(E363=Constants!$B$2, TRUE(), IF(E363=Constants!$B$3, FALSE(), TRUE())))</f>
        <v/>
      </c>
      <c r="R363" s="65" t="str">
        <f aca="false">IF(ISBLANK($C363),"",IF(F363=Constants!$B$2, TRUE(), IF(F363=Constants!$B$3, FALSE(), TRUE())))</f>
        <v/>
      </c>
      <c r="S363" s="65" t="str">
        <f aca="false">IF(ISBLANK($C363),"",IF(G363=Constants!$B$15,Constants!$B$8,IF(G363=Constants!$B$16,Constants!$B$9,Constants!$B$10)))</f>
        <v/>
      </c>
      <c r="T363" s="65" t="str">
        <f aca="false">IF(ISBLANK($C363),"",IF(H363=Constants!$B$2, TRUE(), IF(H363=Constants!$B$3, FALSE(), TRUE())))</f>
        <v/>
      </c>
      <c r="U363" s="65" t="str">
        <f aca="false">IF(ISBLANK($C363),"",IF(I363=Constants!$B$19,Constants!$B$19,Constants!$B$18))</f>
        <v/>
      </c>
      <c r="V363" s="65" t="str">
        <f aca="false">IF(ISBLANK($C363),"",IF(COUNTA(J363:K363)=0,"",IF(AND(OR(ISBLANK(J363),AND(ISNUMBER(J363),J363&gt;=0)),OR(ISBLANK(K363),AND(ISNUMBER(K363),K363&gt;=0))),60*IF(ISBLANK(J363),0,J363)+IF(ISBLANK(K363),0,K363),"")))</f>
        <v/>
      </c>
      <c r="W363" s="65" t="str">
        <f aca="false">IF(ISBLANK($C363),"",IF(L363=Constants!$B$19,Constants!$B$19,Constants!$B$18))</f>
        <v/>
      </c>
      <c r="X363" s="65" t="str">
        <f aca="false">IF(ISBLANK($C363),"",IF(COUNTA(M363:N363)=0,"",IF(AND(OR(ISBLANK(M363),AND(ISNUMBER(M363),M363&gt;=0)),OR(ISBLANK(N363),AND(ISNUMBER(N363),N363&gt;=0))),60*IF(ISBLANK(M363),0,M363)+IF(ISBLANK(N363),0,N363),"")))</f>
        <v/>
      </c>
      <c r="Y363" s="65" t="str">
        <f aca="false">IF(ISBLANK($C363),"",IF(O363=Constants!$B$2, TRUE(), IF(O363=Constants!$B$3, FALSE(), FALSE())))</f>
        <v/>
      </c>
      <c r="Z363" s="65" t="str">
        <f aca="false">IF(ISBLANK($C363),"",IF(Y363,Constants!$B$4,IF(COUNTA(E363:N363)=0,Constants!$B$5,IF(COUNTA(J363:K363,M363:N363)=0,Constants!$B$6,Constants!$B$7))))</f>
        <v/>
      </c>
      <c r="AA363" s="65" t="str">
        <f aca="false">IF(ISBLANK($C363),"",IF($Z363&lt;&gt;Constants!$B$7,$Z363,IF(OR(NOT(T363),AND(NOT(Q363),COUNTIFS(U363:W363,Constants!$B$18,V363:X363,"&gt;=0")&gt;0),AND(NOT(R363),COUNTIFS(U363:W363,Constants!$B$19,V363:X363,"&gt;=0")&gt;0)),Constants!$B$12,Constants!$B$11)))</f>
        <v/>
      </c>
      <c r="AB363" s="65" t="str">
        <f aca="false">IF($Z363=Constants!$B$7,IF(V363="",Constants!$B$13,V363),"")</f>
        <v/>
      </c>
      <c r="AC363" s="65" t="str">
        <f aca="false">IF($Z363=Constants!$B$7,IF(X363="",Constants!$B$13,X363),"")</f>
        <v/>
      </c>
      <c r="AD363" s="65" t="str">
        <f aca="false">IF($Z363=Constants!$B$7,IF($AB363&gt;=$AC363,1,2),"")</f>
        <v/>
      </c>
      <c r="AE363" s="65" t="str">
        <f aca="false">IF($Z363=Constants!$B$7,LARGE(AB363:AC363,1),"")</f>
        <v/>
      </c>
      <c r="AF363" s="65" t="str">
        <f aca="false">IF(ISBLANK($C363),"",IF($Z363&lt;&gt;Constants!$B$7,$Z363,AE363*S363))</f>
        <v/>
      </c>
      <c r="AG363" s="65" t="str">
        <f aca="false">IF(ISBLANK($C363),"",IF($Z363=Constants!$B$7,IF(ISNUMBER(AF363),RANK(AF363,$AF$8:$AF$507),Constants!$B$14),$Z363))</f>
        <v/>
      </c>
      <c r="AH363" s="65" t="str">
        <f aca="false">IF(ISBLANK($C363),"",IF($Z363=Constants!$B$7,IF(ISNUMBER(AG363),COUNTIFS($AA$8:$AA$507,"&lt;"&amp;$AA363)+COUNTIFS($AA$8:$AA$507,$AA363,$AG$8:$AG$507,"&lt;"&amp;$AG363)+1,Constants!$B$14),$Z363))</f>
        <v/>
      </c>
      <c r="AI363" s="65" t="str">
        <f aca="false">IF(ISBLANK($C363),"",IF($Z363=Constants!$B$7,LARGE(AB363:AC363,2)*S363,""))</f>
        <v/>
      </c>
      <c r="AJ363" s="65" t="str">
        <f aca="false">IF(ISBLANK($C363),"",IF($Z363=Constants!$B$7,RANK(AI363,$AI$8:$AI$507),$Z363))</f>
        <v/>
      </c>
      <c r="AK363" s="65" t="str">
        <f aca="false">IF(ISBLANK($C363),"",IF($Z363=Constants!$B$7,IF(ISNUMBER(AG363),COUNTIFS($AA$8:$AA$507,"&lt;"&amp;$AA363)+COUNTIFS($AA$8:$AA$507,$AA363,$AG$8:$AG$507,"&lt;"&amp;$AG363)+COUNTIFS($AA$8:$AA$507,$AA363,$AG$8:$AG$507,$AG363,$AJ$8:$AJ$507,"&lt;"&amp;$AJ363)+1,Constants!$B$14),$Z363))</f>
        <v/>
      </c>
      <c r="AL363" s="65" t="str">
        <f aca="false">IF(ISBLANK($C363),"",IF($Z363=Constants!$B$7,IF(ISNUMBER(AH363),AH363-AK363,Constants!$B$14),$Z363))</f>
        <v/>
      </c>
      <c r="AM363" s="67"/>
      <c r="AN363" s="68" t="str">
        <f aca="false">IF(ISBLANK($C363),"",IF($Z363&lt;&gt;Constants!$B$7,$Z363,AD363))</f>
        <v/>
      </c>
      <c r="AO363" s="69" t="str">
        <f aca="false">IF(ISBLANK($C363),"",IF($Z363&lt;&gt;Constants!$B$7,$Z363,S363))</f>
        <v/>
      </c>
      <c r="AP363" s="70" t="str">
        <f aca="false">IF(ISBLANK($C363),"",IF($Z363&lt;&gt;Constants!$B$7,$Z363,AF363))</f>
        <v/>
      </c>
      <c r="AQ363" s="71" t="str">
        <f aca="false">IF(ISBLANK($C363),"",IF($Z363&lt;&gt;Constants!$B$7,$Z363,AA363))</f>
        <v/>
      </c>
      <c r="AR363" s="69" t="str">
        <f aca="false">IF(ISBLANK($C363),"",AL363)</f>
        <v/>
      </c>
      <c r="AS363" s="69" t="str">
        <f aca="false">IF(ISBLANK($C363),"",AK363)</f>
        <v/>
      </c>
      <c r="AT363" s="72" t="str">
        <f aca="false">IF(ISBLANK($C363),"",IF(AS363=Constants!$B$4,COUNTA($C$8:$C$507)+2,IF(AS363=Constants!$B$5,COUNTA($C$8:$C$507)+1,IF(AS363=Constants!$B$6,COUNTA($C$8:$C$507),AS363))))</f>
        <v/>
      </c>
      <c r="AU363" s="5"/>
      <c r="AV363" s="73" t="n">
        <f aca="false">IF(OR(ISNUMBER(AS363),AS363=Constants!$B$4,AS363=Constants!$B$6,AS363=Constants!$B$5),1,0)</f>
        <v>0</v>
      </c>
      <c r="AW363" s="73" t="n">
        <v>356</v>
      </c>
      <c r="AX363" s="73" t="str">
        <f aca="false">IF(ISBLANK($C363),"",IF(ISNUMBER(AT363),AT363+ROW($B363)/1000,""))</f>
        <v/>
      </c>
      <c r="AY363" s="73" t="str">
        <f aca="false">IF(ISNUMBER(AX363),RANK(AX363,$AX$8:$AX$507,1),"")</f>
        <v/>
      </c>
      <c r="AZ363" s="73" t="str">
        <f aca="false">IF(ISBLANK($C363),"",$B363)</f>
        <v/>
      </c>
      <c r="BA363" s="73" t="str">
        <f aca="false">IF(ISBLANK($C363),"",$C363)</f>
        <v/>
      </c>
      <c r="BB363" s="73" t="str">
        <f aca="false">IF(ISBLANK($C363),"",$D363)</f>
        <v/>
      </c>
      <c r="BC363" s="74" t="str">
        <f aca="false">AQ363</f>
        <v/>
      </c>
      <c r="BD363" s="75" t="str">
        <f aca="false">AP363</f>
        <v/>
      </c>
      <c r="BE363" s="73" t="str">
        <f aca="false">IF(ISBLANK($C363),"",AS363)</f>
        <v/>
      </c>
      <c r="BF363" s="76" t="str">
        <f aca="false">IF($AW363&gt;$AV$7,"",VLOOKUP($AW363,$AY$8:$BE$507,7,FALSE()))</f>
        <v/>
      </c>
      <c r="BG363" s="77" t="str">
        <f aca="false">IF($AW363&gt;$AV$7,"",VLOOKUP($AW363,$AY$8:$BE$507,2,FALSE()))</f>
        <v/>
      </c>
      <c r="BH363" s="77" t="str">
        <f aca="false">IF($AW363&gt;$AV$7,"",VLOOKUP($AW363,$AY$8:$BE$507,3,FALSE()))</f>
        <v/>
      </c>
      <c r="BI363" s="77" t="str">
        <f aca="false">IF($AW363&gt;$AV$7,"",VLOOKUP($AW363,$AY$8:$BE$507,4,FALSE()))</f>
        <v/>
      </c>
      <c r="BJ363" s="77" t="str">
        <f aca="false">IF($AW363&gt;$AV$7,"",VLOOKUP($AW363,$AY$8:$BE$507,5,FALSE()))</f>
        <v/>
      </c>
      <c r="BK363" s="78" t="str">
        <f aca="false">IF($AW363&gt;$AV$7,"",VLOOKUP($AW363,$AY$8:$BE$507,6,FALSE()))</f>
        <v/>
      </c>
      <c r="BL363" s="50"/>
    </row>
    <row r="364" customFormat="false" ht="15.75" hidden="false" customHeight="false" outlineLevel="0" collapsed="false">
      <c r="A364" s="5"/>
      <c r="B364" s="131"/>
      <c r="C364" s="52"/>
      <c r="D364" s="53"/>
      <c r="E364" s="80"/>
      <c r="F364" s="132"/>
      <c r="G364" s="56"/>
      <c r="H364" s="133"/>
      <c r="I364" s="134"/>
      <c r="J364" s="59"/>
      <c r="K364" s="60"/>
      <c r="L364" s="134"/>
      <c r="M364" s="61"/>
      <c r="N364" s="62"/>
      <c r="O364" s="80"/>
      <c r="P364" s="64"/>
      <c r="Q364" s="65" t="str">
        <f aca="false">IF(ISBLANK($C364),"",IF(E364=Constants!$B$2, TRUE(), IF(E364=Constants!$B$3, FALSE(), TRUE())))</f>
        <v/>
      </c>
      <c r="R364" s="65" t="str">
        <f aca="false">IF(ISBLANK($C364),"",IF(F364=Constants!$B$2, TRUE(), IF(F364=Constants!$B$3, FALSE(), TRUE())))</f>
        <v/>
      </c>
      <c r="S364" s="65" t="str">
        <f aca="false">IF(ISBLANK($C364),"",IF(G364=Constants!$B$15,Constants!$B$8,IF(G364=Constants!$B$16,Constants!$B$9,Constants!$B$10)))</f>
        <v/>
      </c>
      <c r="T364" s="65" t="str">
        <f aca="false">IF(ISBLANK($C364),"",IF(H364=Constants!$B$2, TRUE(), IF(H364=Constants!$B$3, FALSE(), TRUE())))</f>
        <v/>
      </c>
      <c r="U364" s="65" t="str">
        <f aca="false">IF(ISBLANK($C364),"",IF(I364=Constants!$B$19,Constants!$B$19,Constants!$B$18))</f>
        <v/>
      </c>
      <c r="V364" s="65" t="str">
        <f aca="false">IF(ISBLANK($C364),"",IF(COUNTA(J364:K364)=0,"",IF(AND(OR(ISBLANK(J364),AND(ISNUMBER(J364),J364&gt;=0)),OR(ISBLANK(K364),AND(ISNUMBER(K364),K364&gt;=0))),60*IF(ISBLANK(J364),0,J364)+IF(ISBLANK(K364),0,K364),"")))</f>
        <v/>
      </c>
      <c r="W364" s="65" t="str">
        <f aca="false">IF(ISBLANK($C364),"",IF(L364=Constants!$B$19,Constants!$B$19,Constants!$B$18))</f>
        <v/>
      </c>
      <c r="X364" s="65" t="str">
        <f aca="false">IF(ISBLANK($C364),"",IF(COUNTA(M364:N364)=0,"",IF(AND(OR(ISBLANK(M364),AND(ISNUMBER(M364),M364&gt;=0)),OR(ISBLANK(N364),AND(ISNUMBER(N364),N364&gt;=0))),60*IF(ISBLANK(M364),0,M364)+IF(ISBLANK(N364),0,N364),"")))</f>
        <v/>
      </c>
      <c r="Y364" s="65" t="str">
        <f aca="false">IF(ISBLANK($C364),"",IF(O364=Constants!$B$2, TRUE(), IF(O364=Constants!$B$3, FALSE(), FALSE())))</f>
        <v/>
      </c>
      <c r="Z364" s="65" t="str">
        <f aca="false">IF(ISBLANK($C364),"",IF(Y364,Constants!$B$4,IF(COUNTA(E364:N364)=0,Constants!$B$5,IF(COUNTA(J364:K364,M364:N364)=0,Constants!$B$6,Constants!$B$7))))</f>
        <v/>
      </c>
      <c r="AA364" s="65" t="str">
        <f aca="false">IF(ISBLANK($C364),"",IF($Z364&lt;&gt;Constants!$B$7,$Z364,IF(OR(NOT(T364),AND(NOT(Q364),COUNTIFS(U364:W364,Constants!$B$18,V364:X364,"&gt;=0")&gt;0),AND(NOT(R364),COUNTIFS(U364:W364,Constants!$B$19,V364:X364,"&gt;=0")&gt;0)),Constants!$B$12,Constants!$B$11)))</f>
        <v/>
      </c>
      <c r="AB364" s="65" t="str">
        <f aca="false">IF($Z364=Constants!$B$7,IF(V364="",Constants!$B$13,V364),"")</f>
        <v/>
      </c>
      <c r="AC364" s="65" t="str">
        <f aca="false">IF($Z364=Constants!$B$7,IF(X364="",Constants!$B$13,X364),"")</f>
        <v/>
      </c>
      <c r="AD364" s="65" t="str">
        <f aca="false">IF($Z364=Constants!$B$7,IF($AB364&gt;=$AC364,1,2),"")</f>
        <v/>
      </c>
      <c r="AE364" s="65" t="str">
        <f aca="false">IF($Z364=Constants!$B$7,LARGE(AB364:AC364,1),"")</f>
        <v/>
      </c>
      <c r="AF364" s="65" t="str">
        <f aca="false">IF(ISBLANK($C364),"",IF($Z364&lt;&gt;Constants!$B$7,$Z364,AE364*S364))</f>
        <v/>
      </c>
      <c r="AG364" s="65" t="str">
        <f aca="false">IF(ISBLANK($C364),"",IF($Z364=Constants!$B$7,IF(ISNUMBER(AF364),RANK(AF364,$AF$8:$AF$507),Constants!$B$14),$Z364))</f>
        <v/>
      </c>
      <c r="AH364" s="65" t="str">
        <f aca="false">IF(ISBLANK($C364),"",IF($Z364=Constants!$B$7,IF(ISNUMBER(AG364),COUNTIFS($AA$8:$AA$507,"&lt;"&amp;$AA364)+COUNTIFS($AA$8:$AA$507,$AA364,$AG$8:$AG$507,"&lt;"&amp;$AG364)+1,Constants!$B$14),$Z364))</f>
        <v/>
      </c>
      <c r="AI364" s="65" t="str">
        <f aca="false">IF(ISBLANK($C364),"",IF($Z364=Constants!$B$7,LARGE(AB364:AC364,2)*S364,""))</f>
        <v/>
      </c>
      <c r="AJ364" s="65" t="str">
        <f aca="false">IF(ISBLANK($C364),"",IF($Z364=Constants!$B$7,RANK(AI364,$AI$8:$AI$507),$Z364))</f>
        <v/>
      </c>
      <c r="AK364" s="65" t="str">
        <f aca="false">IF(ISBLANK($C364),"",IF($Z364=Constants!$B$7,IF(ISNUMBER(AG364),COUNTIFS($AA$8:$AA$507,"&lt;"&amp;$AA364)+COUNTIFS($AA$8:$AA$507,$AA364,$AG$8:$AG$507,"&lt;"&amp;$AG364)+COUNTIFS($AA$8:$AA$507,$AA364,$AG$8:$AG$507,$AG364,$AJ$8:$AJ$507,"&lt;"&amp;$AJ364)+1,Constants!$B$14),$Z364))</f>
        <v/>
      </c>
      <c r="AL364" s="65" t="str">
        <f aca="false">IF(ISBLANK($C364),"",IF($Z364=Constants!$B$7,IF(ISNUMBER(AH364),AH364-AK364,Constants!$B$14),$Z364))</f>
        <v/>
      </c>
      <c r="AM364" s="67"/>
      <c r="AN364" s="68" t="str">
        <f aca="false">IF(ISBLANK($C364),"",IF($Z364&lt;&gt;Constants!$B$7,$Z364,AD364))</f>
        <v/>
      </c>
      <c r="AO364" s="69" t="str">
        <f aca="false">IF(ISBLANK($C364),"",IF($Z364&lt;&gt;Constants!$B$7,$Z364,S364))</f>
        <v/>
      </c>
      <c r="AP364" s="70" t="str">
        <f aca="false">IF(ISBLANK($C364),"",IF($Z364&lt;&gt;Constants!$B$7,$Z364,AF364))</f>
        <v/>
      </c>
      <c r="AQ364" s="71" t="str">
        <f aca="false">IF(ISBLANK($C364),"",IF($Z364&lt;&gt;Constants!$B$7,$Z364,AA364))</f>
        <v/>
      </c>
      <c r="AR364" s="69" t="str">
        <f aca="false">IF(ISBLANK($C364),"",AL364)</f>
        <v/>
      </c>
      <c r="AS364" s="69" t="str">
        <f aca="false">IF(ISBLANK($C364),"",AK364)</f>
        <v/>
      </c>
      <c r="AT364" s="72" t="str">
        <f aca="false">IF(ISBLANK($C364),"",IF(AS364=Constants!$B$4,COUNTA($C$8:$C$507)+2,IF(AS364=Constants!$B$5,COUNTA($C$8:$C$507)+1,IF(AS364=Constants!$B$6,COUNTA($C$8:$C$507),AS364))))</f>
        <v/>
      </c>
      <c r="AU364" s="5"/>
      <c r="AV364" s="73" t="n">
        <f aca="false">IF(OR(ISNUMBER(AS364),AS364=Constants!$B$4,AS364=Constants!$B$6,AS364=Constants!$B$5),1,0)</f>
        <v>0</v>
      </c>
      <c r="AW364" s="73" t="n">
        <v>357</v>
      </c>
      <c r="AX364" s="73" t="str">
        <f aca="false">IF(ISBLANK($C364),"",IF(ISNUMBER(AT364),AT364+ROW($B364)/1000,""))</f>
        <v/>
      </c>
      <c r="AY364" s="73" t="str">
        <f aca="false">IF(ISNUMBER(AX364),RANK(AX364,$AX$8:$AX$507,1),"")</f>
        <v/>
      </c>
      <c r="AZ364" s="73" t="str">
        <f aca="false">IF(ISBLANK($C364),"",$B364)</f>
        <v/>
      </c>
      <c r="BA364" s="73" t="str">
        <f aca="false">IF(ISBLANK($C364),"",$C364)</f>
        <v/>
      </c>
      <c r="BB364" s="73" t="str">
        <f aca="false">IF(ISBLANK($C364),"",$D364)</f>
        <v/>
      </c>
      <c r="BC364" s="74" t="str">
        <f aca="false">AQ364</f>
        <v/>
      </c>
      <c r="BD364" s="75" t="str">
        <f aca="false">AP364</f>
        <v/>
      </c>
      <c r="BE364" s="73" t="str">
        <f aca="false">IF(ISBLANK($C364),"",AS364)</f>
        <v/>
      </c>
      <c r="BF364" s="76" t="str">
        <f aca="false">IF($AW364&gt;$AV$7,"",VLOOKUP($AW364,$AY$8:$BE$507,7,FALSE()))</f>
        <v/>
      </c>
      <c r="BG364" s="77" t="str">
        <f aca="false">IF($AW364&gt;$AV$7,"",VLOOKUP($AW364,$AY$8:$BE$507,2,FALSE()))</f>
        <v/>
      </c>
      <c r="BH364" s="77" t="str">
        <f aca="false">IF($AW364&gt;$AV$7,"",VLOOKUP($AW364,$AY$8:$BE$507,3,FALSE()))</f>
        <v/>
      </c>
      <c r="BI364" s="77" t="str">
        <f aca="false">IF($AW364&gt;$AV$7,"",VLOOKUP($AW364,$AY$8:$BE$507,4,FALSE()))</f>
        <v/>
      </c>
      <c r="BJ364" s="77" t="str">
        <f aca="false">IF($AW364&gt;$AV$7,"",VLOOKUP($AW364,$AY$8:$BE$507,5,FALSE()))</f>
        <v/>
      </c>
      <c r="BK364" s="78" t="str">
        <f aca="false">IF($AW364&gt;$AV$7,"",VLOOKUP($AW364,$AY$8:$BE$507,6,FALSE()))</f>
        <v/>
      </c>
      <c r="BL364" s="50"/>
    </row>
    <row r="365" customFormat="false" ht="15.75" hidden="false" customHeight="false" outlineLevel="0" collapsed="false">
      <c r="A365" s="5"/>
      <c r="B365" s="124"/>
      <c r="C365" s="125"/>
      <c r="D365" s="110"/>
      <c r="E365" s="130"/>
      <c r="F365" s="135"/>
      <c r="G365" s="88"/>
      <c r="H365" s="136"/>
      <c r="I365" s="137"/>
      <c r="J365" s="91"/>
      <c r="K365" s="92"/>
      <c r="L365" s="137"/>
      <c r="M365" s="93"/>
      <c r="N365" s="94"/>
      <c r="O365" s="130"/>
      <c r="P365" s="96"/>
      <c r="Q365" s="97" t="str">
        <f aca="false">IF(ISBLANK($C365),"",IF(E365=Constants!$B$2, TRUE(), IF(E365=Constants!$B$3, FALSE(), TRUE())))</f>
        <v/>
      </c>
      <c r="R365" s="97" t="str">
        <f aca="false">IF(ISBLANK($C365),"",IF(F365=Constants!$B$2, TRUE(), IF(F365=Constants!$B$3, FALSE(), TRUE())))</f>
        <v/>
      </c>
      <c r="S365" s="97" t="str">
        <f aca="false">IF(ISBLANK($C365),"",IF(G365=Constants!$B$15,Constants!$B$8,IF(G365=Constants!$B$16,Constants!$B$9,Constants!$B$10)))</f>
        <v/>
      </c>
      <c r="T365" s="97" t="str">
        <f aca="false">IF(ISBLANK($C365),"",IF(H365=Constants!$B$2, TRUE(), IF(H365=Constants!$B$3, FALSE(), TRUE())))</f>
        <v/>
      </c>
      <c r="U365" s="97" t="str">
        <f aca="false">IF(ISBLANK($C365),"",IF(I365=Constants!$B$19,Constants!$B$19,Constants!$B$18))</f>
        <v/>
      </c>
      <c r="V365" s="97" t="str">
        <f aca="false">IF(ISBLANK($C365),"",IF(COUNTA(J365:K365)=0,"",IF(AND(OR(ISBLANK(J365),AND(ISNUMBER(J365),J365&gt;=0)),OR(ISBLANK(K365),AND(ISNUMBER(K365),K365&gt;=0))),60*IF(ISBLANK(J365),0,J365)+IF(ISBLANK(K365),0,K365),"")))</f>
        <v/>
      </c>
      <c r="W365" s="97" t="str">
        <f aca="false">IF(ISBLANK($C365),"",IF(L365=Constants!$B$19,Constants!$B$19,Constants!$B$18))</f>
        <v/>
      </c>
      <c r="X365" s="97" t="str">
        <f aca="false">IF(ISBLANK($C365),"",IF(COUNTA(M365:N365)=0,"",IF(AND(OR(ISBLANK(M365),AND(ISNUMBER(M365),M365&gt;=0)),OR(ISBLANK(N365),AND(ISNUMBER(N365),N365&gt;=0))),60*IF(ISBLANK(M365),0,M365)+IF(ISBLANK(N365),0,N365),"")))</f>
        <v/>
      </c>
      <c r="Y365" s="97" t="str">
        <f aca="false">IF(ISBLANK($C365),"",IF(O365=Constants!$B$2, TRUE(), IF(O365=Constants!$B$3, FALSE(), FALSE())))</f>
        <v/>
      </c>
      <c r="Z365" s="97" t="str">
        <f aca="false">IF(ISBLANK($C365),"",IF(Y365,Constants!$B$4,IF(COUNTA(E365:N365)=0,Constants!$B$5,IF(COUNTA(J365:K365,M365:N365)=0,Constants!$B$6,Constants!$B$7))))</f>
        <v/>
      </c>
      <c r="AA365" s="97" t="str">
        <f aca="false">IF(ISBLANK($C365),"",IF($Z365&lt;&gt;Constants!$B$7,$Z365,IF(OR(NOT(T365),AND(NOT(Q365),COUNTIFS(U365:W365,Constants!$B$18,V365:X365,"&gt;=0")&gt;0),AND(NOT(R365),COUNTIFS(U365:W365,Constants!$B$19,V365:X365,"&gt;=0")&gt;0)),Constants!$B$12,Constants!$B$11)))</f>
        <v/>
      </c>
      <c r="AB365" s="97" t="str">
        <f aca="false">IF($Z365=Constants!$B$7,IF(V365="",Constants!$B$13,V365),"")</f>
        <v/>
      </c>
      <c r="AC365" s="97" t="str">
        <f aca="false">IF($Z365=Constants!$B$7,IF(X365="",Constants!$B$13,X365),"")</f>
        <v/>
      </c>
      <c r="AD365" s="97" t="str">
        <f aca="false">IF($Z365=Constants!$B$7,IF($AB365&gt;=$AC365,1,2),"")</f>
        <v/>
      </c>
      <c r="AE365" s="97" t="str">
        <f aca="false">IF($Z365=Constants!$B$7,LARGE(AB365:AC365,1),"")</f>
        <v/>
      </c>
      <c r="AF365" s="97" t="str">
        <f aca="false">IF(ISBLANK($C365),"",IF($Z365&lt;&gt;Constants!$B$7,$Z365,AE365*S365))</f>
        <v/>
      </c>
      <c r="AG365" s="97" t="str">
        <f aca="false">IF(ISBLANK($C365),"",IF($Z365=Constants!$B$7,IF(ISNUMBER(AF365),RANK(AF365,$AF$8:$AF$507),Constants!$B$14),$Z365))</f>
        <v/>
      </c>
      <c r="AH365" s="97" t="str">
        <f aca="false">IF(ISBLANK($C365),"",IF($Z365=Constants!$B$7,IF(ISNUMBER(AG365),COUNTIFS($AA$8:$AA$507,"&lt;"&amp;$AA365)+COUNTIFS($AA$8:$AA$507,$AA365,$AG$8:$AG$507,"&lt;"&amp;$AG365)+1,Constants!$B$14),$Z365))</f>
        <v/>
      </c>
      <c r="AI365" s="97" t="str">
        <f aca="false">IF(ISBLANK($C365),"",IF($Z365=Constants!$B$7,LARGE(AB365:AC365,2)*S365,""))</f>
        <v/>
      </c>
      <c r="AJ365" s="97" t="str">
        <f aca="false">IF(ISBLANK($C365),"",IF($Z365=Constants!$B$7,RANK(AI365,$AI$8:$AI$507),$Z365))</f>
        <v/>
      </c>
      <c r="AK365" s="97" t="str">
        <f aca="false">IF(ISBLANK($C365),"",IF($Z365=Constants!$B$7,IF(ISNUMBER(AG365),COUNTIFS($AA$8:$AA$507,"&lt;"&amp;$AA365)+COUNTIFS($AA$8:$AA$507,$AA365,$AG$8:$AG$507,"&lt;"&amp;$AG365)+COUNTIFS($AA$8:$AA$507,$AA365,$AG$8:$AG$507,$AG365,$AJ$8:$AJ$507,"&lt;"&amp;$AJ365)+1,Constants!$B$14),$Z365))</f>
        <v/>
      </c>
      <c r="AL365" s="97" t="str">
        <f aca="false">IF(ISBLANK($C365),"",IF($Z365=Constants!$B$7,IF(ISNUMBER(AH365),AH365-AK365,Constants!$B$14),$Z365))</f>
        <v/>
      </c>
      <c r="AM365" s="98"/>
      <c r="AN365" s="99" t="str">
        <f aca="false">IF(ISBLANK($C365),"",IF($Z365&lt;&gt;Constants!$B$7,$Z365,AD365))</f>
        <v/>
      </c>
      <c r="AO365" s="100" t="str">
        <f aca="false">IF(ISBLANK($C365),"",IF($Z365&lt;&gt;Constants!$B$7,$Z365,S365))</f>
        <v/>
      </c>
      <c r="AP365" s="101" t="str">
        <f aca="false">IF(ISBLANK($C365),"",IF($Z365&lt;&gt;Constants!$B$7,$Z365,AF365))</f>
        <v/>
      </c>
      <c r="AQ365" s="102" t="str">
        <f aca="false">IF(ISBLANK($C365),"",IF($Z365&lt;&gt;Constants!$B$7,$Z365,AA365))</f>
        <v/>
      </c>
      <c r="AR365" s="100" t="str">
        <f aca="false">IF(ISBLANK($C365),"",AL365)</f>
        <v/>
      </c>
      <c r="AS365" s="100" t="str">
        <f aca="false">IF(ISBLANK($C365),"",AK365)</f>
        <v/>
      </c>
      <c r="AT365" s="103" t="str">
        <f aca="false">IF(ISBLANK($C365),"",IF(AS365=Constants!$B$4,COUNTA($C$8:$C$507)+2,IF(AS365=Constants!$B$5,COUNTA($C$8:$C$507)+1,IF(AS365=Constants!$B$6,COUNTA($C$8:$C$507),AS365))))</f>
        <v/>
      </c>
      <c r="AU365" s="5"/>
      <c r="AV365" s="104" t="n">
        <f aca="false">IF(OR(ISNUMBER(AS365),AS365=Constants!$B$4,AS365=Constants!$B$6,AS365=Constants!$B$5),1,0)</f>
        <v>0</v>
      </c>
      <c r="AW365" s="104" t="n">
        <v>358</v>
      </c>
      <c r="AX365" s="104" t="str">
        <f aca="false">IF(ISBLANK($C365),"",IF(ISNUMBER(AT365),AT365+ROW($B365)/1000,""))</f>
        <v/>
      </c>
      <c r="AY365" s="104" t="str">
        <f aca="false">IF(ISNUMBER(AX365),RANK(AX365,$AX$8:$AX$507,1),"")</f>
        <v/>
      </c>
      <c r="AZ365" s="104" t="str">
        <f aca="false">IF(ISBLANK($C365),"",$B365)</f>
        <v/>
      </c>
      <c r="BA365" s="104" t="str">
        <f aca="false">IF(ISBLANK($C365),"",$C365)</f>
        <v/>
      </c>
      <c r="BB365" s="104" t="str">
        <f aca="false">IF(ISBLANK($C365),"",$D365)</f>
        <v/>
      </c>
      <c r="BC365" s="105" t="str">
        <f aca="false">AQ365</f>
        <v/>
      </c>
      <c r="BD365" s="106" t="str">
        <f aca="false">AP365</f>
        <v/>
      </c>
      <c r="BE365" s="104" t="str">
        <f aca="false">IF(ISBLANK($C365),"",AS365)</f>
        <v/>
      </c>
      <c r="BF365" s="107" t="str">
        <f aca="false">IF($AW365&gt;$AV$7,"",VLOOKUP($AW365,$AY$8:$BE$507,7,FALSE()))</f>
        <v/>
      </c>
      <c r="BG365" s="108" t="str">
        <f aca="false">IF($AW365&gt;$AV$7,"",VLOOKUP($AW365,$AY$8:$BE$507,2,FALSE()))</f>
        <v/>
      </c>
      <c r="BH365" s="108" t="str">
        <f aca="false">IF($AW365&gt;$AV$7,"",VLOOKUP($AW365,$AY$8:$BE$507,3,FALSE()))</f>
        <v/>
      </c>
      <c r="BI365" s="108" t="str">
        <f aca="false">IF($AW365&gt;$AV$7,"",VLOOKUP($AW365,$AY$8:$BE$507,4,FALSE()))</f>
        <v/>
      </c>
      <c r="BJ365" s="108" t="str">
        <f aca="false">IF($AW365&gt;$AV$7,"",VLOOKUP($AW365,$AY$8:$BE$507,5,FALSE()))</f>
        <v/>
      </c>
      <c r="BK365" s="109" t="str">
        <f aca="false">IF($AW365&gt;$AV$7,"",VLOOKUP($AW365,$AY$8:$BE$507,6,FALSE()))</f>
        <v/>
      </c>
      <c r="BL365" s="50"/>
    </row>
    <row r="366" customFormat="false" ht="15.75" hidden="false" customHeight="false" outlineLevel="0" collapsed="false">
      <c r="A366" s="5"/>
      <c r="B366" s="124"/>
      <c r="C366" s="125"/>
      <c r="D366" s="110"/>
      <c r="E366" s="130"/>
      <c r="F366" s="135"/>
      <c r="G366" s="88"/>
      <c r="H366" s="136"/>
      <c r="I366" s="137"/>
      <c r="J366" s="91"/>
      <c r="K366" s="92"/>
      <c r="L366" s="137"/>
      <c r="M366" s="93"/>
      <c r="N366" s="94"/>
      <c r="O366" s="130"/>
      <c r="P366" s="96"/>
      <c r="Q366" s="97" t="str">
        <f aca="false">IF(ISBLANK($C366),"",IF(E366=Constants!$B$2, TRUE(), IF(E366=Constants!$B$3, FALSE(), TRUE())))</f>
        <v/>
      </c>
      <c r="R366" s="97" t="str">
        <f aca="false">IF(ISBLANK($C366),"",IF(F366=Constants!$B$2, TRUE(), IF(F366=Constants!$B$3, FALSE(), TRUE())))</f>
        <v/>
      </c>
      <c r="S366" s="97" t="str">
        <f aca="false">IF(ISBLANK($C366),"",IF(G366=Constants!$B$15,Constants!$B$8,IF(G366=Constants!$B$16,Constants!$B$9,Constants!$B$10)))</f>
        <v/>
      </c>
      <c r="T366" s="97" t="str">
        <f aca="false">IF(ISBLANK($C366),"",IF(H366=Constants!$B$2, TRUE(), IF(H366=Constants!$B$3, FALSE(), TRUE())))</f>
        <v/>
      </c>
      <c r="U366" s="97" t="str">
        <f aca="false">IF(ISBLANK($C366),"",IF(I366=Constants!$B$19,Constants!$B$19,Constants!$B$18))</f>
        <v/>
      </c>
      <c r="V366" s="97" t="str">
        <f aca="false">IF(ISBLANK($C366),"",IF(COUNTA(J366:K366)=0,"",IF(AND(OR(ISBLANK(J366),AND(ISNUMBER(J366),J366&gt;=0)),OR(ISBLANK(K366),AND(ISNUMBER(K366),K366&gt;=0))),60*IF(ISBLANK(J366),0,J366)+IF(ISBLANK(K366),0,K366),"")))</f>
        <v/>
      </c>
      <c r="W366" s="97" t="str">
        <f aca="false">IF(ISBLANK($C366),"",IF(L366=Constants!$B$19,Constants!$B$19,Constants!$B$18))</f>
        <v/>
      </c>
      <c r="X366" s="97" t="str">
        <f aca="false">IF(ISBLANK($C366),"",IF(COUNTA(M366:N366)=0,"",IF(AND(OR(ISBLANK(M366),AND(ISNUMBER(M366),M366&gt;=0)),OR(ISBLANK(N366),AND(ISNUMBER(N366),N366&gt;=0))),60*IF(ISBLANK(M366),0,M366)+IF(ISBLANK(N366),0,N366),"")))</f>
        <v/>
      </c>
      <c r="Y366" s="97" t="str">
        <f aca="false">IF(ISBLANK($C366),"",IF(O366=Constants!$B$2, TRUE(), IF(O366=Constants!$B$3, FALSE(), FALSE())))</f>
        <v/>
      </c>
      <c r="Z366" s="97" t="str">
        <f aca="false">IF(ISBLANK($C366),"",IF(Y366,Constants!$B$4,IF(COUNTA(E366:N366)=0,Constants!$B$5,IF(COUNTA(J366:K366,M366:N366)=0,Constants!$B$6,Constants!$B$7))))</f>
        <v/>
      </c>
      <c r="AA366" s="97" t="str">
        <f aca="false">IF(ISBLANK($C366),"",IF($Z366&lt;&gt;Constants!$B$7,$Z366,IF(OR(NOT(T366),AND(NOT(Q366),COUNTIFS(U366:W366,Constants!$B$18,V366:X366,"&gt;=0")&gt;0),AND(NOT(R366),COUNTIFS(U366:W366,Constants!$B$19,V366:X366,"&gt;=0")&gt;0)),Constants!$B$12,Constants!$B$11)))</f>
        <v/>
      </c>
      <c r="AB366" s="97" t="str">
        <f aca="false">IF($Z366=Constants!$B$7,IF(V366="",Constants!$B$13,V366),"")</f>
        <v/>
      </c>
      <c r="AC366" s="97" t="str">
        <f aca="false">IF($Z366=Constants!$B$7,IF(X366="",Constants!$B$13,X366),"")</f>
        <v/>
      </c>
      <c r="AD366" s="97" t="str">
        <f aca="false">IF($Z366=Constants!$B$7,IF($AB366&gt;=$AC366,1,2),"")</f>
        <v/>
      </c>
      <c r="AE366" s="97" t="str">
        <f aca="false">IF($Z366=Constants!$B$7,LARGE(AB366:AC366,1),"")</f>
        <v/>
      </c>
      <c r="AF366" s="97" t="str">
        <f aca="false">IF(ISBLANK($C366),"",IF($Z366&lt;&gt;Constants!$B$7,$Z366,AE366*S366))</f>
        <v/>
      </c>
      <c r="AG366" s="97" t="str">
        <f aca="false">IF(ISBLANK($C366),"",IF($Z366=Constants!$B$7,IF(ISNUMBER(AF366),RANK(AF366,$AF$8:$AF$507),Constants!$B$14),$Z366))</f>
        <v/>
      </c>
      <c r="AH366" s="97" t="str">
        <f aca="false">IF(ISBLANK($C366),"",IF($Z366=Constants!$B$7,IF(ISNUMBER(AG366),COUNTIFS($AA$8:$AA$507,"&lt;"&amp;$AA366)+COUNTIFS($AA$8:$AA$507,$AA366,$AG$8:$AG$507,"&lt;"&amp;$AG366)+1,Constants!$B$14),$Z366))</f>
        <v/>
      </c>
      <c r="AI366" s="97" t="str">
        <f aca="false">IF(ISBLANK($C366),"",IF($Z366=Constants!$B$7,LARGE(AB366:AC366,2)*S366,""))</f>
        <v/>
      </c>
      <c r="AJ366" s="97" t="str">
        <f aca="false">IF(ISBLANK($C366),"",IF($Z366=Constants!$B$7,RANK(AI366,$AI$8:$AI$507),$Z366))</f>
        <v/>
      </c>
      <c r="AK366" s="97" t="str">
        <f aca="false">IF(ISBLANK($C366),"",IF($Z366=Constants!$B$7,IF(ISNUMBER(AG366),COUNTIFS($AA$8:$AA$507,"&lt;"&amp;$AA366)+COUNTIFS($AA$8:$AA$507,$AA366,$AG$8:$AG$507,"&lt;"&amp;$AG366)+COUNTIFS($AA$8:$AA$507,$AA366,$AG$8:$AG$507,$AG366,$AJ$8:$AJ$507,"&lt;"&amp;$AJ366)+1,Constants!$B$14),$Z366))</f>
        <v/>
      </c>
      <c r="AL366" s="97" t="str">
        <f aca="false">IF(ISBLANK($C366),"",IF($Z366=Constants!$B$7,IF(ISNUMBER(AH366),AH366-AK366,Constants!$B$14),$Z366))</f>
        <v/>
      </c>
      <c r="AM366" s="98"/>
      <c r="AN366" s="99" t="str">
        <f aca="false">IF(ISBLANK($C366),"",IF($Z366&lt;&gt;Constants!$B$7,$Z366,AD366))</f>
        <v/>
      </c>
      <c r="AO366" s="100" t="str">
        <f aca="false">IF(ISBLANK($C366),"",IF($Z366&lt;&gt;Constants!$B$7,$Z366,S366))</f>
        <v/>
      </c>
      <c r="AP366" s="101" t="str">
        <f aca="false">IF(ISBLANK($C366),"",IF($Z366&lt;&gt;Constants!$B$7,$Z366,AF366))</f>
        <v/>
      </c>
      <c r="AQ366" s="102" t="str">
        <f aca="false">IF(ISBLANK($C366),"",IF($Z366&lt;&gt;Constants!$B$7,$Z366,AA366))</f>
        <v/>
      </c>
      <c r="AR366" s="100" t="str">
        <f aca="false">IF(ISBLANK($C366),"",AL366)</f>
        <v/>
      </c>
      <c r="AS366" s="100" t="str">
        <f aca="false">IF(ISBLANK($C366),"",AK366)</f>
        <v/>
      </c>
      <c r="AT366" s="103" t="str">
        <f aca="false">IF(ISBLANK($C366),"",IF(AS366=Constants!$B$4,COUNTA($C$8:$C$507)+2,IF(AS366=Constants!$B$5,COUNTA($C$8:$C$507)+1,IF(AS366=Constants!$B$6,COUNTA($C$8:$C$507),AS366))))</f>
        <v/>
      </c>
      <c r="AU366" s="5"/>
      <c r="AV366" s="104" t="n">
        <f aca="false">IF(OR(ISNUMBER(AS366),AS366=Constants!$B$4,AS366=Constants!$B$6,AS366=Constants!$B$5),1,0)</f>
        <v>0</v>
      </c>
      <c r="AW366" s="104" t="n">
        <v>359</v>
      </c>
      <c r="AX366" s="104" t="str">
        <f aca="false">IF(ISBLANK($C366),"",IF(ISNUMBER(AT366),AT366+ROW($B366)/1000,""))</f>
        <v/>
      </c>
      <c r="AY366" s="104" t="str">
        <f aca="false">IF(ISNUMBER(AX366),RANK(AX366,$AX$8:$AX$507,1),"")</f>
        <v/>
      </c>
      <c r="AZ366" s="104" t="str">
        <f aca="false">IF(ISBLANK($C366),"",$B366)</f>
        <v/>
      </c>
      <c r="BA366" s="104" t="str">
        <f aca="false">IF(ISBLANK($C366),"",$C366)</f>
        <v/>
      </c>
      <c r="BB366" s="104" t="str">
        <f aca="false">IF(ISBLANK($C366),"",$D366)</f>
        <v/>
      </c>
      <c r="BC366" s="105" t="str">
        <f aca="false">AQ366</f>
        <v/>
      </c>
      <c r="BD366" s="106" t="str">
        <f aca="false">AP366</f>
        <v/>
      </c>
      <c r="BE366" s="104" t="str">
        <f aca="false">IF(ISBLANK($C366),"",AS366)</f>
        <v/>
      </c>
      <c r="BF366" s="107" t="str">
        <f aca="false">IF($AW366&gt;$AV$7,"",VLOOKUP($AW366,$AY$8:$BE$507,7,FALSE()))</f>
        <v/>
      </c>
      <c r="BG366" s="108" t="str">
        <f aca="false">IF($AW366&gt;$AV$7,"",VLOOKUP($AW366,$AY$8:$BE$507,2,FALSE()))</f>
        <v/>
      </c>
      <c r="BH366" s="108" t="str">
        <f aca="false">IF($AW366&gt;$AV$7,"",VLOOKUP($AW366,$AY$8:$BE$507,3,FALSE()))</f>
        <v/>
      </c>
      <c r="BI366" s="108" t="str">
        <f aca="false">IF($AW366&gt;$AV$7,"",VLOOKUP($AW366,$AY$8:$BE$507,4,FALSE()))</f>
        <v/>
      </c>
      <c r="BJ366" s="108" t="str">
        <f aca="false">IF($AW366&gt;$AV$7,"",VLOOKUP($AW366,$AY$8:$BE$507,5,FALSE()))</f>
        <v/>
      </c>
      <c r="BK366" s="109" t="str">
        <f aca="false">IF($AW366&gt;$AV$7,"",VLOOKUP($AW366,$AY$8:$BE$507,6,FALSE()))</f>
        <v/>
      </c>
      <c r="BL366" s="50"/>
    </row>
    <row r="367" customFormat="false" ht="15.75" hidden="false" customHeight="false" outlineLevel="0" collapsed="false">
      <c r="A367" s="5"/>
      <c r="B367" s="124"/>
      <c r="C367" s="125"/>
      <c r="D367" s="110"/>
      <c r="E367" s="130"/>
      <c r="F367" s="135"/>
      <c r="G367" s="88"/>
      <c r="H367" s="136"/>
      <c r="I367" s="137"/>
      <c r="J367" s="91"/>
      <c r="K367" s="92"/>
      <c r="L367" s="137"/>
      <c r="M367" s="93"/>
      <c r="N367" s="94"/>
      <c r="O367" s="130"/>
      <c r="P367" s="96"/>
      <c r="Q367" s="97" t="str">
        <f aca="false">IF(ISBLANK($C367),"",IF(E367=Constants!$B$2, TRUE(), IF(E367=Constants!$B$3, FALSE(), TRUE())))</f>
        <v/>
      </c>
      <c r="R367" s="97" t="str">
        <f aca="false">IF(ISBLANK($C367),"",IF(F367=Constants!$B$2, TRUE(), IF(F367=Constants!$B$3, FALSE(), TRUE())))</f>
        <v/>
      </c>
      <c r="S367" s="97" t="str">
        <f aca="false">IF(ISBLANK($C367),"",IF(G367=Constants!$B$15,Constants!$B$8,IF(G367=Constants!$B$16,Constants!$B$9,Constants!$B$10)))</f>
        <v/>
      </c>
      <c r="T367" s="97" t="str">
        <f aca="false">IF(ISBLANK($C367),"",IF(H367=Constants!$B$2, TRUE(), IF(H367=Constants!$B$3, FALSE(), TRUE())))</f>
        <v/>
      </c>
      <c r="U367" s="97" t="str">
        <f aca="false">IF(ISBLANK($C367),"",IF(I367=Constants!$B$19,Constants!$B$19,Constants!$B$18))</f>
        <v/>
      </c>
      <c r="V367" s="97" t="str">
        <f aca="false">IF(ISBLANK($C367),"",IF(COUNTA(J367:K367)=0,"",IF(AND(OR(ISBLANK(J367),AND(ISNUMBER(J367),J367&gt;=0)),OR(ISBLANK(K367),AND(ISNUMBER(K367),K367&gt;=0))),60*IF(ISBLANK(J367),0,J367)+IF(ISBLANK(K367),0,K367),"")))</f>
        <v/>
      </c>
      <c r="W367" s="97" t="str">
        <f aca="false">IF(ISBLANK($C367),"",IF(L367=Constants!$B$19,Constants!$B$19,Constants!$B$18))</f>
        <v/>
      </c>
      <c r="X367" s="97" t="str">
        <f aca="false">IF(ISBLANK($C367),"",IF(COUNTA(M367:N367)=0,"",IF(AND(OR(ISBLANK(M367),AND(ISNUMBER(M367),M367&gt;=0)),OR(ISBLANK(N367),AND(ISNUMBER(N367),N367&gt;=0))),60*IF(ISBLANK(M367),0,M367)+IF(ISBLANK(N367),0,N367),"")))</f>
        <v/>
      </c>
      <c r="Y367" s="97" t="str">
        <f aca="false">IF(ISBLANK($C367),"",IF(O367=Constants!$B$2, TRUE(), IF(O367=Constants!$B$3, FALSE(), FALSE())))</f>
        <v/>
      </c>
      <c r="Z367" s="97" t="str">
        <f aca="false">IF(ISBLANK($C367),"",IF(Y367,Constants!$B$4,IF(COUNTA(E367:N367)=0,Constants!$B$5,IF(COUNTA(J367:K367,M367:N367)=0,Constants!$B$6,Constants!$B$7))))</f>
        <v/>
      </c>
      <c r="AA367" s="97" t="str">
        <f aca="false">IF(ISBLANK($C367),"",IF($Z367&lt;&gt;Constants!$B$7,$Z367,IF(OR(NOT(T367),AND(NOT(Q367),COUNTIFS(U367:W367,Constants!$B$18,V367:X367,"&gt;=0")&gt;0),AND(NOT(R367),COUNTIFS(U367:W367,Constants!$B$19,V367:X367,"&gt;=0")&gt;0)),Constants!$B$12,Constants!$B$11)))</f>
        <v/>
      </c>
      <c r="AB367" s="97" t="str">
        <f aca="false">IF($Z367=Constants!$B$7,IF(V367="",Constants!$B$13,V367),"")</f>
        <v/>
      </c>
      <c r="AC367" s="97" t="str">
        <f aca="false">IF($Z367=Constants!$B$7,IF(X367="",Constants!$B$13,X367),"")</f>
        <v/>
      </c>
      <c r="AD367" s="97" t="str">
        <f aca="false">IF($Z367=Constants!$B$7,IF($AB367&gt;=$AC367,1,2),"")</f>
        <v/>
      </c>
      <c r="AE367" s="97" t="str">
        <f aca="false">IF($Z367=Constants!$B$7,LARGE(AB367:AC367,1),"")</f>
        <v/>
      </c>
      <c r="AF367" s="97" t="str">
        <f aca="false">IF(ISBLANK($C367),"",IF($Z367&lt;&gt;Constants!$B$7,$Z367,AE367*S367))</f>
        <v/>
      </c>
      <c r="AG367" s="97" t="str">
        <f aca="false">IF(ISBLANK($C367),"",IF($Z367=Constants!$B$7,IF(ISNUMBER(AF367),RANK(AF367,$AF$8:$AF$507),Constants!$B$14),$Z367))</f>
        <v/>
      </c>
      <c r="AH367" s="97" t="str">
        <f aca="false">IF(ISBLANK($C367),"",IF($Z367=Constants!$B$7,IF(ISNUMBER(AG367),COUNTIFS($AA$8:$AA$507,"&lt;"&amp;$AA367)+COUNTIFS($AA$8:$AA$507,$AA367,$AG$8:$AG$507,"&lt;"&amp;$AG367)+1,Constants!$B$14),$Z367))</f>
        <v/>
      </c>
      <c r="AI367" s="97" t="str">
        <f aca="false">IF(ISBLANK($C367),"",IF($Z367=Constants!$B$7,LARGE(AB367:AC367,2)*S367,""))</f>
        <v/>
      </c>
      <c r="AJ367" s="97" t="str">
        <f aca="false">IF(ISBLANK($C367),"",IF($Z367=Constants!$B$7,RANK(AI367,$AI$8:$AI$507),$Z367))</f>
        <v/>
      </c>
      <c r="AK367" s="97" t="str">
        <f aca="false">IF(ISBLANK($C367),"",IF($Z367=Constants!$B$7,IF(ISNUMBER(AG367),COUNTIFS($AA$8:$AA$507,"&lt;"&amp;$AA367)+COUNTIFS($AA$8:$AA$507,$AA367,$AG$8:$AG$507,"&lt;"&amp;$AG367)+COUNTIFS($AA$8:$AA$507,$AA367,$AG$8:$AG$507,$AG367,$AJ$8:$AJ$507,"&lt;"&amp;$AJ367)+1,Constants!$B$14),$Z367))</f>
        <v/>
      </c>
      <c r="AL367" s="97" t="str">
        <f aca="false">IF(ISBLANK($C367),"",IF($Z367=Constants!$B$7,IF(ISNUMBER(AH367),AH367-AK367,Constants!$B$14),$Z367))</f>
        <v/>
      </c>
      <c r="AM367" s="98"/>
      <c r="AN367" s="99" t="str">
        <f aca="false">IF(ISBLANK($C367),"",IF($Z367&lt;&gt;Constants!$B$7,$Z367,AD367))</f>
        <v/>
      </c>
      <c r="AO367" s="100" t="str">
        <f aca="false">IF(ISBLANK($C367),"",IF($Z367&lt;&gt;Constants!$B$7,$Z367,S367))</f>
        <v/>
      </c>
      <c r="AP367" s="101" t="str">
        <f aca="false">IF(ISBLANK($C367),"",IF($Z367&lt;&gt;Constants!$B$7,$Z367,AF367))</f>
        <v/>
      </c>
      <c r="AQ367" s="102" t="str">
        <f aca="false">IF(ISBLANK($C367),"",IF($Z367&lt;&gt;Constants!$B$7,$Z367,AA367))</f>
        <v/>
      </c>
      <c r="AR367" s="100" t="str">
        <f aca="false">IF(ISBLANK($C367),"",AL367)</f>
        <v/>
      </c>
      <c r="AS367" s="100" t="str">
        <f aca="false">IF(ISBLANK($C367),"",AK367)</f>
        <v/>
      </c>
      <c r="AT367" s="103" t="str">
        <f aca="false">IF(ISBLANK($C367),"",IF(AS367=Constants!$B$4,COUNTA($C$8:$C$507)+2,IF(AS367=Constants!$B$5,COUNTA($C$8:$C$507)+1,IF(AS367=Constants!$B$6,COUNTA($C$8:$C$507),AS367))))</f>
        <v/>
      </c>
      <c r="AU367" s="5"/>
      <c r="AV367" s="104" t="n">
        <f aca="false">IF(OR(ISNUMBER(AS367),AS367=Constants!$B$4,AS367=Constants!$B$6,AS367=Constants!$B$5),1,0)</f>
        <v>0</v>
      </c>
      <c r="AW367" s="104" t="n">
        <v>360</v>
      </c>
      <c r="AX367" s="104" t="str">
        <f aca="false">IF(ISBLANK($C367),"",IF(ISNUMBER(AT367),AT367+ROW($B367)/1000,""))</f>
        <v/>
      </c>
      <c r="AY367" s="104" t="str">
        <f aca="false">IF(ISNUMBER(AX367),RANK(AX367,$AX$8:$AX$507,1),"")</f>
        <v/>
      </c>
      <c r="AZ367" s="104" t="str">
        <f aca="false">IF(ISBLANK($C367),"",$B367)</f>
        <v/>
      </c>
      <c r="BA367" s="104" t="str">
        <f aca="false">IF(ISBLANK($C367),"",$C367)</f>
        <v/>
      </c>
      <c r="BB367" s="104" t="str">
        <f aca="false">IF(ISBLANK($C367),"",$D367)</f>
        <v/>
      </c>
      <c r="BC367" s="105" t="str">
        <f aca="false">AQ367</f>
        <v/>
      </c>
      <c r="BD367" s="106" t="str">
        <f aca="false">AP367</f>
        <v/>
      </c>
      <c r="BE367" s="104" t="str">
        <f aca="false">IF(ISBLANK($C367),"",AS367)</f>
        <v/>
      </c>
      <c r="BF367" s="107" t="str">
        <f aca="false">IF($AW367&gt;$AV$7,"",VLOOKUP($AW367,$AY$8:$BE$507,7,FALSE()))</f>
        <v/>
      </c>
      <c r="BG367" s="108" t="str">
        <f aca="false">IF($AW367&gt;$AV$7,"",VLOOKUP($AW367,$AY$8:$BE$507,2,FALSE()))</f>
        <v/>
      </c>
      <c r="BH367" s="108" t="str">
        <f aca="false">IF($AW367&gt;$AV$7,"",VLOOKUP($AW367,$AY$8:$BE$507,3,FALSE()))</f>
        <v/>
      </c>
      <c r="BI367" s="108" t="str">
        <f aca="false">IF($AW367&gt;$AV$7,"",VLOOKUP($AW367,$AY$8:$BE$507,4,FALSE()))</f>
        <v/>
      </c>
      <c r="BJ367" s="108" t="str">
        <f aca="false">IF($AW367&gt;$AV$7,"",VLOOKUP($AW367,$AY$8:$BE$507,5,FALSE()))</f>
        <v/>
      </c>
      <c r="BK367" s="109" t="str">
        <f aca="false">IF($AW367&gt;$AV$7,"",VLOOKUP($AW367,$AY$8:$BE$507,6,FALSE()))</f>
        <v/>
      </c>
      <c r="BL367" s="50"/>
    </row>
    <row r="368" customFormat="false" ht="15.75" hidden="false" customHeight="false" outlineLevel="0" collapsed="false">
      <c r="A368" s="5"/>
      <c r="B368" s="131"/>
      <c r="C368" s="52"/>
      <c r="D368" s="53"/>
      <c r="E368" s="80"/>
      <c r="F368" s="132"/>
      <c r="G368" s="56"/>
      <c r="H368" s="133"/>
      <c r="I368" s="134"/>
      <c r="J368" s="59"/>
      <c r="K368" s="60"/>
      <c r="L368" s="134"/>
      <c r="M368" s="61"/>
      <c r="N368" s="62"/>
      <c r="O368" s="80"/>
      <c r="P368" s="64"/>
      <c r="Q368" s="65" t="str">
        <f aca="false">IF(ISBLANK($C368),"",IF(E368=Constants!$B$2, TRUE(), IF(E368=Constants!$B$3, FALSE(), TRUE())))</f>
        <v/>
      </c>
      <c r="R368" s="65" t="str">
        <f aca="false">IF(ISBLANK($C368),"",IF(F368=Constants!$B$2, TRUE(), IF(F368=Constants!$B$3, FALSE(), TRUE())))</f>
        <v/>
      </c>
      <c r="S368" s="65" t="str">
        <f aca="false">IF(ISBLANK($C368),"",IF(G368=Constants!$B$15,Constants!$B$8,IF(G368=Constants!$B$16,Constants!$B$9,Constants!$B$10)))</f>
        <v/>
      </c>
      <c r="T368" s="65" t="str">
        <f aca="false">IF(ISBLANK($C368),"",IF(H368=Constants!$B$2, TRUE(), IF(H368=Constants!$B$3, FALSE(), TRUE())))</f>
        <v/>
      </c>
      <c r="U368" s="65" t="str">
        <f aca="false">IF(ISBLANK($C368),"",IF(I368=Constants!$B$19,Constants!$B$19,Constants!$B$18))</f>
        <v/>
      </c>
      <c r="V368" s="65" t="str">
        <f aca="false">IF(ISBLANK($C368),"",IF(COUNTA(J368:K368)=0,"",IF(AND(OR(ISBLANK(J368),AND(ISNUMBER(J368),J368&gt;=0)),OR(ISBLANK(K368),AND(ISNUMBER(K368),K368&gt;=0))),60*IF(ISBLANK(J368),0,J368)+IF(ISBLANK(K368),0,K368),"")))</f>
        <v/>
      </c>
      <c r="W368" s="65" t="str">
        <f aca="false">IF(ISBLANK($C368),"",IF(L368=Constants!$B$19,Constants!$B$19,Constants!$B$18))</f>
        <v/>
      </c>
      <c r="X368" s="65" t="str">
        <f aca="false">IF(ISBLANK($C368),"",IF(COUNTA(M368:N368)=0,"",IF(AND(OR(ISBLANK(M368),AND(ISNUMBER(M368),M368&gt;=0)),OR(ISBLANK(N368),AND(ISNUMBER(N368),N368&gt;=0))),60*IF(ISBLANK(M368),0,M368)+IF(ISBLANK(N368),0,N368),"")))</f>
        <v/>
      </c>
      <c r="Y368" s="65" t="str">
        <f aca="false">IF(ISBLANK($C368),"",IF(O368=Constants!$B$2, TRUE(), IF(O368=Constants!$B$3, FALSE(), FALSE())))</f>
        <v/>
      </c>
      <c r="Z368" s="65" t="str">
        <f aca="false">IF(ISBLANK($C368),"",IF(Y368,Constants!$B$4,IF(COUNTA(E368:N368)=0,Constants!$B$5,IF(COUNTA(J368:K368,M368:N368)=0,Constants!$B$6,Constants!$B$7))))</f>
        <v/>
      </c>
      <c r="AA368" s="65" t="str">
        <f aca="false">IF(ISBLANK($C368),"",IF($Z368&lt;&gt;Constants!$B$7,$Z368,IF(OR(NOT(T368),AND(NOT(Q368),COUNTIFS(U368:W368,Constants!$B$18,V368:X368,"&gt;=0")&gt;0),AND(NOT(R368),COUNTIFS(U368:W368,Constants!$B$19,V368:X368,"&gt;=0")&gt;0)),Constants!$B$12,Constants!$B$11)))</f>
        <v/>
      </c>
      <c r="AB368" s="65" t="str">
        <f aca="false">IF($Z368=Constants!$B$7,IF(V368="",Constants!$B$13,V368),"")</f>
        <v/>
      </c>
      <c r="AC368" s="65" t="str">
        <f aca="false">IF($Z368=Constants!$B$7,IF(X368="",Constants!$B$13,X368),"")</f>
        <v/>
      </c>
      <c r="AD368" s="65" t="str">
        <f aca="false">IF($Z368=Constants!$B$7,IF($AB368&gt;=$AC368,1,2),"")</f>
        <v/>
      </c>
      <c r="AE368" s="65" t="str">
        <f aca="false">IF($Z368=Constants!$B$7,LARGE(AB368:AC368,1),"")</f>
        <v/>
      </c>
      <c r="AF368" s="65" t="str">
        <f aca="false">IF(ISBLANK($C368),"",IF($Z368&lt;&gt;Constants!$B$7,$Z368,AE368*S368))</f>
        <v/>
      </c>
      <c r="AG368" s="65" t="str">
        <f aca="false">IF(ISBLANK($C368),"",IF($Z368=Constants!$B$7,IF(ISNUMBER(AF368),RANK(AF368,$AF$8:$AF$507),Constants!$B$14),$Z368))</f>
        <v/>
      </c>
      <c r="AH368" s="65" t="str">
        <f aca="false">IF(ISBLANK($C368),"",IF($Z368=Constants!$B$7,IF(ISNUMBER(AG368),COUNTIFS($AA$8:$AA$507,"&lt;"&amp;$AA368)+COUNTIFS($AA$8:$AA$507,$AA368,$AG$8:$AG$507,"&lt;"&amp;$AG368)+1,Constants!$B$14),$Z368))</f>
        <v/>
      </c>
      <c r="AI368" s="65" t="str">
        <f aca="false">IF(ISBLANK($C368),"",IF($Z368=Constants!$B$7,LARGE(AB368:AC368,2)*S368,""))</f>
        <v/>
      </c>
      <c r="AJ368" s="65" t="str">
        <f aca="false">IF(ISBLANK($C368),"",IF($Z368=Constants!$B$7,RANK(AI368,$AI$8:$AI$507),$Z368))</f>
        <v/>
      </c>
      <c r="AK368" s="65" t="str">
        <f aca="false">IF(ISBLANK($C368),"",IF($Z368=Constants!$B$7,IF(ISNUMBER(AG368),COUNTIFS($AA$8:$AA$507,"&lt;"&amp;$AA368)+COUNTIFS($AA$8:$AA$507,$AA368,$AG$8:$AG$507,"&lt;"&amp;$AG368)+COUNTIFS($AA$8:$AA$507,$AA368,$AG$8:$AG$507,$AG368,$AJ$8:$AJ$507,"&lt;"&amp;$AJ368)+1,Constants!$B$14),$Z368))</f>
        <v/>
      </c>
      <c r="AL368" s="65" t="str">
        <f aca="false">IF(ISBLANK($C368),"",IF($Z368=Constants!$B$7,IF(ISNUMBER(AH368),AH368-AK368,Constants!$B$14),$Z368))</f>
        <v/>
      </c>
      <c r="AM368" s="67"/>
      <c r="AN368" s="68" t="str">
        <f aca="false">IF(ISBLANK($C368),"",IF($Z368&lt;&gt;Constants!$B$7,$Z368,AD368))</f>
        <v/>
      </c>
      <c r="AO368" s="69" t="str">
        <f aca="false">IF(ISBLANK($C368),"",IF($Z368&lt;&gt;Constants!$B$7,$Z368,S368))</f>
        <v/>
      </c>
      <c r="AP368" s="70" t="str">
        <f aca="false">IF(ISBLANK($C368),"",IF($Z368&lt;&gt;Constants!$B$7,$Z368,AF368))</f>
        <v/>
      </c>
      <c r="AQ368" s="71" t="str">
        <f aca="false">IF(ISBLANK($C368),"",IF($Z368&lt;&gt;Constants!$B$7,$Z368,AA368))</f>
        <v/>
      </c>
      <c r="AR368" s="69" t="str">
        <f aca="false">IF(ISBLANK($C368),"",AL368)</f>
        <v/>
      </c>
      <c r="AS368" s="69" t="str">
        <f aca="false">IF(ISBLANK($C368),"",AK368)</f>
        <v/>
      </c>
      <c r="AT368" s="72" t="str">
        <f aca="false">IF(ISBLANK($C368),"",IF(AS368=Constants!$B$4,COUNTA($C$8:$C$507)+2,IF(AS368=Constants!$B$5,COUNTA($C$8:$C$507)+1,IF(AS368=Constants!$B$6,COUNTA($C$8:$C$507),AS368))))</f>
        <v/>
      </c>
      <c r="AU368" s="5"/>
      <c r="AV368" s="73" t="n">
        <f aca="false">IF(OR(ISNUMBER(AS368),AS368=Constants!$B$4,AS368=Constants!$B$6,AS368=Constants!$B$5),1,0)</f>
        <v>0</v>
      </c>
      <c r="AW368" s="73" t="n">
        <v>361</v>
      </c>
      <c r="AX368" s="73" t="str">
        <f aca="false">IF(ISBLANK($C368),"",IF(ISNUMBER(AT368),AT368+ROW($B368)/1000,""))</f>
        <v/>
      </c>
      <c r="AY368" s="73" t="str">
        <f aca="false">IF(ISNUMBER(AX368),RANK(AX368,$AX$8:$AX$507,1),"")</f>
        <v/>
      </c>
      <c r="AZ368" s="73" t="str">
        <f aca="false">IF(ISBLANK($C368),"",$B368)</f>
        <v/>
      </c>
      <c r="BA368" s="73" t="str">
        <f aca="false">IF(ISBLANK($C368),"",$C368)</f>
        <v/>
      </c>
      <c r="BB368" s="73" t="str">
        <f aca="false">IF(ISBLANK($C368),"",$D368)</f>
        <v/>
      </c>
      <c r="BC368" s="74" t="str">
        <f aca="false">AQ368</f>
        <v/>
      </c>
      <c r="BD368" s="75" t="str">
        <f aca="false">AP368</f>
        <v/>
      </c>
      <c r="BE368" s="73" t="str">
        <f aca="false">IF(ISBLANK($C368),"",AS368)</f>
        <v/>
      </c>
      <c r="BF368" s="76" t="str">
        <f aca="false">IF($AW368&gt;$AV$7,"",VLOOKUP($AW368,$AY$8:$BE$507,7,FALSE()))</f>
        <v/>
      </c>
      <c r="BG368" s="77" t="str">
        <f aca="false">IF($AW368&gt;$AV$7,"",VLOOKUP($AW368,$AY$8:$BE$507,2,FALSE()))</f>
        <v/>
      </c>
      <c r="BH368" s="77" t="str">
        <f aca="false">IF($AW368&gt;$AV$7,"",VLOOKUP($AW368,$AY$8:$BE$507,3,FALSE()))</f>
        <v/>
      </c>
      <c r="BI368" s="77" t="str">
        <f aca="false">IF($AW368&gt;$AV$7,"",VLOOKUP($AW368,$AY$8:$BE$507,4,FALSE()))</f>
        <v/>
      </c>
      <c r="BJ368" s="77" t="str">
        <f aca="false">IF($AW368&gt;$AV$7,"",VLOOKUP($AW368,$AY$8:$BE$507,5,FALSE()))</f>
        <v/>
      </c>
      <c r="BK368" s="78" t="str">
        <f aca="false">IF($AW368&gt;$AV$7,"",VLOOKUP($AW368,$AY$8:$BE$507,6,FALSE()))</f>
        <v/>
      </c>
      <c r="BL368" s="50"/>
    </row>
    <row r="369" customFormat="false" ht="15.75" hidden="false" customHeight="false" outlineLevel="0" collapsed="false">
      <c r="A369" s="5"/>
      <c r="B369" s="131"/>
      <c r="C369" s="52"/>
      <c r="D369" s="53"/>
      <c r="E369" s="80"/>
      <c r="F369" s="132"/>
      <c r="G369" s="56"/>
      <c r="H369" s="133"/>
      <c r="I369" s="134"/>
      <c r="J369" s="59"/>
      <c r="K369" s="60"/>
      <c r="L369" s="134"/>
      <c r="M369" s="61"/>
      <c r="N369" s="62"/>
      <c r="O369" s="80"/>
      <c r="P369" s="64"/>
      <c r="Q369" s="65" t="str">
        <f aca="false">IF(ISBLANK($C369),"",IF(E369=Constants!$B$2, TRUE(), IF(E369=Constants!$B$3, FALSE(), TRUE())))</f>
        <v/>
      </c>
      <c r="R369" s="65" t="str">
        <f aca="false">IF(ISBLANK($C369),"",IF(F369=Constants!$B$2, TRUE(), IF(F369=Constants!$B$3, FALSE(), TRUE())))</f>
        <v/>
      </c>
      <c r="S369" s="65" t="str">
        <f aca="false">IF(ISBLANK($C369),"",IF(G369=Constants!$B$15,Constants!$B$8,IF(G369=Constants!$B$16,Constants!$B$9,Constants!$B$10)))</f>
        <v/>
      </c>
      <c r="T369" s="65" t="str">
        <f aca="false">IF(ISBLANK($C369),"",IF(H369=Constants!$B$2, TRUE(), IF(H369=Constants!$B$3, FALSE(), TRUE())))</f>
        <v/>
      </c>
      <c r="U369" s="65" t="str">
        <f aca="false">IF(ISBLANK($C369),"",IF(I369=Constants!$B$19,Constants!$B$19,Constants!$B$18))</f>
        <v/>
      </c>
      <c r="V369" s="65" t="str">
        <f aca="false">IF(ISBLANK($C369),"",IF(COUNTA(J369:K369)=0,"",IF(AND(OR(ISBLANK(J369),AND(ISNUMBER(J369),J369&gt;=0)),OR(ISBLANK(K369),AND(ISNUMBER(K369),K369&gt;=0))),60*IF(ISBLANK(J369),0,J369)+IF(ISBLANK(K369),0,K369),"")))</f>
        <v/>
      </c>
      <c r="W369" s="65" t="str">
        <f aca="false">IF(ISBLANK($C369),"",IF(L369=Constants!$B$19,Constants!$B$19,Constants!$B$18))</f>
        <v/>
      </c>
      <c r="X369" s="65" t="str">
        <f aca="false">IF(ISBLANK($C369),"",IF(COUNTA(M369:N369)=0,"",IF(AND(OR(ISBLANK(M369),AND(ISNUMBER(M369),M369&gt;=0)),OR(ISBLANK(N369),AND(ISNUMBER(N369),N369&gt;=0))),60*IF(ISBLANK(M369),0,M369)+IF(ISBLANK(N369),0,N369),"")))</f>
        <v/>
      </c>
      <c r="Y369" s="65" t="str">
        <f aca="false">IF(ISBLANK($C369),"",IF(O369=Constants!$B$2, TRUE(), IF(O369=Constants!$B$3, FALSE(), FALSE())))</f>
        <v/>
      </c>
      <c r="Z369" s="65" t="str">
        <f aca="false">IF(ISBLANK($C369),"",IF(Y369,Constants!$B$4,IF(COUNTA(E369:N369)=0,Constants!$B$5,IF(COUNTA(J369:K369,M369:N369)=0,Constants!$B$6,Constants!$B$7))))</f>
        <v/>
      </c>
      <c r="AA369" s="65" t="str">
        <f aca="false">IF(ISBLANK($C369),"",IF($Z369&lt;&gt;Constants!$B$7,$Z369,IF(OR(NOT(T369),AND(NOT(Q369),COUNTIFS(U369:W369,Constants!$B$18,V369:X369,"&gt;=0")&gt;0),AND(NOT(R369),COUNTIFS(U369:W369,Constants!$B$19,V369:X369,"&gt;=0")&gt;0)),Constants!$B$12,Constants!$B$11)))</f>
        <v/>
      </c>
      <c r="AB369" s="65" t="str">
        <f aca="false">IF($Z369=Constants!$B$7,IF(V369="",Constants!$B$13,V369),"")</f>
        <v/>
      </c>
      <c r="AC369" s="65" t="str">
        <f aca="false">IF($Z369=Constants!$B$7,IF(X369="",Constants!$B$13,X369),"")</f>
        <v/>
      </c>
      <c r="AD369" s="65" t="str">
        <f aca="false">IF($Z369=Constants!$B$7,IF($AB369&gt;=$AC369,1,2),"")</f>
        <v/>
      </c>
      <c r="AE369" s="65" t="str">
        <f aca="false">IF($Z369=Constants!$B$7,LARGE(AB369:AC369,1),"")</f>
        <v/>
      </c>
      <c r="AF369" s="65" t="str">
        <f aca="false">IF(ISBLANK($C369),"",IF($Z369&lt;&gt;Constants!$B$7,$Z369,AE369*S369))</f>
        <v/>
      </c>
      <c r="AG369" s="65" t="str">
        <f aca="false">IF(ISBLANK($C369),"",IF($Z369=Constants!$B$7,IF(ISNUMBER(AF369),RANK(AF369,$AF$8:$AF$507),Constants!$B$14),$Z369))</f>
        <v/>
      </c>
      <c r="AH369" s="65" t="str">
        <f aca="false">IF(ISBLANK($C369),"",IF($Z369=Constants!$B$7,IF(ISNUMBER(AG369),COUNTIFS($AA$8:$AA$507,"&lt;"&amp;$AA369)+COUNTIFS($AA$8:$AA$507,$AA369,$AG$8:$AG$507,"&lt;"&amp;$AG369)+1,Constants!$B$14),$Z369))</f>
        <v/>
      </c>
      <c r="AI369" s="65" t="str">
        <f aca="false">IF(ISBLANK($C369),"",IF($Z369=Constants!$B$7,LARGE(AB369:AC369,2)*S369,""))</f>
        <v/>
      </c>
      <c r="AJ369" s="65" t="str">
        <f aca="false">IF(ISBLANK($C369),"",IF($Z369=Constants!$B$7,RANK(AI369,$AI$8:$AI$507),$Z369))</f>
        <v/>
      </c>
      <c r="AK369" s="65" t="str">
        <f aca="false">IF(ISBLANK($C369),"",IF($Z369=Constants!$B$7,IF(ISNUMBER(AG369),COUNTIFS($AA$8:$AA$507,"&lt;"&amp;$AA369)+COUNTIFS($AA$8:$AA$507,$AA369,$AG$8:$AG$507,"&lt;"&amp;$AG369)+COUNTIFS($AA$8:$AA$507,$AA369,$AG$8:$AG$507,$AG369,$AJ$8:$AJ$507,"&lt;"&amp;$AJ369)+1,Constants!$B$14),$Z369))</f>
        <v/>
      </c>
      <c r="AL369" s="65" t="str">
        <f aca="false">IF(ISBLANK($C369),"",IF($Z369=Constants!$B$7,IF(ISNUMBER(AH369),AH369-AK369,Constants!$B$14),$Z369))</f>
        <v/>
      </c>
      <c r="AM369" s="67"/>
      <c r="AN369" s="68" t="str">
        <f aca="false">IF(ISBLANK($C369),"",IF($Z369&lt;&gt;Constants!$B$7,$Z369,AD369))</f>
        <v/>
      </c>
      <c r="AO369" s="69" t="str">
        <f aca="false">IF(ISBLANK($C369),"",IF($Z369&lt;&gt;Constants!$B$7,$Z369,S369))</f>
        <v/>
      </c>
      <c r="AP369" s="70" t="str">
        <f aca="false">IF(ISBLANK($C369),"",IF($Z369&lt;&gt;Constants!$B$7,$Z369,AF369))</f>
        <v/>
      </c>
      <c r="AQ369" s="71" t="str">
        <f aca="false">IF(ISBLANK($C369),"",IF($Z369&lt;&gt;Constants!$B$7,$Z369,AA369))</f>
        <v/>
      </c>
      <c r="AR369" s="69" t="str">
        <f aca="false">IF(ISBLANK($C369),"",AL369)</f>
        <v/>
      </c>
      <c r="AS369" s="69" t="str">
        <f aca="false">IF(ISBLANK($C369),"",AK369)</f>
        <v/>
      </c>
      <c r="AT369" s="72" t="str">
        <f aca="false">IF(ISBLANK($C369),"",IF(AS369=Constants!$B$4,COUNTA($C$8:$C$507)+2,IF(AS369=Constants!$B$5,COUNTA($C$8:$C$507)+1,IF(AS369=Constants!$B$6,COUNTA($C$8:$C$507),AS369))))</f>
        <v/>
      </c>
      <c r="AU369" s="5"/>
      <c r="AV369" s="73" t="n">
        <f aca="false">IF(OR(ISNUMBER(AS369),AS369=Constants!$B$4,AS369=Constants!$B$6,AS369=Constants!$B$5),1,0)</f>
        <v>0</v>
      </c>
      <c r="AW369" s="73" t="n">
        <v>362</v>
      </c>
      <c r="AX369" s="73" t="str">
        <f aca="false">IF(ISBLANK($C369),"",IF(ISNUMBER(AT369),AT369+ROW($B369)/1000,""))</f>
        <v/>
      </c>
      <c r="AY369" s="73" t="str">
        <f aca="false">IF(ISNUMBER(AX369),RANK(AX369,$AX$8:$AX$507,1),"")</f>
        <v/>
      </c>
      <c r="AZ369" s="73" t="str">
        <f aca="false">IF(ISBLANK($C369),"",$B369)</f>
        <v/>
      </c>
      <c r="BA369" s="73" t="str">
        <f aca="false">IF(ISBLANK($C369),"",$C369)</f>
        <v/>
      </c>
      <c r="BB369" s="73" t="str">
        <f aca="false">IF(ISBLANK($C369),"",$D369)</f>
        <v/>
      </c>
      <c r="BC369" s="74" t="str">
        <f aca="false">AQ369</f>
        <v/>
      </c>
      <c r="BD369" s="75" t="str">
        <f aca="false">AP369</f>
        <v/>
      </c>
      <c r="BE369" s="73" t="str">
        <f aca="false">IF(ISBLANK($C369),"",AS369)</f>
        <v/>
      </c>
      <c r="BF369" s="76" t="str">
        <f aca="false">IF($AW369&gt;$AV$7,"",VLOOKUP($AW369,$AY$8:$BE$507,7,FALSE()))</f>
        <v/>
      </c>
      <c r="BG369" s="77" t="str">
        <f aca="false">IF($AW369&gt;$AV$7,"",VLOOKUP($AW369,$AY$8:$BE$507,2,FALSE()))</f>
        <v/>
      </c>
      <c r="BH369" s="77" t="str">
        <f aca="false">IF($AW369&gt;$AV$7,"",VLOOKUP($AW369,$AY$8:$BE$507,3,FALSE()))</f>
        <v/>
      </c>
      <c r="BI369" s="77" t="str">
        <f aca="false">IF($AW369&gt;$AV$7,"",VLOOKUP($AW369,$AY$8:$BE$507,4,FALSE()))</f>
        <v/>
      </c>
      <c r="BJ369" s="77" t="str">
        <f aca="false">IF($AW369&gt;$AV$7,"",VLOOKUP($AW369,$AY$8:$BE$507,5,FALSE()))</f>
        <v/>
      </c>
      <c r="BK369" s="78" t="str">
        <f aca="false">IF($AW369&gt;$AV$7,"",VLOOKUP($AW369,$AY$8:$BE$507,6,FALSE()))</f>
        <v/>
      </c>
      <c r="BL369" s="50"/>
    </row>
    <row r="370" customFormat="false" ht="15.75" hidden="false" customHeight="false" outlineLevel="0" collapsed="false">
      <c r="A370" s="5"/>
      <c r="B370" s="131"/>
      <c r="C370" s="52"/>
      <c r="D370" s="53"/>
      <c r="E370" s="80"/>
      <c r="F370" s="132"/>
      <c r="G370" s="56"/>
      <c r="H370" s="133"/>
      <c r="I370" s="134"/>
      <c r="J370" s="59"/>
      <c r="K370" s="60"/>
      <c r="L370" s="134"/>
      <c r="M370" s="61"/>
      <c r="N370" s="62"/>
      <c r="O370" s="80"/>
      <c r="P370" s="64"/>
      <c r="Q370" s="65" t="str">
        <f aca="false">IF(ISBLANK($C370),"",IF(E370=Constants!$B$2, TRUE(), IF(E370=Constants!$B$3, FALSE(), TRUE())))</f>
        <v/>
      </c>
      <c r="R370" s="65" t="str">
        <f aca="false">IF(ISBLANK($C370),"",IF(F370=Constants!$B$2, TRUE(), IF(F370=Constants!$B$3, FALSE(), TRUE())))</f>
        <v/>
      </c>
      <c r="S370" s="65" t="str">
        <f aca="false">IF(ISBLANK($C370),"",IF(G370=Constants!$B$15,Constants!$B$8,IF(G370=Constants!$B$16,Constants!$B$9,Constants!$B$10)))</f>
        <v/>
      </c>
      <c r="T370" s="65" t="str">
        <f aca="false">IF(ISBLANK($C370),"",IF(H370=Constants!$B$2, TRUE(), IF(H370=Constants!$B$3, FALSE(), TRUE())))</f>
        <v/>
      </c>
      <c r="U370" s="65" t="str">
        <f aca="false">IF(ISBLANK($C370),"",IF(I370=Constants!$B$19,Constants!$B$19,Constants!$B$18))</f>
        <v/>
      </c>
      <c r="V370" s="65" t="str">
        <f aca="false">IF(ISBLANK($C370),"",IF(COUNTA(J370:K370)=0,"",IF(AND(OR(ISBLANK(J370),AND(ISNUMBER(J370),J370&gt;=0)),OR(ISBLANK(K370),AND(ISNUMBER(K370),K370&gt;=0))),60*IF(ISBLANK(J370),0,J370)+IF(ISBLANK(K370),0,K370),"")))</f>
        <v/>
      </c>
      <c r="W370" s="65" t="str">
        <f aca="false">IF(ISBLANK($C370),"",IF(L370=Constants!$B$19,Constants!$B$19,Constants!$B$18))</f>
        <v/>
      </c>
      <c r="X370" s="65" t="str">
        <f aca="false">IF(ISBLANK($C370),"",IF(COUNTA(M370:N370)=0,"",IF(AND(OR(ISBLANK(M370),AND(ISNUMBER(M370),M370&gt;=0)),OR(ISBLANK(N370),AND(ISNUMBER(N370),N370&gt;=0))),60*IF(ISBLANK(M370),0,M370)+IF(ISBLANK(N370),0,N370),"")))</f>
        <v/>
      </c>
      <c r="Y370" s="65" t="str">
        <f aca="false">IF(ISBLANK($C370),"",IF(O370=Constants!$B$2, TRUE(), IF(O370=Constants!$B$3, FALSE(), FALSE())))</f>
        <v/>
      </c>
      <c r="Z370" s="65" t="str">
        <f aca="false">IF(ISBLANK($C370),"",IF(Y370,Constants!$B$4,IF(COUNTA(E370:N370)=0,Constants!$B$5,IF(COUNTA(J370:K370,M370:N370)=0,Constants!$B$6,Constants!$B$7))))</f>
        <v/>
      </c>
      <c r="AA370" s="65" t="str">
        <f aca="false">IF(ISBLANK($C370),"",IF($Z370&lt;&gt;Constants!$B$7,$Z370,IF(OR(NOT(T370),AND(NOT(Q370),COUNTIFS(U370:W370,Constants!$B$18,V370:X370,"&gt;=0")&gt;0),AND(NOT(R370),COUNTIFS(U370:W370,Constants!$B$19,V370:X370,"&gt;=0")&gt;0)),Constants!$B$12,Constants!$B$11)))</f>
        <v/>
      </c>
      <c r="AB370" s="65" t="str">
        <f aca="false">IF($Z370=Constants!$B$7,IF(V370="",Constants!$B$13,V370),"")</f>
        <v/>
      </c>
      <c r="AC370" s="65" t="str">
        <f aca="false">IF($Z370=Constants!$B$7,IF(X370="",Constants!$B$13,X370),"")</f>
        <v/>
      </c>
      <c r="AD370" s="65" t="str">
        <f aca="false">IF($Z370=Constants!$B$7,IF($AB370&gt;=$AC370,1,2),"")</f>
        <v/>
      </c>
      <c r="AE370" s="65" t="str">
        <f aca="false">IF($Z370=Constants!$B$7,LARGE(AB370:AC370,1),"")</f>
        <v/>
      </c>
      <c r="AF370" s="65" t="str">
        <f aca="false">IF(ISBLANK($C370),"",IF($Z370&lt;&gt;Constants!$B$7,$Z370,AE370*S370))</f>
        <v/>
      </c>
      <c r="AG370" s="65" t="str">
        <f aca="false">IF(ISBLANK($C370),"",IF($Z370=Constants!$B$7,IF(ISNUMBER(AF370),RANK(AF370,$AF$8:$AF$507),Constants!$B$14),$Z370))</f>
        <v/>
      </c>
      <c r="AH370" s="65" t="str">
        <f aca="false">IF(ISBLANK($C370),"",IF($Z370=Constants!$B$7,IF(ISNUMBER(AG370),COUNTIFS($AA$8:$AA$507,"&lt;"&amp;$AA370)+COUNTIFS($AA$8:$AA$507,$AA370,$AG$8:$AG$507,"&lt;"&amp;$AG370)+1,Constants!$B$14),$Z370))</f>
        <v/>
      </c>
      <c r="AI370" s="65" t="str">
        <f aca="false">IF(ISBLANK($C370),"",IF($Z370=Constants!$B$7,LARGE(AB370:AC370,2)*S370,""))</f>
        <v/>
      </c>
      <c r="AJ370" s="65" t="str">
        <f aca="false">IF(ISBLANK($C370),"",IF($Z370=Constants!$B$7,RANK(AI370,$AI$8:$AI$507),$Z370))</f>
        <v/>
      </c>
      <c r="AK370" s="65" t="str">
        <f aca="false">IF(ISBLANK($C370),"",IF($Z370=Constants!$B$7,IF(ISNUMBER(AG370),COUNTIFS($AA$8:$AA$507,"&lt;"&amp;$AA370)+COUNTIFS($AA$8:$AA$507,$AA370,$AG$8:$AG$507,"&lt;"&amp;$AG370)+COUNTIFS($AA$8:$AA$507,$AA370,$AG$8:$AG$507,$AG370,$AJ$8:$AJ$507,"&lt;"&amp;$AJ370)+1,Constants!$B$14),$Z370))</f>
        <v/>
      </c>
      <c r="AL370" s="65" t="str">
        <f aca="false">IF(ISBLANK($C370),"",IF($Z370=Constants!$B$7,IF(ISNUMBER(AH370),AH370-AK370,Constants!$B$14),$Z370))</f>
        <v/>
      </c>
      <c r="AM370" s="67"/>
      <c r="AN370" s="68" t="str">
        <f aca="false">IF(ISBLANK($C370),"",IF($Z370&lt;&gt;Constants!$B$7,$Z370,AD370))</f>
        <v/>
      </c>
      <c r="AO370" s="69" t="str">
        <f aca="false">IF(ISBLANK($C370),"",IF($Z370&lt;&gt;Constants!$B$7,$Z370,S370))</f>
        <v/>
      </c>
      <c r="AP370" s="70" t="str">
        <f aca="false">IF(ISBLANK($C370),"",IF($Z370&lt;&gt;Constants!$B$7,$Z370,AF370))</f>
        <v/>
      </c>
      <c r="AQ370" s="71" t="str">
        <f aca="false">IF(ISBLANK($C370),"",IF($Z370&lt;&gt;Constants!$B$7,$Z370,AA370))</f>
        <v/>
      </c>
      <c r="AR370" s="69" t="str">
        <f aca="false">IF(ISBLANK($C370),"",AL370)</f>
        <v/>
      </c>
      <c r="AS370" s="69" t="str">
        <f aca="false">IF(ISBLANK($C370),"",AK370)</f>
        <v/>
      </c>
      <c r="AT370" s="72" t="str">
        <f aca="false">IF(ISBLANK($C370),"",IF(AS370=Constants!$B$4,COUNTA($C$8:$C$507)+2,IF(AS370=Constants!$B$5,COUNTA($C$8:$C$507)+1,IF(AS370=Constants!$B$6,COUNTA($C$8:$C$507),AS370))))</f>
        <v/>
      </c>
      <c r="AU370" s="5"/>
      <c r="AV370" s="73" t="n">
        <f aca="false">IF(OR(ISNUMBER(AS370),AS370=Constants!$B$4,AS370=Constants!$B$6,AS370=Constants!$B$5),1,0)</f>
        <v>0</v>
      </c>
      <c r="AW370" s="73" t="n">
        <v>363</v>
      </c>
      <c r="AX370" s="73" t="str">
        <f aca="false">IF(ISBLANK($C370),"",IF(ISNUMBER(AT370),AT370+ROW($B370)/1000,""))</f>
        <v/>
      </c>
      <c r="AY370" s="73" t="str">
        <f aca="false">IF(ISNUMBER(AX370),RANK(AX370,$AX$8:$AX$507,1),"")</f>
        <v/>
      </c>
      <c r="AZ370" s="73" t="str">
        <f aca="false">IF(ISBLANK($C370),"",$B370)</f>
        <v/>
      </c>
      <c r="BA370" s="73" t="str">
        <f aca="false">IF(ISBLANK($C370),"",$C370)</f>
        <v/>
      </c>
      <c r="BB370" s="73" t="str">
        <f aca="false">IF(ISBLANK($C370),"",$D370)</f>
        <v/>
      </c>
      <c r="BC370" s="74" t="str">
        <f aca="false">AQ370</f>
        <v/>
      </c>
      <c r="BD370" s="75" t="str">
        <f aca="false">AP370</f>
        <v/>
      </c>
      <c r="BE370" s="73" t="str">
        <f aca="false">IF(ISBLANK($C370),"",AS370)</f>
        <v/>
      </c>
      <c r="BF370" s="76" t="str">
        <f aca="false">IF($AW370&gt;$AV$7,"",VLOOKUP($AW370,$AY$8:$BE$507,7,FALSE()))</f>
        <v/>
      </c>
      <c r="BG370" s="77" t="str">
        <f aca="false">IF($AW370&gt;$AV$7,"",VLOOKUP($AW370,$AY$8:$BE$507,2,FALSE()))</f>
        <v/>
      </c>
      <c r="BH370" s="77" t="str">
        <f aca="false">IF($AW370&gt;$AV$7,"",VLOOKUP($AW370,$AY$8:$BE$507,3,FALSE()))</f>
        <v/>
      </c>
      <c r="BI370" s="77" t="str">
        <f aca="false">IF($AW370&gt;$AV$7,"",VLOOKUP($AW370,$AY$8:$BE$507,4,FALSE()))</f>
        <v/>
      </c>
      <c r="BJ370" s="77" t="str">
        <f aca="false">IF($AW370&gt;$AV$7,"",VLOOKUP($AW370,$AY$8:$BE$507,5,FALSE()))</f>
        <v/>
      </c>
      <c r="BK370" s="78" t="str">
        <f aca="false">IF($AW370&gt;$AV$7,"",VLOOKUP($AW370,$AY$8:$BE$507,6,FALSE()))</f>
        <v/>
      </c>
      <c r="BL370" s="50"/>
    </row>
    <row r="371" customFormat="false" ht="15.75" hidden="false" customHeight="false" outlineLevel="0" collapsed="false">
      <c r="A371" s="5"/>
      <c r="B371" s="124"/>
      <c r="C371" s="125"/>
      <c r="D371" s="110"/>
      <c r="E371" s="130"/>
      <c r="F371" s="135"/>
      <c r="G371" s="88"/>
      <c r="H371" s="136"/>
      <c r="I371" s="137"/>
      <c r="J371" s="91"/>
      <c r="K371" s="92"/>
      <c r="L371" s="137"/>
      <c r="M371" s="93"/>
      <c r="N371" s="94"/>
      <c r="O371" s="130"/>
      <c r="P371" s="96"/>
      <c r="Q371" s="97" t="str">
        <f aca="false">IF(ISBLANK($C371),"",IF(E371=Constants!$B$2, TRUE(), IF(E371=Constants!$B$3, FALSE(), TRUE())))</f>
        <v/>
      </c>
      <c r="R371" s="97" t="str">
        <f aca="false">IF(ISBLANK($C371),"",IF(F371=Constants!$B$2, TRUE(), IF(F371=Constants!$B$3, FALSE(), TRUE())))</f>
        <v/>
      </c>
      <c r="S371" s="97" t="str">
        <f aca="false">IF(ISBLANK($C371),"",IF(G371=Constants!$B$15,Constants!$B$8,IF(G371=Constants!$B$16,Constants!$B$9,Constants!$B$10)))</f>
        <v/>
      </c>
      <c r="T371" s="97" t="str">
        <f aca="false">IF(ISBLANK($C371),"",IF(H371=Constants!$B$2, TRUE(), IF(H371=Constants!$B$3, FALSE(), TRUE())))</f>
        <v/>
      </c>
      <c r="U371" s="97" t="str">
        <f aca="false">IF(ISBLANK($C371),"",IF(I371=Constants!$B$19,Constants!$B$19,Constants!$B$18))</f>
        <v/>
      </c>
      <c r="V371" s="97" t="str">
        <f aca="false">IF(ISBLANK($C371),"",IF(COUNTA(J371:K371)=0,"",IF(AND(OR(ISBLANK(J371),AND(ISNUMBER(J371),J371&gt;=0)),OR(ISBLANK(K371),AND(ISNUMBER(K371),K371&gt;=0))),60*IF(ISBLANK(J371),0,J371)+IF(ISBLANK(K371),0,K371),"")))</f>
        <v/>
      </c>
      <c r="W371" s="97" t="str">
        <f aca="false">IF(ISBLANK($C371),"",IF(L371=Constants!$B$19,Constants!$B$19,Constants!$B$18))</f>
        <v/>
      </c>
      <c r="X371" s="97" t="str">
        <f aca="false">IF(ISBLANK($C371),"",IF(COUNTA(M371:N371)=0,"",IF(AND(OR(ISBLANK(M371),AND(ISNUMBER(M371),M371&gt;=0)),OR(ISBLANK(N371),AND(ISNUMBER(N371),N371&gt;=0))),60*IF(ISBLANK(M371),0,M371)+IF(ISBLANK(N371),0,N371),"")))</f>
        <v/>
      </c>
      <c r="Y371" s="97" t="str">
        <f aca="false">IF(ISBLANK($C371),"",IF(O371=Constants!$B$2, TRUE(), IF(O371=Constants!$B$3, FALSE(), FALSE())))</f>
        <v/>
      </c>
      <c r="Z371" s="97" t="str">
        <f aca="false">IF(ISBLANK($C371),"",IF(Y371,Constants!$B$4,IF(COUNTA(E371:N371)=0,Constants!$B$5,IF(COUNTA(J371:K371,M371:N371)=0,Constants!$B$6,Constants!$B$7))))</f>
        <v/>
      </c>
      <c r="AA371" s="97" t="str">
        <f aca="false">IF(ISBLANK($C371),"",IF($Z371&lt;&gt;Constants!$B$7,$Z371,IF(OR(NOT(T371),AND(NOT(Q371),COUNTIFS(U371:W371,Constants!$B$18,V371:X371,"&gt;=0")&gt;0),AND(NOT(R371),COUNTIFS(U371:W371,Constants!$B$19,V371:X371,"&gt;=0")&gt;0)),Constants!$B$12,Constants!$B$11)))</f>
        <v/>
      </c>
      <c r="AB371" s="97" t="str">
        <f aca="false">IF($Z371=Constants!$B$7,IF(V371="",Constants!$B$13,V371),"")</f>
        <v/>
      </c>
      <c r="AC371" s="97" t="str">
        <f aca="false">IF($Z371=Constants!$B$7,IF(X371="",Constants!$B$13,X371),"")</f>
        <v/>
      </c>
      <c r="AD371" s="97" t="str">
        <f aca="false">IF($Z371=Constants!$B$7,IF($AB371&gt;=$AC371,1,2),"")</f>
        <v/>
      </c>
      <c r="AE371" s="97" t="str">
        <f aca="false">IF($Z371=Constants!$B$7,LARGE(AB371:AC371,1),"")</f>
        <v/>
      </c>
      <c r="AF371" s="97" t="str">
        <f aca="false">IF(ISBLANK($C371),"",IF($Z371&lt;&gt;Constants!$B$7,$Z371,AE371*S371))</f>
        <v/>
      </c>
      <c r="AG371" s="97" t="str">
        <f aca="false">IF(ISBLANK($C371),"",IF($Z371=Constants!$B$7,IF(ISNUMBER(AF371),RANK(AF371,$AF$8:$AF$507),Constants!$B$14),$Z371))</f>
        <v/>
      </c>
      <c r="AH371" s="97" t="str">
        <f aca="false">IF(ISBLANK($C371),"",IF($Z371=Constants!$B$7,IF(ISNUMBER(AG371),COUNTIFS($AA$8:$AA$507,"&lt;"&amp;$AA371)+COUNTIFS($AA$8:$AA$507,$AA371,$AG$8:$AG$507,"&lt;"&amp;$AG371)+1,Constants!$B$14),$Z371))</f>
        <v/>
      </c>
      <c r="AI371" s="97" t="str">
        <f aca="false">IF(ISBLANK($C371),"",IF($Z371=Constants!$B$7,LARGE(AB371:AC371,2)*S371,""))</f>
        <v/>
      </c>
      <c r="AJ371" s="97" t="str">
        <f aca="false">IF(ISBLANK($C371),"",IF($Z371=Constants!$B$7,RANK(AI371,$AI$8:$AI$507),$Z371))</f>
        <v/>
      </c>
      <c r="AK371" s="97" t="str">
        <f aca="false">IF(ISBLANK($C371),"",IF($Z371=Constants!$B$7,IF(ISNUMBER(AG371),COUNTIFS($AA$8:$AA$507,"&lt;"&amp;$AA371)+COUNTIFS($AA$8:$AA$507,$AA371,$AG$8:$AG$507,"&lt;"&amp;$AG371)+COUNTIFS($AA$8:$AA$507,$AA371,$AG$8:$AG$507,$AG371,$AJ$8:$AJ$507,"&lt;"&amp;$AJ371)+1,Constants!$B$14),$Z371))</f>
        <v/>
      </c>
      <c r="AL371" s="97" t="str">
        <f aca="false">IF(ISBLANK($C371),"",IF($Z371=Constants!$B$7,IF(ISNUMBER(AH371),AH371-AK371,Constants!$B$14),$Z371))</f>
        <v/>
      </c>
      <c r="AM371" s="98"/>
      <c r="AN371" s="99" t="str">
        <f aca="false">IF(ISBLANK($C371),"",IF($Z371&lt;&gt;Constants!$B$7,$Z371,AD371))</f>
        <v/>
      </c>
      <c r="AO371" s="100" t="str">
        <f aca="false">IF(ISBLANK($C371),"",IF($Z371&lt;&gt;Constants!$B$7,$Z371,S371))</f>
        <v/>
      </c>
      <c r="AP371" s="101" t="str">
        <f aca="false">IF(ISBLANK($C371),"",IF($Z371&lt;&gt;Constants!$B$7,$Z371,AF371))</f>
        <v/>
      </c>
      <c r="AQ371" s="102" t="str">
        <f aca="false">IF(ISBLANK($C371),"",IF($Z371&lt;&gt;Constants!$B$7,$Z371,AA371))</f>
        <v/>
      </c>
      <c r="AR371" s="100" t="str">
        <f aca="false">IF(ISBLANK($C371),"",AL371)</f>
        <v/>
      </c>
      <c r="AS371" s="100" t="str">
        <f aca="false">IF(ISBLANK($C371),"",AK371)</f>
        <v/>
      </c>
      <c r="AT371" s="103" t="str">
        <f aca="false">IF(ISBLANK($C371),"",IF(AS371=Constants!$B$4,COUNTA($C$8:$C$507)+2,IF(AS371=Constants!$B$5,COUNTA($C$8:$C$507)+1,IF(AS371=Constants!$B$6,COUNTA($C$8:$C$507),AS371))))</f>
        <v/>
      </c>
      <c r="AU371" s="5"/>
      <c r="AV371" s="104" t="n">
        <f aca="false">IF(OR(ISNUMBER(AS371),AS371=Constants!$B$4,AS371=Constants!$B$6,AS371=Constants!$B$5),1,0)</f>
        <v>0</v>
      </c>
      <c r="AW371" s="104" t="n">
        <v>364</v>
      </c>
      <c r="AX371" s="104" t="str">
        <f aca="false">IF(ISBLANK($C371),"",IF(ISNUMBER(AT371),AT371+ROW($B371)/1000,""))</f>
        <v/>
      </c>
      <c r="AY371" s="104" t="str">
        <f aca="false">IF(ISNUMBER(AX371),RANK(AX371,$AX$8:$AX$507,1),"")</f>
        <v/>
      </c>
      <c r="AZ371" s="104" t="str">
        <f aca="false">IF(ISBLANK($C371),"",$B371)</f>
        <v/>
      </c>
      <c r="BA371" s="104" t="str">
        <f aca="false">IF(ISBLANK($C371),"",$C371)</f>
        <v/>
      </c>
      <c r="BB371" s="104" t="str">
        <f aca="false">IF(ISBLANK($C371),"",$D371)</f>
        <v/>
      </c>
      <c r="BC371" s="105" t="str">
        <f aca="false">AQ371</f>
        <v/>
      </c>
      <c r="BD371" s="106" t="str">
        <f aca="false">AP371</f>
        <v/>
      </c>
      <c r="BE371" s="104" t="str">
        <f aca="false">IF(ISBLANK($C371),"",AS371)</f>
        <v/>
      </c>
      <c r="BF371" s="107" t="str">
        <f aca="false">IF($AW371&gt;$AV$7,"",VLOOKUP($AW371,$AY$8:$BE$507,7,FALSE()))</f>
        <v/>
      </c>
      <c r="BG371" s="108" t="str">
        <f aca="false">IF($AW371&gt;$AV$7,"",VLOOKUP($AW371,$AY$8:$BE$507,2,FALSE()))</f>
        <v/>
      </c>
      <c r="BH371" s="108" t="str">
        <f aca="false">IF($AW371&gt;$AV$7,"",VLOOKUP($AW371,$AY$8:$BE$507,3,FALSE()))</f>
        <v/>
      </c>
      <c r="BI371" s="108" t="str">
        <f aca="false">IF($AW371&gt;$AV$7,"",VLOOKUP($AW371,$AY$8:$BE$507,4,FALSE()))</f>
        <v/>
      </c>
      <c r="BJ371" s="108" t="str">
        <f aca="false">IF($AW371&gt;$AV$7,"",VLOOKUP($AW371,$AY$8:$BE$507,5,FALSE()))</f>
        <v/>
      </c>
      <c r="BK371" s="109" t="str">
        <f aca="false">IF($AW371&gt;$AV$7,"",VLOOKUP($AW371,$AY$8:$BE$507,6,FALSE()))</f>
        <v/>
      </c>
      <c r="BL371" s="50"/>
    </row>
    <row r="372" customFormat="false" ht="15.75" hidden="false" customHeight="false" outlineLevel="0" collapsed="false">
      <c r="A372" s="5"/>
      <c r="B372" s="124"/>
      <c r="C372" s="125"/>
      <c r="D372" s="110"/>
      <c r="E372" s="130"/>
      <c r="F372" s="135"/>
      <c r="G372" s="88"/>
      <c r="H372" s="136"/>
      <c r="I372" s="137"/>
      <c r="J372" s="91"/>
      <c r="K372" s="92"/>
      <c r="L372" s="137"/>
      <c r="M372" s="93"/>
      <c r="N372" s="94"/>
      <c r="O372" s="130"/>
      <c r="P372" s="96"/>
      <c r="Q372" s="97" t="str">
        <f aca="false">IF(ISBLANK($C372),"",IF(E372=Constants!$B$2, TRUE(), IF(E372=Constants!$B$3, FALSE(), TRUE())))</f>
        <v/>
      </c>
      <c r="R372" s="97" t="str">
        <f aca="false">IF(ISBLANK($C372),"",IF(F372=Constants!$B$2, TRUE(), IF(F372=Constants!$B$3, FALSE(), TRUE())))</f>
        <v/>
      </c>
      <c r="S372" s="97" t="str">
        <f aca="false">IF(ISBLANK($C372),"",IF(G372=Constants!$B$15,Constants!$B$8,IF(G372=Constants!$B$16,Constants!$B$9,Constants!$B$10)))</f>
        <v/>
      </c>
      <c r="T372" s="97" t="str">
        <f aca="false">IF(ISBLANK($C372),"",IF(H372=Constants!$B$2, TRUE(), IF(H372=Constants!$B$3, FALSE(), TRUE())))</f>
        <v/>
      </c>
      <c r="U372" s="97" t="str">
        <f aca="false">IF(ISBLANK($C372),"",IF(I372=Constants!$B$19,Constants!$B$19,Constants!$B$18))</f>
        <v/>
      </c>
      <c r="V372" s="97" t="str">
        <f aca="false">IF(ISBLANK($C372),"",IF(COUNTA(J372:K372)=0,"",IF(AND(OR(ISBLANK(J372),AND(ISNUMBER(J372),J372&gt;=0)),OR(ISBLANK(K372),AND(ISNUMBER(K372),K372&gt;=0))),60*IF(ISBLANK(J372),0,J372)+IF(ISBLANK(K372),0,K372),"")))</f>
        <v/>
      </c>
      <c r="W372" s="97" t="str">
        <f aca="false">IF(ISBLANK($C372),"",IF(L372=Constants!$B$19,Constants!$B$19,Constants!$B$18))</f>
        <v/>
      </c>
      <c r="X372" s="97" t="str">
        <f aca="false">IF(ISBLANK($C372),"",IF(COUNTA(M372:N372)=0,"",IF(AND(OR(ISBLANK(M372),AND(ISNUMBER(M372),M372&gt;=0)),OR(ISBLANK(N372),AND(ISNUMBER(N372),N372&gt;=0))),60*IF(ISBLANK(M372),0,M372)+IF(ISBLANK(N372),0,N372),"")))</f>
        <v/>
      </c>
      <c r="Y372" s="97" t="str">
        <f aca="false">IF(ISBLANK($C372),"",IF(O372=Constants!$B$2, TRUE(), IF(O372=Constants!$B$3, FALSE(), FALSE())))</f>
        <v/>
      </c>
      <c r="Z372" s="97" t="str">
        <f aca="false">IF(ISBLANK($C372),"",IF(Y372,Constants!$B$4,IF(COUNTA(E372:N372)=0,Constants!$B$5,IF(COUNTA(J372:K372,M372:N372)=0,Constants!$B$6,Constants!$B$7))))</f>
        <v/>
      </c>
      <c r="AA372" s="97" t="str">
        <f aca="false">IF(ISBLANK($C372),"",IF($Z372&lt;&gt;Constants!$B$7,$Z372,IF(OR(NOT(T372),AND(NOT(Q372),COUNTIFS(U372:W372,Constants!$B$18,V372:X372,"&gt;=0")&gt;0),AND(NOT(R372),COUNTIFS(U372:W372,Constants!$B$19,V372:X372,"&gt;=0")&gt;0)),Constants!$B$12,Constants!$B$11)))</f>
        <v/>
      </c>
      <c r="AB372" s="97" t="str">
        <f aca="false">IF($Z372=Constants!$B$7,IF(V372="",Constants!$B$13,V372),"")</f>
        <v/>
      </c>
      <c r="AC372" s="97" t="str">
        <f aca="false">IF($Z372=Constants!$B$7,IF(X372="",Constants!$B$13,X372),"")</f>
        <v/>
      </c>
      <c r="AD372" s="97" t="str">
        <f aca="false">IF($Z372=Constants!$B$7,IF($AB372&gt;=$AC372,1,2),"")</f>
        <v/>
      </c>
      <c r="AE372" s="97" t="str">
        <f aca="false">IF($Z372=Constants!$B$7,LARGE(AB372:AC372,1),"")</f>
        <v/>
      </c>
      <c r="AF372" s="97" t="str">
        <f aca="false">IF(ISBLANK($C372),"",IF($Z372&lt;&gt;Constants!$B$7,$Z372,AE372*S372))</f>
        <v/>
      </c>
      <c r="AG372" s="97" t="str">
        <f aca="false">IF(ISBLANK($C372),"",IF($Z372=Constants!$B$7,IF(ISNUMBER(AF372),RANK(AF372,$AF$8:$AF$507),Constants!$B$14),$Z372))</f>
        <v/>
      </c>
      <c r="AH372" s="97" t="str">
        <f aca="false">IF(ISBLANK($C372),"",IF($Z372=Constants!$B$7,IF(ISNUMBER(AG372),COUNTIFS($AA$8:$AA$507,"&lt;"&amp;$AA372)+COUNTIFS($AA$8:$AA$507,$AA372,$AG$8:$AG$507,"&lt;"&amp;$AG372)+1,Constants!$B$14),$Z372))</f>
        <v/>
      </c>
      <c r="AI372" s="97" t="str">
        <f aca="false">IF(ISBLANK($C372),"",IF($Z372=Constants!$B$7,LARGE(AB372:AC372,2)*S372,""))</f>
        <v/>
      </c>
      <c r="AJ372" s="97" t="str">
        <f aca="false">IF(ISBLANK($C372),"",IF($Z372=Constants!$B$7,RANK(AI372,$AI$8:$AI$507),$Z372))</f>
        <v/>
      </c>
      <c r="AK372" s="97" t="str">
        <f aca="false">IF(ISBLANK($C372),"",IF($Z372=Constants!$B$7,IF(ISNUMBER(AG372),COUNTIFS($AA$8:$AA$507,"&lt;"&amp;$AA372)+COUNTIFS($AA$8:$AA$507,$AA372,$AG$8:$AG$507,"&lt;"&amp;$AG372)+COUNTIFS($AA$8:$AA$507,$AA372,$AG$8:$AG$507,$AG372,$AJ$8:$AJ$507,"&lt;"&amp;$AJ372)+1,Constants!$B$14),$Z372))</f>
        <v/>
      </c>
      <c r="AL372" s="97" t="str">
        <f aca="false">IF(ISBLANK($C372),"",IF($Z372=Constants!$B$7,IF(ISNUMBER(AH372),AH372-AK372,Constants!$B$14),$Z372))</f>
        <v/>
      </c>
      <c r="AM372" s="98"/>
      <c r="AN372" s="99" t="str">
        <f aca="false">IF(ISBLANK($C372),"",IF($Z372&lt;&gt;Constants!$B$7,$Z372,AD372))</f>
        <v/>
      </c>
      <c r="AO372" s="100" t="str">
        <f aca="false">IF(ISBLANK($C372),"",IF($Z372&lt;&gt;Constants!$B$7,$Z372,S372))</f>
        <v/>
      </c>
      <c r="AP372" s="101" t="str">
        <f aca="false">IF(ISBLANK($C372),"",IF($Z372&lt;&gt;Constants!$B$7,$Z372,AF372))</f>
        <v/>
      </c>
      <c r="AQ372" s="102" t="str">
        <f aca="false">IF(ISBLANK($C372),"",IF($Z372&lt;&gt;Constants!$B$7,$Z372,AA372))</f>
        <v/>
      </c>
      <c r="AR372" s="100" t="str">
        <f aca="false">IF(ISBLANK($C372),"",AL372)</f>
        <v/>
      </c>
      <c r="AS372" s="100" t="str">
        <f aca="false">IF(ISBLANK($C372),"",AK372)</f>
        <v/>
      </c>
      <c r="AT372" s="103" t="str">
        <f aca="false">IF(ISBLANK($C372),"",IF(AS372=Constants!$B$4,COUNTA($C$8:$C$507)+2,IF(AS372=Constants!$B$5,COUNTA($C$8:$C$507)+1,IF(AS372=Constants!$B$6,COUNTA($C$8:$C$507),AS372))))</f>
        <v/>
      </c>
      <c r="AU372" s="5"/>
      <c r="AV372" s="104" t="n">
        <f aca="false">IF(OR(ISNUMBER(AS372),AS372=Constants!$B$4,AS372=Constants!$B$6,AS372=Constants!$B$5),1,0)</f>
        <v>0</v>
      </c>
      <c r="AW372" s="104" t="n">
        <v>365</v>
      </c>
      <c r="AX372" s="104" t="str">
        <f aca="false">IF(ISBLANK($C372),"",IF(ISNUMBER(AT372),AT372+ROW($B372)/1000,""))</f>
        <v/>
      </c>
      <c r="AY372" s="104" t="str">
        <f aca="false">IF(ISNUMBER(AX372),RANK(AX372,$AX$8:$AX$507,1),"")</f>
        <v/>
      </c>
      <c r="AZ372" s="104" t="str">
        <f aca="false">IF(ISBLANK($C372),"",$B372)</f>
        <v/>
      </c>
      <c r="BA372" s="104" t="str">
        <f aca="false">IF(ISBLANK($C372),"",$C372)</f>
        <v/>
      </c>
      <c r="BB372" s="104" t="str">
        <f aca="false">IF(ISBLANK($C372),"",$D372)</f>
        <v/>
      </c>
      <c r="BC372" s="105" t="str">
        <f aca="false">AQ372</f>
        <v/>
      </c>
      <c r="BD372" s="106" t="str">
        <f aca="false">AP372</f>
        <v/>
      </c>
      <c r="BE372" s="104" t="str">
        <f aca="false">IF(ISBLANK($C372),"",AS372)</f>
        <v/>
      </c>
      <c r="BF372" s="107" t="str">
        <f aca="false">IF($AW372&gt;$AV$7,"",VLOOKUP($AW372,$AY$8:$BE$507,7,FALSE()))</f>
        <v/>
      </c>
      <c r="BG372" s="108" t="str">
        <f aca="false">IF($AW372&gt;$AV$7,"",VLOOKUP($AW372,$AY$8:$BE$507,2,FALSE()))</f>
        <v/>
      </c>
      <c r="BH372" s="108" t="str">
        <f aca="false">IF($AW372&gt;$AV$7,"",VLOOKUP($AW372,$AY$8:$BE$507,3,FALSE()))</f>
        <v/>
      </c>
      <c r="BI372" s="108" t="str">
        <f aca="false">IF($AW372&gt;$AV$7,"",VLOOKUP($AW372,$AY$8:$BE$507,4,FALSE()))</f>
        <v/>
      </c>
      <c r="BJ372" s="108" t="str">
        <f aca="false">IF($AW372&gt;$AV$7,"",VLOOKUP($AW372,$AY$8:$BE$507,5,FALSE()))</f>
        <v/>
      </c>
      <c r="BK372" s="109" t="str">
        <f aca="false">IF($AW372&gt;$AV$7,"",VLOOKUP($AW372,$AY$8:$BE$507,6,FALSE()))</f>
        <v/>
      </c>
      <c r="BL372" s="50"/>
    </row>
    <row r="373" customFormat="false" ht="15.75" hidden="false" customHeight="false" outlineLevel="0" collapsed="false">
      <c r="A373" s="5"/>
      <c r="B373" s="124"/>
      <c r="C373" s="125"/>
      <c r="D373" s="110"/>
      <c r="E373" s="130"/>
      <c r="F373" s="135"/>
      <c r="G373" s="88"/>
      <c r="H373" s="136"/>
      <c r="I373" s="137"/>
      <c r="J373" s="91"/>
      <c r="K373" s="92"/>
      <c r="L373" s="137"/>
      <c r="M373" s="93"/>
      <c r="N373" s="94"/>
      <c r="O373" s="130"/>
      <c r="P373" s="96"/>
      <c r="Q373" s="97" t="str">
        <f aca="false">IF(ISBLANK($C373),"",IF(E373=Constants!$B$2, TRUE(), IF(E373=Constants!$B$3, FALSE(), TRUE())))</f>
        <v/>
      </c>
      <c r="R373" s="97" t="str">
        <f aca="false">IF(ISBLANK($C373),"",IF(F373=Constants!$B$2, TRUE(), IF(F373=Constants!$B$3, FALSE(), TRUE())))</f>
        <v/>
      </c>
      <c r="S373" s="97" t="str">
        <f aca="false">IF(ISBLANK($C373),"",IF(G373=Constants!$B$15,Constants!$B$8,IF(G373=Constants!$B$16,Constants!$B$9,Constants!$B$10)))</f>
        <v/>
      </c>
      <c r="T373" s="97" t="str">
        <f aca="false">IF(ISBLANK($C373),"",IF(H373=Constants!$B$2, TRUE(), IF(H373=Constants!$B$3, FALSE(), TRUE())))</f>
        <v/>
      </c>
      <c r="U373" s="97" t="str">
        <f aca="false">IF(ISBLANK($C373),"",IF(I373=Constants!$B$19,Constants!$B$19,Constants!$B$18))</f>
        <v/>
      </c>
      <c r="V373" s="97" t="str">
        <f aca="false">IF(ISBLANK($C373),"",IF(COUNTA(J373:K373)=0,"",IF(AND(OR(ISBLANK(J373),AND(ISNUMBER(J373),J373&gt;=0)),OR(ISBLANK(K373),AND(ISNUMBER(K373),K373&gt;=0))),60*IF(ISBLANK(J373),0,J373)+IF(ISBLANK(K373),0,K373),"")))</f>
        <v/>
      </c>
      <c r="W373" s="97" t="str">
        <f aca="false">IF(ISBLANK($C373),"",IF(L373=Constants!$B$19,Constants!$B$19,Constants!$B$18))</f>
        <v/>
      </c>
      <c r="X373" s="97" t="str">
        <f aca="false">IF(ISBLANK($C373),"",IF(COUNTA(M373:N373)=0,"",IF(AND(OR(ISBLANK(M373),AND(ISNUMBER(M373),M373&gt;=0)),OR(ISBLANK(N373),AND(ISNUMBER(N373),N373&gt;=0))),60*IF(ISBLANK(M373),0,M373)+IF(ISBLANK(N373),0,N373),"")))</f>
        <v/>
      </c>
      <c r="Y373" s="97" t="str">
        <f aca="false">IF(ISBLANK($C373),"",IF(O373=Constants!$B$2, TRUE(), IF(O373=Constants!$B$3, FALSE(), FALSE())))</f>
        <v/>
      </c>
      <c r="Z373" s="97" t="str">
        <f aca="false">IF(ISBLANK($C373),"",IF(Y373,Constants!$B$4,IF(COUNTA(E373:N373)=0,Constants!$B$5,IF(COUNTA(J373:K373,M373:N373)=0,Constants!$B$6,Constants!$B$7))))</f>
        <v/>
      </c>
      <c r="AA373" s="97" t="str">
        <f aca="false">IF(ISBLANK($C373),"",IF($Z373&lt;&gt;Constants!$B$7,$Z373,IF(OR(NOT(T373),AND(NOT(Q373),COUNTIFS(U373:W373,Constants!$B$18,V373:X373,"&gt;=0")&gt;0),AND(NOT(R373),COUNTIFS(U373:W373,Constants!$B$19,V373:X373,"&gt;=0")&gt;0)),Constants!$B$12,Constants!$B$11)))</f>
        <v/>
      </c>
      <c r="AB373" s="97" t="str">
        <f aca="false">IF($Z373=Constants!$B$7,IF(V373="",Constants!$B$13,V373),"")</f>
        <v/>
      </c>
      <c r="AC373" s="97" t="str">
        <f aca="false">IF($Z373=Constants!$B$7,IF(X373="",Constants!$B$13,X373),"")</f>
        <v/>
      </c>
      <c r="AD373" s="97" t="str">
        <f aca="false">IF($Z373=Constants!$B$7,IF($AB373&gt;=$AC373,1,2),"")</f>
        <v/>
      </c>
      <c r="AE373" s="97" t="str">
        <f aca="false">IF($Z373=Constants!$B$7,LARGE(AB373:AC373,1),"")</f>
        <v/>
      </c>
      <c r="AF373" s="97" t="str">
        <f aca="false">IF(ISBLANK($C373),"",IF($Z373&lt;&gt;Constants!$B$7,$Z373,AE373*S373))</f>
        <v/>
      </c>
      <c r="AG373" s="97" t="str">
        <f aca="false">IF(ISBLANK($C373),"",IF($Z373=Constants!$B$7,IF(ISNUMBER(AF373),RANK(AF373,$AF$8:$AF$507),Constants!$B$14),$Z373))</f>
        <v/>
      </c>
      <c r="AH373" s="97" t="str">
        <f aca="false">IF(ISBLANK($C373),"",IF($Z373=Constants!$B$7,IF(ISNUMBER(AG373),COUNTIFS($AA$8:$AA$507,"&lt;"&amp;$AA373)+COUNTIFS($AA$8:$AA$507,$AA373,$AG$8:$AG$507,"&lt;"&amp;$AG373)+1,Constants!$B$14),$Z373))</f>
        <v/>
      </c>
      <c r="AI373" s="97" t="str">
        <f aca="false">IF(ISBLANK($C373),"",IF($Z373=Constants!$B$7,LARGE(AB373:AC373,2)*S373,""))</f>
        <v/>
      </c>
      <c r="AJ373" s="97" t="str">
        <f aca="false">IF(ISBLANK($C373),"",IF($Z373=Constants!$B$7,RANK(AI373,$AI$8:$AI$507),$Z373))</f>
        <v/>
      </c>
      <c r="AK373" s="97" t="str">
        <f aca="false">IF(ISBLANK($C373),"",IF($Z373=Constants!$B$7,IF(ISNUMBER(AG373),COUNTIFS($AA$8:$AA$507,"&lt;"&amp;$AA373)+COUNTIFS($AA$8:$AA$507,$AA373,$AG$8:$AG$507,"&lt;"&amp;$AG373)+COUNTIFS($AA$8:$AA$507,$AA373,$AG$8:$AG$507,$AG373,$AJ$8:$AJ$507,"&lt;"&amp;$AJ373)+1,Constants!$B$14),$Z373))</f>
        <v/>
      </c>
      <c r="AL373" s="97" t="str">
        <f aca="false">IF(ISBLANK($C373),"",IF($Z373=Constants!$B$7,IF(ISNUMBER(AH373),AH373-AK373,Constants!$B$14),$Z373))</f>
        <v/>
      </c>
      <c r="AM373" s="98"/>
      <c r="AN373" s="99" t="str">
        <f aca="false">IF(ISBLANK($C373),"",IF($Z373&lt;&gt;Constants!$B$7,$Z373,AD373))</f>
        <v/>
      </c>
      <c r="AO373" s="100" t="str">
        <f aca="false">IF(ISBLANK($C373),"",IF($Z373&lt;&gt;Constants!$B$7,$Z373,S373))</f>
        <v/>
      </c>
      <c r="AP373" s="101" t="str">
        <f aca="false">IF(ISBLANK($C373),"",IF($Z373&lt;&gt;Constants!$B$7,$Z373,AF373))</f>
        <v/>
      </c>
      <c r="AQ373" s="102" t="str">
        <f aca="false">IF(ISBLANK($C373),"",IF($Z373&lt;&gt;Constants!$B$7,$Z373,AA373))</f>
        <v/>
      </c>
      <c r="AR373" s="100" t="str">
        <f aca="false">IF(ISBLANK($C373),"",AL373)</f>
        <v/>
      </c>
      <c r="AS373" s="100" t="str">
        <f aca="false">IF(ISBLANK($C373),"",AK373)</f>
        <v/>
      </c>
      <c r="AT373" s="103" t="str">
        <f aca="false">IF(ISBLANK($C373),"",IF(AS373=Constants!$B$4,COUNTA($C$8:$C$507)+2,IF(AS373=Constants!$B$5,COUNTA($C$8:$C$507)+1,IF(AS373=Constants!$B$6,COUNTA($C$8:$C$507),AS373))))</f>
        <v/>
      </c>
      <c r="AU373" s="5"/>
      <c r="AV373" s="104" t="n">
        <f aca="false">IF(OR(ISNUMBER(AS373),AS373=Constants!$B$4,AS373=Constants!$B$6,AS373=Constants!$B$5),1,0)</f>
        <v>0</v>
      </c>
      <c r="AW373" s="104" t="n">
        <v>366</v>
      </c>
      <c r="AX373" s="104" t="str">
        <f aca="false">IF(ISBLANK($C373),"",IF(ISNUMBER(AT373),AT373+ROW($B373)/1000,""))</f>
        <v/>
      </c>
      <c r="AY373" s="104" t="str">
        <f aca="false">IF(ISNUMBER(AX373),RANK(AX373,$AX$8:$AX$507,1),"")</f>
        <v/>
      </c>
      <c r="AZ373" s="104" t="str">
        <f aca="false">IF(ISBLANK($C373),"",$B373)</f>
        <v/>
      </c>
      <c r="BA373" s="104" t="str">
        <f aca="false">IF(ISBLANK($C373),"",$C373)</f>
        <v/>
      </c>
      <c r="BB373" s="104" t="str">
        <f aca="false">IF(ISBLANK($C373),"",$D373)</f>
        <v/>
      </c>
      <c r="BC373" s="105" t="str">
        <f aca="false">AQ373</f>
        <v/>
      </c>
      <c r="BD373" s="106" t="str">
        <f aca="false">AP373</f>
        <v/>
      </c>
      <c r="BE373" s="104" t="str">
        <f aca="false">IF(ISBLANK($C373),"",AS373)</f>
        <v/>
      </c>
      <c r="BF373" s="107" t="str">
        <f aca="false">IF($AW373&gt;$AV$7,"",VLOOKUP($AW373,$AY$8:$BE$507,7,FALSE()))</f>
        <v/>
      </c>
      <c r="BG373" s="108" t="str">
        <f aca="false">IF($AW373&gt;$AV$7,"",VLOOKUP($AW373,$AY$8:$BE$507,2,FALSE()))</f>
        <v/>
      </c>
      <c r="BH373" s="108" t="str">
        <f aca="false">IF($AW373&gt;$AV$7,"",VLOOKUP($AW373,$AY$8:$BE$507,3,FALSE()))</f>
        <v/>
      </c>
      <c r="BI373" s="108" t="str">
        <f aca="false">IF($AW373&gt;$AV$7,"",VLOOKUP($AW373,$AY$8:$BE$507,4,FALSE()))</f>
        <v/>
      </c>
      <c r="BJ373" s="108" t="str">
        <f aca="false">IF($AW373&gt;$AV$7,"",VLOOKUP($AW373,$AY$8:$BE$507,5,FALSE()))</f>
        <v/>
      </c>
      <c r="BK373" s="109" t="str">
        <f aca="false">IF($AW373&gt;$AV$7,"",VLOOKUP($AW373,$AY$8:$BE$507,6,FALSE()))</f>
        <v/>
      </c>
      <c r="BL373" s="50"/>
    </row>
    <row r="374" customFormat="false" ht="15.75" hidden="false" customHeight="false" outlineLevel="0" collapsed="false">
      <c r="A374" s="5"/>
      <c r="B374" s="131"/>
      <c r="C374" s="52"/>
      <c r="D374" s="53"/>
      <c r="E374" s="80"/>
      <c r="F374" s="132"/>
      <c r="G374" s="56"/>
      <c r="H374" s="133"/>
      <c r="I374" s="134"/>
      <c r="J374" s="59"/>
      <c r="K374" s="60"/>
      <c r="L374" s="134"/>
      <c r="M374" s="61"/>
      <c r="N374" s="62"/>
      <c r="O374" s="80"/>
      <c r="P374" s="64"/>
      <c r="Q374" s="65" t="str">
        <f aca="false">IF(ISBLANK($C374),"",IF(E374=Constants!$B$2, TRUE(), IF(E374=Constants!$B$3, FALSE(), TRUE())))</f>
        <v/>
      </c>
      <c r="R374" s="65" t="str">
        <f aca="false">IF(ISBLANK($C374),"",IF(F374=Constants!$B$2, TRUE(), IF(F374=Constants!$B$3, FALSE(), TRUE())))</f>
        <v/>
      </c>
      <c r="S374" s="65" t="str">
        <f aca="false">IF(ISBLANK($C374),"",IF(G374=Constants!$B$15,Constants!$B$8,IF(G374=Constants!$B$16,Constants!$B$9,Constants!$B$10)))</f>
        <v/>
      </c>
      <c r="T374" s="65" t="str">
        <f aca="false">IF(ISBLANK($C374),"",IF(H374=Constants!$B$2, TRUE(), IF(H374=Constants!$B$3, FALSE(), TRUE())))</f>
        <v/>
      </c>
      <c r="U374" s="65" t="str">
        <f aca="false">IF(ISBLANK($C374),"",IF(I374=Constants!$B$19,Constants!$B$19,Constants!$B$18))</f>
        <v/>
      </c>
      <c r="V374" s="65" t="str">
        <f aca="false">IF(ISBLANK($C374),"",IF(COUNTA(J374:K374)=0,"",IF(AND(OR(ISBLANK(J374),AND(ISNUMBER(J374),J374&gt;=0)),OR(ISBLANK(K374),AND(ISNUMBER(K374),K374&gt;=0))),60*IF(ISBLANK(J374),0,J374)+IF(ISBLANK(K374),0,K374),"")))</f>
        <v/>
      </c>
      <c r="W374" s="65" t="str">
        <f aca="false">IF(ISBLANK($C374),"",IF(L374=Constants!$B$19,Constants!$B$19,Constants!$B$18))</f>
        <v/>
      </c>
      <c r="X374" s="65" t="str">
        <f aca="false">IF(ISBLANK($C374),"",IF(COUNTA(M374:N374)=0,"",IF(AND(OR(ISBLANK(M374),AND(ISNUMBER(M374),M374&gt;=0)),OR(ISBLANK(N374),AND(ISNUMBER(N374),N374&gt;=0))),60*IF(ISBLANK(M374),0,M374)+IF(ISBLANK(N374),0,N374),"")))</f>
        <v/>
      </c>
      <c r="Y374" s="65" t="str">
        <f aca="false">IF(ISBLANK($C374),"",IF(O374=Constants!$B$2, TRUE(), IF(O374=Constants!$B$3, FALSE(), FALSE())))</f>
        <v/>
      </c>
      <c r="Z374" s="65" t="str">
        <f aca="false">IF(ISBLANK($C374),"",IF(Y374,Constants!$B$4,IF(COUNTA(E374:N374)=0,Constants!$B$5,IF(COUNTA(J374:K374,M374:N374)=0,Constants!$B$6,Constants!$B$7))))</f>
        <v/>
      </c>
      <c r="AA374" s="65" t="str">
        <f aca="false">IF(ISBLANK($C374),"",IF($Z374&lt;&gt;Constants!$B$7,$Z374,IF(OR(NOT(T374),AND(NOT(Q374),COUNTIFS(U374:W374,Constants!$B$18,V374:X374,"&gt;=0")&gt;0),AND(NOT(R374),COUNTIFS(U374:W374,Constants!$B$19,V374:X374,"&gt;=0")&gt;0)),Constants!$B$12,Constants!$B$11)))</f>
        <v/>
      </c>
      <c r="AB374" s="65" t="str">
        <f aca="false">IF($Z374=Constants!$B$7,IF(V374="",Constants!$B$13,V374),"")</f>
        <v/>
      </c>
      <c r="AC374" s="65" t="str">
        <f aca="false">IF($Z374=Constants!$B$7,IF(X374="",Constants!$B$13,X374),"")</f>
        <v/>
      </c>
      <c r="AD374" s="65" t="str">
        <f aca="false">IF($Z374=Constants!$B$7,IF($AB374&gt;=$AC374,1,2),"")</f>
        <v/>
      </c>
      <c r="AE374" s="65" t="str">
        <f aca="false">IF($Z374=Constants!$B$7,LARGE(AB374:AC374,1),"")</f>
        <v/>
      </c>
      <c r="AF374" s="65" t="str">
        <f aca="false">IF(ISBLANK($C374),"",IF($Z374&lt;&gt;Constants!$B$7,$Z374,AE374*S374))</f>
        <v/>
      </c>
      <c r="AG374" s="65" t="str">
        <f aca="false">IF(ISBLANK($C374),"",IF($Z374=Constants!$B$7,IF(ISNUMBER(AF374),RANK(AF374,$AF$8:$AF$507),Constants!$B$14),$Z374))</f>
        <v/>
      </c>
      <c r="AH374" s="65" t="str">
        <f aca="false">IF(ISBLANK($C374),"",IF($Z374=Constants!$B$7,IF(ISNUMBER(AG374),COUNTIFS($AA$8:$AA$507,"&lt;"&amp;$AA374)+COUNTIFS($AA$8:$AA$507,$AA374,$AG$8:$AG$507,"&lt;"&amp;$AG374)+1,Constants!$B$14),$Z374))</f>
        <v/>
      </c>
      <c r="AI374" s="65" t="str">
        <f aca="false">IF(ISBLANK($C374),"",IF($Z374=Constants!$B$7,LARGE(AB374:AC374,2)*S374,""))</f>
        <v/>
      </c>
      <c r="AJ374" s="65" t="str">
        <f aca="false">IF(ISBLANK($C374),"",IF($Z374=Constants!$B$7,RANK(AI374,$AI$8:$AI$507),$Z374))</f>
        <v/>
      </c>
      <c r="AK374" s="65" t="str">
        <f aca="false">IF(ISBLANK($C374),"",IF($Z374=Constants!$B$7,IF(ISNUMBER(AG374),COUNTIFS($AA$8:$AA$507,"&lt;"&amp;$AA374)+COUNTIFS($AA$8:$AA$507,$AA374,$AG$8:$AG$507,"&lt;"&amp;$AG374)+COUNTIFS($AA$8:$AA$507,$AA374,$AG$8:$AG$507,$AG374,$AJ$8:$AJ$507,"&lt;"&amp;$AJ374)+1,Constants!$B$14),$Z374))</f>
        <v/>
      </c>
      <c r="AL374" s="65" t="str">
        <f aca="false">IF(ISBLANK($C374),"",IF($Z374=Constants!$B$7,IF(ISNUMBER(AH374),AH374-AK374,Constants!$B$14),$Z374))</f>
        <v/>
      </c>
      <c r="AM374" s="67"/>
      <c r="AN374" s="68" t="str">
        <f aca="false">IF(ISBLANK($C374),"",IF($Z374&lt;&gt;Constants!$B$7,$Z374,AD374))</f>
        <v/>
      </c>
      <c r="AO374" s="69" t="str">
        <f aca="false">IF(ISBLANK($C374),"",IF($Z374&lt;&gt;Constants!$B$7,$Z374,S374))</f>
        <v/>
      </c>
      <c r="AP374" s="70" t="str">
        <f aca="false">IF(ISBLANK($C374),"",IF($Z374&lt;&gt;Constants!$B$7,$Z374,AF374))</f>
        <v/>
      </c>
      <c r="AQ374" s="71" t="str">
        <f aca="false">IF(ISBLANK($C374),"",IF($Z374&lt;&gt;Constants!$B$7,$Z374,AA374))</f>
        <v/>
      </c>
      <c r="AR374" s="69" t="str">
        <f aca="false">IF(ISBLANK($C374),"",AL374)</f>
        <v/>
      </c>
      <c r="AS374" s="69" t="str">
        <f aca="false">IF(ISBLANK($C374),"",AK374)</f>
        <v/>
      </c>
      <c r="AT374" s="72" t="str">
        <f aca="false">IF(ISBLANK($C374),"",IF(AS374=Constants!$B$4,COUNTA($C$8:$C$507)+2,IF(AS374=Constants!$B$5,COUNTA($C$8:$C$507)+1,IF(AS374=Constants!$B$6,COUNTA($C$8:$C$507),AS374))))</f>
        <v/>
      </c>
      <c r="AU374" s="5"/>
      <c r="AV374" s="73" t="n">
        <f aca="false">IF(OR(ISNUMBER(AS374),AS374=Constants!$B$4,AS374=Constants!$B$6,AS374=Constants!$B$5),1,0)</f>
        <v>0</v>
      </c>
      <c r="AW374" s="73" t="n">
        <v>367</v>
      </c>
      <c r="AX374" s="73" t="str">
        <f aca="false">IF(ISBLANK($C374),"",IF(ISNUMBER(AT374),AT374+ROW($B374)/1000,""))</f>
        <v/>
      </c>
      <c r="AY374" s="73" t="str">
        <f aca="false">IF(ISNUMBER(AX374),RANK(AX374,$AX$8:$AX$507,1),"")</f>
        <v/>
      </c>
      <c r="AZ374" s="73" t="str">
        <f aca="false">IF(ISBLANK($C374),"",$B374)</f>
        <v/>
      </c>
      <c r="BA374" s="73" t="str">
        <f aca="false">IF(ISBLANK($C374),"",$C374)</f>
        <v/>
      </c>
      <c r="BB374" s="73" t="str">
        <f aca="false">IF(ISBLANK($C374),"",$D374)</f>
        <v/>
      </c>
      <c r="BC374" s="74" t="str">
        <f aca="false">AQ374</f>
        <v/>
      </c>
      <c r="BD374" s="75" t="str">
        <f aca="false">AP374</f>
        <v/>
      </c>
      <c r="BE374" s="73" t="str">
        <f aca="false">IF(ISBLANK($C374),"",AS374)</f>
        <v/>
      </c>
      <c r="BF374" s="76" t="str">
        <f aca="false">IF($AW374&gt;$AV$7,"",VLOOKUP($AW374,$AY$8:$BE$507,7,FALSE()))</f>
        <v/>
      </c>
      <c r="BG374" s="77" t="str">
        <f aca="false">IF($AW374&gt;$AV$7,"",VLOOKUP($AW374,$AY$8:$BE$507,2,FALSE()))</f>
        <v/>
      </c>
      <c r="BH374" s="77" t="str">
        <f aca="false">IF($AW374&gt;$AV$7,"",VLOOKUP($AW374,$AY$8:$BE$507,3,FALSE()))</f>
        <v/>
      </c>
      <c r="BI374" s="77" t="str">
        <f aca="false">IF($AW374&gt;$AV$7,"",VLOOKUP($AW374,$AY$8:$BE$507,4,FALSE()))</f>
        <v/>
      </c>
      <c r="BJ374" s="77" t="str">
        <f aca="false">IF($AW374&gt;$AV$7,"",VLOOKUP($AW374,$AY$8:$BE$507,5,FALSE()))</f>
        <v/>
      </c>
      <c r="BK374" s="78" t="str">
        <f aca="false">IF($AW374&gt;$AV$7,"",VLOOKUP($AW374,$AY$8:$BE$507,6,FALSE()))</f>
        <v/>
      </c>
      <c r="BL374" s="50"/>
    </row>
    <row r="375" customFormat="false" ht="15.75" hidden="false" customHeight="false" outlineLevel="0" collapsed="false">
      <c r="A375" s="5"/>
      <c r="B375" s="131"/>
      <c r="C375" s="52"/>
      <c r="D375" s="53"/>
      <c r="E375" s="80"/>
      <c r="F375" s="132"/>
      <c r="G375" s="56"/>
      <c r="H375" s="133"/>
      <c r="I375" s="134"/>
      <c r="J375" s="59"/>
      <c r="K375" s="60"/>
      <c r="L375" s="134"/>
      <c r="M375" s="61"/>
      <c r="N375" s="62"/>
      <c r="O375" s="80"/>
      <c r="P375" s="64"/>
      <c r="Q375" s="65" t="str">
        <f aca="false">IF(ISBLANK($C375),"",IF(E375=Constants!$B$2, TRUE(), IF(E375=Constants!$B$3, FALSE(), TRUE())))</f>
        <v/>
      </c>
      <c r="R375" s="65" t="str">
        <f aca="false">IF(ISBLANK($C375),"",IF(F375=Constants!$B$2, TRUE(), IF(F375=Constants!$B$3, FALSE(), TRUE())))</f>
        <v/>
      </c>
      <c r="S375" s="65" t="str">
        <f aca="false">IF(ISBLANK($C375),"",IF(G375=Constants!$B$15,Constants!$B$8,IF(G375=Constants!$B$16,Constants!$B$9,Constants!$B$10)))</f>
        <v/>
      </c>
      <c r="T375" s="65" t="str">
        <f aca="false">IF(ISBLANK($C375),"",IF(H375=Constants!$B$2, TRUE(), IF(H375=Constants!$B$3, FALSE(), TRUE())))</f>
        <v/>
      </c>
      <c r="U375" s="65" t="str">
        <f aca="false">IF(ISBLANK($C375),"",IF(I375=Constants!$B$19,Constants!$B$19,Constants!$B$18))</f>
        <v/>
      </c>
      <c r="V375" s="65" t="str">
        <f aca="false">IF(ISBLANK($C375),"",IF(COUNTA(J375:K375)=0,"",IF(AND(OR(ISBLANK(J375),AND(ISNUMBER(J375),J375&gt;=0)),OR(ISBLANK(K375),AND(ISNUMBER(K375),K375&gt;=0))),60*IF(ISBLANK(J375),0,J375)+IF(ISBLANK(K375),0,K375),"")))</f>
        <v/>
      </c>
      <c r="W375" s="65" t="str">
        <f aca="false">IF(ISBLANK($C375),"",IF(L375=Constants!$B$19,Constants!$B$19,Constants!$B$18))</f>
        <v/>
      </c>
      <c r="X375" s="65" t="str">
        <f aca="false">IF(ISBLANK($C375),"",IF(COUNTA(M375:N375)=0,"",IF(AND(OR(ISBLANK(M375),AND(ISNUMBER(M375),M375&gt;=0)),OR(ISBLANK(N375),AND(ISNUMBER(N375),N375&gt;=0))),60*IF(ISBLANK(M375),0,M375)+IF(ISBLANK(N375),0,N375),"")))</f>
        <v/>
      </c>
      <c r="Y375" s="65" t="str">
        <f aca="false">IF(ISBLANK($C375),"",IF(O375=Constants!$B$2, TRUE(), IF(O375=Constants!$B$3, FALSE(), FALSE())))</f>
        <v/>
      </c>
      <c r="Z375" s="65" t="str">
        <f aca="false">IF(ISBLANK($C375),"",IF(Y375,Constants!$B$4,IF(COUNTA(E375:N375)=0,Constants!$B$5,IF(COUNTA(J375:K375,M375:N375)=0,Constants!$B$6,Constants!$B$7))))</f>
        <v/>
      </c>
      <c r="AA375" s="65" t="str">
        <f aca="false">IF(ISBLANK($C375),"",IF($Z375&lt;&gt;Constants!$B$7,$Z375,IF(OR(NOT(T375),AND(NOT(Q375),COUNTIFS(U375:W375,Constants!$B$18,V375:X375,"&gt;=0")&gt;0),AND(NOT(R375),COUNTIFS(U375:W375,Constants!$B$19,V375:X375,"&gt;=0")&gt;0)),Constants!$B$12,Constants!$B$11)))</f>
        <v/>
      </c>
      <c r="AB375" s="65" t="str">
        <f aca="false">IF($Z375=Constants!$B$7,IF(V375="",Constants!$B$13,V375),"")</f>
        <v/>
      </c>
      <c r="AC375" s="65" t="str">
        <f aca="false">IF($Z375=Constants!$B$7,IF(X375="",Constants!$B$13,X375),"")</f>
        <v/>
      </c>
      <c r="AD375" s="65" t="str">
        <f aca="false">IF($Z375=Constants!$B$7,IF($AB375&gt;=$AC375,1,2),"")</f>
        <v/>
      </c>
      <c r="AE375" s="65" t="str">
        <f aca="false">IF($Z375=Constants!$B$7,LARGE(AB375:AC375,1),"")</f>
        <v/>
      </c>
      <c r="AF375" s="65" t="str">
        <f aca="false">IF(ISBLANK($C375),"",IF($Z375&lt;&gt;Constants!$B$7,$Z375,AE375*S375))</f>
        <v/>
      </c>
      <c r="AG375" s="65" t="str">
        <f aca="false">IF(ISBLANK($C375),"",IF($Z375=Constants!$B$7,IF(ISNUMBER(AF375),RANK(AF375,$AF$8:$AF$507),Constants!$B$14),$Z375))</f>
        <v/>
      </c>
      <c r="AH375" s="65" t="str">
        <f aca="false">IF(ISBLANK($C375),"",IF($Z375=Constants!$B$7,IF(ISNUMBER(AG375),COUNTIFS($AA$8:$AA$507,"&lt;"&amp;$AA375)+COUNTIFS($AA$8:$AA$507,$AA375,$AG$8:$AG$507,"&lt;"&amp;$AG375)+1,Constants!$B$14),$Z375))</f>
        <v/>
      </c>
      <c r="AI375" s="65" t="str">
        <f aca="false">IF(ISBLANK($C375),"",IF($Z375=Constants!$B$7,LARGE(AB375:AC375,2)*S375,""))</f>
        <v/>
      </c>
      <c r="AJ375" s="65" t="str">
        <f aca="false">IF(ISBLANK($C375),"",IF($Z375=Constants!$B$7,RANK(AI375,$AI$8:$AI$507),$Z375))</f>
        <v/>
      </c>
      <c r="AK375" s="65" t="str">
        <f aca="false">IF(ISBLANK($C375),"",IF($Z375=Constants!$B$7,IF(ISNUMBER(AG375),COUNTIFS($AA$8:$AA$507,"&lt;"&amp;$AA375)+COUNTIFS($AA$8:$AA$507,$AA375,$AG$8:$AG$507,"&lt;"&amp;$AG375)+COUNTIFS($AA$8:$AA$507,$AA375,$AG$8:$AG$507,$AG375,$AJ$8:$AJ$507,"&lt;"&amp;$AJ375)+1,Constants!$B$14),$Z375))</f>
        <v/>
      </c>
      <c r="AL375" s="65" t="str">
        <f aca="false">IF(ISBLANK($C375),"",IF($Z375=Constants!$B$7,IF(ISNUMBER(AH375),AH375-AK375,Constants!$B$14),$Z375))</f>
        <v/>
      </c>
      <c r="AM375" s="67"/>
      <c r="AN375" s="68" t="str">
        <f aca="false">IF(ISBLANK($C375),"",IF($Z375&lt;&gt;Constants!$B$7,$Z375,AD375))</f>
        <v/>
      </c>
      <c r="AO375" s="69" t="str">
        <f aca="false">IF(ISBLANK($C375),"",IF($Z375&lt;&gt;Constants!$B$7,$Z375,S375))</f>
        <v/>
      </c>
      <c r="AP375" s="70" t="str">
        <f aca="false">IF(ISBLANK($C375),"",IF($Z375&lt;&gt;Constants!$B$7,$Z375,AF375))</f>
        <v/>
      </c>
      <c r="AQ375" s="71" t="str">
        <f aca="false">IF(ISBLANK($C375),"",IF($Z375&lt;&gt;Constants!$B$7,$Z375,AA375))</f>
        <v/>
      </c>
      <c r="AR375" s="69" t="str">
        <f aca="false">IF(ISBLANK($C375),"",AL375)</f>
        <v/>
      </c>
      <c r="AS375" s="69" t="str">
        <f aca="false">IF(ISBLANK($C375),"",AK375)</f>
        <v/>
      </c>
      <c r="AT375" s="72" t="str">
        <f aca="false">IF(ISBLANK($C375),"",IF(AS375=Constants!$B$4,COUNTA($C$8:$C$507)+2,IF(AS375=Constants!$B$5,COUNTA($C$8:$C$507)+1,IF(AS375=Constants!$B$6,COUNTA($C$8:$C$507),AS375))))</f>
        <v/>
      </c>
      <c r="AU375" s="5"/>
      <c r="AV375" s="73" t="n">
        <f aca="false">IF(OR(ISNUMBER(AS375),AS375=Constants!$B$4,AS375=Constants!$B$6,AS375=Constants!$B$5),1,0)</f>
        <v>0</v>
      </c>
      <c r="AW375" s="73" t="n">
        <v>368</v>
      </c>
      <c r="AX375" s="73" t="str">
        <f aca="false">IF(ISBLANK($C375),"",IF(ISNUMBER(AT375),AT375+ROW($B375)/1000,""))</f>
        <v/>
      </c>
      <c r="AY375" s="73" t="str">
        <f aca="false">IF(ISNUMBER(AX375),RANK(AX375,$AX$8:$AX$507,1),"")</f>
        <v/>
      </c>
      <c r="AZ375" s="73" t="str">
        <f aca="false">IF(ISBLANK($C375),"",$B375)</f>
        <v/>
      </c>
      <c r="BA375" s="73" t="str">
        <f aca="false">IF(ISBLANK($C375),"",$C375)</f>
        <v/>
      </c>
      <c r="BB375" s="73" t="str">
        <f aca="false">IF(ISBLANK($C375),"",$D375)</f>
        <v/>
      </c>
      <c r="BC375" s="74" t="str">
        <f aca="false">AQ375</f>
        <v/>
      </c>
      <c r="BD375" s="75" t="str">
        <f aca="false">AP375</f>
        <v/>
      </c>
      <c r="BE375" s="73" t="str">
        <f aca="false">IF(ISBLANK($C375),"",AS375)</f>
        <v/>
      </c>
      <c r="BF375" s="76" t="str">
        <f aca="false">IF($AW375&gt;$AV$7,"",VLOOKUP($AW375,$AY$8:$BE$507,7,FALSE()))</f>
        <v/>
      </c>
      <c r="BG375" s="77" t="str">
        <f aca="false">IF($AW375&gt;$AV$7,"",VLOOKUP($AW375,$AY$8:$BE$507,2,FALSE()))</f>
        <v/>
      </c>
      <c r="BH375" s="77" t="str">
        <f aca="false">IF($AW375&gt;$AV$7,"",VLOOKUP($AW375,$AY$8:$BE$507,3,FALSE()))</f>
        <v/>
      </c>
      <c r="BI375" s="77" t="str">
        <f aca="false">IF($AW375&gt;$AV$7,"",VLOOKUP($AW375,$AY$8:$BE$507,4,FALSE()))</f>
        <v/>
      </c>
      <c r="BJ375" s="77" t="str">
        <f aca="false">IF($AW375&gt;$AV$7,"",VLOOKUP($AW375,$AY$8:$BE$507,5,FALSE()))</f>
        <v/>
      </c>
      <c r="BK375" s="78" t="str">
        <f aca="false">IF($AW375&gt;$AV$7,"",VLOOKUP($AW375,$AY$8:$BE$507,6,FALSE()))</f>
        <v/>
      </c>
      <c r="BL375" s="50"/>
    </row>
    <row r="376" customFormat="false" ht="15.75" hidden="false" customHeight="false" outlineLevel="0" collapsed="false">
      <c r="A376" s="5"/>
      <c r="B376" s="131"/>
      <c r="C376" s="52"/>
      <c r="D376" s="53"/>
      <c r="E376" s="80"/>
      <c r="F376" s="132"/>
      <c r="G376" s="56"/>
      <c r="H376" s="133"/>
      <c r="I376" s="134"/>
      <c r="J376" s="59"/>
      <c r="K376" s="60"/>
      <c r="L376" s="134"/>
      <c r="M376" s="61"/>
      <c r="N376" s="62"/>
      <c r="O376" s="80"/>
      <c r="P376" s="64"/>
      <c r="Q376" s="65" t="str">
        <f aca="false">IF(ISBLANK($C376),"",IF(E376=Constants!$B$2, TRUE(), IF(E376=Constants!$B$3, FALSE(), TRUE())))</f>
        <v/>
      </c>
      <c r="R376" s="65" t="str">
        <f aca="false">IF(ISBLANK($C376),"",IF(F376=Constants!$B$2, TRUE(), IF(F376=Constants!$B$3, FALSE(), TRUE())))</f>
        <v/>
      </c>
      <c r="S376" s="65" t="str">
        <f aca="false">IF(ISBLANK($C376),"",IF(G376=Constants!$B$15,Constants!$B$8,IF(G376=Constants!$B$16,Constants!$B$9,Constants!$B$10)))</f>
        <v/>
      </c>
      <c r="T376" s="65" t="str">
        <f aca="false">IF(ISBLANK($C376),"",IF(H376=Constants!$B$2, TRUE(), IF(H376=Constants!$B$3, FALSE(), TRUE())))</f>
        <v/>
      </c>
      <c r="U376" s="65" t="str">
        <f aca="false">IF(ISBLANK($C376),"",IF(I376=Constants!$B$19,Constants!$B$19,Constants!$B$18))</f>
        <v/>
      </c>
      <c r="V376" s="65" t="str">
        <f aca="false">IF(ISBLANK($C376),"",IF(COUNTA(J376:K376)=0,"",IF(AND(OR(ISBLANK(J376),AND(ISNUMBER(J376),J376&gt;=0)),OR(ISBLANK(K376),AND(ISNUMBER(K376),K376&gt;=0))),60*IF(ISBLANK(J376),0,J376)+IF(ISBLANK(K376),0,K376),"")))</f>
        <v/>
      </c>
      <c r="W376" s="65" t="str">
        <f aca="false">IF(ISBLANK($C376),"",IF(L376=Constants!$B$19,Constants!$B$19,Constants!$B$18))</f>
        <v/>
      </c>
      <c r="X376" s="65" t="str">
        <f aca="false">IF(ISBLANK($C376),"",IF(COUNTA(M376:N376)=0,"",IF(AND(OR(ISBLANK(M376),AND(ISNUMBER(M376),M376&gt;=0)),OR(ISBLANK(N376),AND(ISNUMBER(N376),N376&gt;=0))),60*IF(ISBLANK(M376),0,M376)+IF(ISBLANK(N376),0,N376),"")))</f>
        <v/>
      </c>
      <c r="Y376" s="65" t="str">
        <f aca="false">IF(ISBLANK($C376),"",IF(O376=Constants!$B$2, TRUE(), IF(O376=Constants!$B$3, FALSE(), FALSE())))</f>
        <v/>
      </c>
      <c r="Z376" s="65" t="str">
        <f aca="false">IF(ISBLANK($C376),"",IF(Y376,Constants!$B$4,IF(COUNTA(E376:N376)=0,Constants!$B$5,IF(COUNTA(J376:K376,M376:N376)=0,Constants!$B$6,Constants!$B$7))))</f>
        <v/>
      </c>
      <c r="AA376" s="65" t="str">
        <f aca="false">IF(ISBLANK($C376),"",IF($Z376&lt;&gt;Constants!$B$7,$Z376,IF(OR(NOT(T376),AND(NOT(Q376),COUNTIFS(U376:W376,Constants!$B$18,V376:X376,"&gt;=0")&gt;0),AND(NOT(R376),COUNTIFS(U376:W376,Constants!$B$19,V376:X376,"&gt;=0")&gt;0)),Constants!$B$12,Constants!$B$11)))</f>
        <v/>
      </c>
      <c r="AB376" s="65" t="str">
        <f aca="false">IF($Z376=Constants!$B$7,IF(V376="",Constants!$B$13,V376),"")</f>
        <v/>
      </c>
      <c r="AC376" s="65" t="str">
        <f aca="false">IF($Z376=Constants!$B$7,IF(X376="",Constants!$B$13,X376),"")</f>
        <v/>
      </c>
      <c r="AD376" s="65" t="str">
        <f aca="false">IF($Z376=Constants!$B$7,IF($AB376&gt;=$AC376,1,2),"")</f>
        <v/>
      </c>
      <c r="AE376" s="65" t="str">
        <f aca="false">IF($Z376=Constants!$B$7,LARGE(AB376:AC376,1),"")</f>
        <v/>
      </c>
      <c r="AF376" s="65" t="str">
        <f aca="false">IF(ISBLANK($C376),"",IF($Z376&lt;&gt;Constants!$B$7,$Z376,AE376*S376))</f>
        <v/>
      </c>
      <c r="AG376" s="65" t="str">
        <f aca="false">IF(ISBLANK($C376),"",IF($Z376=Constants!$B$7,IF(ISNUMBER(AF376),RANK(AF376,$AF$8:$AF$507),Constants!$B$14),$Z376))</f>
        <v/>
      </c>
      <c r="AH376" s="65" t="str">
        <f aca="false">IF(ISBLANK($C376),"",IF($Z376=Constants!$B$7,IF(ISNUMBER(AG376),COUNTIFS($AA$8:$AA$507,"&lt;"&amp;$AA376)+COUNTIFS($AA$8:$AA$507,$AA376,$AG$8:$AG$507,"&lt;"&amp;$AG376)+1,Constants!$B$14),$Z376))</f>
        <v/>
      </c>
      <c r="AI376" s="65" t="str">
        <f aca="false">IF(ISBLANK($C376),"",IF($Z376=Constants!$B$7,LARGE(AB376:AC376,2)*S376,""))</f>
        <v/>
      </c>
      <c r="AJ376" s="65" t="str">
        <f aca="false">IF(ISBLANK($C376),"",IF($Z376=Constants!$B$7,RANK(AI376,$AI$8:$AI$507),$Z376))</f>
        <v/>
      </c>
      <c r="AK376" s="65" t="str">
        <f aca="false">IF(ISBLANK($C376),"",IF($Z376=Constants!$B$7,IF(ISNUMBER(AG376),COUNTIFS($AA$8:$AA$507,"&lt;"&amp;$AA376)+COUNTIFS($AA$8:$AA$507,$AA376,$AG$8:$AG$507,"&lt;"&amp;$AG376)+COUNTIFS($AA$8:$AA$507,$AA376,$AG$8:$AG$507,$AG376,$AJ$8:$AJ$507,"&lt;"&amp;$AJ376)+1,Constants!$B$14),$Z376))</f>
        <v/>
      </c>
      <c r="AL376" s="65" t="str">
        <f aca="false">IF(ISBLANK($C376),"",IF($Z376=Constants!$B$7,IF(ISNUMBER(AH376),AH376-AK376,Constants!$B$14),$Z376))</f>
        <v/>
      </c>
      <c r="AM376" s="67"/>
      <c r="AN376" s="68" t="str">
        <f aca="false">IF(ISBLANK($C376),"",IF($Z376&lt;&gt;Constants!$B$7,$Z376,AD376))</f>
        <v/>
      </c>
      <c r="AO376" s="69" t="str">
        <f aca="false">IF(ISBLANK($C376),"",IF($Z376&lt;&gt;Constants!$B$7,$Z376,S376))</f>
        <v/>
      </c>
      <c r="AP376" s="70" t="str">
        <f aca="false">IF(ISBLANK($C376),"",IF($Z376&lt;&gt;Constants!$B$7,$Z376,AF376))</f>
        <v/>
      </c>
      <c r="AQ376" s="71" t="str">
        <f aca="false">IF(ISBLANK($C376),"",IF($Z376&lt;&gt;Constants!$B$7,$Z376,AA376))</f>
        <v/>
      </c>
      <c r="AR376" s="69" t="str">
        <f aca="false">IF(ISBLANK($C376),"",AL376)</f>
        <v/>
      </c>
      <c r="AS376" s="69" t="str">
        <f aca="false">IF(ISBLANK($C376),"",AK376)</f>
        <v/>
      </c>
      <c r="AT376" s="72" t="str">
        <f aca="false">IF(ISBLANK($C376),"",IF(AS376=Constants!$B$4,COUNTA($C$8:$C$507)+2,IF(AS376=Constants!$B$5,COUNTA($C$8:$C$507)+1,IF(AS376=Constants!$B$6,COUNTA($C$8:$C$507),AS376))))</f>
        <v/>
      </c>
      <c r="AU376" s="5"/>
      <c r="AV376" s="73" t="n">
        <f aca="false">IF(OR(ISNUMBER(AS376),AS376=Constants!$B$4,AS376=Constants!$B$6,AS376=Constants!$B$5),1,0)</f>
        <v>0</v>
      </c>
      <c r="AW376" s="73" t="n">
        <v>369</v>
      </c>
      <c r="AX376" s="73" t="str">
        <f aca="false">IF(ISBLANK($C376),"",IF(ISNUMBER(AT376),AT376+ROW($B376)/1000,""))</f>
        <v/>
      </c>
      <c r="AY376" s="73" t="str">
        <f aca="false">IF(ISNUMBER(AX376),RANK(AX376,$AX$8:$AX$507,1),"")</f>
        <v/>
      </c>
      <c r="AZ376" s="73" t="str">
        <f aca="false">IF(ISBLANK($C376),"",$B376)</f>
        <v/>
      </c>
      <c r="BA376" s="73" t="str">
        <f aca="false">IF(ISBLANK($C376),"",$C376)</f>
        <v/>
      </c>
      <c r="BB376" s="73" t="str">
        <f aca="false">IF(ISBLANK($C376),"",$D376)</f>
        <v/>
      </c>
      <c r="BC376" s="74" t="str">
        <f aca="false">AQ376</f>
        <v/>
      </c>
      <c r="BD376" s="75" t="str">
        <f aca="false">AP376</f>
        <v/>
      </c>
      <c r="BE376" s="73" t="str">
        <f aca="false">IF(ISBLANK($C376),"",AS376)</f>
        <v/>
      </c>
      <c r="BF376" s="76" t="str">
        <f aca="false">IF($AW376&gt;$AV$7,"",VLOOKUP($AW376,$AY$8:$BE$507,7,FALSE()))</f>
        <v/>
      </c>
      <c r="BG376" s="77" t="str">
        <f aca="false">IF($AW376&gt;$AV$7,"",VLOOKUP($AW376,$AY$8:$BE$507,2,FALSE()))</f>
        <v/>
      </c>
      <c r="BH376" s="77" t="str">
        <f aca="false">IF($AW376&gt;$AV$7,"",VLOOKUP($AW376,$AY$8:$BE$507,3,FALSE()))</f>
        <v/>
      </c>
      <c r="BI376" s="77" t="str">
        <f aca="false">IF($AW376&gt;$AV$7,"",VLOOKUP($AW376,$AY$8:$BE$507,4,FALSE()))</f>
        <v/>
      </c>
      <c r="BJ376" s="77" t="str">
        <f aca="false">IF($AW376&gt;$AV$7,"",VLOOKUP($AW376,$AY$8:$BE$507,5,FALSE()))</f>
        <v/>
      </c>
      <c r="BK376" s="78" t="str">
        <f aca="false">IF($AW376&gt;$AV$7,"",VLOOKUP($AW376,$AY$8:$BE$507,6,FALSE()))</f>
        <v/>
      </c>
      <c r="BL376" s="50"/>
    </row>
    <row r="377" customFormat="false" ht="15.75" hidden="false" customHeight="false" outlineLevel="0" collapsed="false">
      <c r="A377" s="5"/>
      <c r="B377" s="124"/>
      <c r="C377" s="125"/>
      <c r="D377" s="110"/>
      <c r="E377" s="130"/>
      <c r="F377" s="135"/>
      <c r="G377" s="88"/>
      <c r="H377" s="136"/>
      <c r="I377" s="137"/>
      <c r="J377" s="91"/>
      <c r="K377" s="92"/>
      <c r="L377" s="137"/>
      <c r="M377" s="93"/>
      <c r="N377" s="94"/>
      <c r="O377" s="130"/>
      <c r="P377" s="96"/>
      <c r="Q377" s="97" t="str">
        <f aca="false">IF(ISBLANK($C377),"",IF(E377=Constants!$B$2, TRUE(), IF(E377=Constants!$B$3, FALSE(), TRUE())))</f>
        <v/>
      </c>
      <c r="R377" s="97" t="str">
        <f aca="false">IF(ISBLANK($C377),"",IF(F377=Constants!$B$2, TRUE(), IF(F377=Constants!$B$3, FALSE(), TRUE())))</f>
        <v/>
      </c>
      <c r="S377" s="97" t="str">
        <f aca="false">IF(ISBLANK($C377),"",IF(G377=Constants!$B$15,Constants!$B$8,IF(G377=Constants!$B$16,Constants!$B$9,Constants!$B$10)))</f>
        <v/>
      </c>
      <c r="T377" s="97" t="str">
        <f aca="false">IF(ISBLANK($C377),"",IF(H377=Constants!$B$2, TRUE(), IF(H377=Constants!$B$3, FALSE(), TRUE())))</f>
        <v/>
      </c>
      <c r="U377" s="97" t="str">
        <f aca="false">IF(ISBLANK($C377),"",IF(I377=Constants!$B$19,Constants!$B$19,Constants!$B$18))</f>
        <v/>
      </c>
      <c r="V377" s="97" t="str">
        <f aca="false">IF(ISBLANK($C377),"",IF(COUNTA(J377:K377)=0,"",IF(AND(OR(ISBLANK(J377),AND(ISNUMBER(J377),J377&gt;=0)),OR(ISBLANK(K377),AND(ISNUMBER(K377),K377&gt;=0))),60*IF(ISBLANK(J377),0,J377)+IF(ISBLANK(K377),0,K377),"")))</f>
        <v/>
      </c>
      <c r="W377" s="97" t="str">
        <f aca="false">IF(ISBLANK($C377),"",IF(L377=Constants!$B$19,Constants!$B$19,Constants!$B$18))</f>
        <v/>
      </c>
      <c r="X377" s="97" t="str">
        <f aca="false">IF(ISBLANK($C377),"",IF(COUNTA(M377:N377)=0,"",IF(AND(OR(ISBLANK(M377),AND(ISNUMBER(M377),M377&gt;=0)),OR(ISBLANK(N377),AND(ISNUMBER(N377),N377&gt;=0))),60*IF(ISBLANK(M377),0,M377)+IF(ISBLANK(N377),0,N377),"")))</f>
        <v/>
      </c>
      <c r="Y377" s="97" t="str">
        <f aca="false">IF(ISBLANK($C377),"",IF(O377=Constants!$B$2, TRUE(), IF(O377=Constants!$B$3, FALSE(), FALSE())))</f>
        <v/>
      </c>
      <c r="Z377" s="97" t="str">
        <f aca="false">IF(ISBLANK($C377),"",IF(Y377,Constants!$B$4,IF(COUNTA(E377:N377)=0,Constants!$B$5,IF(COUNTA(J377:K377,M377:N377)=0,Constants!$B$6,Constants!$B$7))))</f>
        <v/>
      </c>
      <c r="AA377" s="97" t="str">
        <f aca="false">IF(ISBLANK($C377),"",IF($Z377&lt;&gt;Constants!$B$7,$Z377,IF(OR(NOT(T377),AND(NOT(Q377),COUNTIFS(U377:W377,Constants!$B$18,V377:X377,"&gt;=0")&gt;0),AND(NOT(R377),COUNTIFS(U377:W377,Constants!$B$19,V377:X377,"&gt;=0")&gt;0)),Constants!$B$12,Constants!$B$11)))</f>
        <v/>
      </c>
      <c r="AB377" s="97" t="str">
        <f aca="false">IF($Z377=Constants!$B$7,IF(V377="",Constants!$B$13,V377),"")</f>
        <v/>
      </c>
      <c r="AC377" s="97" t="str">
        <f aca="false">IF($Z377=Constants!$B$7,IF(X377="",Constants!$B$13,X377),"")</f>
        <v/>
      </c>
      <c r="AD377" s="97" t="str">
        <f aca="false">IF($Z377=Constants!$B$7,IF($AB377&gt;=$AC377,1,2),"")</f>
        <v/>
      </c>
      <c r="AE377" s="97" t="str">
        <f aca="false">IF($Z377=Constants!$B$7,LARGE(AB377:AC377,1),"")</f>
        <v/>
      </c>
      <c r="AF377" s="97" t="str">
        <f aca="false">IF(ISBLANK($C377),"",IF($Z377&lt;&gt;Constants!$B$7,$Z377,AE377*S377))</f>
        <v/>
      </c>
      <c r="AG377" s="97" t="str">
        <f aca="false">IF(ISBLANK($C377),"",IF($Z377=Constants!$B$7,IF(ISNUMBER(AF377),RANK(AF377,$AF$8:$AF$507),Constants!$B$14),$Z377))</f>
        <v/>
      </c>
      <c r="AH377" s="97" t="str">
        <f aca="false">IF(ISBLANK($C377),"",IF($Z377=Constants!$B$7,IF(ISNUMBER(AG377),COUNTIFS($AA$8:$AA$507,"&lt;"&amp;$AA377)+COUNTIFS($AA$8:$AA$507,$AA377,$AG$8:$AG$507,"&lt;"&amp;$AG377)+1,Constants!$B$14),$Z377))</f>
        <v/>
      </c>
      <c r="AI377" s="97" t="str">
        <f aca="false">IF(ISBLANK($C377),"",IF($Z377=Constants!$B$7,LARGE(AB377:AC377,2)*S377,""))</f>
        <v/>
      </c>
      <c r="AJ377" s="97" t="str">
        <f aca="false">IF(ISBLANK($C377),"",IF($Z377=Constants!$B$7,RANK(AI377,$AI$8:$AI$507),$Z377))</f>
        <v/>
      </c>
      <c r="AK377" s="97" t="str">
        <f aca="false">IF(ISBLANK($C377),"",IF($Z377=Constants!$B$7,IF(ISNUMBER(AG377),COUNTIFS($AA$8:$AA$507,"&lt;"&amp;$AA377)+COUNTIFS($AA$8:$AA$507,$AA377,$AG$8:$AG$507,"&lt;"&amp;$AG377)+COUNTIFS($AA$8:$AA$507,$AA377,$AG$8:$AG$507,$AG377,$AJ$8:$AJ$507,"&lt;"&amp;$AJ377)+1,Constants!$B$14),$Z377))</f>
        <v/>
      </c>
      <c r="AL377" s="97" t="str">
        <f aca="false">IF(ISBLANK($C377),"",IF($Z377=Constants!$B$7,IF(ISNUMBER(AH377),AH377-AK377,Constants!$B$14),$Z377))</f>
        <v/>
      </c>
      <c r="AM377" s="98"/>
      <c r="AN377" s="99" t="str">
        <f aca="false">IF(ISBLANK($C377),"",IF($Z377&lt;&gt;Constants!$B$7,$Z377,AD377))</f>
        <v/>
      </c>
      <c r="AO377" s="100" t="str">
        <f aca="false">IF(ISBLANK($C377),"",IF($Z377&lt;&gt;Constants!$B$7,$Z377,S377))</f>
        <v/>
      </c>
      <c r="AP377" s="101" t="str">
        <f aca="false">IF(ISBLANK($C377),"",IF($Z377&lt;&gt;Constants!$B$7,$Z377,AF377))</f>
        <v/>
      </c>
      <c r="AQ377" s="102" t="str">
        <f aca="false">IF(ISBLANK($C377),"",IF($Z377&lt;&gt;Constants!$B$7,$Z377,AA377))</f>
        <v/>
      </c>
      <c r="AR377" s="100" t="str">
        <f aca="false">IF(ISBLANK($C377),"",AL377)</f>
        <v/>
      </c>
      <c r="AS377" s="100" t="str">
        <f aca="false">IF(ISBLANK($C377),"",AK377)</f>
        <v/>
      </c>
      <c r="AT377" s="103" t="str">
        <f aca="false">IF(ISBLANK($C377),"",IF(AS377=Constants!$B$4,COUNTA($C$8:$C$507)+2,IF(AS377=Constants!$B$5,COUNTA($C$8:$C$507)+1,IF(AS377=Constants!$B$6,COUNTA($C$8:$C$507),AS377))))</f>
        <v/>
      </c>
      <c r="AU377" s="5"/>
      <c r="AV377" s="104" t="n">
        <f aca="false">IF(OR(ISNUMBER(AS377),AS377=Constants!$B$4,AS377=Constants!$B$6,AS377=Constants!$B$5),1,0)</f>
        <v>0</v>
      </c>
      <c r="AW377" s="104" t="n">
        <v>370</v>
      </c>
      <c r="AX377" s="104" t="str">
        <f aca="false">IF(ISBLANK($C377),"",IF(ISNUMBER(AT377),AT377+ROW($B377)/1000,""))</f>
        <v/>
      </c>
      <c r="AY377" s="104" t="str">
        <f aca="false">IF(ISNUMBER(AX377),RANK(AX377,$AX$8:$AX$507,1),"")</f>
        <v/>
      </c>
      <c r="AZ377" s="104" t="str">
        <f aca="false">IF(ISBLANK($C377),"",$B377)</f>
        <v/>
      </c>
      <c r="BA377" s="104" t="str">
        <f aca="false">IF(ISBLANK($C377),"",$C377)</f>
        <v/>
      </c>
      <c r="BB377" s="104" t="str">
        <f aca="false">IF(ISBLANK($C377),"",$D377)</f>
        <v/>
      </c>
      <c r="BC377" s="105" t="str">
        <f aca="false">AQ377</f>
        <v/>
      </c>
      <c r="BD377" s="106" t="str">
        <f aca="false">AP377</f>
        <v/>
      </c>
      <c r="BE377" s="104" t="str">
        <f aca="false">IF(ISBLANK($C377),"",AS377)</f>
        <v/>
      </c>
      <c r="BF377" s="107" t="str">
        <f aca="false">IF($AW377&gt;$AV$7,"",VLOOKUP($AW377,$AY$8:$BE$507,7,FALSE()))</f>
        <v/>
      </c>
      <c r="BG377" s="108" t="str">
        <f aca="false">IF($AW377&gt;$AV$7,"",VLOOKUP($AW377,$AY$8:$BE$507,2,FALSE()))</f>
        <v/>
      </c>
      <c r="BH377" s="108" t="str">
        <f aca="false">IF($AW377&gt;$AV$7,"",VLOOKUP($AW377,$AY$8:$BE$507,3,FALSE()))</f>
        <v/>
      </c>
      <c r="BI377" s="108" t="str">
        <f aca="false">IF($AW377&gt;$AV$7,"",VLOOKUP($AW377,$AY$8:$BE$507,4,FALSE()))</f>
        <v/>
      </c>
      <c r="BJ377" s="108" t="str">
        <f aca="false">IF($AW377&gt;$AV$7,"",VLOOKUP($AW377,$AY$8:$BE$507,5,FALSE()))</f>
        <v/>
      </c>
      <c r="BK377" s="109" t="str">
        <f aca="false">IF($AW377&gt;$AV$7,"",VLOOKUP($AW377,$AY$8:$BE$507,6,FALSE()))</f>
        <v/>
      </c>
      <c r="BL377" s="50"/>
    </row>
    <row r="378" customFormat="false" ht="15.75" hidden="false" customHeight="false" outlineLevel="0" collapsed="false">
      <c r="A378" s="5"/>
      <c r="B378" s="124"/>
      <c r="C378" s="125"/>
      <c r="D378" s="110"/>
      <c r="E378" s="130"/>
      <c r="F378" s="135"/>
      <c r="G378" s="88"/>
      <c r="H378" s="136"/>
      <c r="I378" s="137"/>
      <c r="J378" s="91"/>
      <c r="K378" s="92"/>
      <c r="L378" s="137"/>
      <c r="M378" s="93"/>
      <c r="N378" s="94"/>
      <c r="O378" s="130"/>
      <c r="P378" s="96"/>
      <c r="Q378" s="97" t="str">
        <f aca="false">IF(ISBLANK($C378),"",IF(E378=Constants!$B$2, TRUE(), IF(E378=Constants!$B$3, FALSE(), TRUE())))</f>
        <v/>
      </c>
      <c r="R378" s="97" t="str">
        <f aca="false">IF(ISBLANK($C378),"",IF(F378=Constants!$B$2, TRUE(), IF(F378=Constants!$B$3, FALSE(), TRUE())))</f>
        <v/>
      </c>
      <c r="S378" s="97" t="str">
        <f aca="false">IF(ISBLANK($C378),"",IF(G378=Constants!$B$15,Constants!$B$8,IF(G378=Constants!$B$16,Constants!$B$9,Constants!$B$10)))</f>
        <v/>
      </c>
      <c r="T378" s="97" t="str">
        <f aca="false">IF(ISBLANK($C378),"",IF(H378=Constants!$B$2, TRUE(), IF(H378=Constants!$B$3, FALSE(), TRUE())))</f>
        <v/>
      </c>
      <c r="U378" s="97" t="str">
        <f aca="false">IF(ISBLANK($C378),"",IF(I378=Constants!$B$19,Constants!$B$19,Constants!$B$18))</f>
        <v/>
      </c>
      <c r="V378" s="97" t="str">
        <f aca="false">IF(ISBLANK($C378),"",IF(COUNTA(J378:K378)=0,"",IF(AND(OR(ISBLANK(J378),AND(ISNUMBER(J378),J378&gt;=0)),OR(ISBLANK(K378),AND(ISNUMBER(K378),K378&gt;=0))),60*IF(ISBLANK(J378),0,J378)+IF(ISBLANK(K378),0,K378),"")))</f>
        <v/>
      </c>
      <c r="W378" s="97" t="str">
        <f aca="false">IF(ISBLANK($C378),"",IF(L378=Constants!$B$19,Constants!$B$19,Constants!$B$18))</f>
        <v/>
      </c>
      <c r="X378" s="97" t="str">
        <f aca="false">IF(ISBLANK($C378),"",IF(COUNTA(M378:N378)=0,"",IF(AND(OR(ISBLANK(M378),AND(ISNUMBER(M378),M378&gt;=0)),OR(ISBLANK(N378),AND(ISNUMBER(N378),N378&gt;=0))),60*IF(ISBLANK(M378),0,M378)+IF(ISBLANK(N378),0,N378),"")))</f>
        <v/>
      </c>
      <c r="Y378" s="97" t="str">
        <f aca="false">IF(ISBLANK($C378),"",IF(O378=Constants!$B$2, TRUE(), IF(O378=Constants!$B$3, FALSE(), FALSE())))</f>
        <v/>
      </c>
      <c r="Z378" s="97" t="str">
        <f aca="false">IF(ISBLANK($C378),"",IF(Y378,Constants!$B$4,IF(COUNTA(E378:N378)=0,Constants!$B$5,IF(COUNTA(J378:K378,M378:N378)=0,Constants!$B$6,Constants!$B$7))))</f>
        <v/>
      </c>
      <c r="AA378" s="97" t="str">
        <f aca="false">IF(ISBLANK($C378),"",IF($Z378&lt;&gt;Constants!$B$7,$Z378,IF(OR(NOT(T378),AND(NOT(Q378),COUNTIFS(U378:W378,Constants!$B$18,V378:X378,"&gt;=0")&gt;0),AND(NOT(R378),COUNTIFS(U378:W378,Constants!$B$19,V378:X378,"&gt;=0")&gt;0)),Constants!$B$12,Constants!$B$11)))</f>
        <v/>
      </c>
      <c r="AB378" s="97" t="str">
        <f aca="false">IF($Z378=Constants!$B$7,IF(V378="",Constants!$B$13,V378),"")</f>
        <v/>
      </c>
      <c r="AC378" s="97" t="str">
        <f aca="false">IF($Z378=Constants!$B$7,IF(X378="",Constants!$B$13,X378),"")</f>
        <v/>
      </c>
      <c r="AD378" s="97" t="str">
        <f aca="false">IF($Z378=Constants!$B$7,IF($AB378&gt;=$AC378,1,2),"")</f>
        <v/>
      </c>
      <c r="AE378" s="97" t="str">
        <f aca="false">IF($Z378=Constants!$B$7,LARGE(AB378:AC378,1),"")</f>
        <v/>
      </c>
      <c r="AF378" s="97" t="str">
        <f aca="false">IF(ISBLANK($C378),"",IF($Z378&lt;&gt;Constants!$B$7,$Z378,AE378*S378))</f>
        <v/>
      </c>
      <c r="AG378" s="97" t="str">
        <f aca="false">IF(ISBLANK($C378),"",IF($Z378=Constants!$B$7,IF(ISNUMBER(AF378),RANK(AF378,$AF$8:$AF$507),Constants!$B$14),$Z378))</f>
        <v/>
      </c>
      <c r="AH378" s="97" t="str">
        <f aca="false">IF(ISBLANK($C378),"",IF($Z378=Constants!$B$7,IF(ISNUMBER(AG378),COUNTIFS($AA$8:$AA$507,"&lt;"&amp;$AA378)+COUNTIFS($AA$8:$AA$507,$AA378,$AG$8:$AG$507,"&lt;"&amp;$AG378)+1,Constants!$B$14),$Z378))</f>
        <v/>
      </c>
      <c r="AI378" s="97" t="str">
        <f aca="false">IF(ISBLANK($C378),"",IF($Z378=Constants!$B$7,LARGE(AB378:AC378,2)*S378,""))</f>
        <v/>
      </c>
      <c r="AJ378" s="97" t="str">
        <f aca="false">IF(ISBLANK($C378),"",IF($Z378=Constants!$B$7,RANK(AI378,$AI$8:$AI$507),$Z378))</f>
        <v/>
      </c>
      <c r="AK378" s="97" t="str">
        <f aca="false">IF(ISBLANK($C378),"",IF($Z378=Constants!$B$7,IF(ISNUMBER(AG378),COUNTIFS($AA$8:$AA$507,"&lt;"&amp;$AA378)+COUNTIFS($AA$8:$AA$507,$AA378,$AG$8:$AG$507,"&lt;"&amp;$AG378)+COUNTIFS($AA$8:$AA$507,$AA378,$AG$8:$AG$507,$AG378,$AJ$8:$AJ$507,"&lt;"&amp;$AJ378)+1,Constants!$B$14),$Z378))</f>
        <v/>
      </c>
      <c r="AL378" s="97" t="str">
        <f aca="false">IF(ISBLANK($C378),"",IF($Z378=Constants!$B$7,IF(ISNUMBER(AH378),AH378-AK378,Constants!$B$14),$Z378))</f>
        <v/>
      </c>
      <c r="AM378" s="98"/>
      <c r="AN378" s="99" t="str">
        <f aca="false">IF(ISBLANK($C378),"",IF($Z378&lt;&gt;Constants!$B$7,$Z378,AD378))</f>
        <v/>
      </c>
      <c r="AO378" s="100" t="str">
        <f aca="false">IF(ISBLANK($C378),"",IF($Z378&lt;&gt;Constants!$B$7,$Z378,S378))</f>
        <v/>
      </c>
      <c r="AP378" s="101" t="str">
        <f aca="false">IF(ISBLANK($C378),"",IF($Z378&lt;&gt;Constants!$B$7,$Z378,AF378))</f>
        <v/>
      </c>
      <c r="AQ378" s="102" t="str">
        <f aca="false">IF(ISBLANK($C378),"",IF($Z378&lt;&gt;Constants!$B$7,$Z378,AA378))</f>
        <v/>
      </c>
      <c r="AR378" s="100" t="str">
        <f aca="false">IF(ISBLANK($C378),"",AL378)</f>
        <v/>
      </c>
      <c r="AS378" s="100" t="str">
        <f aca="false">IF(ISBLANK($C378),"",AK378)</f>
        <v/>
      </c>
      <c r="AT378" s="103" t="str">
        <f aca="false">IF(ISBLANK($C378),"",IF(AS378=Constants!$B$4,COUNTA($C$8:$C$507)+2,IF(AS378=Constants!$B$5,COUNTA($C$8:$C$507)+1,IF(AS378=Constants!$B$6,COUNTA($C$8:$C$507),AS378))))</f>
        <v/>
      </c>
      <c r="AU378" s="5"/>
      <c r="AV378" s="104" t="n">
        <f aca="false">IF(OR(ISNUMBER(AS378),AS378=Constants!$B$4,AS378=Constants!$B$6,AS378=Constants!$B$5),1,0)</f>
        <v>0</v>
      </c>
      <c r="AW378" s="104" t="n">
        <v>371</v>
      </c>
      <c r="AX378" s="104" t="str">
        <f aca="false">IF(ISBLANK($C378),"",IF(ISNUMBER(AT378),AT378+ROW($B378)/1000,""))</f>
        <v/>
      </c>
      <c r="AY378" s="104" t="str">
        <f aca="false">IF(ISNUMBER(AX378),RANK(AX378,$AX$8:$AX$507,1),"")</f>
        <v/>
      </c>
      <c r="AZ378" s="104" t="str">
        <f aca="false">IF(ISBLANK($C378),"",$B378)</f>
        <v/>
      </c>
      <c r="BA378" s="104" t="str">
        <f aca="false">IF(ISBLANK($C378),"",$C378)</f>
        <v/>
      </c>
      <c r="BB378" s="104" t="str">
        <f aca="false">IF(ISBLANK($C378),"",$D378)</f>
        <v/>
      </c>
      <c r="BC378" s="105" t="str">
        <f aca="false">AQ378</f>
        <v/>
      </c>
      <c r="BD378" s="106" t="str">
        <f aca="false">AP378</f>
        <v/>
      </c>
      <c r="BE378" s="104" t="str">
        <f aca="false">IF(ISBLANK($C378),"",AS378)</f>
        <v/>
      </c>
      <c r="BF378" s="107" t="str">
        <f aca="false">IF($AW378&gt;$AV$7,"",VLOOKUP($AW378,$AY$8:$BE$507,7,FALSE()))</f>
        <v/>
      </c>
      <c r="BG378" s="108" t="str">
        <f aca="false">IF($AW378&gt;$AV$7,"",VLOOKUP($AW378,$AY$8:$BE$507,2,FALSE()))</f>
        <v/>
      </c>
      <c r="BH378" s="108" t="str">
        <f aca="false">IF($AW378&gt;$AV$7,"",VLOOKUP($AW378,$AY$8:$BE$507,3,FALSE()))</f>
        <v/>
      </c>
      <c r="BI378" s="108" t="str">
        <f aca="false">IF($AW378&gt;$AV$7,"",VLOOKUP($AW378,$AY$8:$BE$507,4,FALSE()))</f>
        <v/>
      </c>
      <c r="BJ378" s="108" t="str">
        <f aca="false">IF($AW378&gt;$AV$7,"",VLOOKUP($AW378,$AY$8:$BE$507,5,FALSE()))</f>
        <v/>
      </c>
      <c r="BK378" s="109" t="str">
        <f aca="false">IF($AW378&gt;$AV$7,"",VLOOKUP($AW378,$AY$8:$BE$507,6,FALSE()))</f>
        <v/>
      </c>
      <c r="BL378" s="50"/>
    </row>
    <row r="379" customFormat="false" ht="15.75" hidden="false" customHeight="false" outlineLevel="0" collapsed="false">
      <c r="A379" s="5"/>
      <c r="B379" s="124"/>
      <c r="C379" s="125"/>
      <c r="D379" s="110"/>
      <c r="E379" s="130"/>
      <c r="F379" s="135"/>
      <c r="G379" s="88"/>
      <c r="H379" s="136"/>
      <c r="I379" s="137"/>
      <c r="J379" s="91"/>
      <c r="K379" s="92"/>
      <c r="L379" s="137"/>
      <c r="M379" s="93"/>
      <c r="N379" s="94"/>
      <c r="O379" s="130"/>
      <c r="P379" s="96"/>
      <c r="Q379" s="97" t="str">
        <f aca="false">IF(ISBLANK($C379),"",IF(E379=Constants!$B$2, TRUE(), IF(E379=Constants!$B$3, FALSE(), TRUE())))</f>
        <v/>
      </c>
      <c r="R379" s="97" t="str">
        <f aca="false">IF(ISBLANK($C379),"",IF(F379=Constants!$B$2, TRUE(), IF(F379=Constants!$B$3, FALSE(), TRUE())))</f>
        <v/>
      </c>
      <c r="S379" s="97" t="str">
        <f aca="false">IF(ISBLANK($C379),"",IF(G379=Constants!$B$15,Constants!$B$8,IF(G379=Constants!$B$16,Constants!$B$9,Constants!$B$10)))</f>
        <v/>
      </c>
      <c r="T379" s="97" t="str">
        <f aca="false">IF(ISBLANK($C379),"",IF(H379=Constants!$B$2, TRUE(), IF(H379=Constants!$B$3, FALSE(), TRUE())))</f>
        <v/>
      </c>
      <c r="U379" s="97" t="str">
        <f aca="false">IF(ISBLANK($C379),"",IF(I379=Constants!$B$19,Constants!$B$19,Constants!$B$18))</f>
        <v/>
      </c>
      <c r="V379" s="97" t="str">
        <f aca="false">IF(ISBLANK($C379),"",IF(COUNTA(J379:K379)=0,"",IF(AND(OR(ISBLANK(J379),AND(ISNUMBER(J379),J379&gt;=0)),OR(ISBLANK(K379),AND(ISNUMBER(K379),K379&gt;=0))),60*IF(ISBLANK(J379),0,J379)+IF(ISBLANK(K379),0,K379),"")))</f>
        <v/>
      </c>
      <c r="W379" s="97" t="str">
        <f aca="false">IF(ISBLANK($C379),"",IF(L379=Constants!$B$19,Constants!$B$19,Constants!$B$18))</f>
        <v/>
      </c>
      <c r="X379" s="97" t="str">
        <f aca="false">IF(ISBLANK($C379),"",IF(COUNTA(M379:N379)=0,"",IF(AND(OR(ISBLANK(M379),AND(ISNUMBER(M379),M379&gt;=0)),OR(ISBLANK(N379),AND(ISNUMBER(N379),N379&gt;=0))),60*IF(ISBLANK(M379),0,M379)+IF(ISBLANK(N379),0,N379),"")))</f>
        <v/>
      </c>
      <c r="Y379" s="97" t="str">
        <f aca="false">IF(ISBLANK($C379),"",IF(O379=Constants!$B$2, TRUE(), IF(O379=Constants!$B$3, FALSE(), FALSE())))</f>
        <v/>
      </c>
      <c r="Z379" s="97" t="str">
        <f aca="false">IF(ISBLANK($C379),"",IF(Y379,Constants!$B$4,IF(COUNTA(E379:N379)=0,Constants!$B$5,IF(COUNTA(J379:K379,M379:N379)=0,Constants!$B$6,Constants!$B$7))))</f>
        <v/>
      </c>
      <c r="AA379" s="97" t="str">
        <f aca="false">IF(ISBLANK($C379),"",IF($Z379&lt;&gt;Constants!$B$7,$Z379,IF(OR(NOT(T379),AND(NOT(Q379),COUNTIFS(U379:W379,Constants!$B$18,V379:X379,"&gt;=0")&gt;0),AND(NOT(R379),COUNTIFS(U379:W379,Constants!$B$19,V379:X379,"&gt;=0")&gt;0)),Constants!$B$12,Constants!$B$11)))</f>
        <v/>
      </c>
      <c r="AB379" s="97" t="str">
        <f aca="false">IF($Z379=Constants!$B$7,IF(V379="",Constants!$B$13,V379),"")</f>
        <v/>
      </c>
      <c r="AC379" s="97" t="str">
        <f aca="false">IF($Z379=Constants!$B$7,IF(X379="",Constants!$B$13,X379),"")</f>
        <v/>
      </c>
      <c r="AD379" s="97" t="str">
        <f aca="false">IF($Z379=Constants!$B$7,IF($AB379&gt;=$AC379,1,2),"")</f>
        <v/>
      </c>
      <c r="AE379" s="97" t="str">
        <f aca="false">IF($Z379=Constants!$B$7,LARGE(AB379:AC379,1),"")</f>
        <v/>
      </c>
      <c r="AF379" s="97" t="str">
        <f aca="false">IF(ISBLANK($C379),"",IF($Z379&lt;&gt;Constants!$B$7,$Z379,AE379*S379))</f>
        <v/>
      </c>
      <c r="AG379" s="97" t="str">
        <f aca="false">IF(ISBLANK($C379),"",IF($Z379=Constants!$B$7,IF(ISNUMBER(AF379),RANK(AF379,$AF$8:$AF$507),Constants!$B$14),$Z379))</f>
        <v/>
      </c>
      <c r="AH379" s="97" t="str">
        <f aca="false">IF(ISBLANK($C379),"",IF($Z379=Constants!$B$7,IF(ISNUMBER(AG379),COUNTIFS($AA$8:$AA$507,"&lt;"&amp;$AA379)+COUNTIFS($AA$8:$AA$507,$AA379,$AG$8:$AG$507,"&lt;"&amp;$AG379)+1,Constants!$B$14),$Z379))</f>
        <v/>
      </c>
      <c r="AI379" s="97" t="str">
        <f aca="false">IF(ISBLANK($C379),"",IF($Z379=Constants!$B$7,LARGE(AB379:AC379,2)*S379,""))</f>
        <v/>
      </c>
      <c r="AJ379" s="97" t="str">
        <f aca="false">IF(ISBLANK($C379),"",IF($Z379=Constants!$B$7,RANK(AI379,$AI$8:$AI$507),$Z379))</f>
        <v/>
      </c>
      <c r="AK379" s="97" t="str">
        <f aca="false">IF(ISBLANK($C379),"",IF($Z379=Constants!$B$7,IF(ISNUMBER(AG379),COUNTIFS($AA$8:$AA$507,"&lt;"&amp;$AA379)+COUNTIFS($AA$8:$AA$507,$AA379,$AG$8:$AG$507,"&lt;"&amp;$AG379)+COUNTIFS($AA$8:$AA$507,$AA379,$AG$8:$AG$507,$AG379,$AJ$8:$AJ$507,"&lt;"&amp;$AJ379)+1,Constants!$B$14),$Z379))</f>
        <v/>
      </c>
      <c r="AL379" s="97" t="str">
        <f aca="false">IF(ISBLANK($C379),"",IF($Z379=Constants!$B$7,IF(ISNUMBER(AH379),AH379-AK379,Constants!$B$14),$Z379))</f>
        <v/>
      </c>
      <c r="AM379" s="98"/>
      <c r="AN379" s="99" t="str">
        <f aca="false">IF(ISBLANK($C379),"",IF($Z379&lt;&gt;Constants!$B$7,$Z379,AD379))</f>
        <v/>
      </c>
      <c r="AO379" s="100" t="str">
        <f aca="false">IF(ISBLANK($C379),"",IF($Z379&lt;&gt;Constants!$B$7,$Z379,S379))</f>
        <v/>
      </c>
      <c r="AP379" s="101" t="str">
        <f aca="false">IF(ISBLANK($C379),"",IF($Z379&lt;&gt;Constants!$B$7,$Z379,AF379))</f>
        <v/>
      </c>
      <c r="AQ379" s="102" t="str">
        <f aca="false">IF(ISBLANK($C379),"",IF($Z379&lt;&gt;Constants!$B$7,$Z379,AA379))</f>
        <v/>
      </c>
      <c r="AR379" s="100" t="str">
        <f aca="false">IF(ISBLANK($C379),"",AL379)</f>
        <v/>
      </c>
      <c r="AS379" s="100" t="str">
        <f aca="false">IF(ISBLANK($C379),"",AK379)</f>
        <v/>
      </c>
      <c r="AT379" s="103" t="str">
        <f aca="false">IF(ISBLANK($C379),"",IF(AS379=Constants!$B$4,COUNTA($C$8:$C$507)+2,IF(AS379=Constants!$B$5,COUNTA($C$8:$C$507)+1,IF(AS379=Constants!$B$6,COUNTA($C$8:$C$507),AS379))))</f>
        <v/>
      </c>
      <c r="AU379" s="5"/>
      <c r="AV379" s="104" t="n">
        <f aca="false">IF(OR(ISNUMBER(AS379),AS379=Constants!$B$4,AS379=Constants!$B$6,AS379=Constants!$B$5),1,0)</f>
        <v>0</v>
      </c>
      <c r="AW379" s="104" t="n">
        <v>372</v>
      </c>
      <c r="AX379" s="104" t="str">
        <f aca="false">IF(ISBLANK($C379),"",IF(ISNUMBER(AT379),AT379+ROW($B379)/1000,""))</f>
        <v/>
      </c>
      <c r="AY379" s="104" t="str">
        <f aca="false">IF(ISNUMBER(AX379),RANK(AX379,$AX$8:$AX$507,1),"")</f>
        <v/>
      </c>
      <c r="AZ379" s="104" t="str">
        <f aca="false">IF(ISBLANK($C379),"",$B379)</f>
        <v/>
      </c>
      <c r="BA379" s="104" t="str">
        <f aca="false">IF(ISBLANK($C379),"",$C379)</f>
        <v/>
      </c>
      <c r="BB379" s="104" t="str">
        <f aca="false">IF(ISBLANK($C379),"",$D379)</f>
        <v/>
      </c>
      <c r="BC379" s="105" t="str">
        <f aca="false">AQ379</f>
        <v/>
      </c>
      <c r="BD379" s="106" t="str">
        <f aca="false">AP379</f>
        <v/>
      </c>
      <c r="BE379" s="104" t="str">
        <f aca="false">IF(ISBLANK($C379),"",AS379)</f>
        <v/>
      </c>
      <c r="BF379" s="107" t="str">
        <f aca="false">IF($AW379&gt;$AV$7,"",VLOOKUP($AW379,$AY$8:$BE$507,7,FALSE()))</f>
        <v/>
      </c>
      <c r="BG379" s="108" t="str">
        <f aca="false">IF($AW379&gt;$AV$7,"",VLOOKUP($AW379,$AY$8:$BE$507,2,FALSE()))</f>
        <v/>
      </c>
      <c r="BH379" s="108" t="str">
        <f aca="false">IF($AW379&gt;$AV$7,"",VLOOKUP($AW379,$AY$8:$BE$507,3,FALSE()))</f>
        <v/>
      </c>
      <c r="BI379" s="108" t="str">
        <f aca="false">IF($AW379&gt;$AV$7,"",VLOOKUP($AW379,$AY$8:$BE$507,4,FALSE()))</f>
        <v/>
      </c>
      <c r="BJ379" s="108" t="str">
        <f aca="false">IF($AW379&gt;$AV$7,"",VLOOKUP($AW379,$AY$8:$BE$507,5,FALSE()))</f>
        <v/>
      </c>
      <c r="BK379" s="109" t="str">
        <f aca="false">IF($AW379&gt;$AV$7,"",VLOOKUP($AW379,$AY$8:$BE$507,6,FALSE()))</f>
        <v/>
      </c>
      <c r="BL379" s="50"/>
    </row>
    <row r="380" customFormat="false" ht="15.75" hidden="false" customHeight="false" outlineLevel="0" collapsed="false">
      <c r="A380" s="5"/>
      <c r="B380" s="131"/>
      <c r="C380" s="52"/>
      <c r="D380" s="53"/>
      <c r="E380" s="80"/>
      <c r="F380" s="132"/>
      <c r="G380" s="56"/>
      <c r="H380" s="133"/>
      <c r="I380" s="134"/>
      <c r="J380" s="59"/>
      <c r="K380" s="60"/>
      <c r="L380" s="134"/>
      <c r="M380" s="61"/>
      <c r="N380" s="62"/>
      <c r="O380" s="80"/>
      <c r="P380" s="64"/>
      <c r="Q380" s="65" t="str">
        <f aca="false">IF(ISBLANK($C380),"",IF(E380=Constants!$B$2, TRUE(), IF(E380=Constants!$B$3, FALSE(), TRUE())))</f>
        <v/>
      </c>
      <c r="R380" s="65" t="str">
        <f aca="false">IF(ISBLANK($C380),"",IF(F380=Constants!$B$2, TRUE(), IF(F380=Constants!$B$3, FALSE(), TRUE())))</f>
        <v/>
      </c>
      <c r="S380" s="65" t="str">
        <f aca="false">IF(ISBLANK($C380),"",IF(G380=Constants!$B$15,Constants!$B$8,IF(G380=Constants!$B$16,Constants!$B$9,Constants!$B$10)))</f>
        <v/>
      </c>
      <c r="T380" s="65" t="str">
        <f aca="false">IF(ISBLANK($C380),"",IF(H380=Constants!$B$2, TRUE(), IF(H380=Constants!$B$3, FALSE(), TRUE())))</f>
        <v/>
      </c>
      <c r="U380" s="65" t="str">
        <f aca="false">IF(ISBLANK($C380),"",IF(I380=Constants!$B$19,Constants!$B$19,Constants!$B$18))</f>
        <v/>
      </c>
      <c r="V380" s="65" t="str">
        <f aca="false">IF(ISBLANK($C380),"",IF(COUNTA(J380:K380)=0,"",IF(AND(OR(ISBLANK(J380),AND(ISNUMBER(J380),J380&gt;=0)),OR(ISBLANK(K380),AND(ISNUMBER(K380),K380&gt;=0))),60*IF(ISBLANK(J380),0,J380)+IF(ISBLANK(K380),0,K380),"")))</f>
        <v/>
      </c>
      <c r="W380" s="65" t="str">
        <f aca="false">IF(ISBLANK($C380),"",IF(L380=Constants!$B$19,Constants!$B$19,Constants!$B$18))</f>
        <v/>
      </c>
      <c r="X380" s="65" t="str">
        <f aca="false">IF(ISBLANK($C380),"",IF(COUNTA(M380:N380)=0,"",IF(AND(OR(ISBLANK(M380),AND(ISNUMBER(M380),M380&gt;=0)),OR(ISBLANK(N380),AND(ISNUMBER(N380),N380&gt;=0))),60*IF(ISBLANK(M380),0,M380)+IF(ISBLANK(N380),0,N380),"")))</f>
        <v/>
      </c>
      <c r="Y380" s="65" t="str">
        <f aca="false">IF(ISBLANK($C380),"",IF(O380=Constants!$B$2, TRUE(), IF(O380=Constants!$B$3, FALSE(), FALSE())))</f>
        <v/>
      </c>
      <c r="Z380" s="65" t="str">
        <f aca="false">IF(ISBLANK($C380),"",IF(Y380,Constants!$B$4,IF(COUNTA(E380:N380)=0,Constants!$B$5,IF(COUNTA(J380:K380,M380:N380)=0,Constants!$B$6,Constants!$B$7))))</f>
        <v/>
      </c>
      <c r="AA380" s="65" t="str">
        <f aca="false">IF(ISBLANK($C380),"",IF($Z380&lt;&gt;Constants!$B$7,$Z380,IF(OR(NOT(T380),AND(NOT(Q380),COUNTIFS(U380:W380,Constants!$B$18,V380:X380,"&gt;=0")&gt;0),AND(NOT(R380),COUNTIFS(U380:W380,Constants!$B$19,V380:X380,"&gt;=0")&gt;0)),Constants!$B$12,Constants!$B$11)))</f>
        <v/>
      </c>
      <c r="AB380" s="65" t="str">
        <f aca="false">IF($Z380=Constants!$B$7,IF(V380="",Constants!$B$13,V380),"")</f>
        <v/>
      </c>
      <c r="AC380" s="65" t="str">
        <f aca="false">IF($Z380=Constants!$B$7,IF(X380="",Constants!$B$13,X380),"")</f>
        <v/>
      </c>
      <c r="AD380" s="65" t="str">
        <f aca="false">IF($Z380=Constants!$B$7,IF($AB380&gt;=$AC380,1,2),"")</f>
        <v/>
      </c>
      <c r="AE380" s="65" t="str">
        <f aca="false">IF($Z380=Constants!$B$7,LARGE(AB380:AC380,1),"")</f>
        <v/>
      </c>
      <c r="AF380" s="65" t="str">
        <f aca="false">IF(ISBLANK($C380),"",IF($Z380&lt;&gt;Constants!$B$7,$Z380,AE380*S380))</f>
        <v/>
      </c>
      <c r="AG380" s="65" t="str">
        <f aca="false">IF(ISBLANK($C380),"",IF($Z380=Constants!$B$7,IF(ISNUMBER(AF380),RANK(AF380,$AF$8:$AF$507),Constants!$B$14),$Z380))</f>
        <v/>
      </c>
      <c r="AH380" s="65" t="str">
        <f aca="false">IF(ISBLANK($C380),"",IF($Z380=Constants!$B$7,IF(ISNUMBER(AG380),COUNTIFS($AA$8:$AA$507,"&lt;"&amp;$AA380)+COUNTIFS($AA$8:$AA$507,$AA380,$AG$8:$AG$507,"&lt;"&amp;$AG380)+1,Constants!$B$14),$Z380))</f>
        <v/>
      </c>
      <c r="AI380" s="65" t="str">
        <f aca="false">IF(ISBLANK($C380),"",IF($Z380=Constants!$B$7,LARGE(AB380:AC380,2)*S380,""))</f>
        <v/>
      </c>
      <c r="AJ380" s="65" t="str">
        <f aca="false">IF(ISBLANK($C380),"",IF($Z380=Constants!$B$7,RANK(AI380,$AI$8:$AI$507),$Z380))</f>
        <v/>
      </c>
      <c r="AK380" s="65" t="str">
        <f aca="false">IF(ISBLANK($C380),"",IF($Z380=Constants!$B$7,IF(ISNUMBER(AG380),COUNTIFS($AA$8:$AA$507,"&lt;"&amp;$AA380)+COUNTIFS($AA$8:$AA$507,$AA380,$AG$8:$AG$507,"&lt;"&amp;$AG380)+COUNTIFS($AA$8:$AA$507,$AA380,$AG$8:$AG$507,$AG380,$AJ$8:$AJ$507,"&lt;"&amp;$AJ380)+1,Constants!$B$14),$Z380))</f>
        <v/>
      </c>
      <c r="AL380" s="65" t="str">
        <f aca="false">IF(ISBLANK($C380),"",IF($Z380=Constants!$B$7,IF(ISNUMBER(AH380),AH380-AK380,Constants!$B$14),$Z380))</f>
        <v/>
      </c>
      <c r="AM380" s="67"/>
      <c r="AN380" s="68" t="str">
        <f aca="false">IF(ISBLANK($C380),"",IF($Z380&lt;&gt;Constants!$B$7,$Z380,AD380))</f>
        <v/>
      </c>
      <c r="AO380" s="69" t="str">
        <f aca="false">IF(ISBLANK($C380),"",IF($Z380&lt;&gt;Constants!$B$7,$Z380,S380))</f>
        <v/>
      </c>
      <c r="AP380" s="70" t="str">
        <f aca="false">IF(ISBLANK($C380),"",IF($Z380&lt;&gt;Constants!$B$7,$Z380,AF380))</f>
        <v/>
      </c>
      <c r="AQ380" s="71" t="str">
        <f aca="false">IF(ISBLANK($C380),"",IF($Z380&lt;&gt;Constants!$B$7,$Z380,AA380))</f>
        <v/>
      </c>
      <c r="AR380" s="69" t="str">
        <f aca="false">IF(ISBLANK($C380),"",AL380)</f>
        <v/>
      </c>
      <c r="AS380" s="69" t="str">
        <f aca="false">IF(ISBLANK($C380),"",AK380)</f>
        <v/>
      </c>
      <c r="AT380" s="72" t="str">
        <f aca="false">IF(ISBLANK($C380),"",IF(AS380=Constants!$B$4,COUNTA($C$8:$C$507)+2,IF(AS380=Constants!$B$5,COUNTA($C$8:$C$507)+1,IF(AS380=Constants!$B$6,COUNTA($C$8:$C$507),AS380))))</f>
        <v/>
      </c>
      <c r="AU380" s="5"/>
      <c r="AV380" s="73" t="n">
        <f aca="false">IF(OR(ISNUMBER(AS380),AS380=Constants!$B$4,AS380=Constants!$B$6,AS380=Constants!$B$5),1,0)</f>
        <v>0</v>
      </c>
      <c r="AW380" s="73" t="n">
        <v>373</v>
      </c>
      <c r="AX380" s="73" t="str">
        <f aca="false">IF(ISBLANK($C380),"",IF(ISNUMBER(AT380),AT380+ROW($B380)/1000,""))</f>
        <v/>
      </c>
      <c r="AY380" s="73" t="str">
        <f aca="false">IF(ISNUMBER(AX380),RANK(AX380,$AX$8:$AX$507,1),"")</f>
        <v/>
      </c>
      <c r="AZ380" s="73" t="str">
        <f aca="false">IF(ISBLANK($C380),"",$B380)</f>
        <v/>
      </c>
      <c r="BA380" s="73" t="str">
        <f aca="false">IF(ISBLANK($C380),"",$C380)</f>
        <v/>
      </c>
      <c r="BB380" s="73" t="str">
        <f aca="false">IF(ISBLANK($C380),"",$D380)</f>
        <v/>
      </c>
      <c r="BC380" s="74" t="str">
        <f aca="false">AQ380</f>
        <v/>
      </c>
      <c r="BD380" s="75" t="str">
        <f aca="false">AP380</f>
        <v/>
      </c>
      <c r="BE380" s="73" t="str">
        <f aca="false">IF(ISBLANK($C380),"",AS380)</f>
        <v/>
      </c>
      <c r="BF380" s="76" t="str">
        <f aca="false">IF($AW380&gt;$AV$7,"",VLOOKUP($AW380,$AY$8:$BE$507,7,FALSE()))</f>
        <v/>
      </c>
      <c r="BG380" s="77" t="str">
        <f aca="false">IF($AW380&gt;$AV$7,"",VLOOKUP($AW380,$AY$8:$BE$507,2,FALSE()))</f>
        <v/>
      </c>
      <c r="BH380" s="77" t="str">
        <f aca="false">IF($AW380&gt;$AV$7,"",VLOOKUP($AW380,$AY$8:$BE$507,3,FALSE()))</f>
        <v/>
      </c>
      <c r="BI380" s="77" t="str">
        <f aca="false">IF($AW380&gt;$AV$7,"",VLOOKUP($AW380,$AY$8:$BE$507,4,FALSE()))</f>
        <v/>
      </c>
      <c r="BJ380" s="77" t="str">
        <f aca="false">IF($AW380&gt;$AV$7,"",VLOOKUP($AW380,$AY$8:$BE$507,5,FALSE()))</f>
        <v/>
      </c>
      <c r="BK380" s="78" t="str">
        <f aca="false">IF($AW380&gt;$AV$7,"",VLOOKUP($AW380,$AY$8:$BE$507,6,FALSE()))</f>
        <v/>
      </c>
      <c r="BL380" s="50"/>
    </row>
    <row r="381" customFormat="false" ht="15.75" hidden="false" customHeight="false" outlineLevel="0" collapsed="false">
      <c r="A381" s="5"/>
      <c r="B381" s="131"/>
      <c r="C381" s="52"/>
      <c r="D381" s="53"/>
      <c r="E381" s="80"/>
      <c r="F381" s="132"/>
      <c r="G381" s="56"/>
      <c r="H381" s="133"/>
      <c r="I381" s="134"/>
      <c r="J381" s="59"/>
      <c r="K381" s="60"/>
      <c r="L381" s="134"/>
      <c r="M381" s="61"/>
      <c r="N381" s="62"/>
      <c r="O381" s="80"/>
      <c r="P381" s="64"/>
      <c r="Q381" s="65" t="str">
        <f aca="false">IF(ISBLANK($C381),"",IF(E381=Constants!$B$2, TRUE(), IF(E381=Constants!$B$3, FALSE(), TRUE())))</f>
        <v/>
      </c>
      <c r="R381" s="65" t="str">
        <f aca="false">IF(ISBLANK($C381),"",IF(F381=Constants!$B$2, TRUE(), IF(F381=Constants!$B$3, FALSE(), TRUE())))</f>
        <v/>
      </c>
      <c r="S381" s="65" t="str">
        <f aca="false">IF(ISBLANK($C381),"",IF(G381=Constants!$B$15,Constants!$B$8,IF(G381=Constants!$B$16,Constants!$B$9,Constants!$B$10)))</f>
        <v/>
      </c>
      <c r="T381" s="65" t="str">
        <f aca="false">IF(ISBLANK($C381),"",IF(H381=Constants!$B$2, TRUE(), IF(H381=Constants!$B$3, FALSE(), TRUE())))</f>
        <v/>
      </c>
      <c r="U381" s="65" t="str">
        <f aca="false">IF(ISBLANK($C381),"",IF(I381=Constants!$B$19,Constants!$B$19,Constants!$B$18))</f>
        <v/>
      </c>
      <c r="V381" s="65" t="str">
        <f aca="false">IF(ISBLANK($C381),"",IF(COUNTA(J381:K381)=0,"",IF(AND(OR(ISBLANK(J381),AND(ISNUMBER(J381),J381&gt;=0)),OR(ISBLANK(K381),AND(ISNUMBER(K381),K381&gt;=0))),60*IF(ISBLANK(J381),0,J381)+IF(ISBLANK(K381),0,K381),"")))</f>
        <v/>
      </c>
      <c r="W381" s="65" t="str">
        <f aca="false">IF(ISBLANK($C381),"",IF(L381=Constants!$B$19,Constants!$B$19,Constants!$B$18))</f>
        <v/>
      </c>
      <c r="X381" s="65" t="str">
        <f aca="false">IF(ISBLANK($C381),"",IF(COUNTA(M381:N381)=0,"",IF(AND(OR(ISBLANK(M381),AND(ISNUMBER(M381),M381&gt;=0)),OR(ISBLANK(N381),AND(ISNUMBER(N381),N381&gt;=0))),60*IF(ISBLANK(M381),0,M381)+IF(ISBLANK(N381),0,N381),"")))</f>
        <v/>
      </c>
      <c r="Y381" s="65" t="str">
        <f aca="false">IF(ISBLANK($C381),"",IF(O381=Constants!$B$2, TRUE(), IF(O381=Constants!$B$3, FALSE(), FALSE())))</f>
        <v/>
      </c>
      <c r="Z381" s="65" t="str">
        <f aca="false">IF(ISBLANK($C381),"",IF(Y381,Constants!$B$4,IF(COUNTA(E381:N381)=0,Constants!$B$5,IF(COUNTA(J381:K381,M381:N381)=0,Constants!$B$6,Constants!$B$7))))</f>
        <v/>
      </c>
      <c r="AA381" s="65" t="str">
        <f aca="false">IF(ISBLANK($C381),"",IF($Z381&lt;&gt;Constants!$B$7,$Z381,IF(OR(NOT(T381),AND(NOT(Q381),COUNTIFS(U381:W381,Constants!$B$18,V381:X381,"&gt;=0")&gt;0),AND(NOT(R381),COUNTIFS(U381:W381,Constants!$B$19,V381:X381,"&gt;=0")&gt;0)),Constants!$B$12,Constants!$B$11)))</f>
        <v/>
      </c>
      <c r="AB381" s="65" t="str">
        <f aca="false">IF($Z381=Constants!$B$7,IF(V381="",Constants!$B$13,V381),"")</f>
        <v/>
      </c>
      <c r="AC381" s="65" t="str">
        <f aca="false">IF($Z381=Constants!$B$7,IF(X381="",Constants!$B$13,X381),"")</f>
        <v/>
      </c>
      <c r="AD381" s="65" t="str">
        <f aca="false">IF($Z381=Constants!$B$7,IF($AB381&gt;=$AC381,1,2),"")</f>
        <v/>
      </c>
      <c r="AE381" s="65" t="str">
        <f aca="false">IF($Z381=Constants!$B$7,LARGE(AB381:AC381,1),"")</f>
        <v/>
      </c>
      <c r="AF381" s="65" t="str">
        <f aca="false">IF(ISBLANK($C381),"",IF($Z381&lt;&gt;Constants!$B$7,$Z381,AE381*S381))</f>
        <v/>
      </c>
      <c r="AG381" s="65" t="str">
        <f aca="false">IF(ISBLANK($C381),"",IF($Z381=Constants!$B$7,IF(ISNUMBER(AF381),RANK(AF381,$AF$8:$AF$507),Constants!$B$14),$Z381))</f>
        <v/>
      </c>
      <c r="AH381" s="65" t="str">
        <f aca="false">IF(ISBLANK($C381),"",IF($Z381=Constants!$B$7,IF(ISNUMBER(AG381),COUNTIFS($AA$8:$AA$507,"&lt;"&amp;$AA381)+COUNTIFS($AA$8:$AA$507,$AA381,$AG$8:$AG$507,"&lt;"&amp;$AG381)+1,Constants!$B$14),$Z381))</f>
        <v/>
      </c>
      <c r="AI381" s="65" t="str">
        <f aca="false">IF(ISBLANK($C381),"",IF($Z381=Constants!$B$7,LARGE(AB381:AC381,2)*S381,""))</f>
        <v/>
      </c>
      <c r="AJ381" s="65" t="str">
        <f aca="false">IF(ISBLANK($C381),"",IF($Z381=Constants!$B$7,RANK(AI381,$AI$8:$AI$507),$Z381))</f>
        <v/>
      </c>
      <c r="AK381" s="65" t="str">
        <f aca="false">IF(ISBLANK($C381),"",IF($Z381=Constants!$B$7,IF(ISNUMBER(AG381),COUNTIFS($AA$8:$AA$507,"&lt;"&amp;$AA381)+COUNTIFS($AA$8:$AA$507,$AA381,$AG$8:$AG$507,"&lt;"&amp;$AG381)+COUNTIFS($AA$8:$AA$507,$AA381,$AG$8:$AG$507,$AG381,$AJ$8:$AJ$507,"&lt;"&amp;$AJ381)+1,Constants!$B$14),$Z381))</f>
        <v/>
      </c>
      <c r="AL381" s="65" t="str">
        <f aca="false">IF(ISBLANK($C381),"",IF($Z381=Constants!$B$7,IF(ISNUMBER(AH381),AH381-AK381,Constants!$B$14),$Z381))</f>
        <v/>
      </c>
      <c r="AM381" s="67"/>
      <c r="AN381" s="68" t="str">
        <f aca="false">IF(ISBLANK($C381),"",IF($Z381&lt;&gt;Constants!$B$7,$Z381,AD381))</f>
        <v/>
      </c>
      <c r="AO381" s="69" t="str">
        <f aca="false">IF(ISBLANK($C381),"",IF($Z381&lt;&gt;Constants!$B$7,$Z381,S381))</f>
        <v/>
      </c>
      <c r="AP381" s="70" t="str">
        <f aca="false">IF(ISBLANK($C381),"",IF($Z381&lt;&gt;Constants!$B$7,$Z381,AF381))</f>
        <v/>
      </c>
      <c r="AQ381" s="71" t="str">
        <f aca="false">IF(ISBLANK($C381),"",IF($Z381&lt;&gt;Constants!$B$7,$Z381,AA381))</f>
        <v/>
      </c>
      <c r="AR381" s="69" t="str">
        <f aca="false">IF(ISBLANK($C381),"",AL381)</f>
        <v/>
      </c>
      <c r="AS381" s="69" t="str">
        <f aca="false">IF(ISBLANK($C381),"",AK381)</f>
        <v/>
      </c>
      <c r="AT381" s="72" t="str">
        <f aca="false">IF(ISBLANK($C381),"",IF(AS381=Constants!$B$4,COUNTA($C$8:$C$507)+2,IF(AS381=Constants!$B$5,COUNTA($C$8:$C$507)+1,IF(AS381=Constants!$B$6,COUNTA($C$8:$C$507),AS381))))</f>
        <v/>
      </c>
      <c r="AU381" s="5"/>
      <c r="AV381" s="73" t="n">
        <f aca="false">IF(OR(ISNUMBER(AS381),AS381=Constants!$B$4,AS381=Constants!$B$6,AS381=Constants!$B$5),1,0)</f>
        <v>0</v>
      </c>
      <c r="AW381" s="73" t="n">
        <v>374</v>
      </c>
      <c r="AX381" s="73" t="str">
        <f aca="false">IF(ISBLANK($C381),"",IF(ISNUMBER(AT381),AT381+ROW($B381)/1000,""))</f>
        <v/>
      </c>
      <c r="AY381" s="73" t="str">
        <f aca="false">IF(ISNUMBER(AX381),RANK(AX381,$AX$8:$AX$507,1),"")</f>
        <v/>
      </c>
      <c r="AZ381" s="73" t="str">
        <f aca="false">IF(ISBLANK($C381),"",$B381)</f>
        <v/>
      </c>
      <c r="BA381" s="73" t="str">
        <f aca="false">IF(ISBLANK($C381),"",$C381)</f>
        <v/>
      </c>
      <c r="BB381" s="73" t="str">
        <f aca="false">IF(ISBLANK($C381),"",$D381)</f>
        <v/>
      </c>
      <c r="BC381" s="74" t="str">
        <f aca="false">AQ381</f>
        <v/>
      </c>
      <c r="BD381" s="75" t="str">
        <f aca="false">AP381</f>
        <v/>
      </c>
      <c r="BE381" s="73" t="str">
        <f aca="false">IF(ISBLANK($C381),"",AS381)</f>
        <v/>
      </c>
      <c r="BF381" s="76" t="str">
        <f aca="false">IF($AW381&gt;$AV$7,"",VLOOKUP($AW381,$AY$8:$BE$507,7,FALSE()))</f>
        <v/>
      </c>
      <c r="BG381" s="77" t="str">
        <f aca="false">IF($AW381&gt;$AV$7,"",VLOOKUP($AW381,$AY$8:$BE$507,2,FALSE()))</f>
        <v/>
      </c>
      <c r="BH381" s="77" t="str">
        <f aca="false">IF($AW381&gt;$AV$7,"",VLOOKUP($AW381,$AY$8:$BE$507,3,FALSE()))</f>
        <v/>
      </c>
      <c r="BI381" s="77" t="str">
        <f aca="false">IF($AW381&gt;$AV$7,"",VLOOKUP($AW381,$AY$8:$BE$507,4,FALSE()))</f>
        <v/>
      </c>
      <c r="BJ381" s="77" t="str">
        <f aca="false">IF($AW381&gt;$AV$7,"",VLOOKUP($AW381,$AY$8:$BE$507,5,FALSE()))</f>
        <v/>
      </c>
      <c r="BK381" s="78" t="str">
        <f aca="false">IF($AW381&gt;$AV$7,"",VLOOKUP($AW381,$AY$8:$BE$507,6,FALSE()))</f>
        <v/>
      </c>
      <c r="BL381" s="50"/>
    </row>
    <row r="382" customFormat="false" ht="15.75" hidden="false" customHeight="false" outlineLevel="0" collapsed="false">
      <c r="A382" s="5"/>
      <c r="B382" s="131"/>
      <c r="C382" s="52"/>
      <c r="D382" s="53"/>
      <c r="E382" s="80"/>
      <c r="F382" s="132"/>
      <c r="G382" s="56"/>
      <c r="H382" s="133"/>
      <c r="I382" s="134"/>
      <c r="J382" s="59"/>
      <c r="K382" s="60"/>
      <c r="L382" s="134"/>
      <c r="M382" s="61"/>
      <c r="N382" s="62"/>
      <c r="O382" s="80"/>
      <c r="P382" s="64"/>
      <c r="Q382" s="65" t="str">
        <f aca="false">IF(ISBLANK($C382),"",IF(E382=Constants!$B$2, TRUE(), IF(E382=Constants!$B$3, FALSE(), TRUE())))</f>
        <v/>
      </c>
      <c r="R382" s="65" t="str">
        <f aca="false">IF(ISBLANK($C382),"",IF(F382=Constants!$B$2, TRUE(), IF(F382=Constants!$B$3, FALSE(), TRUE())))</f>
        <v/>
      </c>
      <c r="S382" s="65" t="str">
        <f aca="false">IF(ISBLANK($C382),"",IF(G382=Constants!$B$15,Constants!$B$8,IF(G382=Constants!$B$16,Constants!$B$9,Constants!$B$10)))</f>
        <v/>
      </c>
      <c r="T382" s="65" t="str">
        <f aca="false">IF(ISBLANK($C382),"",IF(H382=Constants!$B$2, TRUE(), IF(H382=Constants!$B$3, FALSE(), TRUE())))</f>
        <v/>
      </c>
      <c r="U382" s="65" t="str">
        <f aca="false">IF(ISBLANK($C382),"",IF(I382=Constants!$B$19,Constants!$B$19,Constants!$B$18))</f>
        <v/>
      </c>
      <c r="V382" s="65" t="str">
        <f aca="false">IF(ISBLANK($C382),"",IF(COUNTA(J382:K382)=0,"",IF(AND(OR(ISBLANK(J382),AND(ISNUMBER(J382),J382&gt;=0)),OR(ISBLANK(K382),AND(ISNUMBER(K382),K382&gt;=0))),60*IF(ISBLANK(J382),0,J382)+IF(ISBLANK(K382),0,K382),"")))</f>
        <v/>
      </c>
      <c r="W382" s="65" t="str">
        <f aca="false">IF(ISBLANK($C382),"",IF(L382=Constants!$B$19,Constants!$B$19,Constants!$B$18))</f>
        <v/>
      </c>
      <c r="X382" s="65" t="str">
        <f aca="false">IF(ISBLANK($C382),"",IF(COUNTA(M382:N382)=0,"",IF(AND(OR(ISBLANK(M382),AND(ISNUMBER(M382),M382&gt;=0)),OR(ISBLANK(N382),AND(ISNUMBER(N382),N382&gt;=0))),60*IF(ISBLANK(M382),0,M382)+IF(ISBLANK(N382),0,N382),"")))</f>
        <v/>
      </c>
      <c r="Y382" s="65" t="str">
        <f aca="false">IF(ISBLANK($C382),"",IF(O382=Constants!$B$2, TRUE(), IF(O382=Constants!$B$3, FALSE(), FALSE())))</f>
        <v/>
      </c>
      <c r="Z382" s="65" t="str">
        <f aca="false">IF(ISBLANK($C382),"",IF(Y382,Constants!$B$4,IF(COUNTA(E382:N382)=0,Constants!$B$5,IF(COUNTA(J382:K382,M382:N382)=0,Constants!$B$6,Constants!$B$7))))</f>
        <v/>
      </c>
      <c r="AA382" s="65" t="str">
        <f aca="false">IF(ISBLANK($C382),"",IF($Z382&lt;&gt;Constants!$B$7,$Z382,IF(OR(NOT(T382),AND(NOT(Q382),COUNTIFS(U382:W382,Constants!$B$18,V382:X382,"&gt;=0")&gt;0),AND(NOT(R382),COUNTIFS(U382:W382,Constants!$B$19,V382:X382,"&gt;=0")&gt;0)),Constants!$B$12,Constants!$B$11)))</f>
        <v/>
      </c>
      <c r="AB382" s="65" t="str">
        <f aca="false">IF($Z382=Constants!$B$7,IF(V382="",Constants!$B$13,V382),"")</f>
        <v/>
      </c>
      <c r="AC382" s="65" t="str">
        <f aca="false">IF($Z382=Constants!$B$7,IF(X382="",Constants!$B$13,X382),"")</f>
        <v/>
      </c>
      <c r="AD382" s="65" t="str">
        <f aca="false">IF($Z382=Constants!$B$7,IF($AB382&gt;=$AC382,1,2),"")</f>
        <v/>
      </c>
      <c r="AE382" s="65" t="str">
        <f aca="false">IF($Z382=Constants!$B$7,LARGE(AB382:AC382,1),"")</f>
        <v/>
      </c>
      <c r="AF382" s="65" t="str">
        <f aca="false">IF(ISBLANK($C382),"",IF($Z382&lt;&gt;Constants!$B$7,$Z382,AE382*S382))</f>
        <v/>
      </c>
      <c r="AG382" s="65" t="str">
        <f aca="false">IF(ISBLANK($C382),"",IF($Z382=Constants!$B$7,IF(ISNUMBER(AF382),RANK(AF382,$AF$8:$AF$507),Constants!$B$14),$Z382))</f>
        <v/>
      </c>
      <c r="AH382" s="65" t="str">
        <f aca="false">IF(ISBLANK($C382),"",IF($Z382=Constants!$B$7,IF(ISNUMBER(AG382),COUNTIFS($AA$8:$AA$507,"&lt;"&amp;$AA382)+COUNTIFS($AA$8:$AA$507,$AA382,$AG$8:$AG$507,"&lt;"&amp;$AG382)+1,Constants!$B$14),$Z382))</f>
        <v/>
      </c>
      <c r="AI382" s="65" t="str">
        <f aca="false">IF(ISBLANK($C382),"",IF($Z382=Constants!$B$7,LARGE(AB382:AC382,2)*S382,""))</f>
        <v/>
      </c>
      <c r="AJ382" s="65" t="str">
        <f aca="false">IF(ISBLANK($C382),"",IF($Z382=Constants!$B$7,RANK(AI382,$AI$8:$AI$507),$Z382))</f>
        <v/>
      </c>
      <c r="AK382" s="65" t="str">
        <f aca="false">IF(ISBLANK($C382),"",IF($Z382=Constants!$B$7,IF(ISNUMBER(AG382),COUNTIFS($AA$8:$AA$507,"&lt;"&amp;$AA382)+COUNTIFS($AA$8:$AA$507,$AA382,$AG$8:$AG$507,"&lt;"&amp;$AG382)+COUNTIFS($AA$8:$AA$507,$AA382,$AG$8:$AG$507,$AG382,$AJ$8:$AJ$507,"&lt;"&amp;$AJ382)+1,Constants!$B$14),$Z382))</f>
        <v/>
      </c>
      <c r="AL382" s="65" t="str">
        <f aca="false">IF(ISBLANK($C382),"",IF($Z382=Constants!$B$7,IF(ISNUMBER(AH382),AH382-AK382,Constants!$B$14),$Z382))</f>
        <v/>
      </c>
      <c r="AM382" s="67"/>
      <c r="AN382" s="68" t="str">
        <f aca="false">IF(ISBLANK($C382),"",IF($Z382&lt;&gt;Constants!$B$7,$Z382,AD382))</f>
        <v/>
      </c>
      <c r="AO382" s="69" t="str">
        <f aca="false">IF(ISBLANK($C382),"",IF($Z382&lt;&gt;Constants!$B$7,$Z382,S382))</f>
        <v/>
      </c>
      <c r="AP382" s="70" t="str">
        <f aca="false">IF(ISBLANK($C382),"",IF($Z382&lt;&gt;Constants!$B$7,$Z382,AF382))</f>
        <v/>
      </c>
      <c r="AQ382" s="71" t="str">
        <f aca="false">IF(ISBLANK($C382),"",IF($Z382&lt;&gt;Constants!$B$7,$Z382,AA382))</f>
        <v/>
      </c>
      <c r="AR382" s="69" t="str">
        <f aca="false">IF(ISBLANK($C382),"",AL382)</f>
        <v/>
      </c>
      <c r="AS382" s="69" t="str">
        <f aca="false">IF(ISBLANK($C382),"",AK382)</f>
        <v/>
      </c>
      <c r="AT382" s="72" t="str">
        <f aca="false">IF(ISBLANK($C382),"",IF(AS382=Constants!$B$4,COUNTA($C$8:$C$507)+2,IF(AS382=Constants!$B$5,COUNTA($C$8:$C$507)+1,IF(AS382=Constants!$B$6,COUNTA($C$8:$C$507),AS382))))</f>
        <v/>
      </c>
      <c r="AU382" s="5"/>
      <c r="AV382" s="73" t="n">
        <f aca="false">IF(OR(ISNUMBER(AS382),AS382=Constants!$B$4,AS382=Constants!$B$6,AS382=Constants!$B$5),1,0)</f>
        <v>0</v>
      </c>
      <c r="AW382" s="73" t="n">
        <v>375</v>
      </c>
      <c r="AX382" s="73" t="str">
        <f aca="false">IF(ISBLANK($C382),"",IF(ISNUMBER(AT382),AT382+ROW($B382)/1000,""))</f>
        <v/>
      </c>
      <c r="AY382" s="73" t="str">
        <f aca="false">IF(ISNUMBER(AX382),RANK(AX382,$AX$8:$AX$507,1),"")</f>
        <v/>
      </c>
      <c r="AZ382" s="73" t="str">
        <f aca="false">IF(ISBLANK($C382),"",$B382)</f>
        <v/>
      </c>
      <c r="BA382" s="73" t="str">
        <f aca="false">IF(ISBLANK($C382),"",$C382)</f>
        <v/>
      </c>
      <c r="BB382" s="73" t="str">
        <f aca="false">IF(ISBLANK($C382),"",$D382)</f>
        <v/>
      </c>
      <c r="BC382" s="74" t="str">
        <f aca="false">AQ382</f>
        <v/>
      </c>
      <c r="BD382" s="75" t="str">
        <f aca="false">AP382</f>
        <v/>
      </c>
      <c r="BE382" s="73" t="str">
        <f aca="false">IF(ISBLANK($C382),"",AS382)</f>
        <v/>
      </c>
      <c r="BF382" s="76" t="str">
        <f aca="false">IF($AW382&gt;$AV$7,"",VLOOKUP($AW382,$AY$8:$BE$507,7,FALSE()))</f>
        <v/>
      </c>
      <c r="BG382" s="77" t="str">
        <f aca="false">IF($AW382&gt;$AV$7,"",VLOOKUP($AW382,$AY$8:$BE$507,2,FALSE()))</f>
        <v/>
      </c>
      <c r="BH382" s="77" t="str">
        <f aca="false">IF($AW382&gt;$AV$7,"",VLOOKUP($AW382,$AY$8:$BE$507,3,FALSE()))</f>
        <v/>
      </c>
      <c r="BI382" s="77" t="str">
        <f aca="false">IF($AW382&gt;$AV$7,"",VLOOKUP($AW382,$AY$8:$BE$507,4,FALSE()))</f>
        <v/>
      </c>
      <c r="BJ382" s="77" t="str">
        <f aca="false">IF($AW382&gt;$AV$7,"",VLOOKUP($AW382,$AY$8:$BE$507,5,FALSE()))</f>
        <v/>
      </c>
      <c r="BK382" s="78" t="str">
        <f aca="false">IF($AW382&gt;$AV$7,"",VLOOKUP($AW382,$AY$8:$BE$507,6,FALSE()))</f>
        <v/>
      </c>
      <c r="BL382" s="50"/>
    </row>
    <row r="383" customFormat="false" ht="15.75" hidden="false" customHeight="false" outlineLevel="0" collapsed="false">
      <c r="A383" s="5"/>
      <c r="B383" s="124"/>
      <c r="C383" s="125"/>
      <c r="D383" s="110"/>
      <c r="E383" s="130"/>
      <c r="F383" s="135"/>
      <c r="G383" s="88"/>
      <c r="H383" s="136"/>
      <c r="I383" s="137"/>
      <c r="J383" s="91"/>
      <c r="K383" s="92"/>
      <c r="L383" s="137"/>
      <c r="M383" s="93"/>
      <c r="N383" s="94"/>
      <c r="O383" s="130"/>
      <c r="P383" s="96"/>
      <c r="Q383" s="97" t="str">
        <f aca="false">IF(ISBLANK($C383),"",IF(E383=Constants!$B$2, TRUE(), IF(E383=Constants!$B$3, FALSE(), TRUE())))</f>
        <v/>
      </c>
      <c r="R383" s="97" t="str">
        <f aca="false">IF(ISBLANK($C383),"",IF(F383=Constants!$B$2, TRUE(), IF(F383=Constants!$B$3, FALSE(), TRUE())))</f>
        <v/>
      </c>
      <c r="S383" s="97" t="str">
        <f aca="false">IF(ISBLANK($C383),"",IF(G383=Constants!$B$15,Constants!$B$8,IF(G383=Constants!$B$16,Constants!$B$9,Constants!$B$10)))</f>
        <v/>
      </c>
      <c r="T383" s="97" t="str">
        <f aca="false">IF(ISBLANK($C383),"",IF(H383=Constants!$B$2, TRUE(), IF(H383=Constants!$B$3, FALSE(), TRUE())))</f>
        <v/>
      </c>
      <c r="U383" s="97" t="str">
        <f aca="false">IF(ISBLANK($C383),"",IF(I383=Constants!$B$19,Constants!$B$19,Constants!$B$18))</f>
        <v/>
      </c>
      <c r="V383" s="97" t="str">
        <f aca="false">IF(ISBLANK($C383),"",IF(COUNTA(J383:K383)=0,"",IF(AND(OR(ISBLANK(J383),AND(ISNUMBER(J383),J383&gt;=0)),OR(ISBLANK(K383),AND(ISNUMBER(K383),K383&gt;=0))),60*IF(ISBLANK(J383),0,J383)+IF(ISBLANK(K383),0,K383),"")))</f>
        <v/>
      </c>
      <c r="W383" s="97" t="str">
        <f aca="false">IF(ISBLANK($C383),"",IF(L383=Constants!$B$19,Constants!$B$19,Constants!$B$18))</f>
        <v/>
      </c>
      <c r="X383" s="97" t="str">
        <f aca="false">IF(ISBLANK($C383),"",IF(COUNTA(M383:N383)=0,"",IF(AND(OR(ISBLANK(M383),AND(ISNUMBER(M383),M383&gt;=0)),OR(ISBLANK(N383),AND(ISNUMBER(N383),N383&gt;=0))),60*IF(ISBLANK(M383),0,M383)+IF(ISBLANK(N383),0,N383),"")))</f>
        <v/>
      </c>
      <c r="Y383" s="97" t="str">
        <f aca="false">IF(ISBLANK($C383),"",IF(O383=Constants!$B$2, TRUE(), IF(O383=Constants!$B$3, FALSE(), FALSE())))</f>
        <v/>
      </c>
      <c r="Z383" s="97" t="str">
        <f aca="false">IF(ISBLANK($C383),"",IF(Y383,Constants!$B$4,IF(COUNTA(E383:N383)=0,Constants!$B$5,IF(COUNTA(J383:K383,M383:N383)=0,Constants!$B$6,Constants!$B$7))))</f>
        <v/>
      </c>
      <c r="AA383" s="97" t="str">
        <f aca="false">IF(ISBLANK($C383),"",IF($Z383&lt;&gt;Constants!$B$7,$Z383,IF(OR(NOT(T383),AND(NOT(Q383),COUNTIFS(U383:W383,Constants!$B$18,V383:X383,"&gt;=0")&gt;0),AND(NOT(R383),COUNTIFS(U383:W383,Constants!$B$19,V383:X383,"&gt;=0")&gt;0)),Constants!$B$12,Constants!$B$11)))</f>
        <v/>
      </c>
      <c r="AB383" s="97" t="str">
        <f aca="false">IF($Z383=Constants!$B$7,IF(V383="",Constants!$B$13,V383),"")</f>
        <v/>
      </c>
      <c r="AC383" s="97" t="str">
        <f aca="false">IF($Z383=Constants!$B$7,IF(X383="",Constants!$B$13,X383),"")</f>
        <v/>
      </c>
      <c r="AD383" s="97" t="str">
        <f aca="false">IF($Z383=Constants!$B$7,IF($AB383&gt;=$AC383,1,2),"")</f>
        <v/>
      </c>
      <c r="AE383" s="97" t="str">
        <f aca="false">IF($Z383=Constants!$B$7,LARGE(AB383:AC383,1),"")</f>
        <v/>
      </c>
      <c r="AF383" s="97" t="str">
        <f aca="false">IF(ISBLANK($C383),"",IF($Z383&lt;&gt;Constants!$B$7,$Z383,AE383*S383))</f>
        <v/>
      </c>
      <c r="AG383" s="97" t="str">
        <f aca="false">IF(ISBLANK($C383),"",IF($Z383=Constants!$B$7,IF(ISNUMBER(AF383),RANK(AF383,$AF$8:$AF$507),Constants!$B$14),$Z383))</f>
        <v/>
      </c>
      <c r="AH383" s="97" t="str">
        <f aca="false">IF(ISBLANK($C383),"",IF($Z383=Constants!$B$7,IF(ISNUMBER(AG383),COUNTIFS($AA$8:$AA$507,"&lt;"&amp;$AA383)+COUNTIFS($AA$8:$AA$507,$AA383,$AG$8:$AG$507,"&lt;"&amp;$AG383)+1,Constants!$B$14),$Z383))</f>
        <v/>
      </c>
      <c r="AI383" s="97" t="str">
        <f aca="false">IF(ISBLANK($C383),"",IF($Z383=Constants!$B$7,LARGE(AB383:AC383,2)*S383,""))</f>
        <v/>
      </c>
      <c r="AJ383" s="97" t="str">
        <f aca="false">IF(ISBLANK($C383),"",IF($Z383=Constants!$B$7,RANK(AI383,$AI$8:$AI$507),$Z383))</f>
        <v/>
      </c>
      <c r="AK383" s="97" t="str">
        <f aca="false">IF(ISBLANK($C383),"",IF($Z383=Constants!$B$7,IF(ISNUMBER(AG383),COUNTIFS($AA$8:$AA$507,"&lt;"&amp;$AA383)+COUNTIFS($AA$8:$AA$507,$AA383,$AG$8:$AG$507,"&lt;"&amp;$AG383)+COUNTIFS($AA$8:$AA$507,$AA383,$AG$8:$AG$507,$AG383,$AJ$8:$AJ$507,"&lt;"&amp;$AJ383)+1,Constants!$B$14),$Z383))</f>
        <v/>
      </c>
      <c r="AL383" s="97" t="str">
        <f aca="false">IF(ISBLANK($C383),"",IF($Z383=Constants!$B$7,IF(ISNUMBER(AH383),AH383-AK383,Constants!$B$14),$Z383))</f>
        <v/>
      </c>
      <c r="AM383" s="98"/>
      <c r="AN383" s="99" t="str">
        <f aca="false">IF(ISBLANK($C383),"",IF($Z383&lt;&gt;Constants!$B$7,$Z383,AD383))</f>
        <v/>
      </c>
      <c r="AO383" s="100" t="str">
        <f aca="false">IF(ISBLANK($C383),"",IF($Z383&lt;&gt;Constants!$B$7,$Z383,S383))</f>
        <v/>
      </c>
      <c r="AP383" s="101" t="str">
        <f aca="false">IF(ISBLANK($C383),"",IF($Z383&lt;&gt;Constants!$B$7,$Z383,AF383))</f>
        <v/>
      </c>
      <c r="AQ383" s="102" t="str">
        <f aca="false">IF(ISBLANK($C383),"",IF($Z383&lt;&gt;Constants!$B$7,$Z383,AA383))</f>
        <v/>
      </c>
      <c r="AR383" s="100" t="str">
        <f aca="false">IF(ISBLANK($C383),"",AL383)</f>
        <v/>
      </c>
      <c r="AS383" s="100" t="str">
        <f aca="false">IF(ISBLANK($C383),"",AK383)</f>
        <v/>
      </c>
      <c r="AT383" s="103" t="str">
        <f aca="false">IF(ISBLANK($C383),"",IF(AS383=Constants!$B$4,COUNTA($C$8:$C$507)+2,IF(AS383=Constants!$B$5,COUNTA($C$8:$C$507)+1,IF(AS383=Constants!$B$6,COUNTA($C$8:$C$507),AS383))))</f>
        <v/>
      </c>
      <c r="AU383" s="5"/>
      <c r="AV383" s="104" t="n">
        <f aca="false">IF(OR(ISNUMBER(AS383),AS383=Constants!$B$4,AS383=Constants!$B$6,AS383=Constants!$B$5),1,0)</f>
        <v>0</v>
      </c>
      <c r="AW383" s="104" t="n">
        <v>376</v>
      </c>
      <c r="AX383" s="104" t="str">
        <f aca="false">IF(ISBLANK($C383),"",IF(ISNUMBER(AT383),AT383+ROW($B383)/1000,""))</f>
        <v/>
      </c>
      <c r="AY383" s="104" t="str">
        <f aca="false">IF(ISNUMBER(AX383),RANK(AX383,$AX$8:$AX$507,1),"")</f>
        <v/>
      </c>
      <c r="AZ383" s="104" t="str">
        <f aca="false">IF(ISBLANK($C383),"",$B383)</f>
        <v/>
      </c>
      <c r="BA383" s="104" t="str">
        <f aca="false">IF(ISBLANK($C383),"",$C383)</f>
        <v/>
      </c>
      <c r="BB383" s="104" t="str">
        <f aca="false">IF(ISBLANK($C383),"",$D383)</f>
        <v/>
      </c>
      <c r="BC383" s="105" t="str">
        <f aca="false">AQ383</f>
        <v/>
      </c>
      <c r="BD383" s="106" t="str">
        <f aca="false">AP383</f>
        <v/>
      </c>
      <c r="BE383" s="104" t="str">
        <f aca="false">IF(ISBLANK($C383),"",AS383)</f>
        <v/>
      </c>
      <c r="BF383" s="107" t="str">
        <f aca="false">IF($AW383&gt;$AV$7,"",VLOOKUP($AW383,$AY$8:$BE$507,7,FALSE()))</f>
        <v/>
      </c>
      <c r="BG383" s="108" t="str">
        <f aca="false">IF($AW383&gt;$AV$7,"",VLOOKUP($AW383,$AY$8:$BE$507,2,FALSE()))</f>
        <v/>
      </c>
      <c r="BH383" s="108" t="str">
        <f aca="false">IF($AW383&gt;$AV$7,"",VLOOKUP($AW383,$AY$8:$BE$507,3,FALSE()))</f>
        <v/>
      </c>
      <c r="BI383" s="108" t="str">
        <f aca="false">IF($AW383&gt;$AV$7,"",VLOOKUP($AW383,$AY$8:$BE$507,4,FALSE()))</f>
        <v/>
      </c>
      <c r="BJ383" s="108" t="str">
        <f aca="false">IF($AW383&gt;$AV$7,"",VLOOKUP($AW383,$AY$8:$BE$507,5,FALSE()))</f>
        <v/>
      </c>
      <c r="BK383" s="109" t="str">
        <f aca="false">IF($AW383&gt;$AV$7,"",VLOOKUP($AW383,$AY$8:$BE$507,6,FALSE()))</f>
        <v/>
      </c>
      <c r="BL383" s="50"/>
    </row>
    <row r="384" customFormat="false" ht="15.75" hidden="false" customHeight="false" outlineLevel="0" collapsed="false">
      <c r="A384" s="5"/>
      <c r="B384" s="124"/>
      <c r="C384" s="125"/>
      <c r="D384" s="110"/>
      <c r="E384" s="130"/>
      <c r="F384" s="135"/>
      <c r="G384" s="88"/>
      <c r="H384" s="136"/>
      <c r="I384" s="137"/>
      <c r="J384" s="91"/>
      <c r="K384" s="92"/>
      <c r="L384" s="137"/>
      <c r="M384" s="93"/>
      <c r="N384" s="94"/>
      <c r="O384" s="130"/>
      <c r="P384" s="96"/>
      <c r="Q384" s="97" t="str">
        <f aca="false">IF(ISBLANK($C384),"",IF(E384=Constants!$B$2, TRUE(), IF(E384=Constants!$B$3, FALSE(), TRUE())))</f>
        <v/>
      </c>
      <c r="R384" s="97" t="str">
        <f aca="false">IF(ISBLANK($C384),"",IF(F384=Constants!$B$2, TRUE(), IF(F384=Constants!$B$3, FALSE(), TRUE())))</f>
        <v/>
      </c>
      <c r="S384" s="97" t="str">
        <f aca="false">IF(ISBLANK($C384),"",IF(G384=Constants!$B$15,Constants!$B$8,IF(G384=Constants!$B$16,Constants!$B$9,Constants!$B$10)))</f>
        <v/>
      </c>
      <c r="T384" s="97" t="str">
        <f aca="false">IF(ISBLANK($C384),"",IF(H384=Constants!$B$2, TRUE(), IF(H384=Constants!$B$3, FALSE(), TRUE())))</f>
        <v/>
      </c>
      <c r="U384" s="97" t="str">
        <f aca="false">IF(ISBLANK($C384),"",IF(I384=Constants!$B$19,Constants!$B$19,Constants!$B$18))</f>
        <v/>
      </c>
      <c r="V384" s="97" t="str">
        <f aca="false">IF(ISBLANK($C384),"",IF(COUNTA(J384:K384)=0,"",IF(AND(OR(ISBLANK(J384),AND(ISNUMBER(J384),J384&gt;=0)),OR(ISBLANK(K384),AND(ISNUMBER(K384),K384&gt;=0))),60*IF(ISBLANK(J384),0,J384)+IF(ISBLANK(K384),0,K384),"")))</f>
        <v/>
      </c>
      <c r="W384" s="97" t="str">
        <f aca="false">IF(ISBLANK($C384),"",IF(L384=Constants!$B$19,Constants!$B$19,Constants!$B$18))</f>
        <v/>
      </c>
      <c r="X384" s="97" t="str">
        <f aca="false">IF(ISBLANK($C384),"",IF(COUNTA(M384:N384)=0,"",IF(AND(OR(ISBLANK(M384),AND(ISNUMBER(M384),M384&gt;=0)),OR(ISBLANK(N384),AND(ISNUMBER(N384),N384&gt;=0))),60*IF(ISBLANK(M384),0,M384)+IF(ISBLANK(N384),0,N384),"")))</f>
        <v/>
      </c>
      <c r="Y384" s="97" t="str">
        <f aca="false">IF(ISBLANK($C384),"",IF(O384=Constants!$B$2, TRUE(), IF(O384=Constants!$B$3, FALSE(), FALSE())))</f>
        <v/>
      </c>
      <c r="Z384" s="97" t="str">
        <f aca="false">IF(ISBLANK($C384),"",IF(Y384,Constants!$B$4,IF(COUNTA(E384:N384)=0,Constants!$B$5,IF(COUNTA(J384:K384,M384:N384)=0,Constants!$B$6,Constants!$B$7))))</f>
        <v/>
      </c>
      <c r="AA384" s="97" t="str">
        <f aca="false">IF(ISBLANK($C384),"",IF($Z384&lt;&gt;Constants!$B$7,$Z384,IF(OR(NOT(T384),AND(NOT(Q384),COUNTIFS(U384:W384,Constants!$B$18,V384:X384,"&gt;=0")&gt;0),AND(NOT(R384),COUNTIFS(U384:W384,Constants!$B$19,V384:X384,"&gt;=0")&gt;0)),Constants!$B$12,Constants!$B$11)))</f>
        <v/>
      </c>
      <c r="AB384" s="97" t="str">
        <f aca="false">IF($Z384=Constants!$B$7,IF(V384="",Constants!$B$13,V384),"")</f>
        <v/>
      </c>
      <c r="AC384" s="97" t="str">
        <f aca="false">IF($Z384=Constants!$B$7,IF(X384="",Constants!$B$13,X384),"")</f>
        <v/>
      </c>
      <c r="AD384" s="97" t="str">
        <f aca="false">IF($Z384=Constants!$B$7,IF($AB384&gt;=$AC384,1,2),"")</f>
        <v/>
      </c>
      <c r="AE384" s="97" t="str">
        <f aca="false">IF($Z384=Constants!$B$7,LARGE(AB384:AC384,1),"")</f>
        <v/>
      </c>
      <c r="AF384" s="97" t="str">
        <f aca="false">IF(ISBLANK($C384),"",IF($Z384&lt;&gt;Constants!$B$7,$Z384,AE384*S384))</f>
        <v/>
      </c>
      <c r="AG384" s="97" t="str">
        <f aca="false">IF(ISBLANK($C384),"",IF($Z384=Constants!$B$7,IF(ISNUMBER(AF384),RANK(AF384,$AF$8:$AF$507),Constants!$B$14),$Z384))</f>
        <v/>
      </c>
      <c r="AH384" s="97" t="str">
        <f aca="false">IF(ISBLANK($C384),"",IF($Z384=Constants!$B$7,IF(ISNUMBER(AG384),COUNTIFS($AA$8:$AA$507,"&lt;"&amp;$AA384)+COUNTIFS($AA$8:$AA$507,$AA384,$AG$8:$AG$507,"&lt;"&amp;$AG384)+1,Constants!$B$14),$Z384))</f>
        <v/>
      </c>
      <c r="AI384" s="97" t="str">
        <f aca="false">IF(ISBLANK($C384),"",IF($Z384=Constants!$B$7,LARGE(AB384:AC384,2)*S384,""))</f>
        <v/>
      </c>
      <c r="AJ384" s="97" t="str">
        <f aca="false">IF(ISBLANK($C384),"",IF($Z384=Constants!$B$7,RANK(AI384,$AI$8:$AI$507),$Z384))</f>
        <v/>
      </c>
      <c r="AK384" s="97" t="str">
        <f aca="false">IF(ISBLANK($C384),"",IF($Z384=Constants!$B$7,IF(ISNUMBER(AG384),COUNTIFS($AA$8:$AA$507,"&lt;"&amp;$AA384)+COUNTIFS($AA$8:$AA$507,$AA384,$AG$8:$AG$507,"&lt;"&amp;$AG384)+COUNTIFS($AA$8:$AA$507,$AA384,$AG$8:$AG$507,$AG384,$AJ$8:$AJ$507,"&lt;"&amp;$AJ384)+1,Constants!$B$14),$Z384))</f>
        <v/>
      </c>
      <c r="AL384" s="97" t="str">
        <f aca="false">IF(ISBLANK($C384),"",IF($Z384=Constants!$B$7,IF(ISNUMBER(AH384),AH384-AK384,Constants!$B$14),$Z384))</f>
        <v/>
      </c>
      <c r="AM384" s="98"/>
      <c r="AN384" s="99" t="str">
        <f aca="false">IF(ISBLANK($C384),"",IF($Z384&lt;&gt;Constants!$B$7,$Z384,AD384))</f>
        <v/>
      </c>
      <c r="AO384" s="100" t="str">
        <f aca="false">IF(ISBLANK($C384),"",IF($Z384&lt;&gt;Constants!$B$7,$Z384,S384))</f>
        <v/>
      </c>
      <c r="AP384" s="101" t="str">
        <f aca="false">IF(ISBLANK($C384),"",IF($Z384&lt;&gt;Constants!$B$7,$Z384,AF384))</f>
        <v/>
      </c>
      <c r="AQ384" s="102" t="str">
        <f aca="false">IF(ISBLANK($C384),"",IF($Z384&lt;&gt;Constants!$B$7,$Z384,AA384))</f>
        <v/>
      </c>
      <c r="AR384" s="100" t="str">
        <f aca="false">IF(ISBLANK($C384),"",AL384)</f>
        <v/>
      </c>
      <c r="AS384" s="100" t="str">
        <f aca="false">IF(ISBLANK($C384),"",AK384)</f>
        <v/>
      </c>
      <c r="AT384" s="103" t="str">
        <f aca="false">IF(ISBLANK($C384),"",IF(AS384=Constants!$B$4,COUNTA($C$8:$C$507)+2,IF(AS384=Constants!$B$5,COUNTA($C$8:$C$507)+1,IF(AS384=Constants!$B$6,COUNTA($C$8:$C$507),AS384))))</f>
        <v/>
      </c>
      <c r="AU384" s="5"/>
      <c r="AV384" s="104" t="n">
        <f aca="false">IF(OR(ISNUMBER(AS384),AS384=Constants!$B$4,AS384=Constants!$B$6,AS384=Constants!$B$5),1,0)</f>
        <v>0</v>
      </c>
      <c r="AW384" s="104" t="n">
        <v>377</v>
      </c>
      <c r="AX384" s="104" t="str">
        <f aca="false">IF(ISBLANK($C384),"",IF(ISNUMBER(AT384),AT384+ROW($B384)/1000,""))</f>
        <v/>
      </c>
      <c r="AY384" s="104" t="str">
        <f aca="false">IF(ISNUMBER(AX384),RANK(AX384,$AX$8:$AX$507,1),"")</f>
        <v/>
      </c>
      <c r="AZ384" s="104" t="str">
        <f aca="false">IF(ISBLANK($C384),"",$B384)</f>
        <v/>
      </c>
      <c r="BA384" s="104" t="str">
        <f aca="false">IF(ISBLANK($C384),"",$C384)</f>
        <v/>
      </c>
      <c r="BB384" s="104" t="str">
        <f aca="false">IF(ISBLANK($C384),"",$D384)</f>
        <v/>
      </c>
      <c r="BC384" s="105" t="str">
        <f aca="false">AQ384</f>
        <v/>
      </c>
      <c r="BD384" s="106" t="str">
        <f aca="false">AP384</f>
        <v/>
      </c>
      <c r="BE384" s="104" t="str">
        <f aca="false">IF(ISBLANK($C384),"",AS384)</f>
        <v/>
      </c>
      <c r="BF384" s="107" t="str">
        <f aca="false">IF($AW384&gt;$AV$7,"",VLOOKUP($AW384,$AY$8:$BE$507,7,FALSE()))</f>
        <v/>
      </c>
      <c r="BG384" s="108" t="str">
        <f aca="false">IF($AW384&gt;$AV$7,"",VLOOKUP($AW384,$AY$8:$BE$507,2,FALSE()))</f>
        <v/>
      </c>
      <c r="BH384" s="108" t="str">
        <f aca="false">IF($AW384&gt;$AV$7,"",VLOOKUP($AW384,$AY$8:$BE$507,3,FALSE()))</f>
        <v/>
      </c>
      <c r="BI384" s="108" t="str">
        <f aca="false">IF($AW384&gt;$AV$7,"",VLOOKUP($AW384,$AY$8:$BE$507,4,FALSE()))</f>
        <v/>
      </c>
      <c r="BJ384" s="108" t="str">
        <f aca="false">IF($AW384&gt;$AV$7,"",VLOOKUP($AW384,$AY$8:$BE$507,5,FALSE()))</f>
        <v/>
      </c>
      <c r="BK384" s="109" t="str">
        <f aca="false">IF($AW384&gt;$AV$7,"",VLOOKUP($AW384,$AY$8:$BE$507,6,FALSE()))</f>
        <v/>
      </c>
      <c r="BL384" s="50"/>
    </row>
    <row r="385" customFormat="false" ht="15.75" hidden="false" customHeight="false" outlineLevel="0" collapsed="false">
      <c r="A385" s="5"/>
      <c r="B385" s="124"/>
      <c r="C385" s="125"/>
      <c r="D385" s="110"/>
      <c r="E385" s="130"/>
      <c r="F385" s="135"/>
      <c r="G385" s="88"/>
      <c r="H385" s="136"/>
      <c r="I385" s="137"/>
      <c r="J385" s="91"/>
      <c r="K385" s="92"/>
      <c r="L385" s="137"/>
      <c r="M385" s="93"/>
      <c r="N385" s="94"/>
      <c r="O385" s="130"/>
      <c r="P385" s="96"/>
      <c r="Q385" s="97" t="str">
        <f aca="false">IF(ISBLANK($C385),"",IF(E385=Constants!$B$2, TRUE(), IF(E385=Constants!$B$3, FALSE(), TRUE())))</f>
        <v/>
      </c>
      <c r="R385" s="97" t="str">
        <f aca="false">IF(ISBLANK($C385),"",IF(F385=Constants!$B$2, TRUE(), IF(F385=Constants!$B$3, FALSE(), TRUE())))</f>
        <v/>
      </c>
      <c r="S385" s="97" t="str">
        <f aca="false">IF(ISBLANK($C385),"",IF(G385=Constants!$B$15,Constants!$B$8,IF(G385=Constants!$B$16,Constants!$B$9,Constants!$B$10)))</f>
        <v/>
      </c>
      <c r="T385" s="97" t="str">
        <f aca="false">IF(ISBLANK($C385),"",IF(H385=Constants!$B$2, TRUE(), IF(H385=Constants!$B$3, FALSE(), TRUE())))</f>
        <v/>
      </c>
      <c r="U385" s="97" t="str">
        <f aca="false">IF(ISBLANK($C385),"",IF(I385=Constants!$B$19,Constants!$B$19,Constants!$B$18))</f>
        <v/>
      </c>
      <c r="V385" s="97" t="str">
        <f aca="false">IF(ISBLANK($C385),"",IF(COUNTA(J385:K385)=0,"",IF(AND(OR(ISBLANK(J385),AND(ISNUMBER(J385),J385&gt;=0)),OR(ISBLANK(K385),AND(ISNUMBER(K385),K385&gt;=0))),60*IF(ISBLANK(J385),0,J385)+IF(ISBLANK(K385),0,K385),"")))</f>
        <v/>
      </c>
      <c r="W385" s="97" t="str">
        <f aca="false">IF(ISBLANK($C385),"",IF(L385=Constants!$B$19,Constants!$B$19,Constants!$B$18))</f>
        <v/>
      </c>
      <c r="X385" s="97" t="str">
        <f aca="false">IF(ISBLANK($C385),"",IF(COUNTA(M385:N385)=0,"",IF(AND(OR(ISBLANK(M385),AND(ISNUMBER(M385),M385&gt;=0)),OR(ISBLANK(N385),AND(ISNUMBER(N385),N385&gt;=0))),60*IF(ISBLANK(M385),0,M385)+IF(ISBLANK(N385),0,N385),"")))</f>
        <v/>
      </c>
      <c r="Y385" s="97" t="str">
        <f aca="false">IF(ISBLANK($C385),"",IF(O385=Constants!$B$2, TRUE(), IF(O385=Constants!$B$3, FALSE(), FALSE())))</f>
        <v/>
      </c>
      <c r="Z385" s="97" t="str">
        <f aca="false">IF(ISBLANK($C385),"",IF(Y385,Constants!$B$4,IF(COUNTA(E385:N385)=0,Constants!$B$5,IF(COUNTA(J385:K385,M385:N385)=0,Constants!$B$6,Constants!$B$7))))</f>
        <v/>
      </c>
      <c r="AA385" s="97" t="str">
        <f aca="false">IF(ISBLANK($C385),"",IF($Z385&lt;&gt;Constants!$B$7,$Z385,IF(OR(NOT(T385),AND(NOT(Q385),COUNTIFS(U385:W385,Constants!$B$18,V385:X385,"&gt;=0")&gt;0),AND(NOT(R385),COUNTIFS(U385:W385,Constants!$B$19,V385:X385,"&gt;=0")&gt;0)),Constants!$B$12,Constants!$B$11)))</f>
        <v/>
      </c>
      <c r="AB385" s="97" t="str">
        <f aca="false">IF($Z385=Constants!$B$7,IF(V385="",Constants!$B$13,V385),"")</f>
        <v/>
      </c>
      <c r="AC385" s="97" t="str">
        <f aca="false">IF($Z385=Constants!$B$7,IF(X385="",Constants!$B$13,X385),"")</f>
        <v/>
      </c>
      <c r="AD385" s="97" t="str">
        <f aca="false">IF($Z385=Constants!$B$7,IF($AB385&gt;=$AC385,1,2),"")</f>
        <v/>
      </c>
      <c r="AE385" s="97" t="str">
        <f aca="false">IF($Z385=Constants!$B$7,LARGE(AB385:AC385,1),"")</f>
        <v/>
      </c>
      <c r="AF385" s="97" t="str">
        <f aca="false">IF(ISBLANK($C385),"",IF($Z385&lt;&gt;Constants!$B$7,$Z385,AE385*S385))</f>
        <v/>
      </c>
      <c r="AG385" s="97" t="str">
        <f aca="false">IF(ISBLANK($C385),"",IF($Z385=Constants!$B$7,IF(ISNUMBER(AF385),RANK(AF385,$AF$8:$AF$507),Constants!$B$14),$Z385))</f>
        <v/>
      </c>
      <c r="AH385" s="97" t="str">
        <f aca="false">IF(ISBLANK($C385),"",IF($Z385=Constants!$B$7,IF(ISNUMBER(AG385),COUNTIFS($AA$8:$AA$507,"&lt;"&amp;$AA385)+COUNTIFS($AA$8:$AA$507,$AA385,$AG$8:$AG$507,"&lt;"&amp;$AG385)+1,Constants!$B$14),$Z385))</f>
        <v/>
      </c>
      <c r="AI385" s="97" t="str">
        <f aca="false">IF(ISBLANK($C385),"",IF($Z385=Constants!$B$7,LARGE(AB385:AC385,2)*S385,""))</f>
        <v/>
      </c>
      <c r="AJ385" s="97" t="str">
        <f aca="false">IF(ISBLANK($C385),"",IF($Z385=Constants!$B$7,RANK(AI385,$AI$8:$AI$507),$Z385))</f>
        <v/>
      </c>
      <c r="AK385" s="97" t="str">
        <f aca="false">IF(ISBLANK($C385),"",IF($Z385=Constants!$B$7,IF(ISNUMBER(AG385),COUNTIFS($AA$8:$AA$507,"&lt;"&amp;$AA385)+COUNTIFS($AA$8:$AA$507,$AA385,$AG$8:$AG$507,"&lt;"&amp;$AG385)+COUNTIFS($AA$8:$AA$507,$AA385,$AG$8:$AG$507,$AG385,$AJ$8:$AJ$507,"&lt;"&amp;$AJ385)+1,Constants!$B$14),$Z385))</f>
        <v/>
      </c>
      <c r="AL385" s="97" t="str">
        <f aca="false">IF(ISBLANK($C385),"",IF($Z385=Constants!$B$7,IF(ISNUMBER(AH385),AH385-AK385,Constants!$B$14),$Z385))</f>
        <v/>
      </c>
      <c r="AM385" s="98"/>
      <c r="AN385" s="99" t="str">
        <f aca="false">IF(ISBLANK($C385),"",IF($Z385&lt;&gt;Constants!$B$7,$Z385,AD385))</f>
        <v/>
      </c>
      <c r="AO385" s="100" t="str">
        <f aca="false">IF(ISBLANK($C385),"",IF($Z385&lt;&gt;Constants!$B$7,$Z385,S385))</f>
        <v/>
      </c>
      <c r="AP385" s="101" t="str">
        <f aca="false">IF(ISBLANK($C385),"",IF($Z385&lt;&gt;Constants!$B$7,$Z385,AF385))</f>
        <v/>
      </c>
      <c r="AQ385" s="102" t="str">
        <f aca="false">IF(ISBLANK($C385),"",IF($Z385&lt;&gt;Constants!$B$7,$Z385,AA385))</f>
        <v/>
      </c>
      <c r="AR385" s="100" t="str">
        <f aca="false">IF(ISBLANK($C385),"",AL385)</f>
        <v/>
      </c>
      <c r="AS385" s="100" t="str">
        <f aca="false">IF(ISBLANK($C385),"",AK385)</f>
        <v/>
      </c>
      <c r="AT385" s="103" t="str">
        <f aca="false">IF(ISBLANK($C385),"",IF(AS385=Constants!$B$4,COUNTA($C$8:$C$507)+2,IF(AS385=Constants!$B$5,COUNTA($C$8:$C$507)+1,IF(AS385=Constants!$B$6,COUNTA($C$8:$C$507),AS385))))</f>
        <v/>
      </c>
      <c r="AU385" s="5"/>
      <c r="AV385" s="104" t="n">
        <f aca="false">IF(OR(ISNUMBER(AS385),AS385=Constants!$B$4,AS385=Constants!$B$6,AS385=Constants!$B$5),1,0)</f>
        <v>0</v>
      </c>
      <c r="AW385" s="104" t="n">
        <v>378</v>
      </c>
      <c r="AX385" s="104" t="str">
        <f aca="false">IF(ISBLANK($C385),"",IF(ISNUMBER(AT385),AT385+ROW($B385)/1000,""))</f>
        <v/>
      </c>
      <c r="AY385" s="104" t="str">
        <f aca="false">IF(ISNUMBER(AX385),RANK(AX385,$AX$8:$AX$507,1),"")</f>
        <v/>
      </c>
      <c r="AZ385" s="104" t="str">
        <f aca="false">IF(ISBLANK($C385),"",$B385)</f>
        <v/>
      </c>
      <c r="BA385" s="104" t="str">
        <f aca="false">IF(ISBLANK($C385),"",$C385)</f>
        <v/>
      </c>
      <c r="BB385" s="104" t="str">
        <f aca="false">IF(ISBLANK($C385),"",$D385)</f>
        <v/>
      </c>
      <c r="BC385" s="105" t="str">
        <f aca="false">AQ385</f>
        <v/>
      </c>
      <c r="BD385" s="106" t="str">
        <f aca="false">AP385</f>
        <v/>
      </c>
      <c r="BE385" s="104" t="str">
        <f aca="false">IF(ISBLANK($C385),"",AS385)</f>
        <v/>
      </c>
      <c r="BF385" s="107" t="str">
        <f aca="false">IF($AW385&gt;$AV$7,"",VLOOKUP($AW385,$AY$8:$BE$507,7,FALSE()))</f>
        <v/>
      </c>
      <c r="BG385" s="108" t="str">
        <f aca="false">IF($AW385&gt;$AV$7,"",VLOOKUP($AW385,$AY$8:$BE$507,2,FALSE()))</f>
        <v/>
      </c>
      <c r="BH385" s="108" t="str">
        <f aca="false">IF($AW385&gt;$AV$7,"",VLOOKUP($AW385,$AY$8:$BE$507,3,FALSE()))</f>
        <v/>
      </c>
      <c r="BI385" s="108" t="str">
        <f aca="false">IF($AW385&gt;$AV$7,"",VLOOKUP($AW385,$AY$8:$BE$507,4,FALSE()))</f>
        <v/>
      </c>
      <c r="BJ385" s="108" t="str">
        <f aca="false">IF($AW385&gt;$AV$7,"",VLOOKUP($AW385,$AY$8:$BE$507,5,FALSE()))</f>
        <v/>
      </c>
      <c r="BK385" s="109" t="str">
        <f aca="false">IF($AW385&gt;$AV$7,"",VLOOKUP($AW385,$AY$8:$BE$507,6,FALSE()))</f>
        <v/>
      </c>
      <c r="BL385" s="50"/>
    </row>
    <row r="386" customFormat="false" ht="15.75" hidden="false" customHeight="false" outlineLevel="0" collapsed="false">
      <c r="A386" s="5"/>
      <c r="B386" s="131"/>
      <c r="C386" s="52"/>
      <c r="D386" s="53"/>
      <c r="E386" s="80"/>
      <c r="F386" s="132"/>
      <c r="G386" s="56"/>
      <c r="H386" s="133"/>
      <c r="I386" s="134"/>
      <c r="J386" s="59"/>
      <c r="K386" s="60"/>
      <c r="L386" s="134"/>
      <c r="M386" s="61"/>
      <c r="N386" s="62"/>
      <c r="O386" s="80"/>
      <c r="P386" s="64"/>
      <c r="Q386" s="65" t="str">
        <f aca="false">IF(ISBLANK($C386),"",IF(E386=Constants!$B$2, TRUE(), IF(E386=Constants!$B$3, FALSE(), TRUE())))</f>
        <v/>
      </c>
      <c r="R386" s="65" t="str">
        <f aca="false">IF(ISBLANK($C386),"",IF(F386=Constants!$B$2, TRUE(), IF(F386=Constants!$B$3, FALSE(), TRUE())))</f>
        <v/>
      </c>
      <c r="S386" s="65" t="str">
        <f aca="false">IF(ISBLANK($C386),"",IF(G386=Constants!$B$15,Constants!$B$8,IF(G386=Constants!$B$16,Constants!$B$9,Constants!$B$10)))</f>
        <v/>
      </c>
      <c r="T386" s="65" t="str">
        <f aca="false">IF(ISBLANK($C386),"",IF(H386=Constants!$B$2, TRUE(), IF(H386=Constants!$B$3, FALSE(), TRUE())))</f>
        <v/>
      </c>
      <c r="U386" s="65" t="str">
        <f aca="false">IF(ISBLANK($C386),"",IF(I386=Constants!$B$19,Constants!$B$19,Constants!$B$18))</f>
        <v/>
      </c>
      <c r="V386" s="65" t="str">
        <f aca="false">IF(ISBLANK($C386),"",IF(COUNTA(J386:K386)=0,"",IF(AND(OR(ISBLANK(J386),AND(ISNUMBER(J386),J386&gt;=0)),OR(ISBLANK(K386),AND(ISNUMBER(K386),K386&gt;=0))),60*IF(ISBLANK(J386),0,J386)+IF(ISBLANK(K386),0,K386),"")))</f>
        <v/>
      </c>
      <c r="W386" s="65" t="str">
        <f aca="false">IF(ISBLANK($C386),"",IF(L386=Constants!$B$19,Constants!$B$19,Constants!$B$18))</f>
        <v/>
      </c>
      <c r="X386" s="65" t="str">
        <f aca="false">IF(ISBLANK($C386),"",IF(COUNTA(M386:N386)=0,"",IF(AND(OR(ISBLANK(M386),AND(ISNUMBER(M386),M386&gt;=0)),OR(ISBLANK(N386),AND(ISNUMBER(N386),N386&gt;=0))),60*IF(ISBLANK(M386),0,M386)+IF(ISBLANK(N386),0,N386),"")))</f>
        <v/>
      </c>
      <c r="Y386" s="65" t="str">
        <f aca="false">IF(ISBLANK($C386),"",IF(O386=Constants!$B$2, TRUE(), IF(O386=Constants!$B$3, FALSE(), FALSE())))</f>
        <v/>
      </c>
      <c r="Z386" s="65" t="str">
        <f aca="false">IF(ISBLANK($C386),"",IF(Y386,Constants!$B$4,IF(COUNTA(E386:N386)=0,Constants!$B$5,IF(COUNTA(J386:K386,M386:N386)=0,Constants!$B$6,Constants!$B$7))))</f>
        <v/>
      </c>
      <c r="AA386" s="65" t="str">
        <f aca="false">IF(ISBLANK($C386),"",IF($Z386&lt;&gt;Constants!$B$7,$Z386,IF(OR(NOT(T386),AND(NOT(Q386),COUNTIFS(U386:W386,Constants!$B$18,V386:X386,"&gt;=0")&gt;0),AND(NOT(R386),COUNTIFS(U386:W386,Constants!$B$19,V386:X386,"&gt;=0")&gt;0)),Constants!$B$12,Constants!$B$11)))</f>
        <v/>
      </c>
      <c r="AB386" s="65" t="str">
        <f aca="false">IF($Z386=Constants!$B$7,IF(V386="",Constants!$B$13,V386),"")</f>
        <v/>
      </c>
      <c r="AC386" s="65" t="str">
        <f aca="false">IF($Z386=Constants!$B$7,IF(X386="",Constants!$B$13,X386),"")</f>
        <v/>
      </c>
      <c r="AD386" s="65" t="str">
        <f aca="false">IF($Z386=Constants!$B$7,IF($AB386&gt;=$AC386,1,2),"")</f>
        <v/>
      </c>
      <c r="AE386" s="65" t="str">
        <f aca="false">IF($Z386=Constants!$B$7,LARGE(AB386:AC386,1),"")</f>
        <v/>
      </c>
      <c r="AF386" s="65" t="str">
        <f aca="false">IF(ISBLANK($C386),"",IF($Z386&lt;&gt;Constants!$B$7,$Z386,AE386*S386))</f>
        <v/>
      </c>
      <c r="AG386" s="65" t="str">
        <f aca="false">IF(ISBLANK($C386),"",IF($Z386=Constants!$B$7,IF(ISNUMBER(AF386),RANK(AF386,$AF$8:$AF$507),Constants!$B$14),$Z386))</f>
        <v/>
      </c>
      <c r="AH386" s="65" t="str">
        <f aca="false">IF(ISBLANK($C386),"",IF($Z386=Constants!$B$7,IF(ISNUMBER(AG386),COUNTIFS($AA$8:$AA$507,"&lt;"&amp;$AA386)+COUNTIFS($AA$8:$AA$507,$AA386,$AG$8:$AG$507,"&lt;"&amp;$AG386)+1,Constants!$B$14),$Z386))</f>
        <v/>
      </c>
      <c r="AI386" s="65" t="str">
        <f aca="false">IF(ISBLANK($C386),"",IF($Z386=Constants!$B$7,LARGE(AB386:AC386,2)*S386,""))</f>
        <v/>
      </c>
      <c r="AJ386" s="65" t="str">
        <f aca="false">IF(ISBLANK($C386),"",IF($Z386=Constants!$B$7,RANK(AI386,$AI$8:$AI$507),$Z386))</f>
        <v/>
      </c>
      <c r="AK386" s="65" t="str">
        <f aca="false">IF(ISBLANK($C386),"",IF($Z386=Constants!$B$7,IF(ISNUMBER(AG386),COUNTIFS($AA$8:$AA$507,"&lt;"&amp;$AA386)+COUNTIFS($AA$8:$AA$507,$AA386,$AG$8:$AG$507,"&lt;"&amp;$AG386)+COUNTIFS($AA$8:$AA$507,$AA386,$AG$8:$AG$507,$AG386,$AJ$8:$AJ$507,"&lt;"&amp;$AJ386)+1,Constants!$B$14),$Z386))</f>
        <v/>
      </c>
      <c r="AL386" s="65" t="str">
        <f aca="false">IF(ISBLANK($C386),"",IF($Z386=Constants!$B$7,IF(ISNUMBER(AH386),AH386-AK386,Constants!$B$14),$Z386))</f>
        <v/>
      </c>
      <c r="AM386" s="67"/>
      <c r="AN386" s="68" t="str">
        <f aca="false">IF(ISBLANK($C386),"",IF($Z386&lt;&gt;Constants!$B$7,$Z386,AD386))</f>
        <v/>
      </c>
      <c r="AO386" s="69" t="str">
        <f aca="false">IF(ISBLANK($C386),"",IF($Z386&lt;&gt;Constants!$B$7,$Z386,S386))</f>
        <v/>
      </c>
      <c r="AP386" s="70" t="str">
        <f aca="false">IF(ISBLANK($C386),"",IF($Z386&lt;&gt;Constants!$B$7,$Z386,AF386))</f>
        <v/>
      </c>
      <c r="AQ386" s="71" t="str">
        <f aca="false">IF(ISBLANK($C386),"",IF($Z386&lt;&gt;Constants!$B$7,$Z386,AA386))</f>
        <v/>
      </c>
      <c r="AR386" s="69" t="str">
        <f aca="false">IF(ISBLANK($C386),"",AL386)</f>
        <v/>
      </c>
      <c r="AS386" s="69" t="str">
        <f aca="false">IF(ISBLANK($C386),"",AK386)</f>
        <v/>
      </c>
      <c r="AT386" s="72" t="str">
        <f aca="false">IF(ISBLANK($C386),"",IF(AS386=Constants!$B$4,COUNTA($C$8:$C$507)+2,IF(AS386=Constants!$B$5,COUNTA($C$8:$C$507)+1,IF(AS386=Constants!$B$6,COUNTA($C$8:$C$507),AS386))))</f>
        <v/>
      </c>
      <c r="AU386" s="5"/>
      <c r="AV386" s="73" t="n">
        <f aca="false">IF(OR(ISNUMBER(AS386),AS386=Constants!$B$4,AS386=Constants!$B$6,AS386=Constants!$B$5),1,0)</f>
        <v>0</v>
      </c>
      <c r="AW386" s="73" t="n">
        <v>379</v>
      </c>
      <c r="AX386" s="73" t="str">
        <f aca="false">IF(ISBLANK($C386),"",IF(ISNUMBER(AT386),AT386+ROW($B386)/1000,""))</f>
        <v/>
      </c>
      <c r="AY386" s="73" t="str">
        <f aca="false">IF(ISNUMBER(AX386),RANK(AX386,$AX$8:$AX$507,1),"")</f>
        <v/>
      </c>
      <c r="AZ386" s="73" t="str">
        <f aca="false">IF(ISBLANK($C386),"",$B386)</f>
        <v/>
      </c>
      <c r="BA386" s="73" t="str">
        <f aca="false">IF(ISBLANK($C386),"",$C386)</f>
        <v/>
      </c>
      <c r="BB386" s="73" t="str">
        <f aca="false">IF(ISBLANK($C386),"",$D386)</f>
        <v/>
      </c>
      <c r="BC386" s="74" t="str">
        <f aca="false">AQ386</f>
        <v/>
      </c>
      <c r="BD386" s="75" t="str">
        <f aca="false">AP386</f>
        <v/>
      </c>
      <c r="BE386" s="73" t="str">
        <f aca="false">IF(ISBLANK($C386),"",AS386)</f>
        <v/>
      </c>
      <c r="BF386" s="76" t="str">
        <f aca="false">IF($AW386&gt;$AV$7,"",VLOOKUP($AW386,$AY$8:$BE$507,7,FALSE()))</f>
        <v/>
      </c>
      <c r="BG386" s="77" t="str">
        <f aca="false">IF($AW386&gt;$AV$7,"",VLOOKUP($AW386,$AY$8:$BE$507,2,FALSE()))</f>
        <v/>
      </c>
      <c r="BH386" s="77" t="str">
        <f aca="false">IF($AW386&gt;$AV$7,"",VLOOKUP($AW386,$AY$8:$BE$507,3,FALSE()))</f>
        <v/>
      </c>
      <c r="BI386" s="77" t="str">
        <f aca="false">IF($AW386&gt;$AV$7,"",VLOOKUP($AW386,$AY$8:$BE$507,4,FALSE()))</f>
        <v/>
      </c>
      <c r="BJ386" s="77" t="str">
        <f aca="false">IF($AW386&gt;$AV$7,"",VLOOKUP($AW386,$AY$8:$BE$507,5,FALSE()))</f>
        <v/>
      </c>
      <c r="BK386" s="78" t="str">
        <f aca="false">IF($AW386&gt;$AV$7,"",VLOOKUP($AW386,$AY$8:$BE$507,6,FALSE()))</f>
        <v/>
      </c>
      <c r="BL386" s="50"/>
    </row>
    <row r="387" customFormat="false" ht="15.75" hidden="false" customHeight="false" outlineLevel="0" collapsed="false">
      <c r="A387" s="5"/>
      <c r="B387" s="131"/>
      <c r="C387" s="52"/>
      <c r="D387" s="53"/>
      <c r="E387" s="80"/>
      <c r="F387" s="132"/>
      <c r="G387" s="56"/>
      <c r="H387" s="133"/>
      <c r="I387" s="134"/>
      <c r="J387" s="59"/>
      <c r="K387" s="60"/>
      <c r="L387" s="134"/>
      <c r="M387" s="61"/>
      <c r="N387" s="62"/>
      <c r="O387" s="80"/>
      <c r="P387" s="64"/>
      <c r="Q387" s="65" t="str">
        <f aca="false">IF(ISBLANK($C387),"",IF(E387=Constants!$B$2, TRUE(), IF(E387=Constants!$B$3, FALSE(), TRUE())))</f>
        <v/>
      </c>
      <c r="R387" s="65" t="str">
        <f aca="false">IF(ISBLANK($C387),"",IF(F387=Constants!$B$2, TRUE(), IF(F387=Constants!$B$3, FALSE(), TRUE())))</f>
        <v/>
      </c>
      <c r="S387" s="65" t="str">
        <f aca="false">IF(ISBLANK($C387),"",IF(G387=Constants!$B$15,Constants!$B$8,IF(G387=Constants!$B$16,Constants!$B$9,Constants!$B$10)))</f>
        <v/>
      </c>
      <c r="T387" s="65" t="str">
        <f aca="false">IF(ISBLANK($C387),"",IF(H387=Constants!$B$2, TRUE(), IF(H387=Constants!$B$3, FALSE(), TRUE())))</f>
        <v/>
      </c>
      <c r="U387" s="65" t="str">
        <f aca="false">IF(ISBLANK($C387),"",IF(I387=Constants!$B$19,Constants!$B$19,Constants!$B$18))</f>
        <v/>
      </c>
      <c r="V387" s="65" t="str">
        <f aca="false">IF(ISBLANK($C387),"",IF(COUNTA(J387:K387)=0,"",IF(AND(OR(ISBLANK(J387),AND(ISNUMBER(J387),J387&gt;=0)),OR(ISBLANK(K387),AND(ISNUMBER(K387),K387&gt;=0))),60*IF(ISBLANK(J387),0,J387)+IF(ISBLANK(K387),0,K387),"")))</f>
        <v/>
      </c>
      <c r="W387" s="65" t="str">
        <f aca="false">IF(ISBLANK($C387),"",IF(L387=Constants!$B$19,Constants!$B$19,Constants!$B$18))</f>
        <v/>
      </c>
      <c r="X387" s="65" t="str">
        <f aca="false">IF(ISBLANK($C387),"",IF(COUNTA(M387:N387)=0,"",IF(AND(OR(ISBLANK(M387),AND(ISNUMBER(M387),M387&gt;=0)),OR(ISBLANK(N387),AND(ISNUMBER(N387),N387&gt;=0))),60*IF(ISBLANK(M387),0,M387)+IF(ISBLANK(N387),0,N387),"")))</f>
        <v/>
      </c>
      <c r="Y387" s="65" t="str">
        <f aca="false">IF(ISBLANK($C387),"",IF(O387=Constants!$B$2, TRUE(), IF(O387=Constants!$B$3, FALSE(), FALSE())))</f>
        <v/>
      </c>
      <c r="Z387" s="65" t="str">
        <f aca="false">IF(ISBLANK($C387),"",IF(Y387,Constants!$B$4,IF(COUNTA(E387:N387)=0,Constants!$B$5,IF(COUNTA(J387:K387,M387:N387)=0,Constants!$B$6,Constants!$B$7))))</f>
        <v/>
      </c>
      <c r="AA387" s="65" t="str">
        <f aca="false">IF(ISBLANK($C387),"",IF($Z387&lt;&gt;Constants!$B$7,$Z387,IF(OR(NOT(T387),AND(NOT(Q387),COUNTIFS(U387:W387,Constants!$B$18,V387:X387,"&gt;=0")&gt;0),AND(NOT(R387),COUNTIFS(U387:W387,Constants!$B$19,V387:X387,"&gt;=0")&gt;0)),Constants!$B$12,Constants!$B$11)))</f>
        <v/>
      </c>
      <c r="AB387" s="65" t="str">
        <f aca="false">IF($Z387=Constants!$B$7,IF(V387="",Constants!$B$13,V387),"")</f>
        <v/>
      </c>
      <c r="AC387" s="65" t="str">
        <f aca="false">IF($Z387=Constants!$B$7,IF(X387="",Constants!$B$13,X387),"")</f>
        <v/>
      </c>
      <c r="AD387" s="65" t="str">
        <f aca="false">IF($Z387=Constants!$B$7,IF($AB387&gt;=$AC387,1,2),"")</f>
        <v/>
      </c>
      <c r="AE387" s="65" t="str">
        <f aca="false">IF($Z387=Constants!$B$7,LARGE(AB387:AC387,1),"")</f>
        <v/>
      </c>
      <c r="AF387" s="65" t="str">
        <f aca="false">IF(ISBLANK($C387),"",IF($Z387&lt;&gt;Constants!$B$7,$Z387,AE387*S387))</f>
        <v/>
      </c>
      <c r="AG387" s="65" t="str">
        <f aca="false">IF(ISBLANK($C387),"",IF($Z387=Constants!$B$7,IF(ISNUMBER(AF387),RANK(AF387,$AF$8:$AF$507),Constants!$B$14),$Z387))</f>
        <v/>
      </c>
      <c r="AH387" s="65" t="str">
        <f aca="false">IF(ISBLANK($C387),"",IF($Z387=Constants!$B$7,IF(ISNUMBER(AG387),COUNTIFS($AA$8:$AA$507,"&lt;"&amp;$AA387)+COUNTIFS($AA$8:$AA$507,$AA387,$AG$8:$AG$507,"&lt;"&amp;$AG387)+1,Constants!$B$14),$Z387))</f>
        <v/>
      </c>
      <c r="AI387" s="65" t="str">
        <f aca="false">IF(ISBLANK($C387),"",IF($Z387=Constants!$B$7,LARGE(AB387:AC387,2)*S387,""))</f>
        <v/>
      </c>
      <c r="AJ387" s="65" t="str">
        <f aca="false">IF(ISBLANK($C387),"",IF($Z387=Constants!$B$7,RANK(AI387,$AI$8:$AI$507),$Z387))</f>
        <v/>
      </c>
      <c r="AK387" s="65" t="str">
        <f aca="false">IF(ISBLANK($C387),"",IF($Z387=Constants!$B$7,IF(ISNUMBER(AG387),COUNTIFS($AA$8:$AA$507,"&lt;"&amp;$AA387)+COUNTIFS($AA$8:$AA$507,$AA387,$AG$8:$AG$507,"&lt;"&amp;$AG387)+COUNTIFS($AA$8:$AA$507,$AA387,$AG$8:$AG$507,$AG387,$AJ$8:$AJ$507,"&lt;"&amp;$AJ387)+1,Constants!$B$14),$Z387))</f>
        <v/>
      </c>
      <c r="AL387" s="65" t="str">
        <f aca="false">IF(ISBLANK($C387),"",IF($Z387=Constants!$B$7,IF(ISNUMBER(AH387),AH387-AK387,Constants!$B$14),$Z387))</f>
        <v/>
      </c>
      <c r="AM387" s="67"/>
      <c r="AN387" s="68" t="str">
        <f aca="false">IF(ISBLANK($C387),"",IF($Z387&lt;&gt;Constants!$B$7,$Z387,AD387))</f>
        <v/>
      </c>
      <c r="AO387" s="69" t="str">
        <f aca="false">IF(ISBLANK($C387),"",IF($Z387&lt;&gt;Constants!$B$7,$Z387,S387))</f>
        <v/>
      </c>
      <c r="AP387" s="70" t="str">
        <f aca="false">IF(ISBLANK($C387),"",IF($Z387&lt;&gt;Constants!$B$7,$Z387,AF387))</f>
        <v/>
      </c>
      <c r="AQ387" s="71" t="str">
        <f aca="false">IF(ISBLANK($C387),"",IF($Z387&lt;&gt;Constants!$B$7,$Z387,AA387))</f>
        <v/>
      </c>
      <c r="AR387" s="69" t="str">
        <f aca="false">IF(ISBLANK($C387),"",AL387)</f>
        <v/>
      </c>
      <c r="AS387" s="69" t="str">
        <f aca="false">IF(ISBLANK($C387),"",AK387)</f>
        <v/>
      </c>
      <c r="AT387" s="72" t="str">
        <f aca="false">IF(ISBLANK($C387),"",IF(AS387=Constants!$B$4,COUNTA($C$8:$C$507)+2,IF(AS387=Constants!$B$5,COUNTA($C$8:$C$507)+1,IF(AS387=Constants!$B$6,COUNTA($C$8:$C$507),AS387))))</f>
        <v/>
      </c>
      <c r="AU387" s="5"/>
      <c r="AV387" s="73" t="n">
        <f aca="false">IF(OR(ISNUMBER(AS387),AS387=Constants!$B$4,AS387=Constants!$B$6,AS387=Constants!$B$5),1,0)</f>
        <v>0</v>
      </c>
      <c r="AW387" s="73" t="n">
        <v>380</v>
      </c>
      <c r="AX387" s="73" t="str">
        <f aca="false">IF(ISBLANK($C387),"",IF(ISNUMBER(AT387),AT387+ROW($B387)/1000,""))</f>
        <v/>
      </c>
      <c r="AY387" s="73" t="str">
        <f aca="false">IF(ISNUMBER(AX387),RANK(AX387,$AX$8:$AX$507,1),"")</f>
        <v/>
      </c>
      <c r="AZ387" s="73" t="str">
        <f aca="false">IF(ISBLANK($C387),"",$B387)</f>
        <v/>
      </c>
      <c r="BA387" s="73" t="str">
        <f aca="false">IF(ISBLANK($C387),"",$C387)</f>
        <v/>
      </c>
      <c r="BB387" s="73" t="str">
        <f aca="false">IF(ISBLANK($C387),"",$D387)</f>
        <v/>
      </c>
      <c r="BC387" s="74" t="str">
        <f aca="false">AQ387</f>
        <v/>
      </c>
      <c r="BD387" s="75" t="str">
        <f aca="false">AP387</f>
        <v/>
      </c>
      <c r="BE387" s="73" t="str">
        <f aca="false">IF(ISBLANK($C387),"",AS387)</f>
        <v/>
      </c>
      <c r="BF387" s="76" t="str">
        <f aca="false">IF($AW387&gt;$AV$7,"",VLOOKUP($AW387,$AY$8:$BE$507,7,FALSE()))</f>
        <v/>
      </c>
      <c r="BG387" s="77" t="str">
        <f aca="false">IF($AW387&gt;$AV$7,"",VLOOKUP($AW387,$AY$8:$BE$507,2,FALSE()))</f>
        <v/>
      </c>
      <c r="BH387" s="77" t="str">
        <f aca="false">IF($AW387&gt;$AV$7,"",VLOOKUP($AW387,$AY$8:$BE$507,3,FALSE()))</f>
        <v/>
      </c>
      <c r="BI387" s="77" t="str">
        <f aca="false">IF($AW387&gt;$AV$7,"",VLOOKUP($AW387,$AY$8:$BE$507,4,FALSE()))</f>
        <v/>
      </c>
      <c r="BJ387" s="77" t="str">
        <f aca="false">IF($AW387&gt;$AV$7,"",VLOOKUP($AW387,$AY$8:$BE$507,5,FALSE()))</f>
        <v/>
      </c>
      <c r="BK387" s="78" t="str">
        <f aca="false">IF($AW387&gt;$AV$7,"",VLOOKUP($AW387,$AY$8:$BE$507,6,FALSE()))</f>
        <v/>
      </c>
      <c r="BL387" s="50"/>
    </row>
    <row r="388" customFormat="false" ht="15.75" hidden="false" customHeight="false" outlineLevel="0" collapsed="false">
      <c r="A388" s="5"/>
      <c r="B388" s="131"/>
      <c r="C388" s="52"/>
      <c r="D388" s="53"/>
      <c r="E388" s="80"/>
      <c r="F388" s="132"/>
      <c r="G388" s="56"/>
      <c r="H388" s="133"/>
      <c r="I388" s="134"/>
      <c r="J388" s="59"/>
      <c r="K388" s="60"/>
      <c r="L388" s="134"/>
      <c r="M388" s="61"/>
      <c r="N388" s="62"/>
      <c r="O388" s="80"/>
      <c r="P388" s="64"/>
      <c r="Q388" s="65" t="str">
        <f aca="false">IF(ISBLANK($C388),"",IF(E388=Constants!$B$2, TRUE(), IF(E388=Constants!$B$3, FALSE(), TRUE())))</f>
        <v/>
      </c>
      <c r="R388" s="65" t="str">
        <f aca="false">IF(ISBLANK($C388),"",IF(F388=Constants!$B$2, TRUE(), IF(F388=Constants!$B$3, FALSE(), TRUE())))</f>
        <v/>
      </c>
      <c r="S388" s="65" t="str">
        <f aca="false">IF(ISBLANK($C388),"",IF(G388=Constants!$B$15,Constants!$B$8,IF(G388=Constants!$B$16,Constants!$B$9,Constants!$B$10)))</f>
        <v/>
      </c>
      <c r="T388" s="65" t="str">
        <f aca="false">IF(ISBLANK($C388),"",IF(H388=Constants!$B$2, TRUE(), IF(H388=Constants!$B$3, FALSE(), TRUE())))</f>
        <v/>
      </c>
      <c r="U388" s="65" t="str">
        <f aca="false">IF(ISBLANK($C388),"",IF(I388=Constants!$B$19,Constants!$B$19,Constants!$B$18))</f>
        <v/>
      </c>
      <c r="V388" s="65" t="str">
        <f aca="false">IF(ISBLANK($C388),"",IF(COUNTA(J388:K388)=0,"",IF(AND(OR(ISBLANK(J388),AND(ISNUMBER(J388),J388&gt;=0)),OR(ISBLANK(K388),AND(ISNUMBER(K388),K388&gt;=0))),60*IF(ISBLANK(J388),0,J388)+IF(ISBLANK(K388),0,K388),"")))</f>
        <v/>
      </c>
      <c r="W388" s="65" t="str">
        <f aca="false">IF(ISBLANK($C388),"",IF(L388=Constants!$B$19,Constants!$B$19,Constants!$B$18))</f>
        <v/>
      </c>
      <c r="X388" s="65" t="str">
        <f aca="false">IF(ISBLANK($C388),"",IF(COUNTA(M388:N388)=0,"",IF(AND(OR(ISBLANK(M388),AND(ISNUMBER(M388),M388&gt;=0)),OR(ISBLANK(N388),AND(ISNUMBER(N388),N388&gt;=0))),60*IF(ISBLANK(M388),0,M388)+IF(ISBLANK(N388),0,N388),"")))</f>
        <v/>
      </c>
      <c r="Y388" s="65" t="str">
        <f aca="false">IF(ISBLANK($C388),"",IF(O388=Constants!$B$2, TRUE(), IF(O388=Constants!$B$3, FALSE(), FALSE())))</f>
        <v/>
      </c>
      <c r="Z388" s="65" t="str">
        <f aca="false">IF(ISBLANK($C388),"",IF(Y388,Constants!$B$4,IF(COUNTA(E388:N388)=0,Constants!$B$5,IF(COUNTA(J388:K388,M388:N388)=0,Constants!$B$6,Constants!$B$7))))</f>
        <v/>
      </c>
      <c r="AA388" s="65" t="str">
        <f aca="false">IF(ISBLANK($C388),"",IF($Z388&lt;&gt;Constants!$B$7,$Z388,IF(OR(NOT(T388),AND(NOT(Q388),COUNTIFS(U388:W388,Constants!$B$18,V388:X388,"&gt;=0")&gt;0),AND(NOT(R388),COUNTIFS(U388:W388,Constants!$B$19,V388:X388,"&gt;=0")&gt;0)),Constants!$B$12,Constants!$B$11)))</f>
        <v/>
      </c>
      <c r="AB388" s="65" t="str">
        <f aca="false">IF($Z388=Constants!$B$7,IF(V388="",Constants!$B$13,V388),"")</f>
        <v/>
      </c>
      <c r="AC388" s="65" t="str">
        <f aca="false">IF($Z388=Constants!$B$7,IF(X388="",Constants!$B$13,X388),"")</f>
        <v/>
      </c>
      <c r="AD388" s="65" t="str">
        <f aca="false">IF($Z388=Constants!$B$7,IF($AB388&gt;=$AC388,1,2),"")</f>
        <v/>
      </c>
      <c r="AE388" s="65" t="str">
        <f aca="false">IF($Z388=Constants!$B$7,LARGE(AB388:AC388,1),"")</f>
        <v/>
      </c>
      <c r="AF388" s="65" t="str">
        <f aca="false">IF(ISBLANK($C388),"",IF($Z388&lt;&gt;Constants!$B$7,$Z388,AE388*S388))</f>
        <v/>
      </c>
      <c r="AG388" s="65" t="str">
        <f aca="false">IF(ISBLANK($C388),"",IF($Z388=Constants!$B$7,IF(ISNUMBER(AF388),RANK(AF388,$AF$8:$AF$507),Constants!$B$14),$Z388))</f>
        <v/>
      </c>
      <c r="AH388" s="65" t="str">
        <f aca="false">IF(ISBLANK($C388),"",IF($Z388=Constants!$B$7,IF(ISNUMBER(AG388),COUNTIFS($AA$8:$AA$507,"&lt;"&amp;$AA388)+COUNTIFS($AA$8:$AA$507,$AA388,$AG$8:$AG$507,"&lt;"&amp;$AG388)+1,Constants!$B$14),$Z388))</f>
        <v/>
      </c>
      <c r="AI388" s="65" t="str">
        <f aca="false">IF(ISBLANK($C388),"",IF($Z388=Constants!$B$7,LARGE(AB388:AC388,2)*S388,""))</f>
        <v/>
      </c>
      <c r="AJ388" s="65" t="str">
        <f aca="false">IF(ISBLANK($C388),"",IF($Z388=Constants!$B$7,RANK(AI388,$AI$8:$AI$507),$Z388))</f>
        <v/>
      </c>
      <c r="AK388" s="65" t="str">
        <f aca="false">IF(ISBLANK($C388),"",IF($Z388=Constants!$B$7,IF(ISNUMBER(AG388),COUNTIFS($AA$8:$AA$507,"&lt;"&amp;$AA388)+COUNTIFS($AA$8:$AA$507,$AA388,$AG$8:$AG$507,"&lt;"&amp;$AG388)+COUNTIFS($AA$8:$AA$507,$AA388,$AG$8:$AG$507,$AG388,$AJ$8:$AJ$507,"&lt;"&amp;$AJ388)+1,Constants!$B$14),$Z388))</f>
        <v/>
      </c>
      <c r="AL388" s="65" t="str">
        <f aca="false">IF(ISBLANK($C388),"",IF($Z388=Constants!$B$7,IF(ISNUMBER(AH388),AH388-AK388,Constants!$B$14),$Z388))</f>
        <v/>
      </c>
      <c r="AM388" s="67"/>
      <c r="AN388" s="68" t="str">
        <f aca="false">IF(ISBLANK($C388),"",IF($Z388&lt;&gt;Constants!$B$7,$Z388,AD388))</f>
        <v/>
      </c>
      <c r="AO388" s="69" t="str">
        <f aca="false">IF(ISBLANK($C388),"",IF($Z388&lt;&gt;Constants!$B$7,$Z388,S388))</f>
        <v/>
      </c>
      <c r="AP388" s="70" t="str">
        <f aca="false">IF(ISBLANK($C388),"",IF($Z388&lt;&gt;Constants!$B$7,$Z388,AF388))</f>
        <v/>
      </c>
      <c r="AQ388" s="71" t="str">
        <f aca="false">IF(ISBLANK($C388),"",IF($Z388&lt;&gt;Constants!$B$7,$Z388,AA388))</f>
        <v/>
      </c>
      <c r="AR388" s="69" t="str">
        <f aca="false">IF(ISBLANK($C388),"",AL388)</f>
        <v/>
      </c>
      <c r="AS388" s="69" t="str">
        <f aca="false">IF(ISBLANK($C388),"",AK388)</f>
        <v/>
      </c>
      <c r="AT388" s="72" t="str">
        <f aca="false">IF(ISBLANK($C388),"",IF(AS388=Constants!$B$4,COUNTA($C$8:$C$507)+2,IF(AS388=Constants!$B$5,COUNTA($C$8:$C$507)+1,IF(AS388=Constants!$B$6,COUNTA($C$8:$C$507),AS388))))</f>
        <v/>
      </c>
      <c r="AU388" s="5"/>
      <c r="AV388" s="73" t="n">
        <f aca="false">IF(OR(ISNUMBER(AS388),AS388=Constants!$B$4,AS388=Constants!$B$6,AS388=Constants!$B$5),1,0)</f>
        <v>0</v>
      </c>
      <c r="AW388" s="73" t="n">
        <v>381</v>
      </c>
      <c r="AX388" s="73" t="str">
        <f aca="false">IF(ISBLANK($C388),"",IF(ISNUMBER(AT388),AT388+ROW($B388)/1000,""))</f>
        <v/>
      </c>
      <c r="AY388" s="73" t="str">
        <f aca="false">IF(ISNUMBER(AX388),RANK(AX388,$AX$8:$AX$507,1),"")</f>
        <v/>
      </c>
      <c r="AZ388" s="73" t="str">
        <f aca="false">IF(ISBLANK($C388),"",$B388)</f>
        <v/>
      </c>
      <c r="BA388" s="73" t="str">
        <f aca="false">IF(ISBLANK($C388),"",$C388)</f>
        <v/>
      </c>
      <c r="BB388" s="73" t="str">
        <f aca="false">IF(ISBLANK($C388),"",$D388)</f>
        <v/>
      </c>
      <c r="BC388" s="74" t="str">
        <f aca="false">AQ388</f>
        <v/>
      </c>
      <c r="BD388" s="75" t="str">
        <f aca="false">AP388</f>
        <v/>
      </c>
      <c r="BE388" s="73" t="str">
        <f aca="false">IF(ISBLANK($C388),"",AS388)</f>
        <v/>
      </c>
      <c r="BF388" s="76" t="str">
        <f aca="false">IF($AW388&gt;$AV$7,"",VLOOKUP($AW388,$AY$8:$BE$507,7,FALSE()))</f>
        <v/>
      </c>
      <c r="BG388" s="77" t="str">
        <f aca="false">IF($AW388&gt;$AV$7,"",VLOOKUP($AW388,$AY$8:$BE$507,2,FALSE()))</f>
        <v/>
      </c>
      <c r="BH388" s="77" t="str">
        <f aca="false">IF($AW388&gt;$AV$7,"",VLOOKUP($AW388,$AY$8:$BE$507,3,FALSE()))</f>
        <v/>
      </c>
      <c r="BI388" s="77" t="str">
        <f aca="false">IF($AW388&gt;$AV$7,"",VLOOKUP($AW388,$AY$8:$BE$507,4,FALSE()))</f>
        <v/>
      </c>
      <c r="BJ388" s="77" t="str">
        <f aca="false">IF($AW388&gt;$AV$7,"",VLOOKUP($AW388,$AY$8:$BE$507,5,FALSE()))</f>
        <v/>
      </c>
      <c r="BK388" s="78" t="str">
        <f aca="false">IF($AW388&gt;$AV$7,"",VLOOKUP($AW388,$AY$8:$BE$507,6,FALSE()))</f>
        <v/>
      </c>
      <c r="BL388" s="50"/>
    </row>
    <row r="389" customFormat="false" ht="15.75" hidden="false" customHeight="false" outlineLevel="0" collapsed="false">
      <c r="A389" s="5"/>
      <c r="B389" s="124"/>
      <c r="C389" s="125"/>
      <c r="D389" s="110"/>
      <c r="E389" s="130"/>
      <c r="F389" s="135"/>
      <c r="G389" s="88"/>
      <c r="H389" s="136"/>
      <c r="I389" s="137"/>
      <c r="J389" s="91"/>
      <c r="K389" s="92"/>
      <c r="L389" s="137"/>
      <c r="M389" s="93"/>
      <c r="N389" s="94"/>
      <c r="O389" s="130"/>
      <c r="P389" s="96"/>
      <c r="Q389" s="97" t="str">
        <f aca="false">IF(ISBLANK($C389),"",IF(E389=Constants!$B$2, TRUE(), IF(E389=Constants!$B$3, FALSE(), TRUE())))</f>
        <v/>
      </c>
      <c r="R389" s="97" t="str">
        <f aca="false">IF(ISBLANK($C389),"",IF(F389=Constants!$B$2, TRUE(), IF(F389=Constants!$B$3, FALSE(), TRUE())))</f>
        <v/>
      </c>
      <c r="S389" s="97" t="str">
        <f aca="false">IF(ISBLANK($C389),"",IF(G389=Constants!$B$15,Constants!$B$8,IF(G389=Constants!$B$16,Constants!$B$9,Constants!$B$10)))</f>
        <v/>
      </c>
      <c r="T389" s="97" t="str">
        <f aca="false">IF(ISBLANK($C389),"",IF(H389=Constants!$B$2, TRUE(), IF(H389=Constants!$B$3, FALSE(), TRUE())))</f>
        <v/>
      </c>
      <c r="U389" s="97" t="str">
        <f aca="false">IF(ISBLANK($C389),"",IF(I389=Constants!$B$19,Constants!$B$19,Constants!$B$18))</f>
        <v/>
      </c>
      <c r="V389" s="97" t="str">
        <f aca="false">IF(ISBLANK($C389),"",IF(COUNTA(J389:K389)=0,"",IF(AND(OR(ISBLANK(J389),AND(ISNUMBER(J389),J389&gt;=0)),OR(ISBLANK(K389),AND(ISNUMBER(K389),K389&gt;=0))),60*IF(ISBLANK(J389),0,J389)+IF(ISBLANK(K389),0,K389),"")))</f>
        <v/>
      </c>
      <c r="W389" s="97" t="str">
        <f aca="false">IF(ISBLANK($C389),"",IF(L389=Constants!$B$19,Constants!$B$19,Constants!$B$18))</f>
        <v/>
      </c>
      <c r="X389" s="97" t="str">
        <f aca="false">IF(ISBLANK($C389),"",IF(COUNTA(M389:N389)=0,"",IF(AND(OR(ISBLANK(M389),AND(ISNUMBER(M389),M389&gt;=0)),OR(ISBLANK(N389),AND(ISNUMBER(N389),N389&gt;=0))),60*IF(ISBLANK(M389),0,M389)+IF(ISBLANK(N389),0,N389),"")))</f>
        <v/>
      </c>
      <c r="Y389" s="97" t="str">
        <f aca="false">IF(ISBLANK($C389),"",IF(O389=Constants!$B$2, TRUE(), IF(O389=Constants!$B$3, FALSE(), FALSE())))</f>
        <v/>
      </c>
      <c r="Z389" s="97" t="str">
        <f aca="false">IF(ISBLANK($C389),"",IF(Y389,Constants!$B$4,IF(COUNTA(E389:N389)=0,Constants!$B$5,IF(COUNTA(J389:K389,M389:N389)=0,Constants!$B$6,Constants!$B$7))))</f>
        <v/>
      </c>
      <c r="AA389" s="97" t="str">
        <f aca="false">IF(ISBLANK($C389),"",IF($Z389&lt;&gt;Constants!$B$7,$Z389,IF(OR(NOT(T389),AND(NOT(Q389),COUNTIFS(U389:W389,Constants!$B$18,V389:X389,"&gt;=0")&gt;0),AND(NOT(R389),COUNTIFS(U389:W389,Constants!$B$19,V389:X389,"&gt;=0")&gt;0)),Constants!$B$12,Constants!$B$11)))</f>
        <v/>
      </c>
      <c r="AB389" s="97" t="str">
        <f aca="false">IF($Z389=Constants!$B$7,IF(V389="",Constants!$B$13,V389),"")</f>
        <v/>
      </c>
      <c r="AC389" s="97" t="str">
        <f aca="false">IF($Z389=Constants!$B$7,IF(X389="",Constants!$B$13,X389),"")</f>
        <v/>
      </c>
      <c r="AD389" s="97" t="str">
        <f aca="false">IF($Z389=Constants!$B$7,IF($AB389&gt;=$AC389,1,2),"")</f>
        <v/>
      </c>
      <c r="AE389" s="97" t="str">
        <f aca="false">IF($Z389=Constants!$B$7,LARGE(AB389:AC389,1),"")</f>
        <v/>
      </c>
      <c r="AF389" s="97" t="str">
        <f aca="false">IF(ISBLANK($C389),"",IF($Z389&lt;&gt;Constants!$B$7,$Z389,AE389*S389))</f>
        <v/>
      </c>
      <c r="AG389" s="97" t="str">
        <f aca="false">IF(ISBLANK($C389),"",IF($Z389=Constants!$B$7,IF(ISNUMBER(AF389),RANK(AF389,$AF$8:$AF$507),Constants!$B$14),$Z389))</f>
        <v/>
      </c>
      <c r="AH389" s="97" t="str">
        <f aca="false">IF(ISBLANK($C389),"",IF($Z389=Constants!$B$7,IF(ISNUMBER(AG389),COUNTIFS($AA$8:$AA$507,"&lt;"&amp;$AA389)+COUNTIFS($AA$8:$AA$507,$AA389,$AG$8:$AG$507,"&lt;"&amp;$AG389)+1,Constants!$B$14),$Z389))</f>
        <v/>
      </c>
      <c r="AI389" s="97" t="str">
        <f aca="false">IF(ISBLANK($C389),"",IF($Z389=Constants!$B$7,LARGE(AB389:AC389,2)*S389,""))</f>
        <v/>
      </c>
      <c r="AJ389" s="97" t="str">
        <f aca="false">IF(ISBLANK($C389),"",IF($Z389=Constants!$B$7,RANK(AI389,$AI$8:$AI$507),$Z389))</f>
        <v/>
      </c>
      <c r="AK389" s="97" t="str">
        <f aca="false">IF(ISBLANK($C389),"",IF($Z389=Constants!$B$7,IF(ISNUMBER(AG389),COUNTIFS($AA$8:$AA$507,"&lt;"&amp;$AA389)+COUNTIFS($AA$8:$AA$507,$AA389,$AG$8:$AG$507,"&lt;"&amp;$AG389)+COUNTIFS($AA$8:$AA$507,$AA389,$AG$8:$AG$507,$AG389,$AJ$8:$AJ$507,"&lt;"&amp;$AJ389)+1,Constants!$B$14),$Z389))</f>
        <v/>
      </c>
      <c r="AL389" s="97" t="str">
        <f aca="false">IF(ISBLANK($C389),"",IF($Z389=Constants!$B$7,IF(ISNUMBER(AH389),AH389-AK389,Constants!$B$14),$Z389))</f>
        <v/>
      </c>
      <c r="AM389" s="98"/>
      <c r="AN389" s="99" t="str">
        <f aca="false">IF(ISBLANK($C389),"",IF($Z389&lt;&gt;Constants!$B$7,$Z389,AD389))</f>
        <v/>
      </c>
      <c r="AO389" s="100" t="str">
        <f aca="false">IF(ISBLANK($C389),"",IF($Z389&lt;&gt;Constants!$B$7,$Z389,S389))</f>
        <v/>
      </c>
      <c r="AP389" s="101" t="str">
        <f aca="false">IF(ISBLANK($C389),"",IF($Z389&lt;&gt;Constants!$B$7,$Z389,AF389))</f>
        <v/>
      </c>
      <c r="AQ389" s="102" t="str">
        <f aca="false">IF(ISBLANK($C389),"",IF($Z389&lt;&gt;Constants!$B$7,$Z389,AA389))</f>
        <v/>
      </c>
      <c r="AR389" s="100" t="str">
        <f aca="false">IF(ISBLANK($C389),"",AL389)</f>
        <v/>
      </c>
      <c r="AS389" s="100" t="str">
        <f aca="false">IF(ISBLANK($C389),"",AK389)</f>
        <v/>
      </c>
      <c r="AT389" s="103" t="str">
        <f aca="false">IF(ISBLANK($C389),"",IF(AS389=Constants!$B$4,COUNTA($C$8:$C$507)+2,IF(AS389=Constants!$B$5,COUNTA($C$8:$C$507)+1,IF(AS389=Constants!$B$6,COUNTA($C$8:$C$507),AS389))))</f>
        <v/>
      </c>
      <c r="AU389" s="5"/>
      <c r="AV389" s="104" t="n">
        <f aca="false">IF(OR(ISNUMBER(AS389),AS389=Constants!$B$4,AS389=Constants!$B$6,AS389=Constants!$B$5),1,0)</f>
        <v>0</v>
      </c>
      <c r="AW389" s="104" t="n">
        <v>382</v>
      </c>
      <c r="AX389" s="104" t="str">
        <f aca="false">IF(ISBLANK($C389),"",IF(ISNUMBER(AT389),AT389+ROW($B389)/1000,""))</f>
        <v/>
      </c>
      <c r="AY389" s="104" t="str">
        <f aca="false">IF(ISNUMBER(AX389),RANK(AX389,$AX$8:$AX$507,1),"")</f>
        <v/>
      </c>
      <c r="AZ389" s="104" t="str">
        <f aca="false">IF(ISBLANK($C389),"",$B389)</f>
        <v/>
      </c>
      <c r="BA389" s="104" t="str">
        <f aca="false">IF(ISBLANK($C389),"",$C389)</f>
        <v/>
      </c>
      <c r="BB389" s="104" t="str">
        <f aca="false">IF(ISBLANK($C389),"",$D389)</f>
        <v/>
      </c>
      <c r="BC389" s="105" t="str">
        <f aca="false">AQ389</f>
        <v/>
      </c>
      <c r="BD389" s="106" t="str">
        <f aca="false">AP389</f>
        <v/>
      </c>
      <c r="BE389" s="104" t="str">
        <f aca="false">IF(ISBLANK($C389),"",AS389)</f>
        <v/>
      </c>
      <c r="BF389" s="107" t="str">
        <f aca="false">IF($AW389&gt;$AV$7,"",VLOOKUP($AW389,$AY$8:$BE$507,7,FALSE()))</f>
        <v/>
      </c>
      <c r="BG389" s="108" t="str">
        <f aca="false">IF($AW389&gt;$AV$7,"",VLOOKUP($AW389,$AY$8:$BE$507,2,FALSE()))</f>
        <v/>
      </c>
      <c r="BH389" s="108" t="str">
        <f aca="false">IF($AW389&gt;$AV$7,"",VLOOKUP($AW389,$AY$8:$BE$507,3,FALSE()))</f>
        <v/>
      </c>
      <c r="BI389" s="108" t="str">
        <f aca="false">IF($AW389&gt;$AV$7,"",VLOOKUP($AW389,$AY$8:$BE$507,4,FALSE()))</f>
        <v/>
      </c>
      <c r="BJ389" s="108" t="str">
        <f aca="false">IF($AW389&gt;$AV$7,"",VLOOKUP($AW389,$AY$8:$BE$507,5,FALSE()))</f>
        <v/>
      </c>
      <c r="BK389" s="109" t="str">
        <f aca="false">IF($AW389&gt;$AV$7,"",VLOOKUP($AW389,$AY$8:$BE$507,6,FALSE()))</f>
        <v/>
      </c>
      <c r="BL389" s="50"/>
    </row>
    <row r="390" customFormat="false" ht="15.75" hidden="false" customHeight="false" outlineLevel="0" collapsed="false">
      <c r="A390" s="5"/>
      <c r="B390" s="124"/>
      <c r="C390" s="125"/>
      <c r="D390" s="110"/>
      <c r="E390" s="130"/>
      <c r="F390" s="135"/>
      <c r="G390" s="88"/>
      <c r="H390" s="136"/>
      <c r="I390" s="137"/>
      <c r="J390" s="91"/>
      <c r="K390" s="92"/>
      <c r="L390" s="137"/>
      <c r="M390" s="93"/>
      <c r="N390" s="94"/>
      <c r="O390" s="130"/>
      <c r="P390" s="96"/>
      <c r="Q390" s="97" t="str">
        <f aca="false">IF(ISBLANK($C390),"",IF(E390=Constants!$B$2, TRUE(), IF(E390=Constants!$B$3, FALSE(), TRUE())))</f>
        <v/>
      </c>
      <c r="R390" s="97" t="str">
        <f aca="false">IF(ISBLANK($C390),"",IF(F390=Constants!$B$2, TRUE(), IF(F390=Constants!$B$3, FALSE(), TRUE())))</f>
        <v/>
      </c>
      <c r="S390" s="97" t="str">
        <f aca="false">IF(ISBLANK($C390),"",IF(G390=Constants!$B$15,Constants!$B$8,IF(G390=Constants!$B$16,Constants!$B$9,Constants!$B$10)))</f>
        <v/>
      </c>
      <c r="T390" s="97" t="str">
        <f aca="false">IF(ISBLANK($C390),"",IF(H390=Constants!$B$2, TRUE(), IF(H390=Constants!$B$3, FALSE(), TRUE())))</f>
        <v/>
      </c>
      <c r="U390" s="97" t="str">
        <f aca="false">IF(ISBLANK($C390),"",IF(I390=Constants!$B$19,Constants!$B$19,Constants!$B$18))</f>
        <v/>
      </c>
      <c r="V390" s="97" t="str">
        <f aca="false">IF(ISBLANK($C390),"",IF(COUNTA(J390:K390)=0,"",IF(AND(OR(ISBLANK(J390),AND(ISNUMBER(J390),J390&gt;=0)),OR(ISBLANK(K390),AND(ISNUMBER(K390),K390&gt;=0))),60*IF(ISBLANK(J390),0,J390)+IF(ISBLANK(K390),0,K390),"")))</f>
        <v/>
      </c>
      <c r="W390" s="97" t="str">
        <f aca="false">IF(ISBLANK($C390),"",IF(L390=Constants!$B$19,Constants!$B$19,Constants!$B$18))</f>
        <v/>
      </c>
      <c r="X390" s="97" t="str">
        <f aca="false">IF(ISBLANK($C390),"",IF(COUNTA(M390:N390)=0,"",IF(AND(OR(ISBLANK(M390),AND(ISNUMBER(M390),M390&gt;=0)),OR(ISBLANK(N390),AND(ISNUMBER(N390),N390&gt;=0))),60*IF(ISBLANK(M390),0,M390)+IF(ISBLANK(N390),0,N390),"")))</f>
        <v/>
      </c>
      <c r="Y390" s="97" t="str">
        <f aca="false">IF(ISBLANK($C390),"",IF(O390=Constants!$B$2, TRUE(), IF(O390=Constants!$B$3, FALSE(), FALSE())))</f>
        <v/>
      </c>
      <c r="Z390" s="97" t="str">
        <f aca="false">IF(ISBLANK($C390),"",IF(Y390,Constants!$B$4,IF(COUNTA(E390:N390)=0,Constants!$B$5,IF(COUNTA(J390:K390,M390:N390)=0,Constants!$B$6,Constants!$B$7))))</f>
        <v/>
      </c>
      <c r="AA390" s="97" t="str">
        <f aca="false">IF(ISBLANK($C390),"",IF($Z390&lt;&gt;Constants!$B$7,$Z390,IF(OR(NOT(T390),AND(NOT(Q390),COUNTIFS(U390:W390,Constants!$B$18,V390:X390,"&gt;=0")&gt;0),AND(NOT(R390),COUNTIFS(U390:W390,Constants!$B$19,V390:X390,"&gt;=0")&gt;0)),Constants!$B$12,Constants!$B$11)))</f>
        <v/>
      </c>
      <c r="AB390" s="97" t="str">
        <f aca="false">IF($Z390=Constants!$B$7,IF(V390="",Constants!$B$13,V390),"")</f>
        <v/>
      </c>
      <c r="AC390" s="97" t="str">
        <f aca="false">IF($Z390=Constants!$B$7,IF(X390="",Constants!$B$13,X390),"")</f>
        <v/>
      </c>
      <c r="AD390" s="97" t="str">
        <f aca="false">IF($Z390=Constants!$B$7,IF($AB390&gt;=$AC390,1,2),"")</f>
        <v/>
      </c>
      <c r="AE390" s="97" t="str">
        <f aca="false">IF($Z390=Constants!$B$7,LARGE(AB390:AC390,1),"")</f>
        <v/>
      </c>
      <c r="AF390" s="97" t="str">
        <f aca="false">IF(ISBLANK($C390),"",IF($Z390&lt;&gt;Constants!$B$7,$Z390,AE390*S390))</f>
        <v/>
      </c>
      <c r="AG390" s="97" t="str">
        <f aca="false">IF(ISBLANK($C390),"",IF($Z390=Constants!$B$7,IF(ISNUMBER(AF390),RANK(AF390,$AF$8:$AF$507),Constants!$B$14),$Z390))</f>
        <v/>
      </c>
      <c r="AH390" s="97" t="str">
        <f aca="false">IF(ISBLANK($C390),"",IF($Z390=Constants!$B$7,IF(ISNUMBER(AG390),COUNTIFS($AA$8:$AA$507,"&lt;"&amp;$AA390)+COUNTIFS($AA$8:$AA$507,$AA390,$AG$8:$AG$507,"&lt;"&amp;$AG390)+1,Constants!$B$14),$Z390))</f>
        <v/>
      </c>
      <c r="AI390" s="97" t="str">
        <f aca="false">IF(ISBLANK($C390),"",IF($Z390=Constants!$B$7,LARGE(AB390:AC390,2)*S390,""))</f>
        <v/>
      </c>
      <c r="AJ390" s="97" t="str">
        <f aca="false">IF(ISBLANK($C390),"",IF($Z390=Constants!$B$7,RANK(AI390,$AI$8:$AI$507),$Z390))</f>
        <v/>
      </c>
      <c r="AK390" s="97" t="str">
        <f aca="false">IF(ISBLANK($C390),"",IF($Z390=Constants!$B$7,IF(ISNUMBER(AG390),COUNTIFS($AA$8:$AA$507,"&lt;"&amp;$AA390)+COUNTIFS($AA$8:$AA$507,$AA390,$AG$8:$AG$507,"&lt;"&amp;$AG390)+COUNTIFS($AA$8:$AA$507,$AA390,$AG$8:$AG$507,$AG390,$AJ$8:$AJ$507,"&lt;"&amp;$AJ390)+1,Constants!$B$14),$Z390))</f>
        <v/>
      </c>
      <c r="AL390" s="97" t="str">
        <f aca="false">IF(ISBLANK($C390),"",IF($Z390=Constants!$B$7,IF(ISNUMBER(AH390),AH390-AK390,Constants!$B$14),$Z390))</f>
        <v/>
      </c>
      <c r="AM390" s="98"/>
      <c r="AN390" s="99" t="str">
        <f aca="false">IF(ISBLANK($C390),"",IF($Z390&lt;&gt;Constants!$B$7,$Z390,AD390))</f>
        <v/>
      </c>
      <c r="AO390" s="100" t="str">
        <f aca="false">IF(ISBLANK($C390),"",IF($Z390&lt;&gt;Constants!$B$7,$Z390,S390))</f>
        <v/>
      </c>
      <c r="AP390" s="101" t="str">
        <f aca="false">IF(ISBLANK($C390),"",IF($Z390&lt;&gt;Constants!$B$7,$Z390,AF390))</f>
        <v/>
      </c>
      <c r="AQ390" s="102" t="str">
        <f aca="false">IF(ISBLANK($C390),"",IF($Z390&lt;&gt;Constants!$B$7,$Z390,AA390))</f>
        <v/>
      </c>
      <c r="AR390" s="100" t="str">
        <f aca="false">IF(ISBLANK($C390),"",AL390)</f>
        <v/>
      </c>
      <c r="AS390" s="100" t="str">
        <f aca="false">IF(ISBLANK($C390),"",AK390)</f>
        <v/>
      </c>
      <c r="AT390" s="103" t="str">
        <f aca="false">IF(ISBLANK($C390),"",IF(AS390=Constants!$B$4,COUNTA($C$8:$C$507)+2,IF(AS390=Constants!$B$5,COUNTA($C$8:$C$507)+1,IF(AS390=Constants!$B$6,COUNTA($C$8:$C$507),AS390))))</f>
        <v/>
      </c>
      <c r="AU390" s="5"/>
      <c r="AV390" s="104" t="n">
        <f aca="false">IF(OR(ISNUMBER(AS390),AS390=Constants!$B$4,AS390=Constants!$B$6,AS390=Constants!$B$5),1,0)</f>
        <v>0</v>
      </c>
      <c r="AW390" s="104" t="n">
        <v>383</v>
      </c>
      <c r="AX390" s="104" t="str">
        <f aca="false">IF(ISBLANK($C390),"",IF(ISNUMBER(AT390),AT390+ROW($B390)/1000,""))</f>
        <v/>
      </c>
      <c r="AY390" s="104" t="str">
        <f aca="false">IF(ISNUMBER(AX390),RANK(AX390,$AX$8:$AX$507,1),"")</f>
        <v/>
      </c>
      <c r="AZ390" s="104" t="str">
        <f aca="false">IF(ISBLANK($C390),"",$B390)</f>
        <v/>
      </c>
      <c r="BA390" s="104" t="str">
        <f aca="false">IF(ISBLANK($C390),"",$C390)</f>
        <v/>
      </c>
      <c r="BB390" s="104" t="str">
        <f aca="false">IF(ISBLANK($C390),"",$D390)</f>
        <v/>
      </c>
      <c r="BC390" s="105" t="str">
        <f aca="false">AQ390</f>
        <v/>
      </c>
      <c r="BD390" s="106" t="str">
        <f aca="false">AP390</f>
        <v/>
      </c>
      <c r="BE390" s="104" t="str">
        <f aca="false">IF(ISBLANK($C390),"",AS390)</f>
        <v/>
      </c>
      <c r="BF390" s="107" t="str">
        <f aca="false">IF($AW390&gt;$AV$7,"",VLOOKUP($AW390,$AY$8:$BE$507,7,FALSE()))</f>
        <v/>
      </c>
      <c r="BG390" s="108" t="str">
        <f aca="false">IF($AW390&gt;$AV$7,"",VLOOKUP($AW390,$AY$8:$BE$507,2,FALSE()))</f>
        <v/>
      </c>
      <c r="BH390" s="108" t="str">
        <f aca="false">IF($AW390&gt;$AV$7,"",VLOOKUP($AW390,$AY$8:$BE$507,3,FALSE()))</f>
        <v/>
      </c>
      <c r="BI390" s="108" t="str">
        <f aca="false">IF($AW390&gt;$AV$7,"",VLOOKUP($AW390,$AY$8:$BE$507,4,FALSE()))</f>
        <v/>
      </c>
      <c r="BJ390" s="108" t="str">
        <f aca="false">IF($AW390&gt;$AV$7,"",VLOOKUP($AW390,$AY$8:$BE$507,5,FALSE()))</f>
        <v/>
      </c>
      <c r="BK390" s="109" t="str">
        <f aca="false">IF($AW390&gt;$AV$7,"",VLOOKUP($AW390,$AY$8:$BE$507,6,FALSE()))</f>
        <v/>
      </c>
      <c r="BL390" s="50"/>
    </row>
    <row r="391" customFormat="false" ht="15.75" hidden="false" customHeight="false" outlineLevel="0" collapsed="false">
      <c r="A391" s="5"/>
      <c r="B391" s="124"/>
      <c r="C391" s="125"/>
      <c r="D391" s="110"/>
      <c r="E391" s="130"/>
      <c r="F391" s="135"/>
      <c r="G391" s="88"/>
      <c r="H391" s="136"/>
      <c r="I391" s="137"/>
      <c r="J391" s="91"/>
      <c r="K391" s="92"/>
      <c r="L391" s="137"/>
      <c r="M391" s="93"/>
      <c r="N391" s="94"/>
      <c r="O391" s="130"/>
      <c r="P391" s="96"/>
      <c r="Q391" s="97" t="str">
        <f aca="false">IF(ISBLANK($C391),"",IF(E391=Constants!$B$2, TRUE(), IF(E391=Constants!$B$3, FALSE(), TRUE())))</f>
        <v/>
      </c>
      <c r="R391" s="97" t="str">
        <f aca="false">IF(ISBLANK($C391),"",IF(F391=Constants!$B$2, TRUE(), IF(F391=Constants!$B$3, FALSE(), TRUE())))</f>
        <v/>
      </c>
      <c r="S391" s="97" t="str">
        <f aca="false">IF(ISBLANK($C391),"",IF(G391=Constants!$B$15,Constants!$B$8,IF(G391=Constants!$B$16,Constants!$B$9,Constants!$B$10)))</f>
        <v/>
      </c>
      <c r="T391" s="97" t="str">
        <f aca="false">IF(ISBLANK($C391),"",IF(H391=Constants!$B$2, TRUE(), IF(H391=Constants!$B$3, FALSE(), TRUE())))</f>
        <v/>
      </c>
      <c r="U391" s="97" t="str">
        <f aca="false">IF(ISBLANK($C391),"",IF(I391=Constants!$B$19,Constants!$B$19,Constants!$B$18))</f>
        <v/>
      </c>
      <c r="V391" s="97" t="str">
        <f aca="false">IF(ISBLANK($C391),"",IF(COUNTA(J391:K391)=0,"",IF(AND(OR(ISBLANK(J391),AND(ISNUMBER(J391),J391&gt;=0)),OR(ISBLANK(K391),AND(ISNUMBER(K391),K391&gt;=0))),60*IF(ISBLANK(J391),0,J391)+IF(ISBLANK(K391),0,K391),"")))</f>
        <v/>
      </c>
      <c r="W391" s="97" t="str">
        <f aca="false">IF(ISBLANK($C391),"",IF(L391=Constants!$B$19,Constants!$B$19,Constants!$B$18))</f>
        <v/>
      </c>
      <c r="X391" s="97" t="str">
        <f aca="false">IF(ISBLANK($C391),"",IF(COUNTA(M391:N391)=0,"",IF(AND(OR(ISBLANK(M391),AND(ISNUMBER(M391),M391&gt;=0)),OR(ISBLANK(N391),AND(ISNUMBER(N391),N391&gt;=0))),60*IF(ISBLANK(M391),0,M391)+IF(ISBLANK(N391),0,N391),"")))</f>
        <v/>
      </c>
      <c r="Y391" s="97" t="str">
        <f aca="false">IF(ISBLANK($C391),"",IF(O391=Constants!$B$2, TRUE(), IF(O391=Constants!$B$3, FALSE(), FALSE())))</f>
        <v/>
      </c>
      <c r="Z391" s="97" t="str">
        <f aca="false">IF(ISBLANK($C391),"",IF(Y391,Constants!$B$4,IF(COUNTA(E391:N391)=0,Constants!$B$5,IF(COUNTA(J391:K391,M391:N391)=0,Constants!$B$6,Constants!$B$7))))</f>
        <v/>
      </c>
      <c r="AA391" s="97" t="str">
        <f aca="false">IF(ISBLANK($C391),"",IF($Z391&lt;&gt;Constants!$B$7,$Z391,IF(OR(NOT(T391),AND(NOT(Q391),COUNTIFS(U391:W391,Constants!$B$18,V391:X391,"&gt;=0")&gt;0),AND(NOT(R391),COUNTIFS(U391:W391,Constants!$B$19,V391:X391,"&gt;=0")&gt;0)),Constants!$B$12,Constants!$B$11)))</f>
        <v/>
      </c>
      <c r="AB391" s="97" t="str">
        <f aca="false">IF($Z391=Constants!$B$7,IF(V391="",Constants!$B$13,V391),"")</f>
        <v/>
      </c>
      <c r="AC391" s="97" t="str">
        <f aca="false">IF($Z391=Constants!$B$7,IF(X391="",Constants!$B$13,X391),"")</f>
        <v/>
      </c>
      <c r="AD391" s="97" t="str">
        <f aca="false">IF($Z391=Constants!$B$7,IF($AB391&gt;=$AC391,1,2),"")</f>
        <v/>
      </c>
      <c r="AE391" s="97" t="str">
        <f aca="false">IF($Z391=Constants!$B$7,LARGE(AB391:AC391,1),"")</f>
        <v/>
      </c>
      <c r="AF391" s="97" t="str">
        <f aca="false">IF(ISBLANK($C391),"",IF($Z391&lt;&gt;Constants!$B$7,$Z391,AE391*S391))</f>
        <v/>
      </c>
      <c r="AG391" s="97" t="str">
        <f aca="false">IF(ISBLANK($C391),"",IF($Z391=Constants!$B$7,IF(ISNUMBER(AF391),RANK(AF391,$AF$8:$AF$507),Constants!$B$14),$Z391))</f>
        <v/>
      </c>
      <c r="AH391" s="97" t="str">
        <f aca="false">IF(ISBLANK($C391),"",IF($Z391=Constants!$B$7,IF(ISNUMBER(AG391),COUNTIFS($AA$8:$AA$507,"&lt;"&amp;$AA391)+COUNTIFS($AA$8:$AA$507,$AA391,$AG$8:$AG$507,"&lt;"&amp;$AG391)+1,Constants!$B$14),$Z391))</f>
        <v/>
      </c>
      <c r="AI391" s="97" t="str">
        <f aca="false">IF(ISBLANK($C391),"",IF($Z391=Constants!$B$7,LARGE(AB391:AC391,2)*S391,""))</f>
        <v/>
      </c>
      <c r="AJ391" s="97" t="str">
        <f aca="false">IF(ISBLANK($C391),"",IF($Z391=Constants!$B$7,RANK(AI391,$AI$8:$AI$507),$Z391))</f>
        <v/>
      </c>
      <c r="AK391" s="97" t="str">
        <f aca="false">IF(ISBLANK($C391),"",IF($Z391=Constants!$B$7,IF(ISNUMBER(AG391),COUNTIFS($AA$8:$AA$507,"&lt;"&amp;$AA391)+COUNTIFS($AA$8:$AA$507,$AA391,$AG$8:$AG$507,"&lt;"&amp;$AG391)+COUNTIFS($AA$8:$AA$507,$AA391,$AG$8:$AG$507,$AG391,$AJ$8:$AJ$507,"&lt;"&amp;$AJ391)+1,Constants!$B$14),$Z391))</f>
        <v/>
      </c>
      <c r="AL391" s="97" t="str">
        <f aca="false">IF(ISBLANK($C391),"",IF($Z391=Constants!$B$7,IF(ISNUMBER(AH391),AH391-AK391,Constants!$B$14),$Z391))</f>
        <v/>
      </c>
      <c r="AM391" s="98"/>
      <c r="AN391" s="99" t="str">
        <f aca="false">IF(ISBLANK($C391),"",IF($Z391&lt;&gt;Constants!$B$7,$Z391,AD391))</f>
        <v/>
      </c>
      <c r="AO391" s="100" t="str">
        <f aca="false">IF(ISBLANK($C391),"",IF($Z391&lt;&gt;Constants!$B$7,$Z391,S391))</f>
        <v/>
      </c>
      <c r="AP391" s="101" t="str">
        <f aca="false">IF(ISBLANK($C391),"",IF($Z391&lt;&gt;Constants!$B$7,$Z391,AF391))</f>
        <v/>
      </c>
      <c r="AQ391" s="102" t="str">
        <f aca="false">IF(ISBLANK($C391),"",IF($Z391&lt;&gt;Constants!$B$7,$Z391,AA391))</f>
        <v/>
      </c>
      <c r="AR391" s="100" t="str">
        <f aca="false">IF(ISBLANK($C391),"",AL391)</f>
        <v/>
      </c>
      <c r="AS391" s="100" t="str">
        <f aca="false">IF(ISBLANK($C391),"",AK391)</f>
        <v/>
      </c>
      <c r="AT391" s="103" t="str">
        <f aca="false">IF(ISBLANK($C391),"",IF(AS391=Constants!$B$4,COUNTA($C$8:$C$507)+2,IF(AS391=Constants!$B$5,COUNTA($C$8:$C$507)+1,IF(AS391=Constants!$B$6,COUNTA($C$8:$C$507),AS391))))</f>
        <v/>
      </c>
      <c r="AU391" s="5"/>
      <c r="AV391" s="104" t="n">
        <f aca="false">IF(OR(ISNUMBER(AS391),AS391=Constants!$B$4,AS391=Constants!$B$6,AS391=Constants!$B$5),1,0)</f>
        <v>0</v>
      </c>
      <c r="AW391" s="104" t="n">
        <v>384</v>
      </c>
      <c r="AX391" s="104" t="str">
        <f aca="false">IF(ISBLANK($C391),"",IF(ISNUMBER(AT391),AT391+ROW($B391)/1000,""))</f>
        <v/>
      </c>
      <c r="AY391" s="104" t="str">
        <f aca="false">IF(ISNUMBER(AX391),RANK(AX391,$AX$8:$AX$507,1),"")</f>
        <v/>
      </c>
      <c r="AZ391" s="104" t="str">
        <f aca="false">IF(ISBLANK($C391),"",$B391)</f>
        <v/>
      </c>
      <c r="BA391" s="104" t="str">
        <f aca="false">IF(ISBLANK($C391),"",$C391)</f>
        <v/>
      </c>
      <c r="BB391" s="104" t="str">
        <f aca="false">IF(ISBLANK($C391),"",$D391)</f>
        <v/>
      </c>
      <c r="BC391" s="105" t="str">
        <f aca="false">AQ391</f>
        <v/>
      </c>
      <c r="BD391" s="106" t="str">
        <f aca="false">AP391</f>
        <v/>
      </c>
      <c r="BE391" s="104" t="str">
        <f aca="false">IF(ISBLANK($C391),"",AS391)</f>
        <v/>
      </c>
      <c r="BF391" s="107" t="str">
        <f aca="false">IF($AW391&gt;$AV$7,"",VLOOKUP($AW391,$AY$8:$BE$507,7,FALSE()))</f>
        <v/>
      </c>
      <c r="BG391" s="108" t="str">
        <f aca="false">IF($AW391&gt;$AV$7,"",VLOOKUP($AW391,$AY$8:$BE$507,2,FALSE()))</f>
        <v/>
      </c>
      <c r="BH391" s="108" t="str">
        <f aca="false">IF($AW391&gt;$AV$7,"",VLOOKUP($AW391,$AY$8:$BE$507,3,FALSE()))</f>
        <v/>
      </c>
      <c r="BI391" s="108" t="str">
        <f aca="false">IF($AW391&gt;$AV$7,"",VLOOKUP($AW391,$AY$8:$BE$507,4,FALSE()))</f>
        <v/>
      </c>
      <c r="BJ391" s="108" t="str">
        <f aca="false">IF($AW391&gt;$AV$7,"",VLOOKUP($AW391,$AY$8:$BE$507,5,FALSE()))</f>
        <v/>
      </c>
      <c r="BK391" s="109" t="str">
        <f aca="false">IF($AW391&gt;$AV$7,"",VLOOKUP($AW391,$AY$8:$BE$507,6,FALSE()))</f>
        <v/>
      </c>
      <c r="BL391" s="50"/>
    </row>
    <row r="392" customFormat="false" ht="15.75" hidden="false" customHeight="false" outlineLevel="0" collapsed="false">
      <c r="A392" s="5"/>
      <c r="B392" s="131"/>
      <c r="C392" s="52"/>
      <c r="D392" s="53"/>
      <c r="E392" s="80"/>
      <c r="F392" s="132"/>
      <c r="G392" s="56"/>
      <c r="H392" s="133"/>
      <c r="I392" s="134"/>
      <c r="J392" s="59"/>
      <c r="K392" s="60"/>
      <c r="L392" s="134"/>
      <c r="M392" s="61"/>
      <c r="N392" s="62"/>
      <c r="O392" s="80"/>
      <c r="P392" s="64"/>
      <c r="Q392" s="65" t="str">
        <f aca="false">IF(ISBLANK($C392),"",IF(E392=Constants!$B$2, TRUE(), IF(E392=Constants!$B$3, FALSE(), TRUE())))</f>
        <v/>
      </c>
      <c r="R392" s="65" t="str">
        <f aca="false">IF(ISBLANK($C392),"",IF(F392=Constants!$B$2, TRUE(), IF(F392=Constants!$B$3, FALSE(), TRUE())))</f>
        <v/>
      </c>
      <c r="S392" s="65" t="str">
        <f aca="false">IF(ISBLANK($C392),"",IF(G392=Constants!$B$15,Constants!$B$8,IF(G392=Constants!$B$16,Constants!$B$9,Constants!$B$10)))</f>
        <v/>
      </c>
      <c r="T392" s="65" t="str">
        <f aca="false">IF(ISBLANK($C392),"",IF(H392=Constants!$B$2, TRUE(), IF(H392=Constants!$B$3, FALSE(), TRUE())))</f>
        <v/>
      </c>
      <c r="U392" s="65" t="str">
        <f aca="false">IF(ISBLANK($C392),"",IF(I392=Constants!$B$19,Constants!$B$19,Constants!$B$18))</f>
        <v/>
      </c>
      <c r="V392" s="65" t="str">
        <f aca="false">IF(ISBLANK($C392),"",IF(COUNTA(J392:K392)=0,"",IF(AND(OR(ISBLANK(J392),AND(ISNUMBER(J392),J392&gt;=0)),OR(ISBLANK(K392),AND(ISNUMBER(K392),K392&gt;=0))),60*IF(ISBLANK(J392),0,J392)+IF(ISBLANK(K392),0,K392),"")))</f>
        <v/>
      </c>
      <c r="W392" s="65" t="str">
        <f aca="false">IF(ISBLANK($C392),"",IF(L392=Constants!$B$19,Constants!$B$19,Constants!$B$18))</f>
        <v/>
      </c>
      <c r="X392" s="65" t="str">
        <f aca="false">IF(ISBLANK($C392),"",IF(COUNTA(M392:N392)=0,"",IF(AND(OR(ISBLANK(M392),AND(ISNUMBER(M392),M392&gt;=0)),OR(ISBLANK(N392),AND(ISNUMBER(N392),N392&gt;=0))),60*IF(ISBLANK(M392),0,M392)+IF(ISBLANK(N392),0,N392),"")))</f>
        <v/>
      </c>
      <c r="Y392" s="65" t="str">
        <f aca="false">IF(ISBLANK($C392),"",IF(O392=Constants!$B$2, TRUE(), IF(O392=Constants!$B$3, FALSE(), FALSE())))</f>
        <v/>
      </c>
      <c r="Z392" s="65" t="str">
        <f aca="false">IF(ISBLANK($C392),"",IF(Y392,Constants!$B$4,IF(COUNTA(E392:N392)=0,Constants!$B$5,IF(COUNTA(J392:K392,M392:N392)=0,Constants!$B$6,Constants!$B$7))))</f>
        <v/>
      </c>
      <c r="AA392" s="65" t="str">
        <f aca="false">IF(ISBLANK($C392),"",IF($Z392&lt;&gt;Constants!$B$7,$Z392,IF(OR(NOT(T392),AND(NOT(Q392),COUNTIFS(U392:W392,Constants!$B$18,V392:X392,"&gt;=0")&gt;0),AND(NOT(R392),COUNTIFS(U392:W392,Constants!$B$19,V392:X392,"&gt;=0")&gt;0)),Constants!$B$12,Constants!$B$11)))</f>
        <v/>
      </c>
      <c r="AB392" s="65" t="str">
        <f aca="false">IF($Z392=Constants!$B$7,IF(V392="",Constants!$B$13,V392),"")</f>
        <v/>
      </c>
      <c r="AC392" s="65" t="str">
        <f aca="false">IF($Z392=Constants!$B$7,IF(X392="",Constants!$B$13,X392),"")</f>
        <v/>
      </c>
      <c r="AD392" s="65" t="str">
        <f aca="false">IF($Z392=Constants!$B$7,IF($AB392&gt;=$AC392,1,2),"")</f>
        <v/>
      </c>
      <c r="AE392" s="65" t="str">
        <f aca="false">IF($Z392=Constants!$B$7,LARGE(AB392:AC392,1),"")</f>
        <v/>
      </c>
      <c r="AF392" s="65" t="str">
        <f aca="false">IF(ISBLANK($C392),"",IF($Z392&lt;&gt;Constants!$B$7,$Z392,AE392*S392))</f>
        <v/>
      </c>
      <c r="AG392" s="65" t="str">
        <f aca="false">IF(ISBLANK($C392),"",IF($Z392=Constants!$B$7,IF(ISNUMBER(AF392),RANK(AF392,$AF$8:$AF$507),Constants!$B$14),$Z392))</f>
        <v/>
      </c>
      <c r="AH392" s="65" t="str">
        <f aca="false">IF(ISBLANK($C392),"",IF($Z392=Constants!$B$7,IF(ISNUMBER(AG392),COUNTIFS($AA$8:$AA$507,"&lt;"&amp;$AA392)+COUNTIFS($AA$8:$AA$507,$AA392,$AG$8:$AG$507,"&lt;"&amp;$AG392)+1,Constants!$B$14),$Z392))</f>
        <v/>
      </c>
      <c r="AI392" s="65" t="str">
        <f aca="false">IF(ISBLANK($C392),"",IF($Z392=Constants!$B$7,LARGE(AB392:AC392,2)*S392,""))</f>
        <v/>
      </c>
      <c r="AJ392" s="65" t="str">
        <f aca="false">IF(ISBLANK($C392),"",IF($Z392=Constants!$B$7,RANK(AI392,$AI$8:$AI$507),$Z392))</f>
        <v/>
      </c>
      <c r="AK392" s="65" t="str">
        <f aca="false">IF(ISBLANK($C392),"",IF($Z392=Constants!$B$7,IF(ISNUMBER(AG392),COUNTIFS($AA$8:$AA$507,"&lt;"&amp;$AA392)+COUNTIFS($AA$8:$AA$507,$AA392,$AG$8:$AG$507,"&lt;"&amp;$AG392)+COUNTIFS($AA$8:$AA$507,$AA392,$AG$8:$AG$507,$AG392,$AJ$8:$AJ$507,"&lt;"&amp;$AJ392)+1,Constants!$B$14),$Z392))</f>
        <v/>
      </c>
      <c r="AL392" s="65" t="str">
        <f aca="false">IF(ISBLANK($C392),"",IF($Z392=Constants!$B$7,IF(ISNUMBER(AH392),AH392-AK392,Constants!$B$14),$Z392))</f>
        <v/>
      </c>
      <c r="AM392" s="67"/>
      <c r="AN392" s="68" t="str">
        <f aca="false">IF(ISBLANK($C392),"",IF($Z392&lt;&gt;Constants!$B$7,$Z392,AD392))</f>
        <v/>
      </c>
      <c r="AO392" s="69" t="str">
        <f aca="false">IF(ISBLANK($C392),"",IF($Z392&lt;&gt;Constants!$B$7,$Z392,S392))</f>
        <v/>
      </c>
      <c r="AP392" s="70" t="str">
        <f aca="false">IF(ISBLANK($C392),"",IF($Z392&lt;&gt;Constants!$B$7,$Z392,AF392))</f>
        <v/>
      </c>
      <c r="AQ392" s="71" t="str">
        <f aca="false">IF(ISBLANK($C392),"",IF($Z392&lt;&gt;Constants!$B$7,$Z392,AA392))</f>
        <v/>
      </c>
      <c r="AR392" s="69" t="str">
        <f aca="false">IF(ISBLANK($C392),"",AL392)</f>
        <v/>
      </c>
      <c r="AS392" s="69" t="str">
        <f aca="false">IF(ISBLANK($C392),"",AK392)</f>
        <v/>
      </c>
      <c r="AT392" s="72" t="str">
        <f aca="false">IF(ISBLANK($C392),"",IF(AS392=Constants!$B$4,COUNTA($C$8:$C$507)+2,IF(AS392=Constants!$B$5,COUNTA($C$8:$C$507)+1,IF(AS392=Constants!$B$6,COUNTA($C$8:$C$507),AS392))))</f>
        <v/>
      </c>
      <c r="AU392" s="5"/>
      <c r="AV392" s="73" t="n">
        <f aca="false">IF(OR(ISNUMBER(AS392),AS392=Constants!$B$4,AS392=Constants!$B$6,AS392=Constants!$B$5),1,0)</f>
        <v>0</v>
      </c>
      <c r="AW392" s="73" t="n">
        <v>385</v>
      </c>
      <c r="AX392" s="73" t="str">
        <f aca="false">IF(ISBLANK($C392),"",IF(ISNUMBER(AT392),AT392+ROW($B392)/1000,""))</f>
        <v/>
      </c>
      <c r="AY392" s="73" t="str">
        <f aca="false">IF(ISNUMBER(AX392),RANK(AX392,$AX$8:$AX$507,1),"")</f>
        <v/>
      </c>
      <c r="AZ392" s="73" t="str">
        <f aca="false">IF(ISBLANK($C392),"",$B392)</f>
        <v/>
      </c>
      <c r="BA392" s="73" t="str">
        <f aca="false">IF(ISBLANK($C392),"",$C392)</f>
        <v/>
      </c>
      <c r="BB392" s="73" t="str">
        <f aca="false">IF(ISBLANK($C392),"",$D392)</f>
        <v/>
      </c>
      <c r="BC392" s="74" t="str">
        <f aca="false">AQ392</f>
        <v/>
      </c>
      <c r="BD392" s="75" t="str">
        <f aca="false">AP392</f>
        <v/>
      </c>
      <c r="BE392" s="73" t="str">
        <f aca="false">IF(ISBLANK($C392),"",AS392)</f>
        <v/>
      </c>
      <c r="BF392" s="76" t="str">
        <f aca="false">IF($AW392&gt;$AV$7,"",VLOOKUP($AW392,$AY$8:$BE$507,7,FALSE()))</f>
        <v/>
      </c>
      <c r="BG392" s="77" t="str">
        <f aca="false">IF($AW392&gt;$AV$7,"",VLOOKUP($AW392,$AY$8:$BE$507,2,FALSE()))</f>
        <v/>
      </c>
      <c r="BH392" s="77" t="str">
        <f aca="false">IF($AW392&gt;$AV$7,"",VLOOKUP($AW392,$AY$8:$BE$507,3,FALSE()))</f>
        <v/>
      </c>
      <c r="BI392" s="77" t="str">
        <f aca="false">IF($AW392&gt;$AV$7,"",VLOOKUP($AW392,$AY$8:$BE$507,4,FALSE()))</f>
        <v/>
      </c>
      <c r="BJ392" s="77" t="str">
        <f aca="false">IF($AW392&gt;$AV$7,"",VLOOKUP($AW392,$AY$8:$BE$507,5,FALSE()))</f>
        <v/>
      </c>
      <c r="BK392" s="78" t="str">
        <f aca="false">IF($AW392&gt;$AV$7,"",VLOOKUP($AW392,$AY$8:$BE$507,6,FALSE()))</f>
        <v/>
      </c>
      <c r="BL392" s="50"/>
    </row>
    <row r="393" customFormat="false" ht="15.75" hidden="false" customHeight="false" outlineLevel="0" collapsed="false">
      <c r="A393" s="5"/>
      <c r="B393" s="131"/>
      <c r="C393" s="52"/>
      <c r="D393" s="53"/>
      <c r="E393" s="80"/>
      <c r="F393" s="132"/>
      <c r="G393" s="56"/>
      <c r="H393" s="133"/>
      <c r="I393" s="134"/>
      <c r="J393" s="59"/>
      <c r="K393" s="60"/>
      <c r="L393" s="134"/>
      <c r="M393" s="61"/>
      <c r="N393" s="62"/>
      <c r="O393" s="80"/>
      <c r="P393" s="64"/>
      <c r="Q393" s="65" t="str">
        <f aca="false">IF(ISBLANK($C393),"",IF(E393=Constants!$B$2, TRUE(), IF(E393=Constants!$B$3, FALSE(), TRUE())))</f>
        <v/>
      </c>
      <c r="R393" s="65" t="str">
        <f aca="false">IF(ISBLANK($C393),"",IF(F393=Constants!$B$2, TRUE(), IF(F393=Constants!$B$3, FALSE(), TRUE())))</f>
        <v/>
      </c>
      <c r="S393" s="65" t="str">
        <f aca="false">IF(ISBLANK($C393),"",IF(G393=Constants!$B$15,Constants!$B$8,IF(G393=Constants!$B$16,Constants!$B$9,Constants!$B$10)))</f>
        <v/>
      </c>
      <c r="T393" s="65" t="str">
        <f aca="false">IF(ISBLANK($C393),"",IF(H393=Constants!$B$2, TRUE(), IF(H393=Constants!$B$3, FALSE(), TRUE())))</f>
        <v/>
      </c>
      <c r="U393" s="65" t="str">
        <f aca="false">IF(ISBLANK($C393),"",IF(I393=Constants!$B$19,Constants!$B$19,Constants!$B$18))</f>
        <v/>
      </c>
      <c r="V393" s="65" t="str">
        <f aca="false">IF(ISBLANK($C393),"",IF(COUNTA(J393:K393)=0,"",IF(AND(OR(ISBLANK(J393),AND(ISNUMBER(J393),J393&gt;=0)),OR(ISBLANK(K393),AND(ISNUMBER(K393),K393&gt;=0))),60*IF(ISBLANK(J393),0,J393)+IF(ISBLANK(K393),0,K393),"")))</f>
        <v/>
      </c>
      <c r="W393" s="65" t="str">
        <f aca="false">IF(ISBLANK($C393),"",IF(L393=Constants!$B$19,Constants!$B$19,Constants!$B$18))</f>
        <v/>
      </c>
      <c r="X393" s="65" t="str">
        <f aca="false">IF(ISBLANK($C393),"",IF(COUNTA(M393:N393)=0,"",IF(AND(OR(ISBLANK(M393),AND(ISNUMBER(M393),M393&gt;=0)),OR(ISBLANK(N393),AND(ISNUMBER(N393),N393&gt;=0))),60*IF(ISBLANK(M393),0,M393)+IF(ISBLANK(N393),0,N393),"")))</f>
        <v/>
      </c>
      <c r="Y393" s="65" t="str">
        <f aca="false">IF(ISBLANK($C393),"",IF(O393=Constants!$B$2, TRUE(), IF(O393=Constants!$B$3, FALSE(), FALSE())))</f>
        <v/>
      </c>
      <c r="Z393" s="65" t="str">
        <f aca="false">IF(ISBLANK($C393),"",IF(Y393,Constants!$B$4,IF(COUNTA(E393:N393)=0,Constants!$B$5,IF(COUNTA(J393:K393,M393:N393)=0,Constants!$B$6,Constants!$B$7))))</f>
        <v/>
      </c>
      <c r="AA393" s="65" t="str">
        <f aca="false">IF(ISBLANK($C393),"",IF($Z393&lt;&gt;Constants!$B$7,$Z393,IF(OR(NOT(T393),AND(NOT(Q393),COUNTIFS(U393:W393,Constants!$B$18,V393:X393,"&gt;=0")&gt;0),AND(NOT(R393),COUNTIFS(U393:W393,Constants!$B$19,V393:X393,"&gt;=0")&gt;0)),Constants!$B$12,Constants!$B$11)))</f>
        <v/>
      </c>
      <c r="AB393" s="65" t="str">
        <f aca="false">IF($Z393=Constants!$B$7,IF(V393="",Constants!$B$13,V393),"")</f>
        <v/>
      </c>
      <c r="AC393" s="65" t="str">
        <f aca="false">IF($Z393=Constants!$B$7,IF(X393="",Constants!$B$13,X393),"")</f>
        <v/>
      </c>
      <c r="AD393" s="65" t="str">
        <f aca="false">IF($Z393=Constants!$B$7,IF($AB393&gt;=$AC393,1,2),"")</f>
        <v/>
      </c>
      <c r="AE393" s="65" t="str">
        <f aca="false">IF($Z393=Constants!$B$7,LARGE(AB393:AC393,1),"")</f>
        <v/>
      </c>
      <c r="AF393" s="65" t="str">
        <f aca="false">IF(ISBLANK($C393),"",IF($Z393&lt;&gt;Constants!$B$7,$Z393,AE393*S393))</f>
        <v/>
      </c>
      <c r="AG393" s="65" t="str">
        <f aca="false">IF(ISBLANK($C393),"",IF($Z393=Constants!$B$7,IF(ISNUMBER(AF393),RANK(AF393,$AF$8:$AF$507),Constants!$B$14),$Z393))</f>
        <v/>
      </c>
      <c r="AH393" s="65" t="str">
        <f aca="false">IF(ISBLANK($C393),"",IF($Z393=Constants!$B$7,IF(ISNUMBER(AG393),COUNTIFS($AA$8:$AA$507,"&lt;"&amp;$AA393)+COUNTIFS($AA$8:$AA$507,$AA393,$AG$8:$AG$507,"&lt;"&amp;$AG393)+1,Constants!$B$14),$Z393))</f>
        <v/>
      </c>
      <c r="AI393" s="65" t="str">
        <f aca="false">IF(ISBLANK($C393),"",IF($Z393=Constants!$B$7,LARGE(AB393:AC393,2)*S393,""))</f>
        <v/>
      </c>
      <c r="AJ393" s="65" t="str">
        <f aca="false">IF(ISBLANK($C393),"",IF($Z393=Constants!$B$7,RANK(AI393,$AI$8:$AI$507),$Z393))</f>
        <v/>
      </c>
      <c r="AK393" s="65" t="str">
        <f aca="false">IF(ISBLANK($C393),"",IF($Z393=Constants!$B$7,IF(ISNUMBER(AG393),COUNTIFS($AA$8:$AA$507,"&lt;"&amp;$AA393)+COUNTIFS($AA$8:$AA$507,$AA393,$AG$8:$AG$507,"&lt;"&amp;$AG393)+COUNTIFS($AA$8:$AA$507,$AA393,$AG$8:$AG$507,$AG393,$AJ$8:$AJ$507,"&lt;"&amp;$AJ393)+1,Constants!$B$14),$Z393))</f>
        <v/>
      </c>
      <c r="AL393" s="65" t="str">
        <f aca="false">IF(ISBLANK($C393),"",IF($Z393=Constants!$B$7,IF(ISNUMBER(AH393),AH393-AK393,Constants!$B$14),$Z393))</f>
        <v/>
      </c>
      <c r="AM393" s="67"/>
      <c r="AN393" s="68" t="str">
        <f aca="false">IF(ISBLANK($C393),"",IF($Z393&lt;&gt;Constants!$B$7,$Z393,AD393))</f>
        <v/>
      </c>
      <c r="AO393" s="69" t="str">
        <f aca="false">IF(ISBLANK($C393),"",IF($Z393&lt;&gt;Constants!$B$7,$Z393,S393))</f>
        <v/>
      </c>
      <c r="AP393" s="70" t="str">
        <f aca="false">IF(ISBLANK($C393),"",IF($Z393&lt;&gt;Constants!$B$7,$Z393,AF393))</f>
        <v/>
      </c>
      <c r="AQ393" s="71" t="str">
        <f aca="false">IF(ISBLANK($C393),"",IF($Z393&lt;&gt;Constants!$B$7,$Z393,AA393))</f>
        <v/>
      </c>
      <c r="AR393" s="69" t="str">
        <f aca="false">IF(ISBLANK($C393),"",AL393)</f>
        <v/>
      </c>
      <c r="AS393" s="69" t="str">
        <f aca="false">IF(ISBLANK($C393),"",AK393)</f>
        <v/>
      </c>
      <c r="AT393" s="72" t="str">
        <f aca="false">IF(ISBLANK($C393),"",IF(AS393=Constants!$B$4,COUNTA($C$8:$C$507)+2,IF(AS393=Constants!$B$5,COUNTA($C$8:$C$507)+1,IF(AS393=Constants!$B$6,COUNTA($C$8:$C$507),AS393))))</f>
        <v/>
      </c>
      <c r="AU393" s="5"/>
      <c r="AV393" s="73" t="n">
        <f aca="false">IF(OR(ISNUMBER(AS393),AS393=Constants!$B$4,AS393=Constants!$B$6,AS393=Constants!$B$5),1,0)</f>
        <v>0</v>
      </c>
      <c r="AW393" s="73" t="n">
        <v>386</v>
      </c>
      <c r="AX393" s="73" t="str">
        <f aca="false">IF(ISBLANK($C393),"",IF(ISNUMBER(AT393),AT393+ROW($B393)/1000,""))</f>
        <v/>
      </c>
      <c r="AY393" s="73" t="str">
        <f aca="false">IF(ISNUMBER(AX393),RANK(AX393,$AX$8:$AX$507,1),"")</f>
        <v/>
      </c>
      <c r="AZ393" s="73" t="str">
        <f aca="false">IF(ISBLANK($C393),"",$B393)</f>
        <v/>
      </c>
      <c r="BA393" s="73" t="str">
        <f aca="false">IF(ISBLANK($C393),"",$C393)</f>
        <v/>
      </c>
      <c r="BB393" s="73" t="str">
        <f aca="false">IF(ISBLANK($C393),"",$D393)</f>
        <v/>
      </c>
      <c r="BC393" s="74" t="str">
        <f aca="false">AQ393</f>
        <v/>
      </c>
      <c r="BD393" s="75" t="str">
        <f aca="false">AP393</f>
        <v/>
      </c>
      <c r="BE393" s="73" t="str">
        <f aca="false">IF(ISBLANK($C393),"",AS393)</f>
        <v/>
      </c>
      <c r="BF393" s="76" t="str">
        <f aca="false">IF($AW393&gt;$AV$7,"",VLOOKUP($AW393,$AY$8:$BE$507,7,FALSE()))</f>
        <v/>
      </c>
      <c r="BG393" s="77" t="str">
        <f aca="false">IF($AW393&gt;$AV$7,"",VLOOKUP($AW393,$AY$8:$BE$507,2,FALSE()))</f>
        <v/>
      </c>
      <c r="BH393" s="77" t="str">
        <f aca="false">IF($AW393&gt;$AV$7,"",VLOOKUP($AW393,$AY$8:$BE$507,3,FALSE()))</f>
        <v/>
      </c>
      <c r="BI393" s="77" t="str">
        <f aca="false">IF($AW393&gt;$AV$7,"",VLOOKUP($AW393,$AY$8:$BE$507,4,FALSE()))</f>
        <v/>
      </c>
      <c r="BJ393" s="77" t="str">
        <f aca="false">IF($AW393&gt;$AV$7,"",VLOOKUP($AW393,$AY$8:$BE$507,5,FALSE()))</f>
        <v/>
      </c>
      <c r="BK393" s="78" t="str">
        <f aca="false">IF($AW393&gt;$AV$7,"",VLOOKUP($AW393,$AY$8:$BE$507,6,FALSE()))</f>
        <v/>
      </c>
      <c r="BL393" s="50"/>
    </row>
    <row r="394" customFormat="false" ht="15.75" hidden="false" customHeight="false" outlineLevel="0" collapsed="false">
      <c r="A394" s="5"/>
      <c r="B394" s="131"/>
      <c r="C394" s="52"/>
      <c r="D394" s="53"/>
      <c r="E394" s="80"/>
      <c r="F394" s="132"/>
      <c r="G394" s="56"/>
      <c r="H394" s="133"/>
      <c r="I394" s="134"/>
      <c r="J394" s="59"/>
      <c r="K394" s="60"/>
      <c r="L394" s="134"/>
      <c r="M394" s="61"/>
      <c r="N394" s="62"/>
      <c r="O394" s="80"/>
      <c r="P394" s="64"/>
      <c r="Q394" s="65" t="str">
        <f aca="false">IF(ISBLANK($C394),"",IF(E394=Constants!$B$2, TRUE(), IF(E394=Constants!$B$3, FALSE(), TRUE())))</f>
        <v/>
      </c>
      <c r="R394" s="65" t="str">
        <f aca="false">IF(ISBLANK($C394),"",IF(F394=Constants!$B$2, TRUE(), IF(F394=Constants!$B$3, FALSE(), TRUE())))</f>
        <v/>
      </c>
      <c r="S394" s="65" t="str">
        <f aca="false">IF(ISBLANK($C394),"",IF(G394=Constants!$B$15,Constants!$B$8,IF(G394=Constants!$B$16,Constants!$B$9,Constants!$B$10)))</f>
        <v/>
      </c>
      <c r="T394" s="65" t="str">
        <f aca="false">IF(ISBLANK($C394),"",IF(H394=Constants!$B$2, TRUE(), IF(H394=Constants!$B$3, FALSE(), TRUE())))</f>
        <v/>
      </c>
      <c r="U394" s="65" t="str">
        <f aca="false">IF(ISBLANK($C394),"",IF(I394=Constants!$B$19,Constants!$B$19,Constants!$B$18))</f>
        <v/>
      </c>
      <c r="V394" s="65" t="str">
        <f aca="false">IF(ISBLANK($C394),"",IF(COUNTA(J394:K394)=0,"",IF(AND(OR(ISBLANK(J394),AND(ISNUMBER(J394),J394&gt;=0)),OR(ISBLANK(K394),AND(ISNUMBER(K394),K394&gt;=0))),60*IF(ISBLANK(J394),0,J394)+IF(ISBLANK(K394),0,K394),"")))</f>
        <v/>
      </c>
      <c r="W394" s="65" t="str">
        <f aca="false">IF(ISBLANK($C394),"",IF(L394=Constants!$B$19,Constants!$B$19,Constants!$B$18))</f>
        <v/>
      </c>
      <c r="X394" s="65" t="str">
        <f aca="false">IF(ISBLANK($C394),"",IF(COUNTA(M394:N394)=0,"",IF(AND(OR(ISBLANK(M394),AND(ISNUMBER(M394),M394&gt;=0)),OR(ISBLANK(N394),AND(ISNUMBER(N394),N394&gt;=0))),60*IF(ISBLANK(M394),0,M394)+IF(ISBLANK(N394),0,N394),"")))</f>
        <v/>
      </c>
      <c r="Y394" s="65" t="str">
        <f aca="false">IF(ISBLANK($C394),"",IF(O394=Constants!$B$2, TRUE(), IF(O394=Constants!$B$3, FALSE(), FALSE())))</f>
        <v/>
      </c>
      <c r="Z394" s="65" t="str">
        <f aca="false">IF(ISBLANK($C394),"",IF(Y394,Constants!$B$4,IF(COUNTA(E394:N394)=0,Constants!$B$5,IF(COUNTA(J394:K394,M394:N394)=0,Constants!$B$6,Constants!$B$7))))</f>
        <v/>
      </c>
      <c r="AA394" s="65" t="str">
        <f aca="false">IF(ISBLANK($C394),"",IF($Z394&lt;&gt;Constants!$B$7,$Z394,IF(OR(NOT(T394),AND(NOT(Q394),COUNTIFS(U394:W394,Constants!$B$18,V394:X394,"&gt;=0")&gt;0),AND(NOT(R394),COUNTIFS(U394:W394,Constants!$B$19,V394:X394,"&gt;=0")&gt;0)),Constants!$B$12,Constants!$B$11)))</f>
        <v/>
      </c>
      <c r="AB394" s="65" t="str">
        <f aca="false">IF($Z394=Constants!$B$7,IF(V394="",Constants!$B$13,V394),"")</f>
        <v/>
      </c>
      <c r="AC394" s="65" t="str">
        <f aca="false">IF($Z394=Constants!$B$7,IF(X394="",Constants!$B$13,X394),"")</f>
        <v/>
      </c>
      <c r="AD394" s="65" t="str">
        <f aca="false">IF($Z394=Constants!$B$7,IF($AB394&gt;=$AC394,1,2),"")</f>
        <v/>
      </c>
      <c r="AE394" s="65" t="str">
        <f aca="false">IF($Z394=Constants!$B$7,LARGE(AB394:AC394,1),"")</f>
        <v/>
      </c>
      <c r="AF394" s="65" t="str">
        <f aca="false">IF(ISBLANK($C394),"",IF($Z394&lt;&gt;Constants!$B$7,$Z394,AE394*S394))</f>
        <v/>
      </c>
      <c r="AG394" s="65" t="str">
        <f aca="false">IF(ISBLANK($C394),"",IF($Z394=Constants!$B$7,IF(ISNUMBER(AF394),RANK(AF394,$AF$8:$AF$507),Constants!$B$14),$Z394))</f>
        <v/>
      </c>
      <c r="AH394" s="65" t="str">
        <f aca="false">IF(ISBLANK($C394),"",IF($Z394=Constants!$B$7,IF(ISNUMBER(AG394),COUNTIFS($AA$8:$AA$507,"&lt;"&amp;$AA394)+COUNTIFS($AA$8:$AA$507,$AA394,$AG$8:$AG$507,"&lt;"&amp;$AG394)+1,Constants!$B$14),$Z394))</f>
        <v/>
      </c>
      <c r="AI394" s="65" t="str">
        <f aca="false">IF(ISBLANK($C394),"",IF($Z394=Constants!$B$7,LARGE(AB394:AC394,2)*S394,""))</f>
        <v/>
      </c>
      <c r="AJ394" s="65" t="str">
        <f aca="false">IF(ISBLANK($C394),"",IF($Z394=Constants!$B$7,RANK(AI394,$AI$8:$AI$507),$Z394))</f>
        <v/>
      </c>
      <c r="AK394" s="65" t="str">
        <f aca="false">IF(ISBLANK($C394),"",IF($Z394=Constants!$B$7,IF(ISNUMBER(AG394),COUNTIFS($AA$8:$AA$507,"&lt;"&amp;$AA394)+COUNTIFS($AA$8:$AA$507,$AA394,$AG$8:$AG$507,"&lt;"&amp;$AG394)+COUNTIFS($AA$8:$AA$507,$AA394,$AG$8:$AG$507,$AG394,$AJ$8:$AJ$507,"&lt;"&amp;$AJ394)+1,Constants!$B$14),$Z394))</f>
        <v/>
      </c>
      <c r="AL394" s="65" t="str">
        <f aca="false">IF(ISBLANK($C394),"",IF($Z394=Constants!$B$7,IF(ISNUMBER(AH394),AH394-AK394,Constants!$B$14),$Z394))</f>
        <v/>
      </c>
      <c r="AM394" s="67"/>
      <c r="AN394" s="68" t="str">
        <f aca="false">IF(ISBLANK($C394),"",IF($Z394&lt;&gt;Constants!$B$7,$Z394,AD394))</f>
        <v/>
      </c>
      <c r="AO394" s="69" t="str">
        <f aca="false">IF(ISBLANK($C394),"",IF($Z394&lt;&gt;Constants!$B$7,$Z394,S394))</f>
        <v/>
      </c>
      <c r="AP394" s="70" t="str">
        <f aca="false">IF(ISBLANK($C394),"",IF($Z394&lt;&gt;Constants!$B$7,$Z394,AF394))</f>
        <v/>
      </c>
      <c r="AQ394" s="71" t="str">
        <f aca="false">IF(ISBLANK($C394),"",IF($Z394&lt;&gt;Constants!$B$7,$Z394,AA394))</f>
        <v/>
      </c>
      <c r="AR394" s="69" t="str">
        <f aca="false">IF(ISBLANK($C394),"",AL394)</f>
        <v/>
      </c>
      <c r="AS394" s="69" t="str">
        <f aca="false">IF(ISBLANK($C394),"",AK394)</f>
        <v/>
      </c>
      <c r="AT394" s="72" t="str">
        <f aca="false">IF(ISBLANK($C394),"",IF(AS394=Constants!$B$4,COUNTA($C$8:$C$507)+2,IF(AS394=Constants!$B$5,COUNTA($C$8:$C$507)+1,IF(AS394=Constants!$B$6,COUNTA($C$8:$C$507),AS394))))</f>
        <v/>
      </c>
      <c r="AU394" s="5"/>
      <c r="AV394" s="73" t="n">
        <f aca="false">IF(OR(ISNUMBER(AS394),AS394=Constants!$B$4,AS394=Constants!$B$6,AS394=Constants!$B$5),1,0)</f>
        <v>0</v>
      </c>
      <c r="AW394" s="73" t="n">
        <v>387</v>
      </c>
      <c r="AX394" s="73" t="str">
        <f aca="false">IF(ISBLANK($C394),"",IF(ISNUMBER(AT394),AT394+ROW($B394)/1000,""))</f>
        <v/>
      </c>
      <c r="AY394" s="73" t="str">
        <f aca="false">IF(ISNUMBER(AX394),RANK(AX394,$AX$8:$AX$507,1),"")</f>
        <v/>
      </c>
      <c r="AZ394" s="73" t="str">
        <f aca="false">IF(ISBLANK($C394),"",$B394)</f>
        <v/>
      </c>
      <c r="BA394" s="73" t="str">
        <f aca="false">IF(ISBLANK($C394),"",$C394)</f>
        <v/>
      </c>
      <c r="BB394" s="73" t="str">
        <f aca="false">IF(ISBLANK($C394),"",$D394)</f>
        <v/>
      </c>
      <c r="BC394" s="74" t="str">
        <f aca="false">AQ394</f>
        <v/>
      </c>
      <c r="BD394" s="75" t="str">
        <f aca="false">AP394</f>
        <v/>
      </c>
      <c r="BE394" s="73" t="str">
        <f aca="false">IF(ISBLANK($C394),"",AS394)</f>
        <v/>
      </c>
      <c r="BF394" s="76" t="str">
        <f aca="false">IF($AW394&gt;$AV$7,"",VLOOKUP($AW394,$AY$8:$BE$507,7,FALSE()))</f>
        <v/>
      </c>
      <c r="BG394" s="77" t="str">
        <f aca="false">IF($AW394&gt;$AV$7,"",VLOOKUP($AW394,$AY$8:$BE$507,2,FALSE()))</f>
        <v/>
      </c>
      <c r="BH394" s="77" t="str">
        <f aca="false">IF($AW394&gt;$AV$7,"",VLOOKUP($AW394,$AY$8:$BE$507,3,FALSE()))</f>
        <v/>
      </c>
      <c r="BI394" s="77" t="str">
        <f aca="false">IF($AW394&gt;$AV$7,"",VLOOKUP($AW394,$AY$8:$BE$507,4,FALSE()))</f>
        <v/>
      </c>
      <c r="BJ394" s="77" t="str">
        <f aca="false">IF($AW394&gt;$AV$7,"",VLOOKUP($AW394,$AY$8:$BE$507,5,FALSE()))</f>
        <v/>
      </c>
      <c r="BK394" s="78" t="str">
        <f aca="false">IF($AW394&gt;$AV$7,"",VLOOKUP($AW394,$AY$8:$BE$507,6,FALSE()))</f>
        <v/>
      </c>
      <c r="BL394" s="50"/>
    </row>
    <row r="395" customFormat="false" ht="15.75" hidden="false" customHeight="false" outlineLevel="0" collapsed="false">
      <c r="A395" s="5"/>
      <c r="B395" s="124"/>
      <c r="C395" s="125"/>
      <c r="D395" s="110"/>
      <c r="E395" s="130"/>
      <c r="F395" s="135"/>
      <c r="G395" s="88"/>
      <c r="H395" s="136"/>
      <c r="I395" s="137"/>
      <c r="J395" s="91"/>
      <c r="K395" s="92"/>
      <c r="L395" s="137"/>
      <c r="M395" s="93"/>
      <c r="N395" s="94"/>
      <c r="O395" s="130"/>
      <c r="P395" s="96"/>
      <c r="Q395" s="97" t="str">
        <f aca="false">IF(ISBLANK($C395),"",IF(E395=Constants!$B$2, TRUE(), IF(E395=Constants!$B$3, FALSE(), TRUE())))</f>
        <v/>
      </c>
      <c r="R395" s="97" t="str">
        <f aca="false">IF(ISBLANK($C395),"",IF(F395=Constants!$B$2, TRUE(), IF(F395=Constants!$B$3, FALSE(), TRUE())))</f>
        <v/>
      </c>
      <c r="S395" s="97" t="str">
        <f aca="false">IF(ISBLANK($C395),"",IF(G395=Constants!$B$15,Constants!$B$8,IF(G395=Constants!$B$16,Constants!$B$9,Constants!$B$10)))</f>
        <v/>
      </c>
      <c r="T395" s="97" t="str">
        <f aca="false">IF(ISBLANK($C395),"",IF(H395=Constants!$B$2, TRUE(), IF(H395=Constants!$B$3, FALSE(), TRUE())))</f>
        <v/>
      </c>
      <c r="U395" s="97" t="str">
        <f aca="false">IF(ISBLANK($C395),"",IF(I395=Constants!$B$19,Constants!$B$19,Constants!$B$18))</f>
        <v/>
      </c>
      <c r="V395" s="97" t="str">
        <f aca="false">IF(ISBLANK($C395),"",IF(COUNTA(J395:K395)=0,"",IF(AND(OR(ISBLANK(J395),AND(ISNUMBER(J395),J395&gt;=0)),OR(ISBLANK(K395),AND(ISNUMBER(K395),K395&gt;=0))),60*IF(ISBLANK(J395),0,J395)+IF(ISBLANK(K395),0,K395),"")))</f>
        <v/>
      </c>
      <c r="W395" s="97" t="str">
        <f aca="false">IF(ISBLANK($C395),"",IF(L395=Constants!$B$19,Constants!$B$19,Constants!$B$18))</f>
        <v/>
      </c>
      <c r="X395" s="97" t="str">
        <f aca="false">IF(ISBLANK($C395),"",IF(COUNTA(M395:N395)=0,"",IF(AND(OR(ISBLANK(M395),AND(ISNUMBER(M395),M395&gt;=0)),OR(ISBLANK(N395),AND(ISNUMBER(N395),N395&gt;=0))),60*IF(ISBLANK(M395),0,M395)+IF(ISBLANK(N395),0,N395),"")))</f>
        <v/>
      </c>
      <c r="Y395" s="97" t="str">
        <f aca="false">IF(ISBLANK($C395),"",IF(O395=Constants!$B$2, TRUE(), IF(O395=Constants!$B$3, FALSE(), FALSE())))</f>
        <v/>
      </c>
      <c r="Z395" s="97" t="str">
        <f aca="false">IF(ISBLANK($C395),"",IF(Y395,Constants!$B$4,IF(COUNTA(E395:N395)=0,Constants!$B$5,IF(COUNTA(J395:K395,M395:N395)=0,Constants!$B$6,Constants!$B$7))))</f>
        <v/>
      </c>
      <c r="AA395" s="97" t="str">
        <f aca="false">IF(ISBLANK($C395),"",IF($Z395&lt;&gt;Constants!$B$7,$Z395,IF(OR(NOT(T395),AND(NOT(Q395),COUNTIFS(U395:W395,Constants!$B$18,V395:X395,"&gt;=0")&gt;0),AND(NOT(R395),COUNTIFS(U395:W395,Constants!$B$19,V395:X395,"&gt;=0")&gt;0)),Constants!$B$12,Constants!$B$11)))</f>
        <v/>
      </c>
      <c r="AB395" s="97" t="str">
        <f aca="false">IF($Z395=Constants!$B$7,IF(V395="",Constants!$B$13,V395),"")</f>
        <v/>
      </c>
      <c r="AC395" s="97" t="str">
        <f aca="false">IF($Z395=Constants!$B$7,IF(X395="",Constants!$B$13,X395),"")</f>
        <v/>
      </c>
      <c r="AD395" s="97" t="str">
        <f aca="false">IF($Z395=Constants!$B$7,IF($AB395&gt;=$AC395,1,2),"")</f>
        <v/>
      </c>
      <c r="AE395" s="97" t="str">
        <f aca="false">IF($Z395=Constants!$B$7,LARGE(AB395:AC395,1),"")</f>
        <v/>
      </c>
      <c r="AF395" s="97" t="str">
        <f aca="false">IF(ISBLANK($C395),"",IF($Z395&lt;&gt;Constants!$B$7,$Z395,AE395*S395))</f>
        <v/>
      </c>
      <c r="AG395" s="97" t="str">
        <f aca="false">IF(ISBLANK($C395),"",IF($Z395=Constants!$B$7,IF(ISNUMBER(AF395),RANK(AF395,$AF$8:$AF$507),Constants!$B$14),$Z395))</f>
        <v/>
      </c>
      <c r="AH395" s="97" t="str">
        <f aca="false">IF(ISBLANK($C395),"",IF($Z395=Constants!$B$7,IF(ISNUMBER(AG395),COUNTIFS($AA$8:$AA$507,"&lt;"&amp;$AA395)+COUNTIFS($AA$8:$AA$507,$AA395,$AG$8:$AG$507,"&lt;"&amp;$AG395)+1,Constants!$B$14),$Z395))</f>
        <v/>
      </c>
      <c r="AI395" s="97" t="str">
        <f aca="false">IF(ISBLANK($C395),"",IF($Z395=Constants!$B$7,LARGE(AB395:AC395,2)*S395,""))</f>
        <v/>
      </c>
      <c r="AJ395" s="97" t="str">
        <f aca="false">IF(ISBLANK($C395),"",IF($Z395=Constants!$B$7,RANK(AI395,$AI$8:$AI$507),$Z395))</f>
        <v/>
      </c>
      <c r="AK395" s="97" t="str">
        <f aca="false">IF(ISBLANK($C395),"",IF($Z395=Constants!$B$7,IF(ISNUMBER(AG395),COUNTIFS($AA$8:$AA$507,"&lt;"&amp;$AA395)+COUNTIFS($AA$8:$AA$507,$AA395,$AG$8:$AG$507,"&lt;"&amp;$AG395)+COUNTIFS($AA$8:$AA$507,$AA395,$AG$8:$AG$507,$AG395,$AJ$8:$AJ$507,"&lt;"&amp;$AJ395)+1,Constants!$B$14),$Z395))</f>
        <v/>
      </c>
      <c r="AL395" s="97" t="str">
        <f aca="false">IF(ISBLANK($C395),"",IF($Z395=Constants!$B$7,IF(ISNUMBER(AH395),AH395-AK395,Constants!$B$14),$Z395))</f>
        <v/>
      </c>
      <c r="AM395" s="98"/>
      <c r="AN395" s="99" t="str">
        <f aca="false">IF(ISBLANK($C395),"",IF($Z395&lt;&gt;Constants!$B$7,$Z395,AD395))</f>
        <v/>
      </c>
      <c r="AO395" s="100" t="str">
        <f aca="false">IF(ISBLANK($C395),"",IF($Z395&lt;&gt;Constants!$B$7,$Z395,S395))</f>
        <v/>
      </c>
      <c r="AP395" s="101" t="str">
        <f aca="false">IF(ISBLANK($C395),"",IF($Z395&lt;&gt;Constants!$B$7,$Z395,AF395))</f>
        <v/>
      </c>
      <c r="AQ395" s="102" t="str">
        <f aca="false">IF(ISBLANK($C395),"",IF($Z395&lt;&gt;Constants!$B$7,$Z395,AA395))</f>
        <v/>
      </c>
      <c r="AR395" s="100" t="str">
        <f aca="false">IF(ISBLANK($C395),"",AL395)</f>
        <v/>
      </c>
      <c r="AS395" s="100" t="str">
        <f aca="false">IF(ISBLANK($C395),"",AK395)</f>
        <v/>
      </c>
      <c r="AT395" s="103" t="str">
        <f aca="false">IF(ISBLANK($C395),"",IF(AS395=Constants!$B$4,COUNTA($C$8:$C$507)+2,IF(AS395=Constants!$B$5,COUNTA($C$8:$C$507)+1,IF(AS395=Constants!$B$6,COUNTA($C$8:$C$507),AS395))))</f>
        <v/>
      </c>
      <c r="AU395" s="5"/>
      <c r="AV395" s="104" t="n">
        <f aca="false">IF(OR(ISNUMBER(AS395),AS395=Constants!$B$4,AS395=Constants!$B$6,AS395=Constants!$B$5),1,0)</f>
        <v>0</v>
      </c>
      <c r="AW395" s="104" t="n">
        <v>388</v>
      </c>
      <c r="AX395" s="104" t="str">
        <f aca="false">IF(ISBLANK($C395),"",IF(ISNUMBER(AT395),AT395+ROW($B395)/1000,""))</f>
        <v/>
      </c>
      <c r="AY395" s="104" t="str">
        <f aca="false">IF(ISNUMBER(AX395),RANK(AX395,$AX$8:$AX$507,1),"")</f>
        <v/>
      </c>
      <c r="AZ395" s="104" t="str">
        <f aca="false">IF(ISBLANK($C395),"",$B395)</f>
        <v/>
      </c>
      <c r="BA395" s="104" t="str">
        <f aca="false">IF(ISBLANK($C395),"",$C395)</f>
        <v/>
      </c>
      <c r="BB395" s="104" t="str">
        <f aca="false">IF(ISBLANK($C395),"",$D395)</f>
        <v/>
      </c>
      <c r="BC395" s="105" t="str">
        <f aca="false">AQ395</f>
        <v/>
      </c>
      <c r="BD395" s="106" t="str">
        <f aca="false">AP395</f>
        <v/>
      </c>
      <c r="BE395" s="104" t="str">
        <f aca="false">IF(ISBLANK($C395),"",AS395)</f>
        <v/>
      </c>
      <c r="BF395" s="107" t="str">
        <f aca="false">IF($AW395&gt;$AV$7,"",VLOOKUP($AW395,$AY$8:$BE$507,7,FALSE()))</f>
        <v/>
      </c>
      <c r="BG395" s="108" t="str">
        <f aca="false">IF($AW395&gt;$AV$7,"",VLOOKUP($AW395,$AY$8:$BE$507,2,FALSE()))</f>
        <v/>
      </c>
      <c r="BH395" s="108" t="str">
        <f aca="false">IF($AW395&gt;$AV$7,"",VLOOKUP($AW395,$AY$8:$BE$507,3,FALSE()))</f>
        <v/>
      </c>
      <c r="BI395" s="108" t="str">
        <f aca="false">IF($AW395&gt;$AV$7,"",VLOOKUP($AW395,$AY$8:$BE$507,4,FALSE()))</f>
        <v/>
      </c>
      <c r="BJ395" s="108" t="str">
        <f aca="false">IF($AW395&gt;$AV$7,"",VLOOKUP($AW395,$AY$8:$BE$507,5,FALSE()))</f>
        <v/>
      </c>
      <c r="BK395" s="109" t="str">
        <f aca="false">IF($AW395&gt;$AV$7,"",VLOOKUP($AW395,$AY$8:$BE$507,6,FALSE()))</f>
        <v/>
      </c>
      <c r="BL395" s="50"/>
    </row>
    <row r="396" customFormat="false" ht="15.75" hidden="false" customHeight="false" outlineLevel="0" collapsed="false">
      <c r="A396" s="5"/>
      <c r="B396" s="124"/>
      <c r="C396" s="125"/>
      <c r="D396" s="110"/>
      <c r="E396" s="130"/>
      <c r="F396" s="135"/>
      <c r="G396" s="88"/>
      <c r="H396" s="136"/>
      <c r="I396" s="137"/>
      <c r="J396" s="91"/>
      <c r="K396" s="92"/>
      <c r="L396" s="137"/>
      <c r="M396" s="93"/>
      <c r="N396" s="94"/>
      <c r="O396" s="130"/>
      <c r="P396" s="96"/>
      <c r="Q396" s="97" t="str">
        <f aca="false">IF(ISBLANK($C396),"",IF(E396=Constants!$B$2, TRUE(), IF(E396=Constants!$B$3, FALSE(), TRUE())))</f>
        <v/>
      </c>
      <c r="R396" s="97" t="str">
        <f aca="false">IF(ISBLANK($C396),"",IF(F396=Constants!$B$2, TRUE(), IF(F396=Constants!$B$3, FALSE(), TRUE())))</f>
        <v/>
      </c>
      <c r="S396" s="97" t="str">
        <f aca="false">IF(ISBLANK($C396),"",IF(G396=Constants!$B$15,Constants!$B$8,IF(G396=Constants!$B$16,Constants!$B$9,Constants!$B$10)))</f>
        <v/>
      </c>
      <c r="T396" s="97" t="str">
        <f aca="false">IF(ISBLANK($C396),"",IF(H396=Constants!$B$2, TRUE(), IF(H396=Constants!$B$3, FALSE(), TRUE())))</f>
        <v/>
      </c>
      <c r="U396" s="97" t="str">
        <f aca="false">IF(ISBLANK($C396),"",IF(I396=Constants!$B$19,Constants!$B$19,Constants!$B$18))</f>
        <v/>
      </c>
      <c r="V396" s="97" t="str">
        <f aca="false">IF(ISBLANK($C396),"",IF(COUNTA(J396:K396)=0,"",IF(AND(OR(ISBLANK(J396),AND(ISNUMBER(J396),J396&gt;=0)),OR(ISBLANK(K396),AND(ISNUMBER(K396),K396&gt;=0))),60*IF(ISBLANK(J396),0,J396)+IF(ISBLANK(K396),0,K396),"")))</f>
        <v/>
      </c>
      <c r="W396" s="97" t="str">
        <f aca="false">IF(ISBLANK($C396),"",IF(L396=Constants!$B$19,Constants!$B$19,Constants!$B$18))</f>
        <v/>
      </c>
      <c r="X396" s="97" t="str">
        <f aca="false">IF(ISBLANK($C396),"",IF(COUNTA(M396:N396)=0,"",IF(AND(OR(ISBLANK(M396),AND(ISNUMBER(M396),M396&gt;=0)),OR(ISBLANK(N396),AND(ISNUMBER(N396),N396&gt;=0))),60*IF(ISBLANK(M396),0,M396)+IF(ISBLANK(N396),0,N396),"")))</f>
        <v/>
      </c>
      <c r="Y396" s="97" t="str">
        <f aca="false">IF(ISBLANK($C396),"",IF(O396=Constants!$B$2, TRUE(), IF(O396=Constants!$B$3, FALSE(), FALSE())))</f>
        <v/>
      </c>
      <c r="Z396" s="97" t="str">
        <f aca="false">IF(ISBLANK($C396),"",IF(Y396,Constants!$B$4,IF(COUNTA(E396:N396)=0,Constants!$B$5,IF(COUNTA(J396:K396,M396:N396)=0,Constants!$B$6,Constants!$B$7))))</f>
        <v/>
      </c>
      <c r="AA396" s="97" t="str">
        <f aca="false">IF(ISBLANK($C396),"",IF($Z396&lt;&gt;Constants!$B$7,$Z396,IF(OR(NOT(T396),AND(NOT(Q396),COUNTIFS(U396:W396,Constants!$B$18,V396:X396,"&gt;=0")&gt;0),AND(NOT(R396),COUNTIFS(U396:W396,Constants!$B$19,V396:X396,"&gt;=0")&gt;0)),Constants!$B$12,Constants!$B$11)))</f>
        <v/>
      </c>
      <c r="AB396" s="97" t="str">
        <f aca="false">IF($Z396=Constants!$B$7,IF(V396="",Constants!$B$13,V396),"")</f>
        <v/>
      </c>
      <c r="AC396" s="97" t="str">
        <f aca="false">IF($Z396=Constants!$B$7,IF(X396="",Constants!$B$13,X396),"")</f>
        <v/>
      </c>
      <c r="AD396" s="97" t="str">
        <f aca="false">IF($Z396=Constants!$B$7,IF($AB396&gt;=$AC396,1,2),"")</f>
        <v/>
      </c>
      <c r="AE396" s="97" t="str">
        <f aca="false">IF($Z396=Constants!$B$7,LARGE(AB396:AC396,1),"")</f>
        <v/>
      </c>
      <c r="AF396" s="97" t="str">
        <f aca="false">IF(ISBLANK($C396),"",IF($Z396&lt;&gt;Constants!$B$7,$Z396,AE396*S396))</f>
        <v/>
      </c>
      <c r="AG396" s="97" t="str">
        <f aca="false">IF(ISBLANK($C396),"",IF($Z396=Constants!$B$7,IF(ISNUMBER(AF396),RANK(AF396,$AF$8:$AF$507),Constants!$B$14),$Z396))</f>
        <v/>
      </c>
      <c r="AH396" s="97" t="str">
        <f aca="false">IF(ISBLANK($C396),"",IF($Z396=Constants!$B$7,IF(ISNUMBER(AG396),COUNTIFS($AA$8:$AA$507,"&lt;"&amp;$AA396)+COUNTIFS($AA$8:$AA$507,$AA396,$AG$8:$AG$507,"&lt;"&amp;$AG396)+1,Constants!$B$14),$Z396))</f>
        <v/>
      </c>
      <c r="AI396" s="97" t="str">
        <f aca="false">IF(ISBLANK($C396),"",IF($Z396=Constants!$B$7,LARGE(AB396:AC396,2)*S396,""))</f>
        <v/>
      </c>
      <c r="AJ396" s="97" t="str">
        <f aca="false">IF(ISBLANK($C396),"",IF($Z396=Constants!$B$7,RANK(AI396,$AI$8:$AI$507),$Z396))</f>
        <v/>
      </c>
      <c r="AK396" s="97" t="str">
        <f aca="false">IF(ISBLANK($C396),"",IF($Z396=Constants!$B$7,IF(ISNUMBER(AG396),COUNTIFS($AA$8:$AA$507,"&lt;"&amp;$AA396)+COUNTIFS($AA$8:$AA$507,$AA396,$AG$8:$AG$507,"&lt;"&amp;$AG396)+COUNTIFS($AA$8:$AA$507,$AA396,$AG$8:$AG$507,$AG396,$AJ$8:$AJ$507,"&lt;"&amp;$AJ396)+1,Constants!$B$14),$Z396))</f>
        <v/>
      </c>
      <c r="AL396" s="97" t="str">
        <f aca="false">IF(ISBLANK($C396),"",IF($Z396=Constants!$B$7,IF(ISNUMBER(AH396),AH396-AK396,Constants!$B$14),$Z396))</f>
        <v/>
      </c>
      <c r="AM396" s="98"/>
      <c r="AN396" s="99" t="str">
        <f aca="false">IF(ISBLANK($C396),"",IF($Z396&lt;&gt;Constants!$B$7,$Z396,AD396))</f>
        <v/>
      </c>
      <c r="AO396" s="100" t="str">
        <f aca="false">IF(ISBLANK($C396),"",IF($Z396&lt;&gt;Constants!$B$7,$Z396,S396))</f>
        <v/>
      </c>
      <c r="AP396" s="101" t="str">
        <f aca="false">IF(ISBLANK($C396),"",IF($Z396&lt;&gt;Constants!$B$7,$Z396,AF396))</f>
        <v/>
      </c>
      <c r="AQ396" s="102" t="str">
        <f aca="false">IF(ISBLANK($C396),"",IF($Z396&lt;&gt;Constants!$B$7,$Z396,AA396))</f>
        <v/>
      </c>
      <c r="AR396" s="100" t="str">
        <f aca="false">IF(ISBLANK($C396),"",AL396)</f>
        <v/>
      </c>
      <c r="AS396" s="100" t="str">
        <f aca="false">IF(ISBLANK($C396),"",AK396)</f>
        <v/>
      </c>
      <c r="AT396" s="103" t="str">
        <f aca="false">IF(ISBLANK($C396),"",IF(AS396=Constants!$B$4,COUNTA($C$8:$C$507)+2,IF(AS396=Constants!$B$5,COUNTA($C$8:$C$507)+1,IF(AS396=Constants!$B$6,COUNTA($C$8:$C$507),AS396))))</f>
        <v/>
      </c>
      <c r="AU396" s="5"/>
      <c r="AV396" s="104" t="n">
        <f aca="false">IF(OR(ISNUMBER(AS396),AS396=Constants!$B$4,AS396=Constants!$B$6,AS396=Constants!$B$5),1,0)</f>
        <v>0</v>
      </c>
      <c r="AW396" s="104" t="n">
        <v>389</v>
      </c>
      <c r="AX396" s="104" t="str">
        <f aca="false">IF(ISBLANK($C396),"",IF(ISNUMBER(AT396),AT396+ROW($B396)/1000,""))</f>
        <v/>
      </c>
      <c r="AY396" s="104" t="str">
        <f aca="false">IF(ISNUMBER(AX396),RANK(AX396,$AX$8:$AX$507,1),"")</f>
        <v/>
      </c>
      <c r="AZ396" s="104" t="str">
        <f aca="false">IF(ISBLANK($C396),"",$B396)</f>
        <v/>
      </c>
      <c r="BA396" s="104" t="str">
        <f aca="false">IF(ISBLANK($C396),"",$C396)</f>
        <v/>
      </c>
      <c r="BB396" s="104" t="str">
        <f aca="false">IF(ISBLANK($C396),"",$D396)</f>
        <v/>
      </c>
      <c r="BC396" s="105" t="str">
        <f aca="false">AQ396</f>
        <v/>
      </c>
      <c r="BD396" s="106" t="str">
        <f aca="false">AP396</f>
        <v/>
      </c>
      <c r="BE396" s="104" t="str">
        <f aca="false">IF(ISBLANK($C396),"",AS396)</f>
        <v/>
      </c>
      <c r="BF396" s="107" t="str">
        <f aca="false">IF($AW396&gt;$AV$7,"",VLOOKUP($AW396,$AY$8:$BE$507,7,FALSE()))</f>
        <v/>
      </c>
      <c r="BG396" s="108" t="str">
        <f aca="false">IF($AW396&gt;$AV$7,"",VLOOKUP($AW396,$AY$8:$BE$507,2,FALSE()))</f>
        <v/>
      </c>
      <c r="BH396" s="108" t="str">
        <f aca="false">IF($AW396&gt;$AV$7,"",VLOOKUP($AW396,$AY$8:$BE$507,3,FALSE()))</f>
        <v/>
      </c>
      <c r="BI396" s="108" t="str">
        <f aca="false">IF($AW396&gt;$AV$7,"",VLOOKUP($AW396,$AY$8:$BE$507,4,FALSE()))</f>
        <v/>
      </c>
      <c r="BJ396" s="108" t="str">
        <f aca="false">IF($AW396&gt;$AV$7,"",VLOOKUP($AW396,$AY$8:$BE$507,5,FALSE()))</f>
        <v/>
      </c>
      <c r="BK396" s="109" t="str">
        <f aca="false">IF($AW396&gt;$AV$7,"",VLOOKUP($AW396,$AY$8:$BE$507,6,FALSE()))</f>
        <v/>
      </c>
      <c r="BL396" s="50"/>
    </row>
    <row r="397" customFormat="false" ht="15.75" hidden="false" customHeight="false" outlineLevel="0" collapsed="false">
      <c r="A397" s="5"/>
      <c r="B397" s="124"/>
      <c r="C397" s="125"/>
      <c r="D397" s="110"/>
      <c r="E397" s="130"/>
      <c r="F397" s="135"/>
      <c r="G397" s="88"/>
      <c r="H397" s="136"/>
      <c r="I397" s="137"/>
      <c r="J397" s="91"/>
      <c r="K397" s="92"/>
      <c r="L397" s="137"/>
      <c r="M397" s="93"/>
      <c r="N397" s="94"/>
      <c r="O397" s="130"/>
      <c r="P397" s="96"/>
      <c r="Q397" s="97" t="str">
        <f aca="false">IF(ISBLANK($C397),"",IF(E397=Constants!$B$2, TRUE(), IF(E397=Constants!$B$3, FALSE(), TRUE())))</f>
        <v/>
      </c>
      <c r="R397" s="97" t="str">
        <f aca="false">IF(ISBLANK($C397),"",IF(F397=Constants!$B$2, TRUE(), IF(F397=Constants!$B$3, FALSE(), TRUE())))</f>
        <v/>
      </c>
      <c r="S397" s="97" t="str">
        <f aca="false">IF(ISBLANK($C397),"",IF(G397=Constants!$B$15,Constants!$B$8,IF(G397=Constants!$B$16,Constants!$B$9,Constants!$B$10)))</f>
        <v/>
      </c>
      <c r="T397" s="97" t="str">
        <f aca="false">IF(ISBLANK($C397),"",IF(H397=Constants!$B$2, TRUE(), IF(H397=Constants!$B$3, FALSE(), TRUE())))</f>
        <v/>
      </c>
      <c r="U397" s="97" t="str">
        <f aca="false">IF(ISBLANK($C397),"",IF(I397=Constants!$B$19,Constants!$B$19,Constants!$B$18))</f>
        <v/>
      </c>
      <c r="V397" s="97" t="str">
        <f aca="false">IF(ISBLANK($C397),"",IF(COUNTA(J397:K397)=0,"",IF(AND(OR(ISBLANK(J397),AND(ISNUMBER(J397),J397&gt;=0)),OR(ISBLANK(K397),AND(ISNUMBER(K397),K397&gt;=0))),60*IF(ISBLANK(J397),0,J397)+IF(ISBLANK(K397),0,K397),"")))</f>
        <v/>
      </c>
      <c r="W397" s="97" t="str">
        <f aca="false">IF(ISBLANK($C397),"",IF(L397=Constants!$B$19,Constants!$B$19,Constants!$B$18))</f>
        <v/>
      </c>
      <c r="X397" s="97" t="str">
        <f aca="false">IF(ISBLANK($C397),"",IF(COUNTA(M397:N397)=0,"",IF(AND(OR(ISBLANK(M397),AND(ISNUMBER(M397),M397&gt;=0)),OR(ISBLANK(N397),AND(ISNUMBER(N397),N397&gt;=0))),60*IF(ISBLANK(M397),0,M397)+IF(ISBLANK(N397),0,N397),"")))</f>
        <v/>
      </c>
      <c r="Y397" s="97" t="str">
        <f aca="false">IF(ISBLANK($C397),"",IF(O397=Constants!$B$2, TRUE(), IF(O397=Constants!$B$3, FALSE(), FALSE())))</f>
        <v/>
      </c>
      <c r="Z397" s="97" t="str">
        <f aca="false">IF(ISBLANK($C397),"",IF(Y397,Constants!$B$4,IF(COUNTA(E397:N397)=0,Constants!$B$5,IF(COUNTA(J397:K397,M397:N397)=0,Constants!$B$6,Constants!$B$7))))</f>
        <v/>
      </c>
      <c r="AA397" s="97" t="str">
        <f aca="false">IF(ISBLANK($C397),"",IF($Z397&lt;&gt;Constants!$B$7,$Z397,IF(OR(NOT(T397),AND(NOT(Q397),COUNTIFS(U397:W397,Constants!$B$18,V397:X397,"&gt;=0")&gt;0),AND(NOT(R397),COUNTIFS(U397:W397,Constants!$B$19,V397:X397,"&gt;=0")&gt;0)),Constants!$B$12,Constants!$B$11)))</f>
        <v/>
      </c>
      <c r="AB397" s="97" t="str">
        <f aca="false">IF($Z397=Constants!$B$7,IF(V397="",Constants!$B$13,V397),"")</f>
        <v/>
      </c>
      <c r="AC397" s="97" t="str">
        <f aca="false">IF($Z397=Constants!$B$7,IF(X397="",Constants!$B$13,X397),"")</f>
        <v/>
      </c>
      <c r="AD397" s="97" t="str">
        <f aca="false">IF($Z397=Constants!$B$7,IF($AB397&gt;=$AC397,1,2),"")</f>
        <v/>
      </c>
      <c r="AE397" s="97" t="str">
        <f aca="false">IF($Z397=Constants!$B$7,LARGE(AB397:AC397,1),"")</f>
        <v/>
      </c>
      <c r="AF397" s="97" t="str">
        <f aca="false">IF(ISBLANK($C397),"",IF($Z397&lt;&gt;Constants!$B$7,$Z397,AE397*S397))</f>
        <v/>
      </c>
      <c r="AG397" s="97" t="str">
        <f aca="false">IF(ISBLANK($C397),"",IF($Z397=Constants!$B$7,IF(ISNUMBER(AF397),RANK(AF397,$AF$8:$AF$507),Constants!$B$14),$Z397))</f>
        <v/>
      </c>
      <c r="AH397" s="97" t="str">
        <f aca="false">IF(ISBLANK($C397),"",IF($Z397=Constants!$B$7,IF(ISNUMBER(AG397),COUNTIFS($AA$8:$AA$507,"&lt;"&amp;$AA397)+COUNTIFS($AA$8:$AA$507,$AA397,$AG$8:$AG$507,"&lt;"&amp;$AG397)+1,Constants!$B$14),$Z397))</f>
        <v/>
      </c>
      <c r="AI397" s="97" t="str">
        <f aca="false">IF(ISBLANK($C397),"",IF($Z397=Constants!$B$7,LARGE(AB397:AC397,2)*S397,""))</f>
        <v/>
      </c>
      <c r="AJ397" s="97" t="str">
        <f aca="false">IF(ISBLANK($C397),"",IF($Z397=Constants!$B$7,RANK(AI397,$AI$8:$AI$507),$Z397))</f>
        <v/>
      </c>
      <c r="AK397" s="97" t="str">
        <f aca="false">IF(ISBLANK($C397),"",IF($Z397=Constants!$B$7,IF(ISNUMBER(AG397),COUNTIFS($AA$8:$AA$507,"&lt;"&amp;$AA397)+COUNTIFS($AA$8:$AA$507,$AA397,$AG$8:$AG$507,"&lt;"&amp;$AG397)+COUNTIFS($AA$8:$AA$507,$AA397,$AG$8:$AG$507,$AG397,$AJ$8:$AJ$507,"&lt;"&amp;$AJ397)+1,Constants!$B$14),$Z397))</f>
        <v/>
      </c>
      <c r="AL397" s="97" t="str">
        <f aca="false">IF(ISBLANK($C397),"",IF($Z397=Constants!$B$7,IF(ISNUMBER(AH397),AH397-AK397,Constants!$B$14),$Z397))</f>
        <v/>
      </c>
      <c r="AM397" s="98"/>
      <c r="AN397" s="99" t="str">
        <f aca="false">IF(ISBLANK($C397),"",IF($Z397&lt;&gt;Constants!$B$7,$Z397,AD397))</f>
        <v/>
      </c>
      <c r="AO397" s="100" t="str">
        <f aca="false">IF(ISBLANK($C397),"",IF($Z397&lt;&gt;Constants!$B$7,$Z397,S397))</f>
        <v/>
      </c>
      <c r="AP397" s="101" t="str">
        <f aca="false">IF(ISBLANK($C397),"",IF($Z397&lt;&gt;Constants!$B$7,$Z397,AF397))</f>
        <v/>
      </c>
      <c r="AQ397" s="102" t="str">
        <f aca="false">IF(ISBLANK($C397),"",IF($Z397&lt;&gt;Constants!$B$7,$Z397,AA397))</f>
        <v/>
      </c>
      <c r="AR397" s="100" t="str">
        <f aca="false">IF(ISBLANK($C397),"",AL397)</f>
        <v/>
      </c>
      <c r="AS397" s="100" t="str">
        <f aca="false">IF(ISBLANK($C397),"",AK397)</f>
        <v/>
      </c>
      <c r="AT397" s="103" t="str">
        <f aca="false">IF(ISBLANK($C397),"",IF(AS397=Constants!$B$4,COUNTA($C$8:$C$507)+2,IF(AS397=Constants!$B$5,COUNTA($C$8:$C$507)+1,IF(AS397=Constants!$B$6,COUNTA($C$8:$C$507),AS397))))</f>
        <v/>
      </c>
      <c r="AU397" s="5"/>
      <c r="AV397" s="104" t="n">
        <f aca="false">IF(OR(ISNUMBER(AS397),AS397=Constants!$B$4,AS397=Constants!$B$6,AS397=Constants!$B$5),1,0)</f>
        <v>0</v>
      </c>
      <c r="AW397" s="104" t="n">
        <v>390</v>
      </c>
      <c r="AX397" s="104" t="str">
        <f aca="false">IF(ISBLANK($C397),"",IF(ISNUMBER(AT397),AT397+ROW($B397)/1000,""))</f>
        <v/>
      </c>
      <c r="AY397" s="104" t="str">
        <f aca="false">IF(ISNUMBER(AX397),RANK(AX397,$AX$8:$AX$507,1),"")</f>
        <v/>
      </c>
      <c r="AZ397" s="104" t="str">
        <f aca="false">IF(ISBLANK($C397),"",$B397)</f>
        <v/>
      </c>
      <c r="BA397" s="104" t="str">
        <f aca="false">IF(ISBLANK($C397),"",$C397)</f>
        <v/>
      </c>
      <c r="BB397" s="104" t="str">
        <f aca="false">IF(ISBLANK($C397),"",$D397)</f>
        <v/>
      </c>
      <c r="BC397" s="105" t="str">
        <f aca="false">AQ397</f>
        <v/>
      </c>
      <c r="BD397" s="106" t="str">
        <f aca="false">AP397</f>
        <v/>
      </c>
      <c r="BE397" s="104" t="str">
        <f aca="false">IF(ISBLANK($C397),"",AS397)</f>
        <v/>
      </c>
      <c r="BF397" s="107" t="str">
        <f aca="false">IF($AW397&gt;$AV$7,"",VLOOKUP($AW397,$AY$8:$BE$507,7,FALSE()))</f>
        <v/>
      </c>
      <c r="BG397" s="108" t="str">
        <f aca="false">IF($AW397&gt;$AV$7,"",VLOOKUP($AW397,$AY$8:$BE$507,2,FALSE()))</f>
        <v/>
      </c>
      <c r="BH397" s="108" t="str">
        <f aca="false">IF($AW397&gt;$AV$7,"",VLOOKUP($AW397,$AY$8:$BE$507,3,FALSE()))</f>
        <v/>
      </c>
      <c r="BI397" s="108" t="str">
        <f aca="false">IF($AW397&gt;$AV$7,"",VLOOKUP($AW397,$AY$8:$BE$507,4,FALSE()))</f>
        <v/>
      </c>
      <c r="BJ397" s="108" t="str">
        <f aca="false">IF($AW397&gt;$AV$7,"",VLOOKUP($AW397,$AY$8:$BE$507,5,FALSE()))</f>
        <v/>
      </c>
      <c r="BK397" s="109" t="str">
        <f aca="false">IF($AW397&gt;$AV$7,"",VLOOKUP($AW397,$AY$8:$BE$507,6,FALSE()))</f>
        <v/>
      </c>
      <c r="BL397" s="50"/>
    </row>
    <row r="398" customFormat="false" ht="15.75" hidden="false" customHeight="false" outlineLevel="0" collapsed="false">
      <c r="A398" s="5"/>
      <c r="B398" s="131"/>
      <c r="C398" s="52"/>
      <c r="D398" s="53"/>
      <c r="E398" s="80"/>
      <c r="F398" s="132"/>
      <c r="G398" s="56"/>
      <c r="H398" s="133"/>
      <c r="I398" s="134"/>
      <c r="J398" s="59"/>
      <c r="K398" s="60"/>
      <c r="L398" s="134"/>
      <c r="M398" s="61"/>
      <c r="N398" s="62"/>
      <c r="O398" s="80"/>
      <c r="P398" s="64"/>
      <c r="Q398" s="65" t="str">
        <f aca="false">IF(ISBLANK($C398),"",IF(E398=Constants!$B$2, TRUE(), IF(E398=Constants!$B$3, FALSE(), TRUE())))</f>
        <v/>
      </c>
      <c r="R398" s="65" t="str">
        <f aca="false">IF(ISBLANK($C398),"",IF(F398=Constants!$B$2, TRUE(), IF(F398=Constants!$B$3, FALSE(), TRUE())))</f>
        <v/>
      </c>
      <c r="S398" s="65" t="str">
        <f aca="false">IF(ISBLANK($C398),"",IF(G398=Constants!$B$15,Constants!$B$8,IF(G398=Constants!$B$16,Constants!$B$9,Constants!$B$10)))</f>
        <v/>
      </c>
      <c r="T398" s="65" t="str">
        <f aca="false">IF(ISBLANK($C398),"",IF(H398=Constants!$B$2, TRUE(), IF(H398=Constants!$B$3, FALSE(), TRUE())))</f>
        <v/>
      </c>
      <c r="U398" s="65" t="str">
        <f aca="false">IF(ISBLANK($C398),"",IF(I398=Constants!$B$19,Constants!$B$19,Constants!$B$18))</f>
        <v/>
      </c>
      <c r="V398" s="65" t="str">
        <f aca="false">IF(ISBLANK($C398),"",IF(COUNTA(J398:K398)=0,"",IF(AND(OR(ISBLANK(J398),AND(ISNUMBER(J398),J398&gt;=0)),OR(ISBLANK(K398),AND(ISNUMBER(K398),K398&gt;=0))),60*IF(ISBLANK(J398),0,J398)+IF(ISBLANK(K398),0,K398),"")))</f>
        <v/>
      </c>
      <c r="W398" s="65" t="str">
        <f aca="false">IF(ISBLANK($C398),"",IF(L398=Constants!$B$19,Constants!$B$19,Constants!$B$18))</f>
        <v/>
      </c>
      <c r="X398" s="65" t="str">
        <f aca="false">IF(ISBLANK($C398),"",IF(COUNTA(M398:N398)=0,"",IF(AND(OR(ISBLANK(M398),AND(ISNUMBER(M398),M398&gt;=0)),OR(ISBLANK(N398),AND(ISNUMBER(N398),N398&gt;=0))),60*IF(ISBLANK(M398),0,M398)+IF(ISBLANK(N398),0,N398),"")))</f>
        <v/>
      </c>
      <c r="Y398" s="65" t="str">
        <f aca="false">IF(ISBLANK($C398),"",IF(O398=Constants!$B$2, TRUE(), IF(O398=Constants!$B$3, FALSE(), FALSE())))</f>
        <v/>
      </c>
      <c r="Z398" s="65" t="str">
        <f aca="false">IF(ISBLANK($C398),"",IF(Y398,Constants!$B$4,IF(COUNTA(E398:N398)=0,Constants!$B$5,IF(COUNTA(J398:K398,M398:N398)=0,Constants!$B$6,Constants!$B$7))))</f>
        <v/>
      </c>
      <c r="AA398" s="65" t="str">
        <f aca="false">IF(ISBLANK($C398),"",IF($Z398&lt;&gt;Constants!$B$7,$Z398,IF(OR(NOT(T398),AND(NOT(Q398),COUNTIFS(U398:W398,Constants!$B$18,V398:X398,"&gt;=0")&gt;0),AND(NOT(R398),COUNTIFS(U398:W398,Constants!$B$19,V398:X398,"&gt;=0")&gt;0)),Constants!$B$12,Constants!$B$11)))</f>
        <v/>
      </c>
      <c r="AB398" s="65" t="str">
        <f aca="false">IF($Z398=Constants!$B$7,IF(V398="",Constants!$B$13,V398),"")</f>
        <v/>
      </c>
      <c r="AC398" s="65" t="str">
        <f aca="false">IF($Z398=Constants!$B$7,IF(X398="",Constants!$B$13,X398),"")</f>
        <v/>
      </c>
      <c r="AD398" s="65" t="str">
        <f aca="false">IF($Z398=Constants!$B$7,IF($AB398&gt;=$AC398,1,2),"")</f>
        <v/>
      </c>
      <c r="AE398" s="65" t="str">
        <f aca="false">IF($Z398=Constants!$B$7,LARGE(AB398:AC398,1),"")</f>
        <v/>
      </c>
      <c r="AF398" s="65" t="str">
        <f aca="false">IF(ISBLANK($C398),"",IF($Z398&lt;&gt;Constants!$B$7,$Z398,AE398*S398))</f>
        <v/>
      </c>
      <c r="AG398" s="65" t="str">
        <f aca="false">IF(ISBLANK($C398),"",IF($Z398=Constants!$B$7,IF(ISNUMBER(AF398),RANK(AF398,$AF$8:$AF$507),Constants!$B$14),$Z398))</f>
        <v/>
      </c>
      <c r="AH398" s="65" t="str">
        <f aca="false">IF(ISBLANK($C398),"",IF($Z398=Constants!$B$7,IF(ISNUMBER(AG398),COUNTIFS($AA$8:$AA$507,"&lt;"&amp;$AA398)+COUNTIFS($AA$8:$AA$507,$AA398,$AG$8:$AG$507,"&lt;"&amp;$AG398)+1,Constants!$B$14),$Z398))</f>
        <v/>
      </c>
      <c r="AI398" s="65" t="str">
        <f aca="false">IF(ISBLANK($C398),"",IF($Z398=Constants!$B$7,LARGE(AB398:AC398,2)*S398,""))</f>
        <v/>
      </c>
      <c r="AJ398" s="65" t="str">
        <f aca="false">IF(ISBLANK($C398),"",IF($Z398=Constants!$B$7,RANK(AI398,$AI$8:$AI$507),$Z398))</f>
        <v/>
      </c>
      <c r="AK398" s="65" t="str">
        <f aca="false">IF(ISBLANK($C398),"",IF($Z398=Constants!$B$7,IF(ISNUMBER(AG398),COUNTIFS($AA$8:$AA$507,"&lt;"&amp;$AA398)+COUNTIFS($AA$8:$AA$507,$AA398,$AG$8:$AG$507,"&lt;"&amp;$AG398)+COUNTIFS($AA$8:$AA$507,$AA398,$AG$8:$AG$507,$AG398,$AJ$8:$AJ$507,"&lt;"&amp;$AJ398)+1,Constants!$B$14),$Z398))</f>
        <v/>
      </c>
      <c r="AL398" s="65" t="str">
        <f aca="false">IF(ISBLANK($C398),"",IF($Z398=Constants!$B$7,IF(ISNUMBER(AH398),AH398-AK398,Constants!$B$14),$Z398))</f>
        <v/>
      </c>
      <c r="AM398" s="67"/>
      <c r="AN398" s="68" t="str">
        <f aca="false">IF(ISBLANK($C398),"",IF($Z398&lt;&gt;Constants!$B$7,$Z398,AD398))</f>
        <v/>
      </c>
      <c r="AO398" s="69" t="str">
        <f aca="false">IF(ISBLANK($C398),"",IF($Z398&lt;&gt;Constants!$B$7,$Z398,S398))</f>
        <v/>
      </c>
      <c r="AP398" s="70" t="str">
        <f aca="false">IF(ISBLANK($C398),"",IF($Z398&lt;&gt;Constants!$B$7,$Z398,AF398))</f>
        <v/>
      </c>
      <c r="AQ398" s="71" t="str">
        <f aca="false">IF(ISBLANK($C398),"",IF($Z398&lt;&gt;Constants!$B$7,$Z398,AA398))</f>
        <v/>
      </c>
      <c r="AR398" s="69" t="str">
        <f aca="false">IF(ISBLANK($C398),"",AL398)</f>
        <v/>
      </c>
      <c r="AS398" s="69" t="str">
        <f aca="false">IF(ISBLANK($C398),"",AK398)</f>
        <v/>
      </c>
      <c r="AT398" s="72" t="str">
        <f aca="false">IF(ISBLANK($C398),"",IF(AS398=Constants!$B$4,COUNTA($C$8:$C$507)+2,IF(AS398=Constants!$B$5,COUNTA($C$8:$C$507)+1,IF(AS398=Constants!$B$6,COUNTA($C$8:$C$507),AS398))))</f>
        <v/>
      </c>
      <c r="AU398" s="5"/>
      <c r="AV398" s="73" t="n">
        <f aca="false">IF(OR(ISNUMBER(AS398),AS398=Constants!$B$4,AS398=Constants!$B$6,AS398=Constants!$B$5),1,0)</f>
        <v>0</v>
      </c>
      <c r="AW398" s="73" t="n">
        <v>391</v>
      </c>
      <c r="AX398" s="73" t="str">
        <f aca="false">IF(ISBLANK($C398),"",IF(ISNUMBER(AT398),AT398+ROW($B398)/1000,""))</f>
        <v/>
      </c>
      <c r="AY398" s="73" t="str">
        <f aca="false">IF(ISNUMBER(AX398),RANK(AX398,$AX$8:$AX$507,1),"")</f>
        <v/>
      </c>
      <c r="AZ398" s="73" t="str">
        <f aca="false">IF(ISBLANK($C398),"",$B398)</f>
        <v/>
      </c>
      <c r="BA398" s="73" t="str">
        <f aca="false">IF(ISBLANK($C398),"",$C398)</f>
        <v/>
      </c>
      <c r="BB398" s="73" t="str">
        <f aca="false">IF(ISBLANK($C398),"",$D398)</f>
        <v/>
      </c>
      <c r="BC398" s="74" t="str">
        <f aca="false">AQ398</f>
        <v/>
      </c>
      <c r="BD398" s="75" t="str">
        <f aca="false">AP398</f>
        <v/>
      </c>
      <c r="BE398" s="73" t="str">
        <f aca="false">IF(ISBLANK($C398),"",AS398)</f>
        <v/>
      </c>
      <c r="BF398" s="76" t="str">
        <f aca="false">IF($AW398&gt;$AV$7,"",VLOOKUP($AW398,$AY$8:$BE$507,7,FALSE()))</f>
        <v/>
      </c>
      <c r="BG398" s="77" t="str">
        <f aca="false">IF($AW398&gt;$AV$7,"",VLOOKUP($AW398,$AY$8:$BE$507,2,FALSE()))</f>
        <v/>
      </c>
      <c r="BH398" s="77" t="str">
        <f aca="false">IF($AW398&gt;$AV$7,"",VLOOKUP($AW398,$AY$8:$BE$507,3,FALSE()))</f>
        <v/>
      </c>
      <c r="BI398" s="77" t="str">
        <f aca="false">IF($AW398&gt;$AV$7,"",VLOOKUP($AW398,$AY$8:$BE$507,4,FALSE()))</f>
        <v/>
      </c>
      <c r="BJ398" s="77" t="str">
        <f aca="false">IF($AW398&gt;$AV$7,"",VLOOKUP($AW398,$AY$8:$BE$507,5,FALSE()))</f>
        <v/>
      </c>
      <c r="BK398" s="78" t="str">
        <f aca="false">IF($AW398&gt;$AV$7,"",VLOOKUP($AW398,$AY$8:$BE$507,6,FALSE()))</f>
        <v/>
      </c>
      <c r="BL398" s="50"/>
    </row>
    <row r="399" customFormat="false" ht="15.75" hidden="false" customHeight="false" outlineLevel="0" collapsed="false">
      <c r="A399" s="5"/>
      <c r="B399" s="131"/>
      <c r="C399" s="52"/>
      <c r="D399" s="53"/>
      <c r="E399" s="80"/>
      <c r="F399" s="132"/>
      <c r="G399" s="56"/>
      <c r="H399" s="133"/>
      <c r="I399" s="134"/>
      <c r="J399" s="59"/>
      <c r="K399" s="60"/>
      <c r="L399" s="134"/>
      <c r="M399" s="61"/>
      <c r="N399" s="62"/>
      <c r="O399" s="80"/>
      <c r="P399" s="64"/>
      <c r="Q399" s="65" t="str">
        <f aca="false">IF(ISBLANK($C399),"",IF(E399=Constants!$B$2, TRUE(), IF(E399=Constants!$B$3, FALSE(), TRUE())))</f>
        <v/>
      </c>
      <c r="R399" s="65" t="str">
        <f aca="false">IF(ISBLANK($C399),"",IF(F399=Constants!$B$2, TRUE(), IF(F399=Constants!$B$3, FALSE(), TRUE())))</f>
        <v/>
      </c>
      <c r="S399" s="65" t="str">
        <f aca="false">IF(ISBLANK($C399),"",IF(G399=Constants!$B$15,Constants!$B$8,IF(G399=Constants!$B$16,Constants!$B$9,Constants!$B$10)))</f>
        <v/>
      </c>
      <c r="T399" s="65" t="str">
        <f aca="false">IF(ISBLANK($C399),"",IF(H399=Constants!$B$2, TRUE(), IF(H399=Constants!$B$3, FALSE(), TRUE())))</f>
        <v/>
      </c>
      <c r="U399" s="65" t="str">
        <f aca="false">IF(ISBLANK($C399),"",IF(I399=Constants!$B$19,Constants!$B$19,Constants!$B$18))</f>
        <v/>
      </c>
      <c r="V399" s="65" t="str">
        <f aca="false">IF(ISBLANK($C399),"",IF(COUNTA(J399:K399)=0,"",IF(AND(OR(ISBLANK(J399),AND(ISNUMBER(J399),J399&gt;=0)),OR(ISBLANK(K399),AND(ISNUMBER(K399),K399&gt;=0))),60*IF(ISBLANK(J399),0,J399)+IF(ISBLANK(K399),0,K399),"")))</f>
        <v/>
      </c>
      <c r="W399" s="65" t="str">
        <f aca="false">IF(ISBLANK($C399),"",IF(L399=Constants!$B$19,Constants!$B$19,Constants!$B$18))</f>
        <v/>
      </c>
      <c r="X399" s="65" t="str">
        <f aca="false">IF(ISBLANK($C399),"",IF(COUNTA(M399:N399)=0,"",IF(AND(OR(ISBLANK(M399),AND(ISNUMBER(M399),M399&gt;=0)),OR(ISBLANK(N399),AND(ISNUMBER(N399),N399&gt;=0))),60*IF(ISBLANK(M399),0,M399)+IF(ISBLANK(N399),0,N399),"")))</f>
        <v/>
      </c>
      <c r="Y399" s="65" t="str">
        <f aca="false">IF(ISBLANK($C399),"",IF(O399=Constants!$B$2, TRUE(), IF(O399=Constants!$B$3, FALSE(), FALSE())))</f>
        <v/>
      </c>
      <c r="Z399" s="65" t="str">
        <f aca="false">IF(ISBLANK($C399),"",IF(Y399,Constants!$B$4,IF(COUNTA(E399:N399)=0,Constants!$B$5,IF(COUNTA(J399:K399,M399:N399)=0,Constants!$B$6,Constants!$B$7))))</f>
        <v/>
      </c>
      <c r="AA399" s="65" t="str">
        <f aca="false">IF(ISBLANK($C399),"",IF($Z399&lt;&gt;Constants!$B$7,$Z399,IF(OR(NOT(T399),AND(NOT(Q399),COUNTIFS(U399:W399,Constants!$B$18,V399:X399,"&gt;=0")&gt;0),AND(NOT(R399),COUNTIFS(U399:W399,Constants!$B$19,V399:X399,"&gt;=0")&gt;0)),Constants!$B$12,Constants!$B$11)))</f>
        <v/>
      </c>
      <c r="AB399" s="65" t="str">
        <f aca="false">IF($Z399=Constants!$B$7,IF(V399="",Constants!$B$13,V399),"")</f>
        <v/>
      </c>
      <c r="AC399" s="65" t="str">
        <f aca="false">IF($Z399=Constants!$B$7,IF(X399="",Constants!$B$13,X399),"")</f>
        <v/>
      </c>
      <c r="AD399" s="65" t="str">
        <f aca="false">IF($Z399=Constants!$B$7,IF($AB399&gt;=$AC399,1,2),"")</f>
        <v/>
      </c>
      <c r="AE399" s="65" t="str">
        <f aca="false">IF($Z399=Constants!$B$7,LARGE(AB399:AC399,1),"")</f>
        <v/>
      </c>
      <c r="AF399" s="65" t="str">
        <f aca="false">IF(ISBLANK($C399),"",IF($Z399&lt;&gt;Constants!$B$7,$Z399,AE399*S399))</f>
        <v/>
      </c>
      <c r="AG399" s="65" t="str">
        <f aca="false">IF(ISBLANK($C399),"",IF($Z399=Constants!$B$7,IF(ISNUMBER(AF399),RANK(AF399,$AF$8:$AF$507),Constants!$B$14),$Z399))</f>
        <v/>
      </c>
      <c r="AH399" s="65" t="str">
        <f aca="false">IF(ISBLANK($C399),"",IF($Z399=Constants!$B$7,IF(ISNUMBER(AG399),COUNTIFS($AA$8:$AA$507,"&lt;"&amp;$AA399)+COUNTIFS($AA$8:$AA$507,$AA399,$AG$8:$AG$507,"&lt;"&amp;$AG399)+1,Constants!$B$14),$Z399))</f>
        <v/>
      </c>
      <c r="AI399" s="65" t="str">
        <f aca="false">IF(ISBLANK($C399),"",IF($Z399=Constants!$B$7,LARGE(AB399:AC399,2)*S399,""))</f>
        <v/>
      </c>
      <c r="AJ399" s="65" t="str">
        <f aca="false">IF(ISBLANK($C399),"",IF($Z399=Constants!$B$7,RANK(AI399,$AI$8:$AI$507),$Z399))</f>
        <v/>
      </c>
      <c r="AK399" s="65" t="str">
        <f aca="false">IF(ISBLANK($C399),"",IF($Z399=Constants!$B$7,IF(ISNUMBER(AG399),COUNTIFS($AA$8:$AA$507,"&lt;"&amp;$AA399)+COUNTIFS($AA$8:$AA$507,$AA399,$AG$8:$AG$507,"&lt;"&amp;$AG399)+COUNTIFS($AA$8:$AA$507,$AA399,$AG$8:$AG$507,$AG399,$AJ$8:$AJ$507,"&lt;"&amp;$AJ399)+1,Constants!$B$14),$Z399))</f>
        <v/>
      </c>
      <c r="AL399" s="65" t="str">
        <f aca="false">IF(ISBLANK($C399),"",IF($Z399=Constants!$B$7,IF(ISNUMBER(AH399),AH399-AK399,Constants!$B$14),$Z399))</f>
        <v/>
      </c>
      <c r="AM399" s="67"/>
      <c r="AN399" s="68" t="str">
        <f aca="false">IF(ISBLANK($C399),"",IF($Z399&lt;&gt;Constants!$B$7,$Z399,AD399))</f>
        <v/>
      </c>
      <c r="AO399" s="69" t="str">
        <f aca="false">IF(ISBLANK($C399),"",IF($Z399&lt;&gt;Constants!$B$7,$Z399,S399))</f>
        <v/>
      </c>
      <c r="AP399" s="70" t="str">
        <f aca="false">IF(ISBLANK($C399),"",IF($Z399&lt;&gt;Constants!$B$7,$Z399,AF399))</f>
        <v/>
      </c>
      <c r="AQ399" s="71" t="str">
        <f aca="false">IF(ISBLANK($C399),"",IF($Z399&lt;&gt;Constants!$B$7,$Z399,AA399))</f>
        <v/>
      </c>
      <c r="AR399" s="69" t="str">
        <f aca="false">IF(ISBLANK($C399),"",AL399)</f>
        <v/>
      </c>
      <c r="AS399" s="69" t="str">
        <f aca="false">IF(ISBLANK($C399),"",AK399)</f>
        <v/>
      </c>
      <c r="AT399" s="72" t="str">
        <f aca="false">IF(ISBLANK($C399),"",IF(AS399=Constants!$B$4,COUNTA($C$8:$C$507)+2,IF(AS399=Constants!$B$5,COUNTA($C$8:$C$507)+1,IF(AS399=Constants!$B$6,COUNTA($C$8:$C$507),AS399))))</f>
        <v/>
      </c>
      <c r="AU399" s="5"/>
      <c r="AV399" s="73" t="n">
        <f aca="false">IF(OR(ISNUMBER(AS399),AS399=Constants!$B$4,AS399=Constants!$B$6,AS399=Constants!$B$5),1,0)</f>
        <v>0</v>
      </c>
      <c r="AW399" s="73" t="n">
        <v>392</v>
      </c>
      <c r="AX399" s="73" t="str">
        <f aca="false">IF(ISBLANK($C399),"",IF(ISNUMBER(AT399),AT399+ROW($B399)/1000,""))</f>
        <v/>
      </c>
      <c r="AY399" s="73" t="str">
        <f aca="false">IF(ISNUMBER(AX399),RANK(AX399,$AX$8:$AX$507,1),"")</f>
        <v/>
      </c>
      <c r="AZ399" s="73" t="str">
        <f aca="false">IF(ISBLANK($C399),"",$B399)</f>
        <v/>
      </c>
      <c r="BA399" s="73" t="str">
        <f aca="false">IF(ISBLANK($C399),"",$C399)</f>
        <v/>
      </c>
      <c r="BB399" s="73" t="str">
        <f aca="false">IF(ISBLANK($C399),"",$D399)</f>
        <v/>
      </c>
      <c r="BC399" s="74" t="str">
        <f aca="false">AQ399</f>
        <v/>
      </c>
      <c r="BD399" s="75" t="str">
        <f aca="false">AP399</f>
        <v/>
      </c>
      <c r="BE399" s="73" t="str">
        <f aca="false">IF(ISBLANK($C399),"",AS399)</f>
        <v/>
      </c>
      <c r="BF399" s="76" t="str">
        <f aca="false">IF($AW399&gt;$AV$7,"",VLOOKUP($AW399,$AY$8:$BE$507,7,FALSE()))</f>
        <v/>
      </c>
      <c r="BG399" s="77" t="str">
        <f aca="false">IF($AW399&gt;$AV$7,"",VLOOKUP($AW399,$AY$8:$BE$507,2,FALSE()))</f>
        <v/>
      </c>
      <c r="BH399" s="77" t="str">
        <f aca="false">IF($AW399&gt;$AV$7,"",VLOOKUP($AW399,$AY$8:$BE$507,3,FALSE()))</f>
        <v/>
      </c>
      <c r="BI399" s="77" t="str">
        <f aca="false">IF($AW399&gt;$AV$7,"",VLOOKUP($AW399,$AY$8:$BE$507,4,FALSE()))</f>
        <v/>
      </c>
      <c r="BJ399" s="77" t="str">
        <f aca="false">IF($AW399&gt;$AV$7,"",VLOOKUP($AW399,$AY$8:$BE$507,5,FALSE()))</f>
        <v/>
      </c>
      <c r="BK399" s="78" t="str">
        <f aca="false">IF($AW399&gt;$AV$7,"",VLOOKUP($AW399,$AY$8:$BE$507,6,FALSE()))</f>
        <v/>
      </c>
      <c r="BL399" s="50"/>
    </row>
    <row r="400" customFormat="false" ht="15.75" hidden="false" customHeight="false" outlineLevel="0" collapsed="false">
      <c r="A400" s="5"/>
      <c r="B400" s="131"/>
      <c r="C400" s="52"/>
      <c r="D400" s="53"/>
      <c r="E400" s="80"/>
      <c r="F400" s="132"/>
      <c r="G400" s="56"/>
      <c r="H400" s="133"/>
      <c r="I400" s="134"/>
      <c r="J400" s="59"/>
      <c r="K400" s="60"/>
      <c r="L400" s="134"/>
      <c r="M400" s="61"/>
      <c r="N400" s="62"/>
      <c r="O400" s="80"/>
      <c r="P400" s="64"/>
      <c r="Q400" s="65" t="str">
        <f aca="false">IF(ISBLANK($C400),"",IF(E400=Constants!$B$2, TRUE(), IF(E400=Constants!$B$3, FALSE(), TRUE())))</f>
        <v/>
      </c>
      <c r="R400" s="65" t="str">
        <f aca="false">IF(ISBLANK($C400),"",IF(F400=Constants!$B$2, TRUE(), IF(F400=Constants!$B$3, FALSE(), TRUE())))</f>
        <v/>
      </c>
      <c r="S400" s="65" t="str">
        <f aca="false">IF(ISBLANK($C400),"",IF(G400=Constants!$B$15,Constants!$B$8,IF(G400=Constants!$B$16,Constants!$B$9,Constants!$B$10)))</f>
        <v/>
      </c>
      <c r="T400" s="65" t="str">
        <f aca="false">IF(ISBLANK($C400),"",IF(H400=Constants!$B$2, TRUE(), IF(H400=Constants!$B$3, FALSE(), TRUE())))</f>
        <v/>
      </c>
      <c r="U400" s="65" t="str">
        <f aca="false">IF(ISBLANK($C400),"",IF(I400=Constants!$B$19,Constants!$B$19,Constants!$B$18))</f>
        <v/>
      </c>
      <c r="V400" s="65" t="str">
        <f aca="false">IF(ISBLANK($C400),"",IF(COUNTA(J400:K400)=0,"",IF(AND(OR(ISBLANK(J400),AND(ISNUMBER(J400),J400&gt;=0)),OR(ISBLANK(K400),AND(ISNUMBER(K400),K400&gt;=0))),60*IF(ISBLANK(J400),0,J400)+IF(ISBLANK(K400),0,K400),"")))</f>
        <v/>
      </c>
      <c r="W400" s="65" t="str">
        <f aca="false">IF(ISBLANK($C400),"",IF(L400=Constants!$B$19,Constants!$B$19,Constants!$B$18))</f>
        <v/>
      </c>
      <c r="X400" s="65" t="str">
        <f aca="false">IF(ISBLANK($C400),"",IF(COUNTA(M400:N400)=0,"",IF(AND(OR(ISBLANK(M400),AND(ISNUMBER(M400),M400&gt;=0)),OR(ISBLANK(N400),AND(ISNUMBER(N400),N400&gt;=0))),60*IF(ISBLANK(M400),0,M400)+IF(ISBLANK(N400),0,N400),"")))</f>
        <v/>
      </c>
      <c r="Y400" s="65" t="str">
        <f aca="false">IF(ISBLANK($C400),"",IF(O400=Constants!$B$2, TRUE(), IF(O400=Constants!$B$3, FALSE(), FALSE())))</f>
        <v/>
      </c>
      <c r="Z400" s="65" t="str">
        <f aca="false">IF(ISBLANK($C400),"",IF(Y400,Constants!$B$4,IF(COUNTA(E400:N400)=0,Constants!$B$5,IF(COUNTA(J400:K400,M400:N400)=0,Constants!$B$6,Constants!$B$7))))</f>
        <v/>
      </c>
      <c r="AA400" s="65" t="str">
        <f aca="false">IF(ISBLANK($C400),"",IF($Z400&lt;&gt;Constants!$B$7,$Z400,IF(OR(NOT(T400),AND(NOT(Q400),COUNTIFS(U400:W400,Constants!$B$18,V400:X400,"&gt;=0")&gt;0),AND(NOT(R400),COUNTIFS(U400:W400,Constants!$B$19,V400:X400,"&gt;=0")&gt;0)),Constants!$B$12,Constants!$B$11)))</f>
        <v/>
      </c>
      <c r="AB400" s="65" t="str">
        <f aca="false">IF($Z400=Constants!$B$7,IF(V400="",Constants!$B$13,V400),"")</f>
        <v/>
      </c>
      <c r="AC400" s="65" t="str">
        <f aca="false">IF($Z400=Constants!$B$7,IF(X400="",Constants!$B$13,X400),"")</f>
        <v/>
      </c>
      <c r="AD400" s="65" t="str">
        <f aca="false">IF($Z400=Constants!$B$7,IF($AB400&gt;=$AC400,1,2),"")</f>
        <v/>
      </c>
      <c r="AE400" s="65" t="str">
        <f aca="false">IF($Z400=Constants!$B$7,LARGE(AB400:AC400,1),"")</f>
        <v/>
      </c>
      <c r="AF400" s="65" t="str">
        <f aca="false">IF(ISBLANK($C400),"",IF($Z400&lt;&gt;Constants!$B$7,$Z400,AE400*S400))</f>
        <v/>
      </c>
      <c r="AG400" s="65" t="str">
        <f aca="false">IF(ISBLANK($C400),"",IF($Z400=Constants!$B$7,IF(ISNUMBER(AF400),RANK(AF400,$AF$8:$AF$507),Constants!$B$14),$Z400))</f>
        <v/>
      </c>
      <c r="AH400" s="65" t="str">
        <f aca="false">IF(ISBLANK($C400),"",IF($Z400=Constants!$B$7,IF(ISNUMBER(AG400),COUNTIFS($AA$8:$AA$507,"&lt;"&amp;$AA400)+COUNTIFS($AA$8:$AA$507,$AA400,$AG$8:$AG$507,"&lt;"&amp;$AG400)+1,Constants!$B$14),$Z400))</f>
        <v/>
      </c>
      <c r="AI400" s="65" t="str">
        <f aca="false">IF(ISBLANK($C400),"",IF($Z400=Constants!$B$7,LARGE(AB400:AC400,2)*S400,""))</f>
        <v/>
      </c>
      <c r="AJ400" s="65" t="str">
        <f aca="false">IF(ISBLANK($C400),"",IF($Z400=Constants!$B$7,RANK(AI400,$AI$8:$AI$507),$Z400))</f>
        <v/>
      </c>
      <c r="AK400" s="65" t="str">
        <f aca="false">IF(ISBLANK($C400),"",IF($Z400=Constants!$B$7,IF(ISNUMBER(AG400),COUNTIFS($AA$8:$AA$507,"&lt;"&amp;$AA400)+COUNTIFS($AA$8:$AA$507,$AA400,$AG$8:$AG$507,"&lt;"&amp;$AG400)+COUNTIFS($AA$8:$AA$507,$AA400,$AG$8:$AG$507,$AG400,$AJ$8:$AJ$507,"&lt;"&amp;$AJ400)+1,Constants!$B$14),$Z400))</f>
        <v/>
      </c>
      <c r="AL400" s="65" t="str">
        <f aca="false">IF(ISBLANK($C400),"",IF($Z400=Constants!$B$7,IF(ISNUMBER(AH400),AH400-AK400,Constants!$B$14),$Z400))</f>
        <v/>
      </c>
      <c r="AM400" s="67"/>
      <c r="AN400" s="68" t="str">
        <f aca="false">IF(ISBLANK($C400),"",IF($Z400&lt;&gt;Constants!$B$7,$Z400,AD400))</f>
        <v/>
      </c>
      <c r="AO400" s="69" t="str">
        <f aca="false">IF(ISBLANK($C400),"",IF($Z400&lt;&gt;Constants!$B$7,$Z400,S400))</f>
        <v/>
      </c>
      <c r="AP400" s="70" t="str">
        <f aca="false">IF(ISBLANK($C400),"",IF($Z400&lt;&gt;Constants!$B$7,$Z400,AF400))</f>
        <v/>
      </c>
      <c r="AQ400" s="71" t="str">
        <f aca="false">IF(ISBLANK($C400),"",IF($Z400&lt;&gt;Constants!$B$7,$Z400,AA400))</f>
        <v/>
      </c>
      <c r="AR400" s="69" t="str">
        <f aca="false">IF(ISBLANK($C400),"",AL400)</f>
        <v/>
      </c>
      <c r="AS400" s="69" t="str">
        <f aca="false">IF(ISBLANK($C400),"",AK400)</f>
        <v/>
      </c>
      <c r="AT400" s="72" t="str">
        <f aca="false">IF(ISBLANK($C400),"",IF(AS400=Constants!$B$4,COUNTA($C$8:$C$507)+2,IF(AS400=Constants!$B$5,COUNTA($C$8:$C$507)+1,IF(AS400=Constants!$B$6,COUNTA($C$8:$C$507),AS400))))</f>
        <v/>
      </c>
      <c r="AU400" s="5"/>
      <c r="AV400" s="73" t="n">
        <f aca="false">IF(OR(ISNUMBER(AS400),AS400=Constants!$B$4,AS400=Constants!$B$6,AS400=Constants!$B$5),1,0)</f>
        <v>0</v>
      </c>
      <c r="AW400" s="73" t="n">
        <v>393</v>
      </c>
      <c r="AX400" s="73" t="str">
        <f aca="false">IF(ISBLANK($C400),"",IF(ISNUMBER(AT400),AT400+ROW($B400)/1000,""))</f>
        <v/>
      </c>
      <c r="AY400" s="73" t="str">
        <f aca="false">IF(ISNUMBER(AX400),RANK(AX400,$AX$8:$AX$507,1),"")</f>
        <v/>
      </c>
      <c r="AZ400" s="73" t="str">
        <f aca="false">IF(ISBLANK($C400),"",$B400)</f>
        <v/>
      </c>
      <c r="BA400" s="73" t="str">
        <f aca="false">IF(ISBLANK($C400),"",$C400)</f>
        <v/>
      </c>
      <c r="BB400" s="73" t="str">
        <f aca="false">IF(ISBLANK($C400),"",$D400)</f>
        <v/>
      </c>
      <c r="BC400" s="74" t="str">
        <f aca="false">AQ400</f>
        <v/>
      </c>
      <c r="BD400" s="75" t="str">
        <f aca="false">AP400</f>
        <v/>
      </c>
      <c r="BE400" s="73" t="str">
        <f aca="false">IF(ISBLANK($C400),"",AS400)</f>
        <v/>
      </c>
      <c r="BF400" s="76" t="str">
        <f aca="false">IF($AW400&gt;$AV$7,"",VLOOKUP($AW400,$AY$8:$BE$507,7,FALSE()))</f>
        <v/>
      </c>
      <c r="BG400" s="77" t="str">
        <f aca="false">IF($AW400&gt;$AV$7,"",VLOOKUP($AW400,$AY$8:$BE$507,2,FALSE()))</f>
        <v/>
      </c>
      <c r="BH400" s="77" t="str">
        <f aca="false">IF($AW400&gt;$AV$7,"",VLOOKUP($AW400,$AY$8:$BE$507,3,FALSE()))</f>
        <v/>
      </c>
      <c r="BI400" s="77" t="str">
        <f aca="false">IF($AW400&gt;$AV$7,"",VLOOKUP($AW400,$AY$8:$BE$507,4,FALSE()))</f>
        <v/>
      </c>
      <c r="BJ400" s="77" t="str">
        <f aca="false">IF($AW400&gt;$AV$7,"",VLOOKUP($AW400,$AY$8:$BE$507,5,FALSE()))</f>
        <v/>
      </c>
      <c r="BK400" s="78" t="str">
        <f aca="false">IF($AW400&gt;$AV$7,"",VLOOKUP($AW400,$AY$8:$BE$507,6,FALSE()))</f>
        <v/>
      </c>
      <c r="BL400" s="50"/>
    </row>
    <row r="401" customFormat="false" ht="15.75" hidden="false" customHeight="false" outlineLevel="0" collapsed="false">
      <c r="A401" s="5"/>
      <c r="B401" s="124"/>
      <c r="C401" s="125"/>
      <c r="D401" s="110"/>
      <c r="E401" s="130"/>
      <c r="F401" s="135"/>
      <c r="G401" s="88"/>
      <c r="H401" s="136"/>
      <c r="I401" s="137"/>
      <c r="J401" s="91"/>
      <c r="K401" s="92"/>
      <c r="L401" s="137"/>
      <c r="M401" s="93"/>
      <c r="N401" s="94"/>
      <c r="O401" s="130"/>
      <c r="P401" s="96"/>
      <c r="Q401" s="97" t="str">
        <f aca="false">IF(ISBLANK($C401),"",IF(E401=Constants!$B$2, TRUE(), IF(E401=Constants!$B$3, FALSE(), TRUE())))</f>
        <v/>
      </c>
      <c r="R401" s="97" t="str">
        <f aca="false">IF(ISBLANK($C401),"",IF(F401=Constants!$B$2, TRUE(), IF(F401=Constants!$B$3, FALSE(), TRUE())))</f>
        <v/>
      </c>
      <c r="S401" s="97" t="str">
        <f aca="false">IF(ISBLANK($C401),"",IF(G401=Constants!$B$15,Constants!$B$8,IF(G401=Constants!$B$16,Constants!$B$9,Constants!$B$10)))</f>
        <v/>
      </c>
      <c r="T401" s="97" t="str">
        <f aca="false">IF(ISBLANK($C401),"",IF(H401=Constants!$B$2, TRUE(), IF(H401=Constants!$B$3, FALSE(), TRUE())))</f>
        <v/>
      </c>
      <c r="U401" s="97" t="str">
        <f aca="false">IF(ISBLANK($C401),"",IF(I401=Constants!$B$19,Constants!$B$19,Constants!$B$18))</f>
        <v/>
      </c>
      <c r="V401" s="97" t="str">
        <f aca="false">IF(ISBLANK($C401),"",IF(COUNTA(J401:K401)=0,"",IF(AND(OR(ISBLANK(J401),AND(ISNUMBER(J401),J401&gt;=0)),OR(ISBLANK(K401),AND(ISNUMBER(K401),K401&gt;=0))),60*IF(ISBLANK(J401),0,J401)+IF(ISBLANK(K401),0,K401),"")))</f>
        <v/>
      </c>
      <c r="W401" s="97" t="str">
        <f aca="false">IF(ISBLANK($C401),"",IF(L401=Constants!$B$19,Constants!$B$19,Constants!$B$18))</f>
        <v/>
      </c>
      <c r="X401" s="97" t="str">
        <f aca="false">IF(ISBLANK($C401),"",IF(COUNTA(M401:N401)=0,"",IF(AND(OR(ISBLANK(M401),AND(ISNUMBER(M401),M401&gt;=0)),OR(ISBLANK(N401),AND(ISNUMBER(N401),N401&gt;=0))),60*IF(ISBLANK(M401),0,M401)+IF(ISBLANK(N401),0,N401),"")))</f>
        <v/>
      </c>
      <c r="Y401" s="97" t="str">
        <f aca="false">IF(ISBLANK($C401),"",IF(O401=Constants!$B$2, TRUE(), IF(O401=Constants!$B$3, FALSE(), FALSE())))</f>
        <v/>
      </c>
      <c r="Z401" s="97" t="str">
        <f aca="false">IF(ISBLANK($C401),"",IF(Y401,Constants!$B$4,IF(COUNTA(E401:N401)=0,Constants!$B$5,IF(COUNTA(J401:K401,M401:N401)=0,Constants!$B$6,Constants!$B$7))))</f>
        <v/>
      </c>
      <c r="AA401" s="97" t="str">
        <f aca="false">IF(ISBLANK($C401),"",IF($Z401&lt;&gt;Constants!$B$7,$Z401,IF(OR(NOT(T401),AND(NOT(Q401),COUNTIFS(U401:W401,Constants!$B$18,V401:X401,"&gt;=0")&gt;0),AND(NOT(R401),COUNTIFS(U401:W401,Constants!$B$19,V401:X401,"&gt;=0")&gt;0)),Constants!$B$12,Constants!$B$11)))</f>
        <v/>
      </c>
      <c r="AB401" s="97" t="str">
        <f aca="false">IF($Z401=Constants!$B$7,IF(V401="",Constants!$B$13,V401),"")</f>
        <v/>
      </c>
      <c r="AC401" s="97" t="str">
        <f aca="false">IF($Z401=Constants!$B$7,IF(X401="",Constants!$B$13,X401),"")</f>
        <v/>
      </c>
      <c r="AD401" s="97" t="str">
        <f aca="false">IF($Z401=Constants!$B$7,IF($AB401&gt;=$AC401,1,2),"")</f>
        <v/>
      </c>
      <c r="AE401" s="97" t="str">
        <f aca="false">IF($Z401=Constants!$B$7,LARGE(AB401:AC401,1),"")</f>
        <v/>
      </c>
      <c r="AF401" s="97" t="str">
        <f aca="false">IF(ISBLANK($C401),"",IF($Z401&lt;&gt;Constants!$B$7,$Z401,AE401*S401))</f>
        <v/>
      </c>
      <c r="AG401" s="97" t="str">
        <f aca="false">IF(ISBLANK($C401),"",IF($Z401=Constants!$B$7,IF(ISNUMBER(AF401),RANK(AF401,$AF$8:$AF$507),Constants!$B$14),$Z401))</f>
        <v/>
      </c>
      <c r="AH401" s="97" t="str">
        <f aca="false">IF(ISBLANK($C401),"",IF($Z401=Constants!$B$7,IF(ISNUMBER(AG401),COUNTIFS($AA$8:$AA$507,"&lt;"&amp;$AA401)+COUNTIFS($AA$8:$AA$507,$AA401,$AG$8:$AG$507,"&lt;"&amp;$AG401)+1,Constants!$B$14),$Z401))</f>
        <v/>
      </c>
      <c r="AI401" s="97" t="str">
        <f aca="false">IF(ISBLANK($C401),"",IF($Z401=Constants!$B$7,LARGE(AB401:AC401,2)*S401,""))</f>
        <v/>
      </c>
      <c r="AJ401" s="97" t="str">
        <f aca="false">IF(ISBLANK($C401),"",IF($Z401=Constants!$B$7,RANK(AI401,$AI$8:$AI$507),$Z401))</f>
        <v/>
      </c>
      <c r="AK401" s="97" t="str">
        <f aca="false">IF(ISBLANK($C401),"",IF($Z401=Constants!$B$7,IF(ISNUMBER(AG401),COUNTIFS($AA$8:$AA$507,"&lt;"&amp;$AA401)+COUNTIFS($AA$8:$AA$507,$AA401,$AG$8:$AG$507,"&lt;"&amp;$AG401)+COUNTIFS($AA$8:$AA$507,$AA401,$AG$8:$AG$507,$AG401,$AJ$8:$AJ$507,"&lt;"&amp;$AJ401)+1,Constants!$B$14),$Z401))</f>
        <v/>
      </c>
      <c r="AL401" s="97" t="str">
        <f aca="false">IF(ISBLANK($C401),"",IF($Z401=Constants!$B$7,IF(ISNUMBER(AH401),AH401-AK401,Constants!$B$14),$Z401))</f>
        <v/>
      </c>
      <c r="AM401" s="98"/>
      <c r="AN401" s="99" t="str">
        <f aca="false">IF(ISBLANK($C401),"",IF($Z401&lt;&gt;Constants!$B$7,$Z401,AD401))</f>
        <v/>
      </c>
      <c r="AO401" s="100" t="str">
        <f aca="false">IF(ISBLANK($C401),"",IF($Z401&lt;&gt;Constants!$B$7,$Z401,S401))</f>
        <v/>
      </c>
      <c r="AP401" s="101" t="str">
        <f aca="false">IF(ISBLANK($C401),"",IF($Z401&lt;&gt;Constants!$B$7,$Z401,AF401))</f>
        <v/>
      </c>
      <c r="AQ401" s="102" t="str">
        <f aca="false">IF(ISBLANK($C401),"",IF($Z401&lt;&gt;Constants!$B$7,$Z401,AA401))</f>
        <v/>
      </c>
      <c r="AR401" s="100" t="str">
        <f aca="false">IF(ISBLANK($C401),"",AL401)</f>
        <v/>
      </c>
      <c r="AS401" s="100" t="str">
        <f aca="false">IF(ISBLANK($C401),"",AK401)</f>
        <v/>
      </c>
      <c r="AT401" s="103" t="str">
        <f aca="false">IF(ISBLANK($C401),"",IF(AS401=Constants!$B$4,COUNTA($C$8:$C$507)+2,IF(AS401=Constants!$B$5,COUNTA($C$8:$C$507)+1,IF(AS401=Constants!$B$6,COUNTA($C$8:$C$507),AS401))))</f>
        <v/>
      </c>
      <c r="AU401" s="5"/>
      <c r="AV401" s="104" t="n">
        <f aca="false">IF(OR(ISNUMBER(AS401),AS401=Constants!$B$4,AS401=Constants!$B$6,AS401=Constants!$B$5),1,0)</f>
        <v>0</v>
      </c>
      <c r="AW401" s="104" t="n">
        <v>394</v>
      </c>
      <c r="AX401" s="104" t="str">
        <f aca="false">IF(ISBLANK($C401),"",IF(ISNUMBER(AT401),AT401+ROW($B401)/1000,""))</f>
        <v/>
      </c>
      <c r="AY401" s="104" t="str">
        <f aca="false">IF(ISNUMBER(AX401),RANK(AX401,$AX$8:$AX$507,1),"")</f>
        <v/>
      </c>
      <c r="AZ401" s="104" t="str">
        <f aca="false">IF(ISBLANK($C401),"",$B401)</f>
        <v/>
      </c>
      <c r="BA401" s="104" t="str">
        <f aca="false">IF(ISBLANK($C401),"",$C401)</f>
        <v/>
      </c>
      <c r="BB401" s="104" t="str">
        <f aca="false">IF(ISBLANK($C401),"",$D401)</f>
        <v/>
      </c>
      <c r="BC401" s="105" t="str">
        <f aca="false">AQ401</f>
        <v/>
      </c>
      <c r="BD401" s="106" t="str">
        <f aca="false">AP401</f>
        <v/>
      </c>
      <c r="BE401" s="104" t="str">
        <f aca="false">IF(ISBLANK($C401),"",AS401)</f>
        <v/>
      </c>
      <c r="BF401" s="107" t="str">
        <f aca="false">IF($AW401&gt;$AV$7,"",VLOOKUP($AW401,$AY$8:$BE$507,7,FALSE()))</f>
        <v/>
      </c>
      <c r="BG401" s="108" t="str">
        <f aca="false">IF($AW401&gt;$AV$7,"",VLOOKUP($AW401,$AY$8:$BE$507,2,FALSE()))</f>
        <v/>
      </c>
      <c r="BH401" s="108" t="str">
        <f aca="false">IF($AW401&gt;$AV$7,"",VLOOKUP($AW401,$AY$8:$BE$507,3,FALSE()))</f>
        <v/>
      </c>
      <c r="BI401" s="108" t="str">
        <f aca="false">IF($AW401&gt;$AV$7,"",VLOOKUP($AW401,$AY$8:$BE$507,4,FALSE()))</f>
        <v/>
      </c>
      <c r="BJ401" s="108" t="str">
        <f aca="false">IF($AW401&gt;$AV$7,"",VLOOKUP($AW401,$AY$8:$BE$507,5,FALSE()))</f>
        <v/>
      </c>
      <c r="BK401" s="109" t="str">
        <f aca="false">IF($AW401&gt;$AV$7,"",VLOOKUP($AW401,$AY$8:$BE$507,6,FALSE()))</f>
        <v/>
      </c>
      <c r="BL401" s="50"/>
    </row>
    <row r="402" customFormat="false" ht="15.75" hidden="false" customHeight="false" outlineLevel="0" collapsed="false">
      <c r="A402" s="5"/>
      <c r="B402" s="124"/>
      <c r="C402" s="125"/>
      <c r="D402" s="110"/>
      <c r="E402" s="130"/>
      <c r="F402" s="135"/>
      <c r="G402" s="88"/>
      <c r="H402" s="136"/>
      <c r="I402" s="137"/>
      <c r="J402" s="91"/>
      <c r="K402" s="92"/>
      <c r="L402" s="137"/>
      <c r="M402" s="93"/>
      <c r="N402" s="94"/>
      <c r="O402" s="130"/>
      <c r="P402" s="96"/>
      <c r="Q402" s="97" t="str">
        <f aca="false">IF(ISBLANK($C402),"",IF(E402=Constants!$B$2, TRUE(), IF(E402=Constants!$B$3, FALSE(), TRUE())))</f>
        <v/>
      </c>
      <c r="R402" s="97" t="str">
        <f aca="false">IF(ISBLANK($C402),"",IF(F402=Constants!$B$2, TRUE(), IF(F402=Constants!$B$3, FALSE(), TRUE())))</f>
        <v/>
      </c>
      <c r="S402" s="97" t="str">
        <f aca="false">IF(ISBLANK($C402),"",IF(G402=Constants!$B$15,Constants!$B$8,IF(G402=Constants!$B$16,Constants!$B$9,Constants!$B$10)))</f>
        <v/>
      </c>
      <c r="T402" s="97" t="str">
        <f aca="false">IF(ISBLANK($C402),"",IF(H402=Constants!$B$2, TRUE(), IF(H402=Constants!$B$3, FALSE(), TRUE())))</f>
        <v/>
      </c>
      <c r="U402" s="97" t="str">
        <f aca="false">IF(ISBLANK($C402),"",IF(I402=Constants!$B$19,Constants!$B$19,Constants!$B$18))</f>
        <v/>
      </c>
      <c r="V402" s="97" t="str">
        <f aca="false">IF(ISBLANK($C402),"",IF(COUNTA(J402:K402)=0,"",IF(AND(OR(ISBLANK(J402),AND(ISNUMBER(J402),J402&gt;=0)),OR(ISBLANK(K402),AND(ISNUMBER(K402),K402&gt;=0))),60*IF(ISBLANK(J402),0,J402)+IF(ISBLANK(K402),0,K402),"")))</f>
        <v/>
      </c>
      <c r="W402" s="97" t="str">
        <f aca="false">IF(ISBLANK($C402),"",IF(L402=Constants!$B$19,Constants!$B$19,Constants!$B$18))</f>
        <v/>
      </c>
      <c r="X402" s="97" t="str">
        <f aca="false">IF(ISBLANK($C402),"",IF(COUNTA(M402:N402)=0,"",IF(AND(OR(ISBLANK(M402),AND(ISNUMBER(M402),M402&gt;=0)),OR(ISBLANK(N402),AND(ISNUMBER(N402),N402&gt;=0))),60*IF(ISBLANK(M402),0,M402)+IF(ISBLANK(N402),0,N402),"")))</f>
        <v/>
      </c>
      <c r="Y402" s="97" t="str">
        <f aca="false">IF(ISBLANK($C402),"",IF(O402=Constants!$B$2, TRUE(), IF(O402=Constants!$B$3, FALSE(), FALSE())))</f>
        <v/>
      </c>
      <c r="Z402" s="97" t="str">
        <f aca="false">IF(ISBLANK($C402),"",IF(Y402,Constants!$B$4,IF(COUNTA(E402:N402)=0,Constants!$B$5,IF(COUNTA(J402:K402,M402:N402)=0,Constants!$B$6,Constants!$B$7))))</f>
        <v/>
      </c>
      <c r="AA402" s="97" t="str">
        <f aca="false">IF(ISBLANK($C402),"",IF($Z402&lt;&gt;Constants!$B$7,$Z402,IF(OR(NOT(T402),AND(NOT(Q402),COUNTIFS(U402:W402,Constants!$B$18,V402:X402,"&gt;=0")&gt;0),AND(NOT(R402),COUNTIFS(U402:W402,Constants!$B$19,V402:X402,"&gt;=0")&gt;0)),Constants!$B$12,Constants!$B$11)))</f>
        <v/>
      </c>
      <c r="AB402" s="97" t="str">
        <f aca="false">IF($Z402=Constants!$B$7,IF(V402="",Constants!$B$13,V402),"")</f>
        <v/>
      </c>
      <c r="AC402" s="97" t="str">
        <f aca="false">IF($Z402=Constants!$B$7,IF(X402="",Constants!$B$13,X402),"")</f>
        <v/>
      </c>
      <c r="AD402" s="97" t="str">
        <f aca="false">IF($Z402=Constants!$B$7,IF($AB402&gt;=$AC402,1,2),"")</f>
        <v/>
      </c>
      <c r="AE402" s="97" t="str">
        <f aca="false">IF($Z402=Constants!$B$7,LARGE(AB402:AC402,1),"")</f>
        <v/>
      </c>
      <c r="AF402" s="97" t="str">
        <f aca="false">IF(ISBLANK($C402),"",IF($Z402&lt;&gt;Constants!$B$7,$Z402,AE402*S402))</f>
        <v/>
      </c>
      <c r="AG402" s="97" t="str">
        <f aca="false">IF(ISBLANK($C402),"",IF($Z402=Constants!$B$7,IF(ISNUMBER(AF402),RANK(AF402,$AF$8:$AF$507),Constants!$B$14),$Z402))</f>
        <v/>
      </c>
      <c r="AH402" s="97" t="str">
        <f aca="false">IF(ISBLANK($C402),"",IF($Z402=Constants!$B$7,IF(ISNUMBER(AG402),COUNTIFS($AA$8:$AA$507,"&lt;"&amp;$AA402)+COUNTIFS($AA$8:$AA$507,$AA402,$AG$8:$AG$507,"&lt;"&amp;$AG402)+1,Constants!$B$14),$Z402))</f>
        <v/>
      </c>
      <c r="AI402" s="97" t="str">
        <f aca="false">IF(ISBLANK($C402),"",IF($Z402=Constants!$B$7,LARGE(AB402:AC402,2)*S402,""))</f>
        <v/>
      </c>
      <c r="AJ402" s="97" t="str">
        <f aca="false">IF(ISBLANK($C402),"",IF($Z402=Constants!$B$7,RANK(AI402,$AI$8:$AI$507),$Z402))</f>
        <v/>
      </c>
      <c r="AK402" s="97" t="str">
        <f aca="false">IF(ISBLANK($C402),"",IF($Z402=Constants!$B$7,IF(ISNUMBER(AG402),COUNTIFS($AA$8:$AA$507,"&lt;"&amp;$AA402)+COUNTIFS($AA$8:$AA$507,$AA402,$AG$8:$AG$507,"&lt;"&amp;$AG402)+COUNTIFS($AA$8:$AA$507,$AA402,$AG$8:$AG$507,$AG402,$AJ$8:$AJ$507,"&lt;"&amp;$AJ402)+1,Constants!$B$14),$Z402))</f>
        <v/>
      </c>
      <c r="AL402" s="97" t="str">
        <f aca="false">IF(ISBLANK($C402),"",IF($Z402=Constants!$B$7,IF(ISNUMBER(AH402),AH402-AK402,Constants!$B$14),$Z402))</f>
        <v/>
      </c>
      <c r="AM402" s="98"/>
      <c r="AN402" s="99" t="str">
        <f aca="false">IF(ISBLANK($C402),"",IF($Z402&lt;&gt;Constants!$B$7,$Z402,AD402))</f>
        <v/>
      </c>
      <c r="AO402" s="100" t="str">
        <f aca="false">IF(ISBLANK($C402),"",IF($Z402&lt;&gt;Constants!$B$7,$Z402,S402))</f>
        <v/>
      </c>
      <c r="AP402" s="101" t="str">
        <f aca="false">IF(ISBLANK($C402),"",IF($Z402&lt;&gt;Constants!$B$7,$Z402,AF402))</f>
        <v/>
      </c>
      <c r="AQ402" s="102" t="str">
        <f aca="false">IF(ISBLANK($C402),"",IF($Z402&lt;&gt;Constants!$B$7,$Z402,AA402))</f>
        <v/>
      </c>
      <c r="AR402" s="100" t="str">
        <f aca="false">IF(ISBLANK($C402),"",AL402)</f>
        <v/>
      </c>
      <c r="AS402" s="100" t="str">
        <f aca="false">IF(ISBLANK($C402),"",AK402)</f>
        <v/>
      </c>
      <c r="AT402" s="103" t="str">
        <f aca="false">IF(ISBLANK($C402),"",IF(AS402=Constants!$B$4,COUNTA($C$8:$C$507)+2,IF(AS402=Constants!$B$5,COUNTA($C$8:$C$507)+1,IF(AS402=Constants!$B$6,COUNTA($C$8:$C$507),AS402))))</f>
        <v/>
      </c>
      <c r="AU402" s="5"/>
      <c r="AV402" s="104" t="n">
        <f aca="false">IF(OR(ISNUMBER(AS402),AS402=Constants!$B$4,AS402=Constants!$B$6,AS402=Constants!$B$5),1,0)</f>
        <v>0</v>
      </c>
      <c r="AW402" s="104" t="n">
        <v>395</v>
      </c>
      <c r="AX402" s="104" t="str">
        <f aca="false">IF(ISBLANK($C402),"",IF(ISNUMBER(AT402),AT402+ROW($B402)/1000,""))</f>
        <v/>
      </c>
      <c r="AY402" s="104" t="str">
        <f aca="false">IF(ISNUMBER(AX402),RANK(AX402,$AX$8:$AX$507,1),"")</f>
        <v/>
      </c>
      <c r="AZ402" s="104" t="str">
        <f aca="false">IF(ISBLANK($C402),"",$B402)</f>
        <v/>
      </c>
      <c r="BA402" s="104" t="str">
        <f aca="false">IF(ISBLANK($C402),"",$C402)</f>
        <v/>
      </c>
      <c r="BB402" s="104" t="str">
        <f aca="false">IF(ISBLANK($C402),"",$D402)</f>
        <v/>
      </c>
      <c r="BC402" s="105" t="str">
        <f aca="false">AQ402</f>
        <v/>
      </c>
      <c r="BD402" s="106" t="str">
        <f aca="false">AP402</f>
        <v/>
      </c>
      <c r="BE402" s="104" t="str">
        <f aca="false">IF(ISBLANK($C402),"",AS402)</f>
        <v/>
      </c>
      <c r="BF402" s="107" t="str">
        <f aca="false">IF($AW402&gt;$AV$7,"",VLOOKUP($AW402,$AY$8:$BE$507,7,FALSE()))</f>
        <v/>
      </c>
      <c r="BG402" s="108" t="str">
        <f aca="false">IF($AW402&gt;$AV$7,"",VLOOKUP($AW402,$AY$8:$BE$507,2,FALSE()))</f>
        <v/>
      </c>
      <c r="BH402" s="108" t="str">
        <f aca="false">IF($AW402&gt;$AV$7,"",VLOOKUP($AW402,$AY$8:$BE$507,3,FALSE()))</f>
        <v/>
      </c>
      <c r="BI402" s="108" t="str">
        <f aca="false">IF($AW402&gt;$AV$7,"",VLOOKUP($AW402,$AY$8:$BE$507,4,FALSE()))</f>
        <v/>
      </c>
      <c r="BJ402" s="108" t="str">
        <f aca="false">IF($AW402&gt;$AV$7,"",VLOOKUP($AW402,$AY$8:$BE$507,5,FALSE()))</f>
        <v/>
      </c>
      <c r="BK402" s="109" t="str">
        <f aca="false">IF($AW402&gt;$AV$7,"",VLOOKUP($AW402,$AY$8:$BE$507,6,FALSE()))</f>
        <v/>
      </c>
      <c r="BL402" s="50"/>
    </row>
    <row r="403" customFormat="false" ht="15.75" hidden="false" customHeight="false" outlineLevel="0" collapsed="false">
      <c r="A403" s="5"/>
      <c r="B403" s="124"/>
      <c r="C403" s="125"/>
      <c r="D403" s="110"/>
      <c r="E403" s="130"/>
      <c r="F403" s="135"/>
      <c r="G403" s="88"/>
      <c r="H403" s="136"/>
      <c r="I403" s="137"/>
      <c r="J403" s="91"/>
      <c r="K403" s="92"/>
      <c r="L403" s="137"/>
      <c r="M403" s="93"/>
      <c r="N403" s="94"/>
      <c r="O403" s="130"/>
      <c r="P403" s="96"/>
      <c r="Q403" s="97" t="str">
        <f aca="false">IF(ISBLANK($C403),"",IF(E403=Constants!$B$2, TRUE(), IF(E403=Constants!$B$3, FALSE(), TRUE())))</f>
        <v/>
      </c>
      <c r="R403" s="97" t="str">
        <f aca="false">IF(ISBLANK($C403),"",IF(F403=Constants!$B$2, TRUE(), IF(F403=Constants!$B$3, FALSE(), TRUE())))</f>
        <v/>
      </c>
      <c r="S403" s="97" t="str">
        <f aca="false">IF(ISBLANK($C403),"",IF(G403=Constants!$B$15,Constants!$B$8,IF(G403=Constants!$B$16,Constants!$B$9,Constants!$B$10)))</f>
        <v/>
      </c>
      <c r="T403" s="97" t="str">
        <f aca="false">IF(ISBLANK($C403),"",IF(H403=Constants!$B$2, TRUE(), IF(H403=Constants!$B$3, FALSE(), TRUE())))</f>
        <v/>
      </c>
      <c r="U403" s="97" t="str">
        <f aca="false">IF(ISBLANK($C403),"",IF(I403=Constants!$B$19,Constants!$B$19,Constants!$B$18))</f>
        <v/>
      </c>
      <c r="V403" s="97" t="str">
        <f aca="false">IF(ISBLANK($C403),"",IF(COUNTA(J403:K403)=0,"",IF(AND(OR(ISBLANK(J403),AND(ISNUMBER(J403),J403&gt;=0)),OR(ISBLANK(K403),AND(ISNUMBER(K403),K403&gt;=0))),60*IF(ISBLANK(J403),0,J403)+IF(ISBLANK(K403),0,K403),"")))</f>
        <v/>
      </c>
      <c r="W403" s="97" t="str">
        <f aca="false">IF(ISBLANK($C403),"",IF(L403=Constants!$B$19,Constants!$B$19,Constants!$B$18))</f>
        <v/>
      </c>
      <c r="X403" s="97" t="str">
        <f aca="false">IF(ISBLANK($C403),"",IF(COUNTA(M403:N403)=0,"",IF(AND(OR(ISBLANK(M403),AND(ISNUMBER(M403),M403&gt;=0)),OR(ISBLANK(N403),AND(ISNUMBER(N403),N403&gt;=0))),60*IF(ISBLANK(M403),0,M403)+IF(ISBLANK(N403),0,N403),"")))</f>
        <v/>
      </c>
      <c r="Y403" s="97" t="str">
        <f aca="false">IF(ISBLANK($C403),"",IF(O403=Constants!$B$2, TRUE(), IF(O403=Constants!$B$3, FALSE(), FALSE())))</f>
        <v/>
      </c>
      <c r="Z403" s="97" t="str">
        <f aca="false">IF(ISBLANK($C403),"",IF(Y403,Constants!$B$4,IF(COUNTA(E403:N403)=0,Constants!$B$5,IF(COUNTA(J403:K403,M403:N403)=0,Constants!$B$6,Constants!$B$7))))</f>
        <v/>
      </c>
      <c r="AA403" s="97" t="str">
        <f aca="false">IF(ISBLANK($C403),"",IF($Z403&lt;&gt;Constants!$B$7,$Z403,IF(OR(NOT(T403),AND(NOT(Q403),COUNTIFS(U403:W403,Constants!$B$18,V403:X403,"&gt;=0")&gt;0),AND(NOT(R403),COUNTIFS(U403:W403,Constants!$B$19,V403:X403,"&gt;=0")&gt;0)),Constants!$B$12,Constants!$B$11)))</f>
        <v/>
      </c>
      <c r="AB403" s="97" t="str">
        <f aca="false">IF($Z403=Constants!$B$7,IF(V403="",Constants!$B$13,V403),"")</f>
        <v/>
      </c>
      <c r="AC403" s="97" t="str">
        <f aca="false">IF($Z403=Constants!$B$7,IF(X403="",Constants!$B$13,X403),"")</f>
        <v/>
      </c>
      <c r="AD403" s="97" t="str">
        <f aca="false">IF($Z403=Constants!$B$7,IF($AB403&gt;=$AC403,1,2),"")</f>
        <v/>
      </c>
      <c r="AE403" s="97" t="str">
        <f aca="false">IF($Z403=Constants!$B$7,LARGE(AB403:AC403,1),"")</f>
        <v/>
      </c>
      <c r="AF403" s="97" t="str">
        <f aca="false">IF(ISBLANK($C403),"",IF($Z403&lt;&gt;Constants!$B$7,$Z403,AE403*S403))</f>
        <v/>
      </c>
      <c r="AG403" s="97" t="str">
        <f aca="false">IF(ISBLANK($C403),"",IF($Z403=Constants!$B$7,IF(ISNUMBER(AF403),RANK(AF403,$AF$8:$AF$507),Constants!$B$14),$Z403))</f>
        <v/>
      </c>
      <c r="AH403" s="97" t="str">
        <f aca="false">IF(ISBLANK($C403),"",IF($Z403=Constants!$B$7,IF(ISNUMBER(AG403),COUNTIFS($AA$8:$AA$507,"&lt;"&amp;$AA403)+COUNTIFS($AA$8:$AA$507,$AA403,$AG$8:$AG$507,"&lt;"&amp;$AG403)+1,Constants!$B$14),$Z403))</f>
        <v/>
      </c>
      <c r="AI403" s="97" t="str">
        <f aca="false">IF(ISBLANK($C403),"",IF($Z403=Constants!$B$7,LARGE(AB403:AC403,2)*S403,""))</f>
        <v/>
      </c>
      <c r="AJ403" s="97" t="str">
        <f aca="false">IF(ISBLANK($C403),"",IF($Z403=Constants!$B$7,RANK(AI403,$AI$8:$AI$507),$Z403))</f>
        <v/>
      </c>
      <c r="AK403" s="97" t="str">
        <f aca="false">IF(ISBLANK($C403),"",IF($Z403=Constants!$B$7,IF(ISNUMBER(AG403),COUNTIFS($AA$8:$AA$507,"&lt;"&amp;$AA403)+COUNTIFS($AA$8:$AA$507,$AA403,$AG$8:$AG$507,"&lt;"&amp;$AG403)+COUNTIFS($AA$8:$AA$507,$AA403,$AG$8:$AG$507,$AG403,$AJ$8:$AJ$507,"&lt;"&amp;$AJ403)+1,Constants!$B$14),$Z403))</f>
        <v/>
      </c>
      <c r="AL403" s="97" t="str">
        <f aca="false">IF(ISBLANK($C403),"",IF($Z403=Constants!$B$7,IF(ISNUMBER(AH403),AH403-AK403,Constants!$B$14),$Z403))</f>
        <v/>
      </c>
      <c r="AM403" s="98"/>
      <c r="AN403" s="99" t="str">
        <f aca="false">IF(ISBLANK($C403),"",IF($Z403&lt;&gt;Constants!$B$7,$Z403,AD403))</f>
        <v/>
      </c>
      <c r="AO403" s="100" t="str">
        <f aca="false">IF(ISBLANK($C403),"",IF($Z403&lt;&gt;Constants!$B$7,$Z403,S403))</f>
        <v/>
      </c>
      <c r="AP403" s="101" t="str">
        <f aca="false">IF(ISBLANK($C403),"",IF($Z403&lt;&gt;Constants!$B$7,$Z403,AF403))</f>
        <v/>
      </c>
      <c r="AQ403" s="102" t="str">
        <f aca="false">IF(ISBLANK($C403),"",IF($Z403&lt;&gt;Constants!$B$7,$Z403,AA403))</f>
        <v/>
      </c>
      <c r="AR403" s="100" t="str">
        <f aca="false">IF(ISBLANK($C403),"",AL403)</f>
        <v/>
      </c>
      <c r="AS403" s="100" t="str">
        <f aca="false">IF(ISBLANK($C403),"",AK403)</f>
        <v/>
      </c>
      <c r="AT403" s="103" t="str">
        <f aca="false">IF(ISBLANK($C403),"",IF(AS403=Constants!$B$4,COUNTA($C$8:$C$507)+2,IF(AS403=Constants!$B$5,COUNTA($C$8:$C$507)+1,IF(AS403=Constants!$B$6,COUNTA($C$8:$C$507),AS403))))</f>
        <v/>
      </c>
      <c r="AU403" s="5"/>
      <c r="AV403" s="104" t="n">
        <f aca="false">IF(OR(ISNUMBER(AS403),AS403=Constants!$B$4,AS403=Constants!$B$6,AS403=Constants!$B$5),1,0)</f>
        <v>0</v>
      </c>
      <c r="AW403" s="104" t="n">
        <v>396</v>
      </c>
      <c r="AX403" s="104" t="str">
        <f aca="false">IF(ISBLANK($C403),"",IF(ISNUMBER(AT403),AT403+ROW($B403)/1000,""))</f>
        <v/>
      </c>
      <c r="AY403" s="104" t="str">
        <f aca="false">IF(ISNUMBER(AX403),RANK(AX403,$AX$8:$AX$507,1),"")</f>
        <v/>
      </c>
      <c r="AZ403" s="104" t="str">
        <f aca="false">IF(ISBLANK($C403),"",$B403)</f>
        <v/>
      </c>
      <c r="BA403" s="104" t="str">
        <f aca="false">IF(ISBLANK($C403),"",$C403)</f>
        <v/>
      </c>
      <c r="BB403" s="104" t="str">
        <f aca="false">IF(ISBLANK($C403),"",$D403)</f>
        <v/>
      </c>
      <c r="BC403" s="105" t="str">
        <f aca="false">AQ403</f>
        <v/>
      </c>
      <c r="BD403" s="106" t="str">
        <f aca="false">AP403</f>
        <v/>
      </c>
      <c r="BE403" s="104" t="str">
        <f aca="false">IF(ISBLANK($C403),"",AS403)</f>
        <v/>
      </c>
      <c r="BF403" s="107" t="str">
        <f aca="false">IF($AW403&gt;$AV$7,"",VLOOKUP($AW403,$AY$8:$BE$507,7,FALSE()))</f>
        <v/>
      </c>
      <c r="BG403" s="108" t="str">
        <f aca="false">IF($AW403&gt;$AV$7,"",VLOOKUP($AW403,$AY$8:$BE$507,2,FALSE()))</f>
        <v/>
      </c>
      <c r="BH403" s="108" t="str">
        <f aca="false">IF($AW403&gt;$AV$7,"",VLOOKUP($AW403,$AY$8:$BE$507,3,FALSE()))</f>
        <v/>
      </c>
      <c r="BI403" s="108" t="str">
        <f aca="false">IF($AW403&gt;$AV$7,"",VLOOKUP($AW403,$AY$8:$BE$507,4,FALSE()))</f>
        <v/>
      </c>
      <c r="BJ403" s="108" t="str">
        <f aca="false">IF($AW403&gt;$AV$7,"",VLOOKUP($AW403,$AY$8:$BE$507,5,FALSE()))</f>
        <v/>
      </c>
      <c r="BK403" s="109" t="str">
        <f aca="false">IF($AW403&gt;$AV$7,"",VLOOKUP($AW403,$AY$8:$BE$507,6,FALSE()))</f>
        <v/>
      </c>
      <c r="BL403" s="50"/>
    </row>
    <row r="404" customFormat="false" ht="15.75" hidden="false" customHeight="false" outlineLevel="0" collapsed="false">
      <c r="A404" s="5"/>
      <c r="B404" s="131"/>
      <c r="C404" s="52"/>
      <c r="D404" s="53"/>
      <c r="E404" s="80"/>
      <c r="F404" s="132"/>
      <c r="G404" s="56"/>
      <c r="H404" s="133"/>
      <c r="I404" s="134"/>
      <c r="J404" s="59"/>
      <c r="K404" s="60"/>
      <c r="L404" s="134"/>
      <c r="M404" s="61"/>
      <c r="N404" s="62"/>
      <c r="O404" s="80"/>
      <c r="P404" s="64"/>
      <c r="Q404" s="65" t="str">
        <f aca="false">IF(ISBLANK($C404),"",IF(E404=Constants!$B$2, TRUE(), IF(E404=Constants!$B$3, FALSE(), TRUE())))</f>
        <v/>
      </c>
      <c r="R404" s="65" t="str">
        <f aca="false">IF(ISBLANK($C404),"",IF(F404=Constants!$B$2, TRUE(), IF(F404=Constants!$B$3, FALSE(), TRUE())))</f>
        <v/>
      </c>
      <c r="S404" s="65" t="str">
        <f aca="false">IF(ISBLANK($C404),"",IF(G404=Constants!$B$15,Constants!$B$8,IF(G404=Constants!$B$16,Constants!$B$9,Constants!$B$10)))</f>
        <v/>
      </c>
      <c r="T404" s="65" t="str">
        <f aca="false">IF(ISBLANK($C404),"",IF(H404=Constants!$B$2, TRUE(), IF(H404=Constants!$B$3, FALSE(), TRUE())))</f>
        <v/>
      </c>
      <c r="U404" s="65" t="str">
        <f aca="false">IF(ISBLANK($C404),"",IF(I404=Constants!$B$19,Constants!$B$19,Constants!$B$18))</f>
        <v/>
      </c>
      <c r="V404" s="65" t="str">
        <f aca="false">IF(ISBLANK($C404),"",IF(COUNTA(J404:K404)=0,"",IF(AND(OR(ISBLANK(J404),AND(ISNUMBER(J404),J404&gt;=0)),OR(ISBLANK(K404),AND(ISNUMBER(K404),K404&gt;=0))),60*IF(ISBLANK(J404),0,J404)+IF(ISBLANK(K404),0,K404),"")))</f>
        <v/>
      </c>
      <c r="W404" s="65" t="str">
        <f aca="false">IF(ISBLANK($C404),"",IF(L404=Constants!$B$19,Constants!$B$19,Constants!$B$18))</f>
        <v/>
      </c>
      <c r="X404" s="65" t="str">
        <f aca="false">IF(ISBLANK($C404),"",IF(COUNTA(M404:N404)=0,"",IF(AND(OR(ISBLANK(M404),AND(ISNUMBER(M404),M404&gt;=0)),OR(ISBLANK(N404),AND(ISNUMBER(N404),N404&gt;=0))),60*IF(ISBLANK(M404),0,M404)+IF(ISBLANK(N404),0,N404),"")))</f>
        <v/>
      </c>
      <c r="Y404" s="65" t="str">
        <f aca="false">IF(ISBLANK($C404),"",IF(O404=Constants!$B$2, TRUE(), IF(O404=Constants!$B$3, FALSE(), FALSE())))</f>
        <v/>
      </c>
      <c r="Z404" s="65" t="str">
        <f aca="false">IF(ISBLANK($C404),"",IF(Y404,Constants!$B$4,IF(COUNTA(E404:N404)=0,Constants!$B$5,IF(COUNTA(J404:K404,M404:N404)=0,Constants!$B$6,Constants!$B$7))))</f>
        <v/>
      </c>
      <c r="AA404" s="65" t="str">
        <f aca="false">IF(ISBLANK($C404),"",IF($Z404&lt;&gt;Constants!$B$7,$Z404,IF(OR(NOT(T404),AND(NOT(Q404),COUNTIFS(U404:W404,Constants!$B$18,V404:X404,"&gt;=0")&gt;0),AND(NOT(R404),COUNTIFS(U404:W404,Constants!$B$19,V404:X404,"&gt;=0")&gt;0)),Constants!$B$12,Constants!$B$11)))</f>
        <v/>
      </c>
      <c r="AB404" s="65" t="str">
        <f aca="false">IF($Z404=Constants!$B$7,IF(V404="",Constants!$B$13,V404),"")</f>
        <v/>
      </c>
      <c r="AC404" s="65" t="str">
        <f aca="false">IF($Z404=Constants!$B$7,IF(X404="",Constants!$B$13,X404),"")</f>
        <v/>
      </c>
      <c r="AD404" s="65" t="str">
        <f aca="false">IF($Z404=Constants!$B$7,IF($AB404&gt;=$AC404,1,2),"")</f>
        <v/>
      </c>
      <c r="AE404" s="65" t="str">
        <f aca="false">IF($Z404=Constants!$B$7,LARGE(AB404:AC404,1),"")</f>
        <v/>
      </c>
      <c r="AF404" s="65" t="str">
        <f aca="false">IF(ISBLANK($C404),"",IF($Z404&lt;&gt;Constants!$B$7,$Z404,AE404*S404))</f>
        <v/>
      </c>
      <c r="AG404" s="65" t="str">
        <f aca="false">IF(ISBLANK($C404),"",IF($Z404=Constants!$B$7,IF(ISNUMBER(AF404),RANK(AF404,$AF$8:$AF$507),Constants!$B$14),$Z404))</f>
        <v/>
      </c>
      <c r="AH404" s="65" t="str">
        <f aca="false">IF(ISBLANK($C404),"",IF($Z404=Constants!$B$7,IF(ISNUMBER(AG404),COUNTIFS($AA$8:$AA$507,"&lt;"&amp;$AA404)+COUNTIFS($AA$8:$AA$507,$AA404,$AG$8:$AG$507,"&lt;"&amp;$AG404)+1,Constants!$B$14),$Z404))</f>
        <v/>
      </c>
      <c r="AI404" s="65" t="str">
        <f aca="false">IF(ISBLANK($C404),"",IF($Z404=Constants!$B$7,LARGE(AB404:AC404,2)*S404,""))</f>
        <v/>
      </c>
      <c r="AJ404" s="65" t="str">
        <f aca="false">IF(ISBLANK($C404),"",IF($Z404=Constants!$B$7,RANK(AI404,$AI$8:$AI$507),$Z404))</f>
        <v/>
      </c>
      <c r="AK404" s="65" t="str">
        <f aca="false">IF(ISBLANK($C404),"",IF($Z404=Constants!$B$7,IF(ISNUMBER(AG404),COUNTIFS($AA$8:$AA$507,"&lt;"&amp;$AA404)+COUNTIFS($AA$8:$AA$507,$AA404,$AG$8:$AG$507,"&lt;"&amp;$AG404)+COUNTIFS($AA$8:$AA$507,$AA404,$AG$8:$AG$507,$AG404,$AJ$8:$AJ$507,"&lt;"&amp;$AJ404)+1,Constants!$B$14),$Z404))</f>
        <v/>
      </c>
      <c r="AL404" s="65" t="str">
        <f aca="false">IF(ISBLANK($C404),"",IF($Z404=Constants!$B$7,IF(ISNUMBER(AH404),AH404-AK404,Constants!$B$14),$Z404))</f>
        <v/>
      </c>
      <c r="AM404" s="67"/>
      <c r="AN404" s="68" t="str">
        <f aca="false">IF(ISBLANK($C404),"",IF($Z404&lt;&gt;Constants!$B$7,$Z404,AD404))</f>
        <v/>
      </c>
      <c r="AO404" s="69" t="str">
        <f aca="false">IF(ISBLANK($C404),"",IF($Z404&lt;&gt;Constants!$B$7,$Z404,S404))</f>
        <v/>
      </c>
      <c r="AP404" s="70" t="str">
        <f aca="false">IF(ISBLANK($C404),"",IF($Z404&lt;&gt;Constants!$B$7,$Z404,AF404))</f>
        <v/>
      </c>
      <c r="AQ404" s="71" t="str">
        <f aca="false">IF(ISBLANK($C404),"",IF($Z404&lt;&gt;Constants!$B$7,$Z404,AA404))</f>
        <v/>
      </c>
      <c r="AR404" s="69" t="str">
        <f aca="false">IF(ISBLANK($C404),"",AL404)</f>
        <v/>
      </c>
      <c r="AS404" s="69" t="str">
        <f aca="false">IF(ISBLANK($C404),"",AK404)</f>
        <v/>
      </c>
      <c r="AT404" s="72" t="str">
        <f aca="false">IF(ISBLANK($C404),"",IF(AS404=Constants!$B$4,COUNTA($C$8:$C$507)+2,IF(AS404=Constants!$B$5,COUNTA($C$8:$C$507)+1,IF(AS404=Constants!$B$6,COUNTA($C$8:$C$507),AS404))))</f>
        <v/>
      </c>
      <c r="AU404" s="5"/>
      <c r="AV404" s="73" t="n">
        <f aca="false">IF(OR(ISNUMBER(AS404),AS404=Constants!$B$4,AS404=Constants!$B$6,AS404=Constants!$B$5),1,0)</f>
        <v>0</v>
      </c>
      <c r="AW404" s="73" t="n">
        <v>397</v>
      </c>
      <c r="AX404" s="73" t="str">
        <f aca="false">IF(ISBLANK($C404),"",IF(ISNUMBER(AT404),AT404+ROW($B404)/1000,""))</f>
        <v/>
      </c>
      <c r="AY404" s="73" t="str">
        <f aca="false">IF(ISNUMBER(AX404),RANK(AX404,$AX$8:$AX$507,1),"")</f>
        <v/>
      </c>
      <c r="AZ404" s="73" t="str">
        <f aca="false">IF(ISBLANK($C404),"",$B404)</f>
        <v/>
      </c>
      <c r="BA404" s="73" t="str">
        <f aca="false">IF(ISBLANK($C404),"",$C404)</f>
        <v/>
      </c>
      <c r="BB404" s="73" t="str">
        <f aca="false">IF(ISBLANK($C404),"",$D404)</f>
        <v/>
      </c>
      <c r="BC404" s="74" t="str">
        <f aca="false">AQ404</f>
        <v/>
      </c>
      <c r="BD404" s="75" t="str">
        <f aca="false">AP404</f>
        <v/>
      </c>
      <c r="BE404" s="73" t="str">
        <f aca="false">IF(ISBLANK($C404),"",AS404)</f>
        <v/>
      </c>
      <c r="BF404" s="76" t="str">
        <f aca="false">IF($AW404&gt;$AV$7,"",VLOOKUP($AW404,$AY$8:$BE$507,7,FALSE()))</f>
        <v/>
      </c>
      <c r="BG404" s="77" t="str">
        <f aca="false">IF($AW404&gt;$AV$7,"",VLOOKUP($AW404,$AY$8:$BE$507,2,FALSE()))</f>
        <v/>
      </c>
      <c r="BH404" s="77" t="str">
        <f aca="false">IF($AW404&gt;$AV$7,"",VLOOKUP($AW404,$AY$8:$BE$507,3,FALSE()))</f>
        <v/>
      </c>
      <c r="BI404" s="77" t="str">
        <f aca="false">IF($AW404&gt;$AV$7,"",VLOOKUP($AW404,$AY$8:$BE$507,4,FALSE()))</f>
        <v/>
      </c>
      <c r="BJ404" s="77" t="str">
        <f aca="false">IF($AW404&gt;$AV$7,"",VLOOKUP($AW404,$AY$8:$BE$507,5,FALSE()))</f>
        <v/>
      </c>
      <c r="BK404" s="78" t="str">
        <f aca="false">IF($AW404&gt;$AV$7,"",VLOOKUP($AW404,$AY$8:$BE$507,6,FALSE()))</f>
        <v/>
      </c>
      <c r="BL404" s="50"/>
    </row>
    <row r="405" customFormat="false" ht="15.75" hidden="false" customHeight="false" outlineLevel="0" collapsed="false">
      <c r="A405" s="5"/>
      <c r="B405" s="131"/>
      <c r="C405" s="52"/>
      <c r="D405" s="53"/>
      <c r="E405" s="80"/>
      <c r="F405" s="132"/>
      <c r="G405" s="56"/>
      <c r="H405" s="133"/>
      <c r="I405" s="134"/>
      <c r="J405" s="59"/>
      <c r="K405" s="60"/>
      <c r="L405" s="134"/>
      <c r="M405" s="61"/>
      <c r="N405" s="62"/>
      <c r="O405" s="80"/>
      <c r="P405" s="64"/>
      <c r="Q405" s="65" t="str">
        <f aca="false">IF(ISBLANK($C405),"",IF(E405=Constants!$B$2, TRUE(), IF(E405=Constants!$B$3, FALSE(), TRUE())))</f>
        <v/>
      </c>
      <c r="R405" s="65" t="str">
        <f aca="false">IF(ISBLANK($C405),"",IF(F405=Constants!$B$2, TRUE(), IF(F405=Constants!$B$3, FALSE(), TRUE())))</f>
        <v/>
      </c>
      <c r="S405" s="65" t="str">
        <f aca="false">IF(ISBLANK($C405),"",IF(G405=Constants!$B$15,Constants!$B$8,IF(G405=Constants!$B$16,Constants!$B$9,Constants!$B$10)))</f>
        <v/>
      </c>
      <c r="T405" s="65" t="str">
        <f aca="false">IF(ISBLANK($C405),"",IF(H405=Constants!$B$2, TRUE(), IF(H405=Constants!$B$3, FALSE(), TRUE())))</f>
        <v/>
      </c>
      <c r="U405" s="65" t="str">
        <f aca="false">IF(ISBLANK($C405),"",IF(I405=Constants!$B$19,Constants!$B$19,Constants!$B$18))</f>
        <v/>
      </c>
      <c r="V405" s="65" t="str">
        <f aca="false">IF(ISBLANK($C405),"",IF(COUNTA(J405:K405)=0,"",IF(AND(OR(ISBLANK(J405),AND(ISNUMBER(J405),J405&gt;=0)),OR(ISBLANK(K405),AND(ISNUMBER(K405),K405&gt;=0))),60*IF(ISBLANK(J405),0,J405)+IF(ISBLANK(K405),0,K405),"")))</f>
        <v/>
      </c>
      <c r="W405" s="65" t="str">
        <f aca="false">IF(ISBLANK($C405),"",IF(L405=Constants!$B$19,Constants!$B$19,Constants!$B$18))</f>
        <v/>
      </c>
      <c r="X405" s="65" t="str">
        <f aca="false">IF(ISBLANK($C405),"",IF(COUNTA(M405:N405)=0,"",IF(AND(OR(ISBLANK(M405),AND(ISNUMBER(M405),M405&gt;=0)),OR(ISBLANK(N405),AND(ISNUMBER(N405),N405&gt;=0))),60*IF(ISBLANK(M405),0,M405)+IF(ISBLANK(N405),0,N405),"")))</f>
        <v/>
      </c>
      <c r="Y405" s="65" t="str">
        <f aca="false">IF(ISBLANK($C405),"",IF(O405=Constants!$B$2, TRUE(), IF(O405=Constants!$B$3, FALSE(), FALSE())))</f>
        <v/>
      </c>
      <c r="Z405" s="65" t="str">
        <f aca="false">IF(ISBLANK($C405),"",IF(Y405,Constants!$B$4,IF(COUNTA(E405:N405)=0,Constants!$B$5,IF(COUNTA(J405:K405,M405:N405)=0,Constants!$B$6,Constants!$B$7))))</f>
        <v/>
      </c>
      <c r="AA405" s="65" t="str">
        <f aca="false">IF(ISBLANK($C405),"",IF($Z405&lt;&gt;Constants!$B$7,$Z405,IF(OR(NOT(T405),AND(NOT(Q405),COUNTIFS(U405:W405,Constants!$B$18,V405:X405,"&gt;=0")&gt;0),AND(NOT(R405),COUNTIFS(U405:W405,Constants!$B$19,V405:X405,"&gt;=0")&gt;0)),Constants!$B$12,Constants!$B$11)))</f>
        <v/>
      </c>
      <c r="AB405" s="65" t="str">
        <f aca="false">IF($Z405=Constants!$B$7,IF(V405="",Constants!$B$13,V405),"")</f>
        <v/>
      </c>
      <c r="AC405" s="65" t="str">
        <f aca="false">IF($Z405=Constants!$B$7,IF(X405="",Constants!$B$13,X405),"")</f>
        <v/>
      </c>
      <c r="AD405" s="65" t="str">
        <f aca="false">IF($Z405=Constants!$B$7,IF($AB405&gt;=$AC405,1,2),"")</f>
        <v/>
      </c>
      <c r="AE405" s="65" t="str">
        <f aca="false">IF($Z405=Constants!$B$7,LARGE(AB405:AC405,1),"")</f>
        <v/>
      </c>
      <c r="AF405" s="65" t="str">
        <f aca="false">IF(ISBLANK($C405),"",IF($Z405&lt;&gt;Constants!$B$7,$Z405,AE405*S405))</f>
        <v/>
      </c>
      <c r="AG405" s="65" t="str">
        <f aca="false">IF(ISBLANK($C405),"",IF($Z405=Constants!$B$7,IF(ISNUMBER(AF405),RANK(AF405,$AF$8:$AF$507),Constants!$B$14),$Z405))</f>
        <v/>
      </c>
      <c r="AH405" s="65" t="str">
        <f aca="false">IF(ISBLANK($C405),"",IF($Z405=Constants!$B$7,IF(ISNUMBER(AG405),COUNTIFS($AA$8:$AA$507,"&lt;"&amp;$AA405)+COUNTIFS($AA$8:$AA$507,$AA405,$AG$8:$AG$507,"&lt;"&amp;$AG405)+1,Constants!$B$14),$Z405))</f>
        <v/>
      </c>
      <c r="AI405" s="65" t="str">
        <f aca="false">IF(ISBLANK($C405),"",IF($Z405=Constants!$B$7,LARGE(AB405:AC405,2)*S405,""))</f>
        <v/>
      </c>
      <c r="AJ405" s="65" t="str">
        <f aca="false">IF(ISBLANK($C405),"",IF($Z405=Constants!$B$7,RANK(AI405,$AI$8:$AI$507),$Z405))</f>
        <v/>
      </c>
      <c r="AK405" s="65" t="str">
        <f aca="false">IF(ISBLANK($C405),"",IF($Z405=Constants!$B$7,IF(ISNUMBER(AG405),COUNTIFS($AA$8:$AA$507,"&lt;"&amp;$AA405)+COUNTIFS($AA$8:$AA$507,$AA405,$AG$8:$AG$507,"&lt;"&amp;$AG405)+COUNTIFS($AA$8:$AA$507,$AA405,$AG$8:$AG$507,$AG405,$AJ$8:$AJ$507,"&lt;"&amp;$AJ405)+1,Constants!$B$14),$Z405))</f>
        <v/>
      </c>
      <c r="AL405" s="65" t="str">
        <f aca="false">IF(ISBLANK($C405),"",IF($Z405=Constants!$B$7,IF(ISNUMBER(AH405),AH405-AK405,Constants!$B$14),$Z405))</f>
        <v/>
      </c>
      <c r="AM405" s="67"/>
      <c r="AN405" s="68" t="str">
        <f aca="false">IF(ISBLANK($C405),"",IF($Z405&lt;&gt;Constants!$B$7,$Z405,AD405))</f>
        <v/>
      </c>
      <c r="AO405" s="69" t="str">
        <f aca="false">IF(ISBLANK($C405),"",IF($Z405&lt;&gt;Constants!$B$7,$Z405,S405))</f>
        <v/>
      </c>
      <c r="AP405" s="70" t="str">
        <f aca="false">IF(ISBLANK($C405),"",IF($Z405&lt;&gt;Constants!$B$7,$Z405,AF405))</f>
        <v/>
      </c>
      <c r="AQ405" s="71" t="str">
        <f aca="false">IF(ISBLANK($C405),"",IF($Z405&lt;&gt;Constants!$B$7,$Z405,AA405))</f>
        <v/>
      </c>
      <c r="AR405" s="69" t="str">
        <f aca="false">IF(ISBLANK($C405),"",AL405)</f>
        <v/>
      </c>
      <c r="AS405" s="69" t="str">
        <f aca="false">IF(ISBLANK($C405),"",AK405)</f>
        <v/>
      </c>
      <c r="AT405" s="72" t="str">
        <f aca="false">IF(ISBLANK($C405),"",IF(AS405=Constants!$B$4,COUNTA($C$8:$C$507)+2,IF(AS405=Constants!$B$5,COUNTA($C$8:$C$507)+1,IF(AS405=Constants!$B$6,COUNTA($C$8:$C$507),AS405))))</f>
        <v/>
      </c>
      <c r="AU405" s="5"/>
      <c r="AV405" s="73" t="n">
        <f aca="false">IF(OR(ISNUMBER(AS405),AS405=Constants!$B$4,AS405=Constants!$B$6,AS405=Constants!$B$5),1,0)</f>
        <v>0</v>
      </c>
      <c r="AW405" s="73" t="n">
        <v>398</v>
      </c>
      <c r="AX405" s="73" t="str">
        <f aca="false">IF(ISBLANK($C405),"",IF(ISNUMBER(AT405),AT405+ROW($B405)/1000,""))</f>
        <v/>
      </c>
      <c r="AY405" s="73" t="str">
        <f aca="false">IF(ISNUMBER(AX405),RANK(AX405,$AX$8:$AX$507,1),"")</f>
        <v/>
      </c>
      <c r="AZ405" s="73" t="str">
        <f aca="false">IF(ISBLANK($C405),"",$B405)</f>
        <v/>
      </c>
      <c r="BA405" s="73" t="str">
        <f aca="false">IF(ISBLANK($C405),"",$C405)</f>
        <v/>
      </c>
      <c r="BB405" s="73" t="str">
        <f aca="false">IF(ISBLANK($C405),"",$D405)</f>
        <v/>
      </c>
      <c r="BC405" s="74" t="str">
        <f aca="false">AQ405</f>
        <v/>
      </c>
      <c r="BD405" s="75" t="str">
        <f aca="false">AP405</f>
        <v/>
      </c>
      <c r="BE405" s="73" t="str">
        <f aca="false">IF(ISBLANK($C405),"",AS405)</f>
        <v/>
      </c>
      <c r="BF405" s="76" t="str">
        <f aca="false">IF($AW405&gt;$AV$7,"",VLOOKUP($AW405,$AY$8:$BE$507,7,FALSE()))</f>
        <v/>
      </c>
      <c r="BG405" s="77" t="str">
        <f aca="false">IF($AW405&gt;$AV$7,"",VLOOKUP($AW405,$AY$8:$BE$507,2,FALSE()))</f>
        <v/>
      </c>
      <c r="BH405" s="77" t="str">
        <f aca="false">IF($AW405&gt;$AV$7,"",VLOOKUP($AW405,$AY$8:$BE$507,3,FALSE()))</f>
        <v/>
      </c>
      <c r="BI405" s="77" t="str">
        <f aca="false">IF($AW405&gt;$AV$7,"",VLOOKUP($AW405,$AY$8:$BE$507,4,FALSE()))</f>
        <v/>
      </c>
      <c r="BJ405" s="77" t="str">
        <f aca="false">IF($AW405&gt;$AV$7,"",VLOOKUP($AW405,$AY$8:$BE$507,5,FALSE()))</f>
        <v/>
      </c>
      <c r="BK405" s="78" t="str">
        <f aca="false">IF($AW405&gt;$AV$7,"",VLOOKUP($AW405,$AY$8:$BE$507,6,FALSE()))</f>
        <v/>
      </c>
      <c r="BL405" s="50"/>
    </row>
    <row r="406" customFormat="false" ht="15.75" hidden="false" customHeight="false" outlineLevel="0" collapsed="false">
      <c r="A406" s="5"/>
      <c r="B406" s="131"/>
      <c r="C406" s="52"/>
      <c r="D406" s="53"/>
      <c r="E406" s="80"/>
      <c r="F406" s="132"/>
      <c r="G406" s="56"/>
      <c r="H406" s="133"/>
      <c r="I406" s="134"/>
      <c r="J406" s="59"/>
      <c r="K406" s="60"/>
      <c r="L406" s="134"/>
      <c r="M406" s="61"/>
      <c r="N406" s="62"/>
      <c r="O406" s="80"/>
      <c r="P406" s="64"/>
      <c r="Q406" s="65" t="str">
        <f aca="false">IF(ISBLANK($C406),"",IF(E406=Constants!$B$2, TRUE(), IF(E406=Constants!$B$3, FALSE(), TRUE())))</f>
        <v/>
      </c>
      <c r="R406" s="65" t="str">
        <f aca="false">IF(ISBLANK($C406),"",IF(F406=Constants!$B$2, TRUE(), IF(F406=Constants!$B$3, FALSE(), TRUE())))</f>
        <v/>
      </c>
      <c r="S406" s="65" t="str">
        <f aca="false">IF(ISBLANK($C406),"",IF(G406=Constants!$B$15,Constants!$B$8,IF(G406=Constants!$B$16,Constants!$B$9,Constants!$B$10)))</f>
        <v/>
      </c>
      <c r="T406" s="65" t="str">
        <f aca="false">IF(ISBLANK($C406),"",IF(H406=Constants!$B$2, TRUE(), IF(H406=Constants!$B$3, FALSE(), TRUE())))</f>
        <v/>
      </c>
      <c r="U406" s="65" t="str">
        <f aca="false">IF(ISBLANK($C406),"",IF(I406=Constants!$B$19,Constants!$B$19,Constants!$B$18))</f>
        <v/>
      </c>
      <c r="V406" s="65" t="str">
        <f aca="false">IF(ISBLANK($C406),"",IF(COUNTA(J406:K406)=0,"",IF(AND(OR(ISBLANK(J406),AND(ISNUMBER(J406),J406&gt;=0)),OR(ISBLANK(K406),AND(ISNUMBER(K406),K406&gt;=0))),60*IF(ISBLANK(J406),0,J406)+IF(ISBLANK(K406),0,K406),"")))</f>
        <v/>
      </c>
      <c r="W406" s="65" t="str">
        <f aca="false">IF(ISBLANK($C406),"",IF(L406=Constants!$B$19,Constants!$B$19,Constants!$B$18))</f>
        <v/>
      </c>
      <c r="X406" s="65" t="str">
        <f aca="false">IF(ISBLANK($C406),"",IF(COUNTA(M406:N406)=0,"",IF(AND(OR(ISBLANK(M406),AND(ISNUMBER(M406),M406&gt;=0)),OR(ISBLANK(N406),AND(ISNUMBER(N406),N406&gt;=0))),60*IF(ISBLANK(M406),0,M406)+IF(ISBLANK(N406),0,N406),"")))</f>
        <v/>
      </c>
      <c r="Y406" s="65" t="str">
        <f aca="false">IF(ISBLANK($C406),"",IF(O406=Constants!$B$2, TRUE(), IF(O406=Constants!$B$3, FALSE(), FALSE())))</f>
        <v/>
      </c>
      <c r="Z406" s="65" t="str">
        <f aca="false">IF(ISBLANK($C406),"",IF(Y406,Constants!$B$4,IF(COUNTA(E406:N406)=0,Constants!$B$5,IF(COUNTA(J406:K406,M406:N406)=0,Constants!$B$6,Constants!$B$7))))</f>
        <v/>
      </c>
      <c r="AA406" s="65" t="str">
        <f aca="false">IF(ISBLANK($C406),"",IF($Z406&lt;&gt;Constants!$B$7,$Z406,IF(OR(NOT(T406),AND(NOT(Q406),COUNTIFS(U406:W406,Constants!$B$18,V406:X406,"&gt;=0")&gt;0),AND(NOT(R406),COUNTIFS(U406:W406,Constants!$B$19,V406:X406,"&gt;=0")&gt;0)),Constants!$B$12,Constants!$B$11)))</f>
        <v/>
      </c>
      <c r="AB406" s="65" t="str">
        <f aca="false">IF($Z406=Constants!$B$7,IF(V406="",Constants!$B$13,V406),"")</f>
        <v/>
      </c>
      <c r="AC406" s="65" t="str">
        <f aca="false">IF($Z406=Constants!$B$7,IF(X406="",Constants!$B$13,X406),"")</f>
        <v/>
      </c>
      <c r="AD406" s="65" t="str">
        <f aca="false">IF($Z406=Constants!$B$7,IF($AB406&gt;=$AC406,1,2),"")</f>
        <v/>
      </c>
      <c r="AE406" s="65" t="str">
        <f aca="false">IF($Z406=Constants!$B$7,LARGE(AB406:AC406,1),"")</f>
        <v/>
      </c>
      <c r="AF406" s="65" t="str">
        <f aca="false">IF(ISBLANK($C406),"",IF($Z406&lt;&gt;Constants!$B$7,$Z406,AE406*S406))</f>
        <v/>
      </c>
      <c r="AG406" s="65" t="str">
        <f aca="false">IF(ISBLANK($C406),"",IF($Z406=Constants!$B$7,IF(ISNUMBER(AF406),RANK(AF406,$AF$8:$AF$507),Constants!$B$14),$Z406))</f>
        <v/>
      </c>
      <c r="AH406" s="65" t="str">
        <f aca="false">IF(ISBLANK($C406),"",IF($Z406=Constants!$B$7,IF(ISNUMBER(AG406),COUNTIFS($AA$8:$AA$507,"&lt;"&amp;$AA406)+COUNTIFS($AA$8:$AA$507,$AA406,$AG$8:$AG$507,"&lt;"&amp;$AG406)+1,Constants!$B$14),$Z406))</f>
        <v/>
      </c>
      <c r="AI406" s="65" t="str">
        <f aca="false">IF(ISBLANK($C406),"",IF($Z406=Constants!$B$7,LARGE(AB406:AC406,2)*S406,""))</f>
        <v/>
      </c>
      <c r="AJ406" s="65" t="str">
        <f aca="false">IF(ISBLANK($C406),"",IF($Z406=Constants!$B$7,RANK(AI406,$AI$8:$AI$507),$Z406))</f>
        <v/>
      </c>
      <c r="AK406" s="65" t="str">
        <f aca="false">IF(ISBLANK($C406),"",IF($Z406=Constants!$B$7,IF(ISNUMBER(AG406),COUNTIFS($AA$8:$AA$507,"&lt;"&amp;$AA406)+COUNTIFS($AA$8:$AA$507,$AA406,$AG$8:$AG$507,"&lt;"&amp;$AG406)+COUNTIFS($AA$8:$AA$507,$AA406,$AG$8:$AG$507,$AG406,$AJ$8:$AJ$507,"&lt;"&amp;$AJ406)+1,Constants!$B$14),$Z406))</f>
        <v/>
      </c>
      <c r="AL406" s="65" t="str">
        <f aca="false">IF(ISBLANK($C406),"",IF($Z406=Constants!$B$7,IF(ISNUMBER(AH406),AH406-AK406,Constants!$B$14),$Z406))</f>
        <v/>
      </c>
      <c r="AM406" s="67"/>
      <c r="AN406" s="68" t="str">
        <f aca="false">IF(ISBLANK($C406),"",IF($Z406&lt;&gt;Constants!$B$7,$Z406,AD406))</f>
        <v/>
      </c>
      <c r="AO406" s="69" t="str">
        <f aca="false">IF(ISBLANK($C406),"",IF($Z406&lt;&gt;Constants!$B$7,$Z406,S406))</f>
        <v/>
      </c>
      <c r="AP406" s="70" t="str">
        <f aca="false">IF(ISBLANK($C406),"",IF($Z406&lt;&gt;Constants!$B$7,$Z406,AF406))</f>
        <v/>
      </c>
      <c r="AQ406" s="71" t="str">
        <f aca="false">IF(ISBLANK($C406),"",IF($Z406&lt;&gt;Constants!$B$7,$Z406,AA406))</f>
        <v/>
      </c>
      <c r="AR406" s="69" t="str">
        <f aca="false">IF(ISBLANK($C406),"",AL406)</f>
        <v/>
      </c>
      <c r="AS406" s="69" t="str">
        <f aca="false">IF(ISBLANK($C406),"",AK406)</f>
        <v/>
      </c>
      <c r="AT406" s="72" t="str">
        <f aca="false">IF(ISBLANK($C406),"",IF(AS406=Constants!$B$4,COUNTA($C$8:$C$507)+2,IF(AS406=Constants!$B$5,COUNTA($C$8:$C$507)+1,IF(AS406=Constants!$B$6,COUNTA($C$8:$C$507),AS406))))</f>
        <v/>
      </c>
      <c r="AU406" s="5"/>
      <c r="AV406" s="73" t="n">
        <f aca="false">IF(OR(ISNUMBER(AS406),AS406=Constants!$B$4,AS406=Constants!$B$6,AS406=Constants!$B$5),1,0)</f>
        <v>0</v>
      </c>
      <c r="AW406" s="73" t="n">
        <v>399</v>
      </c>
      <c r="AX406" s="73" t="str">
        <f aca="false">IF(ISBLANK($C406),"",IF(ISNUMBER(AT406),AT406+ROW($B406)/1000,""))</f>
        <v/>
      </c>
      <c r="AY406" s="73" t="str">
        <f aca="false">IF(ISNUMBER(AX406),RANK(AX406,$AX$8:$AX$507,1),"")</f>
        <v/>
      </c>
      <c r="AZ406" s="73" t="str">
        <f aca="false">IF(ISBLANK($C406),"",$B406)</f>
        <v/>
      </c>
      <c r="BA406" s="73" t="str">
        <f aca="false">IF(ISBLANK($C406),"",$C406)</f>
        <v/>
      </c>
      <c r="BB406" s="73" t="str">
        <f aca="false">IF(ISBLANK($C406),"",$D406)</f>
        <v/>
      </c>
      <c r="BC406" s="74" t="str">
        <f aca="false">AQ406</f>
        <v/>
      </c>
      <c r="BD406" s="75" t="str">
        <f aca="false">AP406</f>
        <v/>
      </c>
      <c r="BE406" s="73" t="str">
        <f aca="false">IF(ISBLANK($C406),"",AS406)</f>
        <v/>
      </c>
      <c r="BF406" s="76" t="str">
        <f aca="false">IF($AW406&gt;$AV$7,"",VLOOKUP($AW406,$AY$8:$BE$507,7,FALSE()))</f>
        <v/>
      </c>
      <c r="BG406" s="77" t="str">
        <f aca="false">IF($AW406&gt;$AV$7,"",VLOOKUP($AW406,$AY$8:$BE$507,2,FALSE()))</f>
        <v/>
      </c>
      <c r="BH406" s="77" t="str">
        <f aca="false">IF($AW406&gt;$AV$7,"",VLOOKUP($AW406,$AY$8:$BE$507,3,FALSE()))</f>
        <v/>
      </c>
      <c r="BI406" s="77" t="str">
        <f aca="false">IF($AW406&gt;$AV$7,"",VLOOKUP($AW406,$AY$8:$BE$507,4,FALSE()))</f>
        <v/>
      </c>
      <c r="BJ406" s="77" t="str">
        <f aca="false">IF($AW406&gt;$AV$7,"",VLOOKUP($AW406,$AY$8:$BE$507,5,FALSE()))</f>
        <v/>
      </c>
      <c r="BK406" s="78" t="str">
        <f aca="false">IF($AW406&gt;$AV$7,"",VLOOKUP($AW406,$AY$8:$BE$507,6,FALSE()))</f>
        <v/>
      </c>
      <c r="BL406" s="50"/>
    </row>
    <row r="407" customFormat="false" ht="15.75" hidden="false" customHeight="false" outlineLevel="0" collapsed="false">
      <c r="A407" s="5"/>
      <c r="B407" s="124"/>
      <c r="C407" s="125"/>
      <c r="D407" s="110"/>
      <c r="E407" s="130"/>
      <c r="F407" s="135"/>
      <c r="G407" s="88"/>
      <c r="H407" s="136"/>
      <c r="I407" s="137"/>
      <c r="J407" s="91"/>
      <c r="K407" s="92"/>
      <c r="L407" s="137"/>
      <c r="M407" s="93"/>
      <c r="N407" s="94"/>
      <c r="O407" s="130"/>
      <c r="P407" s="96"/>
      <c r="Q407" s="97" t="str">
        <f aca="false">IF(ISBLANK($C407),"",IF(E407=Constants!$B$2, TRUE(), IF(E407=Constants!$B$3, FALSE(), TRUE())))</f>
        <v/>
      </c>
      <c r="R407" s="97" t="str">
        <f aca="false">IF(ISBLANK($C407),"",IF(F407=Constants!$B$2, TRUE(), IF(F407=Constants!$B$3, FALSE(), TRUE())))</f>
        <v/>
      </c>
      <c r="S407" s="97" t="str">
        <f aca="false">IF(ISBLANK($C407),"",IF(G407=Constants!$B$15,Constants!$B$8,IF(G407=Constants!$B$16,Constants!$B$9,Constants!$B$10)))</f>
        <v/>
      </c>
      <c r="T407" s="97" t="str">
        <f aca="false">IF(ISBLANK($C407),"",IF(H407=Constants!$B$2, TRUE(), IF(H407=Constants!$B$3, FALSE(), TRUE())))</f>
        <v/>
      </c>
      <c r="U407" s="97" t="str">
        <f aca="false">IF(ISBLANK($C407),"",IF(I407=Constants!$B$19,Constants!$B$19,Constants!$B$18))</f>
        <v/>
      </c>
      <c r="V407" s="97" t="str">
        <f aca="false">IF(ISBLANK($C407),"",IF(COUNTA(J407:K407)=0,"",IF(AND(OR(ISBLANK(J407),AND(ISNUMBER(J407),J407&gt;=0)),OR(ISBLANK(K407),AND(ISNUMBER(K407),K407&gt;=0))),60*IF(ISBLANK(J407),0,J407)+IF(ISBLANK(K407),0,K407),"")))</f>
        <v/>
      </c>
      <c r="W407" s="97" t="str">
        <f aca="false">IF(ISBLANK($C407),"",IF(L407=Constants!$B$19,Constants!$B$19,Constants!$B$18))</f>
        <v/>
      </c>
      <c r="X407" s="97" t="str">
        <f aca="false">IF(ISBLANK($C407),"",IF(COUNTA(M407:N407)=0,"",IF(AND(OR(ISBLANK(M407),AND(ISNUMBER(M407),M407&gt;=0)),OR(ISBLANK(N407),AND(ISNUMBER(N407),N407&gt;=0))),60*IF(ISBLANK(M407),0,M407)+IF(ISBLANK(N407),0,N407),"")))</f>
        <v/>
      </c>
      <c r="Y407" s="97" t="str">
        <f aca="false">IF(ISBLANK($C407),"",IF(O407=Constants!$B$2, TRUE(), IF(O407=Constants!$B$3, FALSE(), FALSE())))</f>
        <v/>
      </c>
      <c r="Z407" s="97" t="str">
        <f aca="false">IF(ISBLANK($C407),"",IF(Y407,Constants!$B$4,IF(COUNTA(E407:N407)=0,Constants!$B$5,IF(COUNTA(J407:K407,M407:N407)=0,Constants!$B$6,Constants!$B$7))))</f>
        <v/>
      </c>
      <c r="AA407" s="97" t="str">
        <f aca="false">IF(ISBLANK($C407),"",IF($Z407&lt;&gt;Constants!$B$7,$Z407,IF(OR(NOT(T407),AND(NOT(Q407),COUNTIFS(U407:W407,Constants!$B$18,V407:X407,"&gt;=0")&gt;0),AND(NOT(R407),COUNTIFS(U407:W407,Constants!$B$19,V407:X407,"&gt;=0")&gt;0)),Constants!$B$12,Constants!$B$11)))</f>
        <v/>
      </c>
      <c r="AB407" s="97" t="str">
        <f aca="false">IF($Z407=Constants!$B$7,IF(V407="",Constants!$B$13,V407),"")</f>
        <v/>
      </c>
      <c r="AC407" s="97" t="str">
        <f aca="false">IF($Z407=Constants!$B$7,IF(X407="",Constants!$B$13,X407),"")</f>
        <v/>
      </c>
      <c r="AD407" s="97" t="str">
        <f aca="false">IF($Z407=Constants!$B$7,IF($AB407&gt;=$AC407,1,2),"")</f>
        <v/>
      </c>
      <c r="AE407" s="97" t="str">
        <f aca="false">IF($Z407=Constants!$B$7,LARGE(AB407:AC407,1),"")</f>
        <v/>
      </c>
      <c r="AF407" s="97" t="str">
        <f aca="false">IF(ISBLANK($C407),"",IF($Z407&lt;&gt;Constants!$B$7,$Z407,AE407*S407))</f>
        <v/>
      </c>
      <c r="AG407" s="97" t="str">
        <f aca="false">IF(ISBLANK($C407),"",IF($Z407=Constants!$B$7,IF(ISNUMBER(AF407),RANK(AF407,$AF$8:$AF$507),Constants!$B$14),$Z407))</f>
        <v/>
      </c>
      <c r="AH407" s="97" t="str">
        <f aca="false">IF(ISBLANK($C407),"",IF($Z407=Constants!$B$7,IF(ISNUMBER(AG407),COUNTIFS($AA$8:$AA$507,"&lt;"&amp;$AA407)+COUNTIFS($AA$8:$AA$507,$AA407,$AG$8:$AG$507,"&lt;"&amp;$AG407)+1,Constants!$B$14),$Z407))</f>
        <v/>
      </c>
      <c r="AI407" s="97" t="str">
        <f aca="false">IF(ISBLANK($C407),"",IF($Z407=Constants!$B$7,LARGE(AB407:AC407,2)*S407,""))</f>
        <v/>
      </c>
      <c r="AJ407" s="97" t="str">
        <f aca="false">IF(ISBLANK($C407),"",IF($Z407=Constants!$B$7,RANK(AI407,$AI$8:$AI$507),$Z407))</f>
        <v/>
      </c>
      <c r="AK407" s="97" t="str">
        <f aca="false">IF(ISBLANK($C407),"",IF($Z407=Constants!$B$7,IF(ISNUMBER(AG407),COUNTIFS($AA$8:$AA$507,"&lt;"&amp;$AA407)+COUNTIFS($AA$8:$AA$507,$AA407,$AG$8:$AG$507,"&lt;"&amp;$AG407)+COUNTIFS($AA$8:$AA$507,$AA407,$AG$8:$AG$507,$AG407,$AJ$8:$AJ$507,"&lt;"&amp;$AJ407)+1,Constants!$B$14),$Z407))</f>
        <v/>
      </c>
      <c r="AL407" s="97" t="str">
        <f aca="false">IF(ISBLANK($C407),"",IF($Z407=Constants!$B$7,IF(ISNUMBER(AH407),AH407-AK407,Constants!$B$14),$Z407))</f>
        <v/>
      </c>
      <c r="AM407" s="98"/>
      <c r="AN407" s="99" t="str">
        <f aca="false">IF(ISBLANK($C407),"",IF($Z407&lt;&gt;Constants!$B$7,$Z407,AD407))</f>
        <v/>
      </c>
      <c r="AO407" s="100" t="str">
        <f aca="false">IF(ISBLANK($C407),"",IF($Z407&lt;&gt;Constants!$B$7,$Z407,S407))</f>
        <v/>
      </c>
      <c r="AP407" s="101" t="str">
        <f aca="false">IF(ISBLANK($C407),"",IF($Z407&lt;&gt;Constants!$B$7,$Z407,AF407))</f>
        <v/>
      </c>
      <c r="AQ407" s="102" t="str">
        <f aca="false">IF(ISBLANK($C407),"",IF($Z407&lt;&gt;Constants!$B$7,$Z407,AA407))</f>
        <v/>
      </c>
      <c r="AR407" s="100" t="str">
        <f aca="false">IF(ISBLANK($C407),"",AL407)</f>
        <v/>
      </c>
      <c r="AS407" s="100" t="str">
        <f aca="false">IF(ISBLANK($C407),"",AK407)</f>
        <v/>
      </c>
      <c r="AT407" s="103" t="str">
        <f aca="false">IF(ISBLANK($C407),"",IF(AS407=Constants!$B$4,COUNTA($C$8:$C$507)+2,IF(AS407=Constants!$B$5,COUNTA($C$8:$C$507)+1,IF(AS407=Constants!$B$6,COUNTA($C$8:$C$507),AS407))))</f>
        <v/>
      </c>
      <c r="AU407" s="5"/>
      <c r="AV407" s="104" t="n">
        <f aca="false">IF(OR(ISNUMBER(AS407),AS407=Constants!$B$4,AS407=Constants!$B$6,AS407=Constants!$B$5),1,0)</f>
        <v>0</v>
      </c>
      <c r="AW407" s="104" t="n">
        <v>400</v>
      </c>
      <c r="AX407" s="104" t="str">
        <f aca="false">IF(ISBLANK($C407),"",IF(ISNUMBER(AT407),AT407+ROW($B407)/1000,""))</f>
        <v/>
      </c>
      <c r="AY407" s="104" t="str">
        <f aca="false">IF(ISNUMBER(AX407),RANK(AX407,$AX$8:$AX$507,1),"")</f>
        <v/>
      </c>
      <c r="AZ407" s="104" t="str">
        <f aca="false">IF(ISBLANK($C407),"",$B407)</f>
        <v/>
      </c>
      <c r="BA407" s="104" t="str">
        <f aca="false">IF(ISBLANK($C407),"",$C407)</f>
        <v/>
      </c>
      <c r="BB407" s="104" t="str">
        <f aca="false">IF(ISBLANK($C407),"",$D407)</f>
        <v/>
      </c>
      <c r="BC407" s="105" t="str">
        <f aca="false">AQ407</f>
        <v/>
      </c>
      <c r="BD407" s="106" t="str">
        <f aca="false">AP407</f>
        <v/>
      </c>
      <c r="BE407" s="104" t="str">
        <f aca="false">IF(ISBLANK($C407),"",AS407)</f>
        <v/>
      </c>
      <c r="BF407" s="107" t="str">
        <f aca="false">IF($AW407&gt;$AV$7,"",VLOOKUP($AW407,$AY$8:$BE$507,7,FALSE()))</f>
        <v/>
      </c>
      <c r="BG407" s="108" t="str">
        <f aca="false">IF($AW407&gt;$AV$7,"",VLOOKUP($AW407,$AY$8:$BE$507,2,FALSE()))</f>
        <v/>
      </c>
      <c r="BH407" s="108" t="str">
        <f aca="false">IF($AW407&gt;$AV$7,"",VLOOKUP($AW407,$AY$8:$BE$507,3,FALSE()))</f>
        <v/>
      </c>
      <c r="BI407" s="108" t="str">
        <f aca="false">IF($AW407&gt;$AV$7,"",VLOOKUP($AW407,$AY$8:$BE$507,4,FALSE()))</f>
        <v/>
      </c>
      <c r="BJ407" s="108" t="str">
        <f aca="false">IF($AW407&gt;$AV$7,"",VLOOKUP($AW407,$AY$8:$BE$507,5,FALSE()))</f>
        <v/>
      </c>
      <c r="BK407" s="109" t="str">
        <f aca="false">IF($AW407&gt;$AV$7,"",VLOOKUP($AW407,$AY$8:$BE$507,6,FALSE()))</f>
        <v/>
      </c>
      <c r="BL407" s="50"/>
    </row>
    <row r="408" customFormat="false" ht="15.75" hidden="false" customHeight="false" outlineLevel="0" collapsed="false">
      <c r="A408" s="5"/>
      <c r="B408" s="124"/>
      <c r="C408" s="125"/>
      <c r="D408" s="110"/>
      <c r="E408" s="130"/>
      <c r="F408" s="135"/>
      <c r="G408" s="88"/>
      <c r="H408" s="136"/>
      <c r="I408" s="137"/>
      <c r="J408" s="91"/>
      <c r="K408" s="92"/>
      <c r="L408" s="137"/>
      <c r="M408" s="93"/>
      <c r="N408" s="94"/>
      <c r="O408" s="130"/>
      <c r="P408" s="96"/>
      <c r="Q408" s="97" t="str">
        <f aca="false">IF(ISBLANK($C408),"",IF(E408=Constants!$B$2, TRUE(), IF(E408=Constants!$B$3, FALSE(), TRUE())))</f>
        <v/>
      </c>
      <c r="R408" s="97" t="str">
        <f aca="false">IF(ISBLANK($C408),"",IF(F408=Constants!$B$2, TRUE(), IF(F408=Constants!$B$3, FALSE(), TRUE())))</f>
        <v/>
      </c>
      <c r="S408" s="97" t="str">
        <f aca="false">IF(ISBLANK($C408),"",IF(G408=Constants!$B$15,Constants!$B$8,IF(G408=Constants!$B$16,Constants!$B$9,Constants!$B$10)))</f>
        <v/>
      </c>
      <c r="T408" s="97" t="str">
        <f aca="false">IF(ISBLANK($C408),"",IF(H408=Constants!$B$2, TRUE(), IF(H408=Constants!$B$3, FALSE(), TRUE())))</f>
        <v/>
      </c>
      <c r="U408" s="97" t="str">
        <f aca="false">IF(ISBLANK($C408),"",IF(I408=Constants!$B$19,Constants!$B$19,Constants!$B$18))</f>
        <v/>
      </c>
      <c r="V408" s="97" t="str">
        <f aca="false">IF(ISBLANK($C408),"",IF(COUNTA(J408:K408)=0,"",IF(AND(OR(ISBLANK(J408),AND(ISNUMBER(J408),J408&gt;=0)),OR(ISBLANK(K408),AND(ISNUMBER(K408),K408&gt;=0))),60*IF(ISBLANK(J408),0,J408)+IF(ISBLANK(K408),0,K408),"")))</f>
        <v/>
      </c>
      <c r="W408" s="97" t="str">
        <f aca="false">IF(ISBLANK($C408),"",IF(L408=Constants!$B$19,Constants!$B$19,Constants!$B$18))</f>
        <v/>
      </c>
      <c r="X408" s="97" t="str">
        <f aca="false">IF(ISBLANK($C408),"",IF(COUNTA(M408:N408)=0,"",IF(AND(OR(ISBLANK(M408),AND(ISNUMBER(M408),M408&gt;=0)),OR(ISBLANK(N408),AND(ISNUMBER(N408),N408&gt;=0))),60*IF(ISBLANK(M408),0,M408)+IF(ISBLANK(N408),0,N408),"")))</f>
        <v/>
      </c>
      <c r="Y408" s="97" t="str">
        <f aca="false">IF(ISBLANK($C408),"",IF(O408=Constants!$B$2, TRUE(), IF(O408=Constants!$B$3, FALSE(), FALSE())))</f>
        <v/>
      </c>
      <c r="Z408" s="97" t="str">
        <f aca="false">IF(ISBLANK($C408),"",IF(Y408,Constants!$B$4,IF(COUNTA(E408:N408)=0,Constants!$B$5,IF(COUNTA(J408:K408,M408:N408)=0,Constants!$B$6,Constants!$B$7))))</f>
        <v/>
      </c>
      <c r="AA408" s="97" t="str">
        <f aca="false">IF(ISBLANK($C408),"",IF($Z408&lt;&gt;Constants!$B$7,$Z408,IF(OR(NOT(T408),AND(NOT(Q408),COUNTIFS(U408:W408,Constants!$B$18,V408:X408,"&gt;=0")&gt;0),AND(NOT(R408),COUNTIFS(U408:W408,Constants!$B$19,V408:X408,"&gt;=0")&gt;0)),Constants!$B$12,Constants!$B$11)))</f>
        <v/>
      </c>
      <c r="AB408" s="97" t="str">
        <f aca="false">IF($Z408=Constants!$B$7,IF(V408="",Constants!$B$13,V408),"")</f>
        <v/>
      </c>
      <c r="AC408" s="97" t="str">
        <f aca="false">IF($Z408=Constants!$B$7,IF(X408="",Constants!$B$13,X408),"")</f>
        <v/>
      </c>
      <c r="AD408" s="97" t="str">
        <f aca="false">IF($Z408=Constants!$B$7,IF($AB408&gt;=$AC408,1,2),"")</f>
        <v/>
      </c>
      <c r="AE408" s="97" t="str">
        <f aca="false">IF($Z408=Constants!$B$7,LARGE(AB408:AC408,1),"")</f>
        <v/>
      </c>
      <c r="AF408" s="97" t="str">
        <f aca="false">IF(ISBLANK($C408),"",IF($Z408&lt;&gt;Constants!$B$7,$Z408,AE408*S408))</f>
        <v/>
      </c>
      <c r="AG408" s="97" t="str">
        <f aca="false">IF(ISBLANK($C408),"",IF($Z408=Constants!$B$7,IF(ISNUMBER(AF408),RANK(AF408,$AF$8:$AF$507),Constants!$B$14),$Z408))</f>
        <v/>
      </c>
      <c r="AH408" s="97" t="str">
        <f aca="false">IF(ISBLANK($C408),"",IF($Z408=Constants!$B$7,IF(ISNUMBER(AG408),COUNTIFS($AA$8:$AA$507,"&lt;"&amp;$AA408)+COUNTIFS($AA$8:$AA$507,$AA408,$AG$8:$AG$507,"&lt;"&amp;$AG408)+1,Constants!$B$14),$Z408))</f>
        <v/>
      </c>
      <c r="AI408" s="97" t="str">
        <f aca="false">IF(ISBLANK($C408),"",IF($Z408=Constants!$B$7,LARGE(AB408:AC408,2)*S408,""))</f>
        <v/>
      </c>
      <c r="AJ408" s="97" t="str">
        <f aca="false">IF(ISBLANK($C408),"",IF($Z408=Constants!$B$7,RANK(AI408,$AI$8:$AI$507),$Z408))</f>
        <v/>
      </c>
      <c r="AK408" s="97" t="str">
        <f aca="false">IF(ISBLANK($C408),"",IF($Z408=Constants!$B$7,IF(ISNUMBER(AG408),COUNTIFS($AA$8:$AA$507,"&lt;"&amp;$AA408)+COUNTIFS($AA$8:$AA$507,$AA408,$AG$8:$AG$507,"&lt;"&amp;$AG408)+COUNTIFS($AA$8:$AA$507,$AA408,$AG$8:$AG$507,$AG408,$AJ$8:$AJ$507,"&lt;"&amp;$AJ408)+1,Constants!$B$14),$Z408))</f>
        <v/>
      </c>
      <c r="AL408" s="97" t="str">
        <f aca="false">IF(ISBLANK($C408),"",IF($Z408=Constants!$B$7,IF(ISNUMBER(AH408),AH408-AK408,Constants!$B$14),$Z408))</f>
        <v/>
      </c>
      <c r="AM408" s="98"/>
      <c r="AN408" s="99" t="str">
        <f aca="false">IF(ISBLANK($C408),"",IF($Z408&lt;&gt;Constants!$B$7,$Z408,AD408))</f>
        <v/>
      </c>
      <c r="AO408" s="100" t="str">
        <f aca="false">IF(ISBLANK($C408),"",IF($Z408&lt;&gt;Constants!$B$7,$Z408,S408))</f>
        <v/>
      </c>
      <c r="AP408" s="101" t="str">
        <f aca="false">IF(ISBLANK($C408),"",IF($Z408&lt;&gt;Constants!$B$7,$Z408,AF408))</f>
        <v/>
      </c>
      <c r="AQ408" s="102" t="str">
        <f aca="false">IF(ISBLANK($C408),"",IF($Z408&lt;&gt;Constants!$B$7,$Z408,AA408))</f>
        <v/>
      </c>
      <c r="AR408" s="100" t="str">
        <f aca="false">IF(ISBLANK($C408),"",AL408)</f>
        <v/>
      </c>
      <c r="AS408" s="100" t="str">
        <f aca="false">IF(ISBLANK($C408),"",AK408)</f>
        <v/>
      </c>
      <c r="AT408" s="103" t="str">
        <f aca="false">IF(ISBLANK($C408),"",IF(AS408=Constants!$B$4,COUNTA($C$8:$C$507)+2,IF(AS408=Constants!$B$5,COUNTA($C$8:$C$507)+1,IF(AS408=Constants!$B$6,COUNTA($C$8:$C$507),AS408))))</f>
        <v/>
      </c>
      <c r="AU408" s="5"/>
      <c r="AV408" s="104" t="n">
        <f aca="false">IF(OR(ISNUMBER(AS408),AS408=Constants!$B$4,AS408=Constants!$B$6,AS408=Constants!$B$5),1,0)</f>
        <v>0</v>
      </c>
      <c r="AW408" s="104" t="n">
        <v>401</v>
      </c>
      <c r="AX408" s="104" t="str">
        <f aca="false">IF(ISBLANK($C408),"",IF(ISNUMBER(AT408),AT408+ROW($B408)/1000,""))</f>
        <v/>
      </c>
      <c r="AY408" s="104" t="str">
        <f aca="false">IF(ISNUMBER(AX408),RANK(AX408,$AX$8:$AX$507,1),"")</f>
        <v/>
      </c>
      <c r="AZ408" s="104" t="str">
        <f aca="false">IF(ISBLANK($C408),"",$B408)</f>
        <v/>
      </c>
      <c r="BA408" s="104" t="str">
        <f aca="false">IF(ISBLANK($C408),"",$C408)</f>
        <v/>
      </c>
      <c r="BB408" s="104" t="str">
        <f aca="false">IF(ISBLANK($C408),"",$D408)</f>
        <v/>
      </c>
      <c r="BC408" s="105" t="str">
        <f aca="false">AQ408</f>
        <v/>
      </c>
      <c r="BD408" s="106" t="str">
        <f aca="false">AP408</f>
        <v/>
      </c>
      <c r="BE408" s="104" t="str">
        <f aca="false">IF(ISBLANK($C408),"",AS408)</f>
        <v/>
      </c>
      <c r="BF408" s="107" t="str">
        <f aca="false">IF($AW408&gt;$AV$7,"",VLOOKUP($AW408,$AY$8:$BE$507,7,FALSE()))</f>
        <v/>
      </c>
      <c r="BG408" s="108" t="str">
        <f aca="false">IF($AW408&gt;$AV$7,"",VLOOKUP($AW408,$AY$8:$BE$507,2,FALSE()))</f>
        <v/>
      </c>
      <c r="BH408" s="108" t="str">
        <f aca="false">IF($AW408&gt;$AV$7,"",VLOOKUP($AW408,$AY$8:$BE$507,3,FALSE()))</f>
        <v/>
      </c>
      <c r="BI408" s="108" t="str">
        <f aca="false">IF($AW408&gt;$AV$7,"",VLOOKUP($AW408,$AY$8:$BE$507,4,FALSE()))</f>
        <v/>
      </c>
      <c r="BJ408" s="108" t="str">
        <f aca="false">IF($AW408&gt;$AV$7,"",VLOOKUP($AW408,$AY$8:$BE$507,5,FALSE()))</f>
        <v/>
      </c>
      <c r="BK408" s="109" t="str">
        <f aca="false">IF($AW408&gt;$AV$7,"",VLOOKUP($AW408,$AY$8:$BE$507,6,FALSE()))</f>
        <v/>
      </c>
      <c r="BL408" s="50"/>
    </row>
    <row r="409" customFormat="false" ht="15.75" hidden="false" customHeight="false" outlineLevel="0" collapsed="false">
      <c r="A409" s="5"/>
      <c r="B409" s="124"/>
      <c r="C409" s="125"/>
      <c r="D409" s="110"/>
      <c r="E409" s="130"/>
      <c r="F409" s="135"/>
      <c r="G409" s="88"/>
      <c r="H409" s="136"/>
      <c r="I409" s="137"/>
      <c r="J409" s="91"/>
      <c r="K409" s="92"/>
      <c r="L409" s="137"/>
      <c r="M409" s="93"/>
      <c r="N409" s="94"/>
      <c r="O409" s="130"/>
      <c r="P409" s="96"/>
      <c r="Q409" s="97" t="str">
        <f aca="false">IF(ISBLANK($C409),"",IF(E409=Constants!$B$2, TRUE(), IF(E409=Constants!$B$3, FALSE(), TRUE())))</f>
        <v/>
      </c>
      <c r="R409" s="97" t="str">
        <f aca="false">IF(ISBLANK($C409),"",IF(F409=Constants!$B$2, TRUE(), IF(F409=Constants!$B$3, FALSE(), TRUE())))</f>
        <v/>
      </c>
      <c r="S409" s="97" t="str">
        <f aca="false">IF(ISBLANK($C409),"",IF(G409=Constants!$B$15,Constants!$B$8,IF(G409=Constants!$B$16,Constants!$B$9,Constants!$B$10)))</f>
        <v/>
      </c>
      <c r="T409" s="97" t="str">
        <f aca="false">IF(ISBLANK($C409),"",IF(H409=Constants!$B$2, TRUE(), IF(H409=Constants!$B$3, FALSE(), TRUE())))</f>
        <v/>
      </c>
      <c r="U409" s="97" t="str">
        <f aca="false">IF(ISBLANK($C409),"",IF(I409=Constants!$B$19,Constants!$B$19,Constants!$B$18))</f>
        <v/>
      </c>
      <c r="V409" s="97" t="str">
        <f aca="false">IF(ISBLANK($C409),"",IF(COUNTA(J409:K409)=0,"",IF(AND(OR(ISBLANK(J409),AND(ISNUMBER(J409),J409&gt;=0)),OR(ISBLANK(K409),AND(ISNUMBER(K409),K409&gt;=0))),60*IF(ISBLANK(J409),0,J409)+IF(ISBLANK(K409),0,K409),"")))</f>
        <v/>
      </c>
      <c r="W409" s="97" t="str">
        <f aca="false">IF(ISBLANK($C409),"",IF(L409=Constants!$B$19,Constants!$B$19,Constants!$B$18))</f>
        <v/>
      </c>
      <c r="X409" s="97" t="str">
        <f aca="false">IF(ISBLANK($C409),"",IF(COUNTA(M409:N409)=0,"",IF(AND(OR(ISBLANK(M409),AND(ISNUMBER(M409),M409&gt;=0)),OR(ISBLANK(N409),AND(ISNUMBER(N409),N409&gt;=0))),60*IF(ISBLANK(M409),0,M409)+IF(ISBLANK(N409),0,N409),"")))</f>
        <v/>
      </c>
      <c r="Y409" s="97" t="str">
        <f aca="false">IF(ISBLANK($C409),"",IF(O409=Constants!$B$2, TRUE(), IF(O409=Constants!$B$3, FALSE(), FALSE())))</f>
        <v/>
      </c>
      <c r="Z409" s="97" t="str">
        <f aca="false">IF(ISBLANK($C409),"",IF(Y409,Constants!$B$4,IF(COUNTA(E409:N409)=0,Constants!$B$5,IF(COUNTA(J409:K409,M409:N409)=0,Constants!$B$6,Constants!$B$7))))</f>
        <v/>
      </c>
      <c r="AA409" s="97" t="str">
        <f aca="false">IF(ISBLANK($C409),"",IF($Z409&lt;&gt;Constants!$B$7,$Z409,IF(OR(NOT(T409),AND(NOT(Q409),COUNTIFS(U409:W409,Constants!$B$18,V409:X409,"&gt;=0")&gt;0),AND(NOT(R409),COUNTIFS(U409:W409,Constants!$B$19,V409:X409,"&gt;=0")&gt;0)),Constants!$B$12,Constants!$B$11)))</f>
        <v/>
      </c>
      <c r="AB409" s="97" t="str">
        <f aca="false">IF($Z409=Constants!$B$7,IF(V409="",Constants!$B$13,V409),"")</f>
        <v/>
      </c>
      <c r="AC409" s="97" t="str">
        <f aca="false">IF($Z409=Constants!$B$7,IF(X409="",Constants!$B$13,X409),"")</f>
        <v/>
      </c>
      <c r="AD409" s="97" t="str">
        <f aca="false">IF($Z409=Constants!$B$7,IF($AB409&gt;=$AC409,1,2),"")</f>
        <v/>
      </c>
      <c r="AE409" s="97" t="str">
        <f aca="false">IF($Z409=Constants!$B$7,LARGE(AB409:AC409,1),"")</f>
        <v/>
      </c>
      <c r="AF409" s="97" t="str">
        <f aca="false">IF(ISBLANK($C409),"",IF($Z409&lt;&gt;Constants!$B$7,$Z409,AE409*S409))</f>
        <v/>
      </c>
      <c r="AG409" s="97" t="str">
        <f aca="false">IF(ISBLANK($C409),"",IF($Z409=Constants!$B$7,IF(ISNUMBER(AF409),RANK(AF409,$AF$8:$AF$507),Constants!$B$14),$Z409))</f>
        <v/>
      </c>
      <c r="AH409" s="97" t="str">
        <f aca="false">IF(ISBLANK($C409),"",IF($Z409=Constants!$B$7,IF(ISNUMBER(AG409),COUNTIFS($AA$8:$AA$507,"&lt;"&amp;$AA409)+COUNTIFS($AA$8:$AA$507,$AA409,$AG$8:$AG$507,"&lt;"&amp;$AG409)+1,Constants!$B$14),$Z409))</f>
        <v/>
      </c>
      <c r="AI409" s="97" t="str">
        <f aca="false">IF(ISBLANK($C409),"",IF($Z409=Constants!$B$7,LARGE(AB409:AC409,2)*S409,""))</f>
        <v/>
      </c>
      <c r="AJ409" s="97" t="str">
        <f aca="false">IF(ISBLANK($C409),"",IF($Z409=Constants!$B$7,RANK(AI409,$AI$8:$AI$507),$Z409))</f>
        <v/>
      </c>
      <c r="AK409" s="97" t="str">
        <f aca="false">IF(ISBLANK($C409),"",IF($Z409=Constants!$B$7,IF(ISNUMBER(AG409),COUNTIFS($AA$8:$AA$507,"&lt;"&amp;$AA409)+COUNTIFS($AA$8:$AA$507,$AA409,$AG$8:$AG$507,"&lt;"&amp;$AG409)+COUNTIFS($AA$8:$AA$507,$AA409,$AG$8:$AG$507,$AG409,$AJ$8:$AJ$507,"&lt;"&amp;$AJ409)+1,Constants!$B$14),$Z409))</f>
        <v/>
      </c>
      <c r="AL409" s="97" t="str">
        <f aca="false">IF(ISBLANK($C409),"",IF($Z409=Constants!$B$7,IF(ISNUMBER(AH409),AH409-AK409,Constants!$B$14),$Z409))</f>
        <v/>
      </c>
      <c r="AM409" s="98"/>
      <c r="AN409" s="99" t="str">
        <f aca="false">IF(ISBLANK($C409),"",IF($Z409&lt;&gt;Constants!$B$7,$Z409,AD409))</f>
        <v/>
      </c>
      <c r="AO409" s="100" t="str">
        <f aca="false">IF(ISBLANK($C409),"",IF($Z409&lt;&gt;Constants!$B$7,$Z409,S409))</f>
        <v/>
      </c>
      <c r="AP409" s="101" t="str">
        <f aca="false">IF(ISBLANK($C409),"",IF($Z409&lt;&gt;Constants!$B$7,$Z409,AF409))</f>
        <v/>
      </c>
      <c r="AQ409" s="102" t="str">
        <f aca="false">IF(ISBLANK($C409),"",IF($Z409&lt;&gt;Constants!$B$7,$Z409,AA409))</f>
        <v/>
      </c>
      <c r="AR409" s="100" t="str">
        <f aca="false">IF(ISBLANK($C409),"",AL409)</f>
        <v/>
      </c>
      <c r="AS409" s="100" t="str">
        <f aca="false">IF(ISBLANK($C409),"",AK409)</f>
        <v/>
      </c>
      <c r="AT409" s="103" t="str">
        <f aca="false">IF(ISBLANK($C409),"",IF(AS409=Constants!$B$4,COUNTA($C$8:$C$507)+2,IF(AS409=Constants!$B$5,COUNTA($C$8:$C$507)+1,IF(AS409=Constants!$B$6,COUNTA($C$8:$C$507),AS409))))</f>
        <v/>
      </c>
      <c r="AU409" s="5"/>
      <c r="AV409" s="104" t="n">
        <f aca="false">IF(OR(ISNUMBER(AS409),AS409=Constants!$B$4,AS409=Constants!$B$6,AS409=Constants!$B$5),1,0)</f>
        <v>0</v>
      </c>
      <c r="AW409" s="104" t="n">
        <v>402</v>
      </c>
      <c r="AX409" s="104" t="str">
        <f aca="false">IF(ISBLANK($C409),"",IF(ISNUMBER(AT409),AT409+ROW($B409)/1000,""))</f>
        <v/>
      </c>
      <c r="AY409" s="104" t="str">
        <f aca="false">IF(ISNUMBER(AX409),RANK(AX409,$AX$8:$AX$507,1),"")</f>
        <v/>
      </c>
      <c r="AZ409" s="104" t="str">
        <f aca="false">IF(ISBLANK($C409),"",$B409)</f>
        <v/>
      </c>
      <c r="BA409" s="104" t="str">
        <f aca="false">IF(ISBLANK($C409),"",$C409)</f>
        <v/>
      </c>
      <c r="BB409" s="104" t="str">
        <f aca="false">IF(ISBLANK($C409),"",$D409)</f>
        <v/>
      </c>
      <c r="BC409" s="105" t="str">
        <f aca="false">AQ409</f>
        <v/>
      </c>
      <c r="BD409" s="106" t="str">
        <f aca="false">AP409</f>
        <v/>
      </c>
      <c r="BE409" s="104" t="str">
        <f aca="false">IF(ISBLANK($C409),"",AS409)</f>
        <v/>
      </c>
      <c r="BF409" s="107" t="str">
        <f aca="false">IF($AW409&gt;$AV$7,"",VLOOKUP($AW409,$AY$8:$BE$507,7,FALSE()))</f>
        <v/>
      </c>
      <c r="BG409" s="108" t="str">
        <f aca="false">IF($AW409&gt;$AV$7,"",VLOOKUP($AW409,$AY$8:$BE$507,2,FALSE()))</f>
        <v/>
      </c>
      <c r="BH409" s="108" t="str">
        <f aca="false">IF($AW409&gt;$AV$7,"",VLOOKUP($AW409,$AY$8:$BE$507,3,FALSE()))</f>
        <v/>
      </c>
      <c r="BI409" s="108" t="str">
        <f aca="false">IF($AW409&gt;$AV$7,"",VLOOKUP($AW409,$AY$8:$BE$507,4,FALSE()))</f>
        <v/>
      </c>
      <c r="BJ409" s="108" t="str">
        <f aca="false">IF($AW409&gt;$AV$7,"",VLOOKUP($AW409,$AY$8:$BE$507,5,FALSE()))</f>
        <v/>
      </c>
      <c r="BK409" s="109" t="str">
        <f aca="false">IF($AW409&gt;$AV$7,"",VLOOKUP($AW409,$AY$8:$BE$507,6,FALSE()))</f>
        <v/>
      </c>
      <c r="BL409" s="50"/>
    </row>
    <row r="410" customFormat="false" ht="15.75" hidden="false" customHeight="false" outlineLevel="0" collapsed="false">
      <c r="A410" s="5"/>
      <c r="B410" s="131"/>
      <c r="C410" s="52"/>
      <c r="D410" s="53"/>
      <c r="E410" s="80"/>
      <c r="F410" s="132"/>
      <c r="G410" s="56"/>
      <c r="H410" s="133"/>
      <c r="I410" s="134"/>
      <c r="J410" s="59"/>
      <c r="K410" s="60"/>
      <c r="L410" s="134"/>
      <c r="M410" s="61"/>
      <c r="N410" s="62"/>
      <c r="O410" s="80"/>
      <c r="P410" s="64"/>
      <c r="Q410" s="65" t="str">
        <f aca="false">IF(ISBLANK($C410),"",IF(E410=Constants!$B$2, TRUE(), IF(E410=Constants!$B$3, FALSE(), TRUE())))</f>
        <v/>
      </c>
      <c r="R410" s="65" t="str">
        <f aca="false">IF(ISBLANK($C410),"",IF(F410=Constants!$B$2, TRUE(), IF(F410=Constants!$B$3, FALSE(), TRUE())))</f>
        <v/>
      </c>
      <c r="S410" s="65" t="str">
        <f aca="false">IF(ISBLANK($C410),"",IF(G410=Constants!$B$15,Constants!$B$8,IF(G410=Constants!$B$16,Constants!$B$9,Constants!$B$10)))</f>
        <v/>
      </c>
      <c r="T410" s="65" t="str">
        <f aca="false">IF(ISBLANK($C410),"",IF(H410=Constants!$B$2, TRUE(), IF(H410=Constants!$B$3, FALSE(), TRUE())))</f>
        <v/>
      </c>
      <c r="U410" s="65" t="str">
        <f aca="false">IF(ISBLANK($C410),"",IF(I410=Constants!$B$19,Constants!$B$19,Constants!$B$18))</f>
        <v/>
      </c>
      <c r="V410" s="65" t="str">
        <f aca="false">IF(ISBLANK($C410),"",IF(COUNTA(J410:K410)=0,"",IF(AND(OR(ISBLANK(J410),AND(ISNUMBER(J410),J410&gt;=0)),OR(ISBLANK(K410),AND(ISNUMBER(K410),K410&gt;=0))),60*IF(ISBLANK(J410),0,J410)+IF(ISBLANK(K410),0,K410),"")))</f>
        <v/>
      </c>
      <c r="W410" s="65" t="str">
        <f aca="false">IF(ISBLANK($C410),"",IF(L410=Constants!$B$19,Constants!$B$19,Constants!$B$18))</f>
        <v/>
      </c>
      <c r="X410" s="65" t="str">
        <f aca="false">IF(ISBLANK($C410),"",IF(COUNTA(M410:N410)=0,"",IF(AND(OR(ISBLANK(M410),AND(ISNUMBER(M410),M410&gt;=0)),OR(ISBLANK(N410),AND(ISNUMBER(N410),N410&gt;=0))),60*IF(ISBLANK(M410),0,M410)+IF(ISBLANK(N410),0,N410),"")))</f>
        <v/>
      </c>
      <c r="Y410" s="65" t="str">
        <f aca="false">IF(ISBLANK($C410),"",IF(O410=Constants!$B$2, TRUE(), IF(O410=Constants!$B$3, FALSE(), FALSE())))</f>
        <v/>
      </c>
      <c r="Z410" s="65" t="str">
        <f aca="false">IF(ISBLANK($C410),"",IF(Y410,Constants!$B$4,IF(COUNTA(E410:N410)=0,Constants!$B$5,IF(COUNTA(J410:K410,M410:N410)=0,Constants!$B$6,Constants!$B$7))))</f>
        <v/>
      </c>
      <c r="AA410" s="65" t="str">
        <f aca="false">IF(ISBLANK($C410),"",IF($Z410&lt;&gt;Constants!$B$7,$Z410,IF(OR(NOT(T410),AND(NOT(Q410),COUNTIFS(U410:W410,Constants!$B$18,V410:X410,"&gt;=0")&gt;0),AND(NOT(R410),COUNTIFS(U410:W410,Constants!$B$19,V410:X410,"&gt;=0")&gt;0)),Constants!$B$12,Constants!$B$11)))</f>
        <v/>
      </c>
      <c r="AB410" s="65" t="str">
        <f aca="false">IF($Z410=Constants!$B$7,IF(V410="",Constants!$B$13,V410),"")</f>
        <v/>
      </c>
      <c r="AC410" s="65" t="str">
        <f aca="false">IF($Z410=Constants!$B$7,IF(X410="",Constants!$B$13,X410),"")</f>
        <v/>
      </c>
      <c r="AD410" s="65" t="str">
        <f aca="false">IF($Z410=Constants!$B$7,IF($AB410&gt;=$AC410,1,2),"")</f>
        <v/>
      </c>
      <c r="AE410" s="65" t="str">
        <f aca="false">IF($Z410=Constants!$B$7,LARGE(AB410:AC410,1),"")</f>
        <v/>
      </c>
      <c r="AF410" s="65" t="str">
        <f aca="false">IF(ISBLANK($C410),"",IF($Z410&lt;&gt;Constants!$B$7,$Z410,AE410*S410))</f>
        <v/>
      </c>
      <c r="AG410" s="65" t="str">
        <f aca="false">IF(ISBLANK($C410),"",IF($Z410=Constants!$B$7,IF(ISNUMBER(AF410),RANK(AF410,$AF$8:$AF$507),Constants!$B$14),$Z410))</f>
        <v/>
      </c>
      <c r="AH410" s="65" t="str">
        <f aca="false">IF(ISBLANK($C410),"",IF($Z410=Constants!$B$7,IF(ISNUMBER(AG410),COUNTIFS($AA$8:$AA$507,"&lt;"&amp;$AA410)+COUNTIFS($AA$8:$AA$507,$AA410,$AG$8:$AG$507,"&lt;"&amp;$AG410)+1,Constants!$B$14),$Z410))</f>
        <v/>
      </c>
      <c r="AI410" s="65" t="str">
        <f aca="false">IF(ISBLANK($C410),"",IF($Z410=Constants!$B$7,LARGE(AB410:AC410,2)*S410,""))</f>
        <v/>
      </c>
      <c r="AJ410" s="65" t="str">
        <f aca="false">IF(ISBLANK($C410),"",IF($Z410=Constants!$B$7,RANK(AI410,$AI$8:$AI$507),$Z410))</f>
        <v/>
      </c>
      <c r="AK410" s="65" t="str">
        <f aca="false">IF(ISBLANK($C410),"",IF($Z410=Constants!$B$7,IF(ISNUMBER(AG410),COUNTIFS($AA$8:$AA$507,"&lt;"&amp;$AA410)+COUNTIFS($AA$8:$AA$507,$AA410,$AG$8:$AG$507,"&lt;"&amp;$AG410)+COUNTIFS($AA$8:$AA$507,$AA410,$AG$8:$AG$507,$AG410,$AJ$8:$AJ$507,"&lt;"&amp;$AJ410)+1,Constants!$B$14),$Z410))</f>
        <v/>
      </c>
      <c r="AL410" s="65" t="str">
        <f aca="false">IF(ISBLANK($C410),"",IF($Z410=Constants!$B$7,IF(ISNUMBER(AH410),AH410-AK410,Constants!$B$14),$Z410))</f>
        <v/>
      </c>
      <c r="AM410" s="67"/>
      <c r="AN410" s="68" t="str">
        <f aca="false">IF(ISBLANK($C410),"",IF($Z410&lt;&gt;Constants!$B$7,$Z410,AD410))</f>
        <v/>
      </c>
      <c r="AO410" s="69" t="str">
        <f aca="false">IF(ISBLANK($C410),"",IF($Z410&lt;&gt;Constants!$B$7,$Z410,S410))</f>
        <v/>
      </c>
      <c r="AP410" s="70" t="str">
        <f aca="false">IF(ISBLANK($C410),"",IF($Z410&lt;&gt;Constants!$B$7,$Z410,AF410))</f>
        <v/>
      </c>
      <c r="AQ410" s="71" t="str">
        <f aca="false">IF(ISBLANK($C410),"",IF($Z410&lt;&gt;Constants!$B$7,$Z410,AA410))</f>
        <v/>
      </c>
      <c r="AR410" s="69" t="str">
        <f aca="false">IF(ISBLANK($C410),"",AL410)</f>
        <v/>
      </c>
      <c r="AS410" s="69" t="str">
        <f aca="false">IF(ISBLANK($C410),"",AK410)</f>
        <v/>
      </c>
      <c r="AT410" s="72" t="str">
        <f aca="false">IF(ISBLANK($C410),"",IF(AS410=Constants!$B$4,COUNTA($C$8:$C$507)+2,IF(AS410=Constants!$B$5,COUNTA($C$8:$C$507)+1,IF(AS410=Constants!$B$6,COUNTA($C$8:$C$507),AS410))))</f>
        <v/>
      </c>
      <c r="AU410" s="5"/>
      <c r="AV410" s="73" t="n">
        <f aca="false">IF(OR(ISNUMBER(AS410),AS410=Constants!$B$4,AS410=Constants!$B$6,AS410=Constants!$B$5),1,0)</f>
        <v>0</v>
      </c>
      <c r="AW410" s="73" t="n">
        <v>403</v>
      </c>
      <c r="AX410" s="73" t="str">
        <f aca="false">IF(ISBLANK($C410),"",IF(ISNUMBER(AT410),AT410+ROW($B410)/1000,""))</f>
        <v/>
      </c>
      <c r="AY410" s="73" t="str">
        <f aca="false">IF(ISNUMBER(AX410),RANK(AX410,$AX$8:$AX$507,1),"")</f>
        <v/>
      </c>
      <c r="AZ410" s="73" t="str">
        <f aca="false">IF(ISBLANK($C410),"",$B410)</f>
        <v/>
      </c>
      <c r="BA410" s="73" t="str">
        <f aca="false">IF(ISBLANK($C410),"",$C410)</f>
        <v/>
      </c>
      <c r="BB410" s="73" t="str">
        <f aca="false">IF(ISBLANK($C410),"",$D410)</f>
        <v/>
      </c>
      <c r="BC410" s="74" t="str">
        <f aca="false">AQ410</f>
        <v/>
      </c>
      <c r="BD410" s="75" t="str">
        <f aca="false">AP410</f>
        <v/>
      </c>
      <c r="BE410" s="73" t="str">
        <f aca="false">IF(ISBLANK($C410),"",AS410)</f>
        <v/>
      </c>
      <c r="BF410" s="76" t="str">
        <f aca="false">IF($AW410&gt;$AV$7,"",VLOOKUP($AW410,$AY$8:$BE$507,7,FALSE()))</f>
        <v/>
      </c>
      <c r="BG410" s="77" t="str">
        <f aca="false">IF($AW410&gt;$AV$7,"",VLOOKUP($AW410,$AY$8:$BE$507,2,FALSE()))</f>
        <v/>
      </c>
      <c r="BH410" s="77" t="str">
        <f aca="false">IF($AW410&gt;$AV$7,"",VLOOKUP($AW410,$AY$8:$BE$507,3,FALSE()))</f>
        <v/>
      </c>
      <c r="BI410" s="77" t="str">
        <f aca="false">IF($AW410&gt;$AV$7,"",VLOOKUP($AW410,$AY$8:$BE$507,4,FALSE()))</f>
        <v/>
      </c>
      <c r="BJ410" s="77" t="str">
        <f aca="false">IF($AW410&gt;$AV$7,"",VLOOKUP($AW410,$AY$8:$BE$507,5,FALSE()))</f>
        <v/>
      </c>
      <c r="BK410" s="78" t="str">
        <f aca="false">IF($AW410&gt;$AV$7,"",VLOOKUP($AW410,$AY$8:$BE$507,6,FALSE()))</f>
        <v/>
      </c>
      <c r="BL410" s="50"/>
    </row>
    <row r="411" customFormat="false" ht="15.75" hidden="false" customHeight="false" outlineLevel="0" collapsed="false">
      <c r="A411" s="5"/>
      <c r="B411" s="131"/>
      <c r="C411" s="52"/>
      <c r="D411" s="53"/>
      <c r="E411" s="80"/>
      <c r="F411" s="132"/>
      <c r="G411" s="56"/>
      <c r="H411" s="133"/>
      <c r="I411" s="134"/>
      <c r="J411" s="59"/>
      <c r="K411" s="60"/>
      <c r="L411" s="134"/>
      <c r="M411" s="61"/>
      <c r="N411" s="62"/>
      <c r="O411" s="80"/>
      <c r="P411" s="64"/>
      <c r="Q411" s="65" t="str">
        <f aca="false">IF(ISBLANK($C411),"",IF(E411=Constants!$B$2, TRUE(), IF(E411=Constants!$B$3, FALSE(), TRUE())))</f>
        <v/>
      </c>
      <c r="R411" s="65" t="str">
        <f aca="false">IF(ISBLANK($C411),"",IF(F411=Constants!$B$2, TRUE(), IF(F411=Constants!$B$3, FALSE(), TRUE())))</f>
        <v/>
      </c>
      <c r="S411" s="65" t="str">
        <f aca="false">IF(ISBLANK($C411),"",IF(G411=Constants!$B$15,Constants!$B$8,IF(G411=Constants!$B$16,Constants!$B$9,Constants!$B$10)))</f>
        <v/>
      </c>
      <c r="T411" s="65" t="str">
        <f aca="false">IF(ISBLANK($C411),"",IF(H411=Constants!$B$2, TRUE(), IF(H411=Constants!$B$3, FALSE(), TRUE())))</f>
        <v/>
      </c>
      <c r="U411" s="65" t="str">
        <f aca="false">IF(ISBLANK($C411),"",IF(I411=Constants!$B$19,Constants!$B$19,Constants!$B$18))</f>
        <v/>
      </c>
      <c r="V411" s="65" t="str">
        <f aca="false">IF(ISBLANK($C411),"",IF(COUNTA(J411:K411)=0,"",IF(AND(OR(ISBLANK(J411),AND(ISNUMBER(J411),J411&gt;=0)),OR(ISBLANK(K411),AND(ISNUMBER(K411),K411&gt;=0))),60*IF(ISBLANK(J411),0,J411)+IF(ISBLANK(K411),0,K411),"")))</f>
        <v/>
      </c>
      <c r="W411" s="65" t="str">
        <f aca="false">IF(ISBLANK($C411),"",IF(L411=Constants!$B$19,Constants!$B$19,Constants!$B$18))</f>
        <v/>
      </c>
      <c r="X411" s="65" t="str">
        <f aca="false">IF(ISBLANK($C411),"",IF(COUNTA(M411:N411)=0,"",IF(AND(OR(ISBLANK(M411),AND(ISNUMBER(M411),M411&gt;=0)),OR(ISBLANK(N411),AND(ISNUMBER(N411),N411&gt;=0))),60*IF(ISBLANK(M411),0,M411)+IF(ISBLANK(N411),0,N411),"")))</f>
        <v/>
      </c>
      <c r="Y411" s="65" t="str">
        <f aca="false">IF(ISBLANK($C411),"",IF(O411=Constants!$B$2, TRUE(), IF(O411=Constants!$B$3, FALSE(), FALSE())))</f>
        <v/>
      </c>
      <c r="Z411" s="65" t="str">
        <f aca="false">IF(ISBLANK($C411),"",IF(Y411,Constants!$B$4,IF(COUNTA(E411:N411)=0,Constants!$B$5,IF(COUNTA(J411:K411,M411:N411)=0,Constants!$B$6,Constants!$B$7))))</f>
        <v/>
      </c>
      <c r="AA411" s="65" t="str">
        <f aca="false">IF(ISBLANK($C411),"",IF($Z411&lt;&gt;Constants!$B$7,$Z411,IF(OR(NOT(T411),AND(NOT(Q411),COUNTIFS(U411:W411,Constants!$B$18,V411:X411,"&gt;=0")&gt;0),AND(NOT(R411),COUNTIFS(U411:W411,Constants!$B$19,V411:X411,"&gt;=0")&gt;0)),Constants!$B$12,Constants!$B$11)))</f>
        <v/>
      </c>
      <c r="AB411" s="65" t="str">
        <f aca="false">IF($Z411=Constants!$B$7,IF(V411="",Constants!$B$13,V411),"")</f>
        <v/>
      </c>
      <c r="AC411" s="65" t="str">
        <f aca="false">IF($Z411=Constants!$B$7,IF(X411="",Constants!$B$13,X411),"")</f>
        <v/>
      </c>
      <c r="AD411" s="65" t="str">
        <f aca="false">IF($Z411=Constants!$B$7,IF($AB411&gt;=$AC411,1,2),"")</f>
        <v/>
      </c>
      <c r="AE411" s="65" t="str">
        <f aca="false">IF($Z411=Constants!$B$7,LARGE(AB411:AC411,1),"")</f>
        <v/>
      </c>
      <c r="AF411" s="65" t="str">
        <f aca="false">IF(ISBLANK($C411),"",IF($Z411&lt;&gt;Constants!$B$7,$Z411,AE411*S411))</f>
        <v/>
      </c>
      <c r="AG411" s="65" t="str">
        <f aca="false">IF(ISBLANK($C411),"",IF($Z411=Constants!$B$7,IF(ISNUMBER(AF411),RANK(AF411,$AF$8:$AF$507),Constants!$B$14),$Z411))</f>
        <v/>
      </c>
      <c r="AH411" s="65" t="str">
        <f aca="false">IF(ISBLANK($C411),"",IF($Z411=Constants!$B$7,IF(ISNUMBER(AG411),COUNTIFS($AA$8:$AA$507,"&lt;"&amp;$AA411)+COUNTIFS($AA$8:$AA$507,$AA411,$AG$8:$AG$507,"&lt;"&amp;$AG411)+1,Constants!$B$14),$Z411))</f>
        <v/>
      </c>
      <c r="AI411" s="65" t="str">
        <f aca="false">IF(ISBLANK($C411),"",IF($Z411=Constants!$B$7,LARGE(AB411:AC411,2)*S411,""))</f>
        <v/>
      </c>
      <c r="AJ411" s="65" t="str">
        <f aca="false">IF(ISBLANK($C411),"",IF($Z411=Constants!$B$7,RANK(AI411,$AI$8:$AI$507),$Z411))</f>
        <v/>
      </c>
      <c r="AK411" s="65" t="str">
        <f aca="false">IF(ISBLANK($C411),"",IF($Z411=Constants!$B$7,IF(ISNUMBER(AG411),COUNTIFS($AA$8:$AA$507,"&lt;"&amp;$AA411)+COUNTIFS($AA$8:$AA$507,$AA411,$AG$8:$AG$507,"&lt;"&amp;$AG411)+COUNTIFS($AA$8:$AA$507,$AA411,$AG$8:$AG$507,$AG411,$AJ$8:$AJ$507,"&lt;"&amp;$AJ411)+1,Constants!$B$14),$Z411))</f>
        <v/>
      </c>
      <c r="AL411" s="65" t="str">
        <f aca="false">IF(ISBLANK($C411),"",IF($Z411=Constants!$B$7,IF(ISNUMBER(AH411),AH411-AK411,Constants!$B$14),$Z411))</f>
        <v/>
      </c>
      <c r="AM411" s="67"/>
      <c r="AN411" s="68" t="str">
        <f aca="false">IF(ISBLANK($C411),"",IF($Z411&lt;&gt;Constants!$B$7,$Z411,AD411))</f>
        <v/>
      </c>
      <c r="AO411" s="69" t="str">
        <f aca="false">IF(ISBLANK($C411),"",IF($Z411&lt;&gt;Constants!$B$7,$Z411,S411))</f>
        <v/>
      </c>
      <c r="AP411" s="70" t="str">
        <f aca="false">IF(ISBLANK($C411),"",IF($Z411&lt;&gt;Constants!$B$7,$Z411,AF411))</f>
        <v/>
      </c>
      <c r="AQ411" s="71" t="str">
        <f aca="false">IF(ISBLANK($C411),"",IF($Z411&lt;&gt;Constants!$B$7,$Z411,AA411))</f>
        <v/>
      </c>
      <c r="AR411" s="69" t="str">
        <f aca="false">IF(ISBLANK($C411),"",AL411)</f>
        <v/>
      </c>
      <c r="AS411" s="69" t="str">
        <f aca="false">IF(ISBLANK($C411),"",AK411)</f>
        <v/>
      </c>
      <c r="AT411" s="72" t="str">
        <f aca="false">IF(ISBLANK($C411),"",IF(AS411=Constants!$B$4,COUNTA($C$8:$C$507)+2,IF(AS411=Constants!$B$5,COUNTA($C$8:$C$507)+1,IF(AS411=Constants!$B$6,COUNTA($C$8:$C$507),AS411))))</f>
        <v/>
      </c>
      <c r="AU411" s="5"/>
      <c r="AV411" s="73" t="n">
        <f aca="false">IF(OR(ISNUMBER(AS411),AS411=Constants!$B$4,AS411=Constants!$B$6,AS411=Constants!$B$5),1,0)</f>
        <v>0</v>
      </c>
      <c r="AW411" s="73" t="n">
        <v>404</v>
      </c>
      <c r="AX411" s="73" t="str">
        <f aca="false">IF(ISBLANK($C411),"",IF(ISNUMBER(AT411),AT411+ROW($B411)/1000,""))</f>
        <v/>
      </c>
      <c r="AY411" s="73" t="str">
        <f aca="false">IF(ISNUMBER(AX411),RANK(AX411,$AX$8:$AX$507,1),"")</f>
        <v/>
      </c>
      <c r="AZ411" s="73" t="str">
        <f aca="false">IF(ISBLANK($C411),"",$B411)</f>
        <v/>
      </c>
      <c r="BA411" s="73" t="str">
        <f aca="false">IF(ISBLANK($C411),"",$C411)</f>
        <v/>
      </c>
      <c r="BB411" s="73" t="str">
        <f aca="false">IF(ISBLANK($C411),"",$D411)</f>
        <v/>
      </c>
      <c r="BC411" s="74" t="str">
        <f aca="false">AQ411</f>
        <v/>
      </c>
      <c r="BD411" s="75" t="str">
        <f aca="false">AP411</f>
        <v/>
      </c>
      <c r="BE411" s="73" t="str">
        <f aca="false">IF(ISBLANK($C411),"",AS411)</f>
        <v/>
      </c>
      <c r="BF411" s="76" t="str">
        <f aca="false">IF($AW411&gt;$AV$7,"",VLOOKUP($AW411,$AY$8:$BE$507,7,FALSE()))</f>
        <v/>
      </c>
      <c r="BG411" s="77" t="str">
        <f aca="false">IF($AW411&gt;$AV$7,"",VLOOKUP($AW411,$AY$8:$BE$507,2,FALSE()))</f>
        <v/>
      </c>
      <c r="BH411" s="77" t="str">
        <f aca="false">IF($AW411&gt;$AV$7,"",VLOOKUP($AW411,$AY$8:$BE$507,3,FALSE()))</f>
        <v/>
      </c>
      <c r="BI411" s="77" t="str">
        <f aca="false">IF($AW411&gt;$AV$7,"",VLOOKUP($AW411,$AY$8:$BE$507,4,FALSE()))</f>
        <v/>
      </c>
      <c r="BJ411" s="77" t="str">
        <f aca="false">IF($AW411&gt;$AV$7,"",VLOOKUP($AW411,$AY$8:$BE$507,5,FALSE()))</f>
        <v/>
      </c>
      <c r="BK411" s="78" t="str">
        <f aca="false">IF($AW411&gt;$AV$7,"",VLOOKUP($AW411,$AY$8:$BE$507,6,FALSE()))</f>
        <v/>
      </c>
      <c r="BL411" s="50"/>
    </row>
    <row r="412" customFormat="false" ht="15.75" hidden="false" customHeight="false" outlineLevel="0" collapsed="false">
      <c r="A412" s="5"/>
      <c r="B412" s="131"/>
      <c r="C412" s="52"/>
      <c r="D412" s="53"/>
      <c r="E412" s="80"/>
      <c r="F412" s="132"/>
      <c r="G412" s="56"/>
      <c r="H412" s="133"/>
      <c r="I412" s="134"/>
      <c r="J412" s="59"/>
      <c r="K412" s="60"/>
      <c r="L412" s="134"/>
      <c r="M412" s="61"/>
      <c r="N412" s="62"/>
      <c r="O412" s="80"/>
      <c r="P412" s="64"/>
      <c r="Q412" s="65" t="str">
        <f aca="false">IF(ISBLANK($C412),"",IF(E412=Constants!$B$2, TRUE(), IF(E412=Constants!$B$3, FALSE(), TRUE())))</f>
        <v/>
      </c>
      <c r="R412" s="65" t="str">
        <f aca="false">IF(ISBLANK($C412),"",IF(F412=Constants!$B$2, TRUE(), IF(F412=Constants!$B$3, FALSE(), TRUE())))</f>
        <v/>
      </c>
      <c r="S412" s="65" t="str">
        <f aca="false">IF(ISBLANK($C412),"",IF(G412=Constants!$B$15,Constants!$B$8,IF(G412=Constants!$B$16,Constants!$B$9,Constants!$B$10)))</f>
        <v/>
      </c>
      <c r="T412" s="65" t="str">
        <f aca="false">IF(ISBLANK($C412),"",IF(H412=Constants!$B$2, TRUE(), IF(H412=Constants!$B$3, FALSE(), TRUE())))</f>
        <v/>
      </c>
      <c r="U412" s="65" t="str">
        <f aca="false">IF(ISBLANK($C412),"",IF(I412=Constants!$B$19,Constants!$B$19,Constants!$B$18))</f>
        <v/>
      </c>
      <c r="V412" s="65" t="str">
        <f aca="false">IF(ISBLANK($C412),"",IF(COUNTA(J412:K412)=0,"",IF(AND(OR(ISBLANK(J412),AND(ISNUMBER(J412),J412&gt;=0)),OR(ISBLANK(K412),AND(ISNUMBER(K412),K412&gt;=0))),60*IF(ISBLANK(J412),0,J412)+IF(ISBLANK(K412),0,K412),"")))</f>
        <v/>
      </c>
      <c r="W412" s="65" t="str">
        <f aca="false">IF(ISBLANK($C412),"",IF(L412=Constants!$B$19,Constants!$B$19,Constants!$B$18))</f>
        <v/>
      </c>
      <c r="X412" s="65" t="str">
        <f aca="false">IF(ISBLANK($C412),"",IF(COUNTA(M412:N412)=0,"",IF(AND(OR(ISBLANK(M412),AND(ISNUMBER(M412),M412&gt;=0)),OR(ISBLANK(N412),AND(ISNUMBER(N412),N412&gt;=0))),60*IF(ISBLANK(M412),0,M412)+IF(ISBLANK(N412),0,N412),"")))</f>
        <v/>
      </c>
      <c r="Y412" s="65" t="str">
        <f aca="false">IF(ISBLANK($C412),"",IF(O412=Constants!$B$2, TRUE(), IF(O412=Constants!$B$3, FALSE(), FALSE())))</f>
        <v/>
      </c>
      <c r="Z412" s="65" t="str">
        <f aca="false">IF(ISBLANK($C412),"",IF(Y412,Constants!$B$4,IF(COUNTA(E412:N412)=0,Constants!$B$5,IF(COUNTA(J412:K412,M412:N412)=0,Constants!$B$6,Constants!$B$7))))</f>
        <v/>
      </c>
      <c r="AA412" s="65" t="str">
        <f aca="false">IF(ISBLANK($C412),"",IF($Z412&lt;&gt;Constants!$B$7,$Z412,IF(OR(NOT(T412),AND(NOT(Q412),COUNTIFS(U412:W412,Constants!$B$18,V412:X412,"&gt;=0")&gt;0),AND(NOT(R412),COUNTIFS(U412:W412,Constants!$B$19,V412:X412,"&gt;=0")&gt;0)),Constants!$B$12,Constants!$B$11)))</f>
        <v/>
      </c>
      <c r="AB412" s="65" t="str">
        <f aca="false">IF($Z412=Constants!$B$7,IF(V412="",Constants!$B$13,V412),"")</f>
        <v/>
      </c>
      <c r="AC412" s="65" t="str">
        <f aca="false">IF($Z412=Constants!$B$7,IF(X412="",Constants!$B$13,X412),"")</f>
        <v/>
      </c>
      <c r="AD412" s="65" t="str">
        <f aca="false">IF($Z412=Constants!$B$7,IF($AB412&gt;=$AC412,1,2),"")</f>
        <v/>
      </c>
      <c r="AE412" s="65" t="str">
        <f aca="false">IF($Z412=Constants!$B$7,LARGE(AB412:AC412,1),"")</f>
        <v/>
      </c>
      <c r="AF412" s="65" t="str">
        <f aca="false">IF(ISBLANK($C412),"",IF($Z412&lt;&gt;Constants!$B$7,$Z412,AE412*S412))</f>
        <v/>
      </c>
      <c r="AG412" s="65" t="str">
        <f aca="false">IF(ISBLANK($C412),"",IF($Z412=Constants!$B$7,IF(ISNUMBER(AF412),RANK(AF412,$AF$8:$AF$507),Constants!$B$14),$Z412))</f>
        <v/>
      </c>
      <c r="AH412" s="65" t="str">
        <f aca="false">IF(ISBLANK($C412),"",IF($Z412=Constants!$B$7,IF(ISNUMBER(AG412),COUNTIFS($AA$8:$AA$507,"&lt;"&amp;$AA412)+COUNTIFS($AA$8:$AA$507,$AA412,$AG$8:$AG$507,"&lt;"&amp;$AG412)+1,Constants!$B$14),$Z412))</f>
        <v/>
      </c>
      <c r="AI412" s="65" t="str">
        <f aca="false">IF(ISBLANK($C412),"",IF($Z412=Constants!$B$7,LARGE(AB412:AC412,2)*S412,""))</f>
        <v/>
      </c>
      <c r="AJ412" s="65" t="str">
        <f aca="false">IF(ISBLANK($C412),"",IF($Z412=Constants!$B$7,RANK(AI412,$AI$8:$AI$507),$Z412))</f>
        <v/>
      </c>
      <c r="AK412" s="65" t="str">
        <f aca="false">IF(ISBLANK($C412),"",IF($Z412=Constants!$B$7,IF(ISNUMBER(AG412),COUNTIFS($AA$8:$AA$507,"&lt;"&amp;$AA412)+COUNTIFS($AA$8:$AA$507,$AA412,$AG$8:$AG$507,"&lt;"&amp;$AG412)+COUNTIFS($AA$8:$AA$507,$AA412,$AG$8:$AG$507,$AG412,$AJ$8:$AJ$507,"&lt;"&amp;$AJ412)+1,Constants!$B$14),$Z412))</f>
        <v/>
      </c>
      <c r="AL412" s="65" t="str">
        <f aca="false">IF(ISBLANK($C412),"",IF($Z412=Constants!$B$7,IF(ISNUMBER(AH412),AH412-AK412,Constants!$B$14),$Z412))</f>
        <v/>
      </c>
      <c r="AM412" s="67"/>
      <c r="AN412" s="68" t="str">
        <f aca="false">IF(ISBLANK($C412),"",IF($Z412&lt;&gt;Constants!$B$7,$Z412,AD412))</f>
        <v/>
      </c>
      <c r="AO412" s="69" t="str">
        <f aca="false">IF(ISBLANK($C412),"",IF($Z412&lt;&gt;Constants!$B$7,$Z412,S412))</f>
        <v/>
      </c>
      <c r="AP412" s="70" t="str">
        <f aca="false">IF(ISBLANK($C412),"",IF($Z412&lt;&gt;Constants!$B$7,$Z412,AF412))</f>
        <v/>
      </c>
      <c r="AQ412" s="71" t="str">
        <f aca="false">IF(ISBLANK($C412),"",IF($Z412&lt;&gt;Constants!$B$7,$Z412,AA412))</f>
        <v/>
      </c>
      <c r="AR412" s="69" t="str">
        <f aca="false">IF(ISBLANK($C412),"",AL412)</f>
        <v/>
      </c>
      <c r="AS412" s="69" t="str">
        <f aca="false">IF(ISBLANK($C412),"",AK412)</f>
        <v/>
      </c>
      <c r="AT412" s="72" t="str">
        <f aca="false">IF(ISBLANK($C412),"",IF(AS412=Constants!$B$4,COUNTA($C$8:$C$507)+2,IF(AS412=Constants!$B$5,COUNTA($C$8:$C$507)+1,IF(AS412=Constants!$B$6,COUNTA($C$8:$C$507),AS412))))</f>
        <v/>
      </c>
      <c r="AU412" s="5"/>
      <c r="AV412" s="73" t="n">
        <f aca="false">IF(OR(ISNUMBER(AS412),AS412=Constants!$B$4,AS412=Constants!$B$6,AS412=Constants!$B$5),1,0)</f>
        <v>0</v>
      </c>
      <c r="AW412" s="73" t="n">
        <v>405</v>
      </c>
      <c r="AX412" s="73" t="str">
        <f aca="false">IF(ISBLANK($C412),"",IF(ISNUMBER(AT412),AT412+ROW($B412)/1000,""))</f>
        <v/>
      </c>
      <c r="AY412" s="73" t="str">
        <f aca="false">IF(ISNUMBER(AX412),RANK(AX412,$AX$8:$AX$507,1),"")</f>
        <v/>
      </c>
      <c r="AZ412" s="73" t="str">
        <f aca="false">IF(ISBLANK($C412),"",$B412)</f>
        <v/>
      </c>
      <c r="BA412" s="73" t="str">
        <f aca="false">IF(ISBLANK($C412),"",$C412)</f>
        <v/>
      </c>
      <c r="BB412" s="73" t="str">
        <f aca="false">IF(ISBLANK($C412),"",$D412)</f>
        <v/>
      </c>
      <c r="BC412" s="74" t="str">
        <f aca="false">AQ412</f>
        <v/>
      </c>
      <c r="BD412" s="75" t="str">
        <f aca="false">AP412</f>
        <v/>
      </c>
      <c r="BE412" s="73" t="str">
        <f aca="false">IF(ISBLANK($C412),"",AS412)</f>
        <v/>
      </c>
      <c r="BF412" s="76" t="str">
        <f aca="false">IF($AW412&gt;$AV$7,"",VLOOKUP($AW412,$AY$8:$BE$507,7,FALSE()))</f>
        <v/>
      </c>
      <c r="BG412" s="77" t="str">
        <f aca="false">IF($AW412&gt;$AV$7,"",VLOOKUP($AW412,$AY$8:$BE$507,2,FALSE()))</f>
        <v/>
      </c>
      <c r="BH412" s="77" t="str">
        <f aca="false">IF($AW412&gt;$AV$7,"",VLOOKUP($AW412,$AY$8:$BE$507,3,FALSE()))</f>
        <v/>
      </c>
      <c r="BI412" s="77" t="str">
        <f aca="false">IF($AW412&gt;$AV$7,"",VLOOKUP($AW412,$AY$8:$BE$507,4,FALSE()))</f>
        <v/>
      </c>
      <c r="BJ412" s="77" t="str">
        <f aca="false">IF($AW412&gt;$AV$7,"",VLOOKUP($AW412,$AY$8:$BE$507,5,FALSE()))</f>
        <v/>
      </c>
      <c r="BK412" s="78" t="str">
        <f aca="false">IF($AW412&gt;$AV$7,"",VLOOKUP($AW412,$AY$8:$BE$507,6,FALSE()))</f>
        <v/>
      </c>
      <c r="BL412" s="50"/>
    </row>
    <row r="413" customFormat="false" ht="15.75" hidden="false" customHeight="false" outlineLevel="0" collapsed="false">
      <c r="A413" s="5"/>
      <c r="B413" s="124"/>
      <c r="C413" s="125"/>
      <c r="D413" s="110"/>
      <c r="E413" s="130"/>
      <c r="F413" s="135"/>
      <c r="G413" s="88"/>
      <c r="H413" s="136"/>
      <c r="I413" s="137"/>
      <c r="J413" s="91"/>
      <c r="K413" s="92"/>
      <c r="L413" s="137"/>
      <c r="M413" s="93"/>
      <c r="N413" s="94"/>
      <c r="O413" s="130"/>
      <c r="P413" s="96"/>
      <c r="Q413" s="97" t="str">
        <f aca="false">IF(ISBLANK($C413),"",IF(E413=Constants!$B$2, TRUE(), IF(E413=Constants!$B$3, FALSE(), TRUE())))</f>
        <v/>
      </c>
      <c r="R413" s="97" t="str">
        <f aca="false">IF(ISBLANK($C413),"",IF(F413=Constants!$B$2, TRUE(), IF(F413=Constants!$B$3, FALSE(), TRUE())))</f>
        <v/>
      </c>
      <c r="S413" s="97" t="str">
        <f aca="false">IF(ISBLANK($C413),"",IF(G413=Constants!$B$15,Constants!$B$8,IF(G413=Constants!$B$16,Constants!$B$9,Constants!$B$10)))</f>
        <v/>
      </c>
      <c r="T413" s="97" t="str">
        <f aca="false">IF(ISBLANK($C413),"",IF(H413=Constants!$B$2, TRUE(), IF(H413=Constants!$B$3, FALSE(), TRUE())))</f>
        <v/>
      </c>
      <c r="U413" s="97" t="str">
        <f aca="false">IF(ISBLANK($C413),"",IF(I413=Constants!$B$19,Constants!$B$19,Constants!$B$18))</f>
        <v/>
      </c>
      <c r="V413" s="97" t="str">
        <f aca="false">IF(ISBLANK($C413),"",IF(COUNTA(J413:K413)=0,"",IF(AND(OR(ISBLANK(J413),AND(ISNUMBER(J413),J413&gt;=0)),OR(ISBLANK(K413),AND(ISNUMBER(K413),K413&gt;=0))),60*IF(ISBLANK(J413),0,J413)+IF(ISBLANK(K413),0,K413),"")))</f>
        <v/>
      </c>
      <c r="W413" s="97" t="str">
        <f aca="false">IF(ISBLANK($C413),"",IF(L413=Constants!$B$19,Constants!$B$19,Constants!$B$18))</f>
        <v/>
      </c>
      <c r="X413" s="97" t="str">
        <f aca="false">IF(ISBLANK($C413),"",IF(COUNTA(M413:N413)=0,"",IF(AND(OR(ISBLANK(M413),AND(ISNUMBER(M413),M413&gt;=0)),OR(ISBLANK(N413),AND(ISNUMBER(N413),N413&gt;=0))),60*IF(ISBLANK(M413),0,M413)+IF(ISBLANK(N413),0,N413),"")))</f>
        <v/>
      </c>
      <c r="Y413" s="97" t="str">
        <f aca="false">IF(ISBLANK($C413),"",IF(O413=Constants!$B$2, TRUE(), IF(O413=Constants!$B$3, FALSE(), FALSE())))</f>
        <v/>
      </c>
      <c r="Z413" s="97" t="str">
        <f aca="false">IF(ISBLANK($C413),"",IF(Y413,Constants!$B$4,IF(COUNTA(E413:N413)=0,Constants!$B$5,IF(COUNTA(J413:K413,M413:N413)=0,Constants!$B$6,Constants!$B$7))))</f>
        <v/>
      </c>
      <c r="AA413" s="97" t="str">
        <f aca="false">IF(ISBLANK($C413),"",IF($Z413&lt;&gt;Constants!$B$7,$Z413,IF(OR(NOT(T413),AND(NOT(Q413),COUNTIFS(U413:W413,Constants!$B$18,V413:X413,"&gt;=0")&gt;0),AND(NOT(R413),COUNTIFS(U413:W413,Constants!$B$19,V413:X413,"&gt;=0")&gt;0)),Constants!$B$12,Constants!$B$11)))</f>
        <v/>
      </c>
      <c r="AB413" s="97" t="str">
        <f aca="false">IF($Z413=Constants!$B$7,IF(V413="",Constants!$B$13,V413),"")</f>
        <v/>
      </c>
      <c r="AC413" s="97" t="str">
        <f aca="false">IF($Z413=Constants!$B$7,IF(X413="",Constants!$B$13,X413),"")</f>
        <v/>
      </c>
      <c r="AD413" s="97" t="str">
        <f aca="false">IF($Z413=Constants!$B$7,IF($AB413&gt;=$AC413,1,2),"")</f>
        <v/>
      </c>
      <c r="AE413" s="97" t="str">
        <f aca="false">IF($Z413=Constants!$B$7,LARGE(AB413:AC413,1),"")</f>
        <v/>
      </c>
      <c r="AF413" s="97" t="str">
        <f aca="false">IF(ISBLANK($C413),"",IF($Z413&lt;&gt;Constants!$B$7,$Z413,AE413*S413))</f>
        <v/>
      </c>
      <c r="AG413" s="97" t="str">
        <f aca="false">IF(ISBLANK($C413),"",IF($Z413=Constants!$B$7,IF(ISNUMBER(AF413),RANK(AF413,$AF$8:$AF$507),Constants!$B$14),$Z413))</f>
        <v/>
      </c>
      <c r="AH413" s="97" t="str">
        <f aca="false">IF(ISBLANK($C413),"",IF($Z413=Constants!$B$7,IF(ISNUMBER(AG413),COUNTIFS($AA$8:$AA$507,"&lt;"&amp;$AA413)+COUNTIFS($AA$8:$AA$507,$AA413,$AG$8:$AG$507,"&lt;"&amp;$AG413)+1,Constants!$B$14),$Z413))</f>
        <v/>
      </c>
      <c r="AI413" s="97" t="str">
        <f aca="false">IF(ISBLANK($C413),"",IF($Z413=Constants!$B$7,LARGE(AB413:AC413,2)*S413,""))</f>
        <v/>
      </c>
      <c r="AJ413" s="97" t="str">
        <f aca="false">IF(ISBLANK($C413),"",IF($Z413=Constants!$B$7,RANK(AI413,$AI$8:$AI$507),$Z413))</f>
        <v/>
      </c>
      <c r="AK413" s="97" t="str">
        <f aca="false">IF(ISBLANK($C413),"",IF($Z413=Constants!$B$7,IF(ISNUMBER(AG413),COUNTIFS($AA$8:$AA$507,"&lt;"&amp;$AA413)+COUNTIFS($AA$8:$AA$507,$AA413,$AG$8:$AG$507,"&lt;"&amp;$AG413)+COUNTIFS($AA$8:$AA$507,$AA413,$AG$8:$AG$507,$AG413,$AJ$8:$AJ$507,"&lt;"&amp;$AJ413)+1,Constants!$B$14),$Z413))</f>
        <v/>
      </c>
      <c r="AL413" s="97" t="str">
        <f aca="false">IF(ISBLANK($C413),"",IF($Z413=Constants!$B$7,IF(ISNUMBER(AH413),AH413-AK413,Constants!$B$14),$Z413))</f>
        <v/>
      </c>
      <c r="AM413" s="98"/>
      <c r="AN413" s="99" t="str">
        <f aca="false">IF(ISBLANK($C413),"",IF($Z413&lt;&gt;Constants!$B$7,$Z413,AD413))</f>
        <v/>
      </c>
      <c r="AO413" s="100" t="str">
        <f aca="false">IF(ISBLANK($C413),"",IF($Z413&lt;&gt;Constants!$B$7,$Z413,S413))</f>
        <v/>
      </c>
      <c r="AP413" s="101" t="str">
        <f aca="false">IF(ISBLANK($C413),"",IF($Z413&lt;&gt;Constants!$B$7,$Z413,AF413))</f>
        <v/>
      </c>
      <c r="AQ413" s="102" t="str">
        <f aca="false">IF(ISBLANK($C413),"",IF($Z413&lt;&gt;Constants!$B$7,$Z413,AA413))</f>
        <v/>
      </c>
      <c r="AR413" s="100" t="str">
        <f aca="false">IF(ISBLANK($C413),"",AL413)</f>
        <v/>
      </c>
      <c r="AS413" s="100" t="str">
        <f aca="false">IF(ISBLANK($C413),"",AK413)</f>
        <v/>
      </c>
      <c r="AT413" s="103" t="str">
        <f aca="false">IF(ISBLANK($C413),"",IF(AS413=Constants!$B$4,COUNTA($C$8:$C$507)+2,IF(AS413=Constants!$B$5,COUNTA($C$8:$C$507)+1,IF(AS413=Constants!$B$6,COUNTA($C$8:$C$507),AS413))))</f>
        <v/>
      </c>
      <c r="AU413" s="5"/>
      <c r="AV413" s="104" t="n">
        <f aca="false">IF(OR(ISNUMBER(AS413),AS413=Constants!$B$4,AS413=Constants!$B$6,AS413=Constants!$B$5),1,0)</f>
        <v>0</v>
      </c>
      <c r="AW413" s="104" t="n">
        <v>406</v>
      </c>
      <c r="AX413" s="104" t="str">
        <f aca="false">IF(ISBLANK($C413),"",IF(ISNUMBER(AT413),AT413+ROW($B413)/1000,""))</f>
        <v/>
      </c>
      <c r="AY413" s="104" t="str">
        <f aca="false">IF(ISNUMBER(AX413),RANK(AX413,$AX$8:$AX$507,1),"")</f>
        <v/>
      </c>
      <c r="AZ413" s="104" t="str">
        <f aca="false">IF(ISBLANK($C413),"",$B413)</f>
        <v/>
      </c>
      <c r="BA413" s="104" t="str">
        <f aca="false">IF(ISBLANK($C413),"",$C413)</f>
        <v/>
      </c>
      <c r="BB413" s="104" t="str">
        <f aca="false">IF(ISBLANK($C413),"",$D413)</f>
        <v/>
      </c>
      <c r="BC413" s="105" t="str">
        <f aca="false">AQ413</f>
        <v/>
      </c>
      <c r="BD413" s="106" t="str">
        <f aca="false">AP413</f>
        <v/>
      </c>
      <c r="BE413" s="104" t="str">
        <f aca="false">IF(ISBLANK($C413),"",AS413)</f>
        <v/>
      </c>
      <c r="BF413" s="107" t="str">
        <f aca="false">IF($AW413&gt;$AV$7,"",VLOOKUP($AW413,$AY$8:$BE$507,7,FALSE()))</f>
        <v/>
      </c>
      <c r="BG413" s="108" t="str">
        <f aca="false">IF($AW413&gt;$AV$7,"",VLOOKUP($AW413,$AY$8:$BE$507,2,FALSE()))</f>
        <v/>
      </c>
      <c r="BH413" s="108" t="str">
        <f aca="false">IF($AW413&gt;$AV$7,"",VLOOKUP($AW413,$AY$8:$BE$507,3,FALSE()))</f>
        <v/>
      </c>
      <c r="BI413" s="108" t="str">
        <f aca="false">IF($AW413&gt;$AV$7,"",VLOOKUP($AW413,$AY$8:$BE$507,4,FALSE()))</f>
        <v/>
      </c>
      <c r="BJ413" s="108" t="str">
        <f aca="false">IF($AW413&gt;$AV$7,"",VLOOKUP($AW413,$AY$8:$BE$507,5,FALSE()))</f>
        <v/>
      </c>
      <c r="BK413" s="109" t="str">
        <f aca="false">IF($AW413&gt;$AV$7,"",VLOOKUP($AW413,$AY$8:$BE$507,6,FALSE()))</f>
        <v/>
      </c>
      <c r="BL413" s="50"/>
    </row>
    <row r="414" customFormat="false" ht="15.75" hidden="false" customHeight="false" outlineLevel="0" collapsed="false">
      <c r="A414" s="5"/>
      <c r="B414" s="124"/>
      <c r="C414" s="125"/>
      <c r="D414" s="110"/>
      <c r="E414" s="130"/>
      <c r="F414" s="135"/>
      <c r="G414" s="88"/>
      <c r="H414" s="136"/>
      <c r="I414" s="137"/>
      <c r="J414" s="91"/>
      <c r="K414" s="92"/>
      <c r="L414" s="137"/>
      <c r="M414" s="93"/>
      <c r="N414" s="94"/>
      <c r="O414" s="130"/>
      <c r="P414" s="96"/>
      <c r="Q414" s="97" t="str">
        <f aca="false">IF(ISBLANK($C414),"",IF(E414=Constants!$B$2, TRUE(), IF(E414=Constants!$B$3, FALSE(), TRUE())))</f>
        <v/>
      </c>
      <c r="R414" s="97" t="str">
        <f aca="false">IF(ISBLANK($C414),"",IF(F414=Constants!$B$2, TRUE(), IF(F414=Constants!$B$3, FALSE(), TRUE())))</f>
        <v/>
      </c>
      <c r="S414" s="97" t="str">
        <f aca="false">IF(ISBLANK($C414),"",IF(G414=Constants!$B$15,Constants!$B$8,IF(G414=Constants!$B$16,Constants!$B$9,Constants!$B$10)))</f>
        <v/>
      </c>
      <c r="T414" s="97" t="str">
        <f aca="false">IF(ISBLANK($C414),"",IF(H414=Constants!$B$2, TRUE(), IF(H414=Constants!$B$3, FALSE(), TRUE())))</f>
        <v/>
      </c>
      <c r="U414" s="97" t="str">
        <f aca="false">IF(ISBLANK($C414),"",IF(I414=Constants!$B$19,Constants!$B$19,Constants!$B$18))</f>
        <v/>
      </c>
      <c r="V414" s="97" t="str">
        <f aca="false">IF(ISBLANK($C414),"",IF(COUNTA(J414:K414)=0,"",IF(AND(OR(ISBLANK(J414),AND(ISNUMBER(J414),J414&gt;=0)),OR(ISBLANK(K414),AND(ISNUMBER(K414),K414&gt;=0))),60*IF(ISBLANK(J414),0,J414)+IF(ISBLANK(K414),0,K414),"")))</f>
        <v/>
      </c>
      <c r="W414" s="97" t="str">
        <f aca="false">IF(ISBLANK($C414),"",IF(L414=Constants!$B$19,Constants!$B$19,Constants!$B$18))</f>
        <v/>
      </c>
      <c r="X414" s="97" t="str">
        <f aca="false">IF(ISBLANK($C414),"",IF(COUNTA(M414:N414)=0,"",IF(AND(OR(ISBLANK(M414),AND(ISNUMBER(M414),M414&gt;=0)),OR(ISBLANK(N414),AND(ISNUMBER(N414),N414&gt;=0))),60*IF(ISBLANK(M414),0,M414)+IF(ISBLANK(N414),0,N414),"")))</f>
        <v/>
      </c>
      <c r="Y414" s="97" t="str">
        <f aca="false">IF(ISBLANK($C414),"",IF(O414=Constants!$B$2, TRUE(), IF(O414=Constants!$B$3, FALSE(), FALSE())))</f>
        <v/>
      </c>
      <c r="Z414" s="97" t="str">
        <f aca="false">IF(ISBLANK($C414),"",IF(Y414,Constants!$B$4,IF(COUNTA(E414:N414)=0,Constants!$B$5,IF(COUNTA(J414:K414,M414:N414)=0,Constants!$B$6,Constants!$B$7))))</f>
        <v/>
      </c>
      <c r="AA414" s="97" t="str">
        <f aca="false">IF(ISBLANK($C414),"",IF($Z414&lt;&gt;Constants!$B$7,$Z414,IF(OR(NOT(T414),AND(NOT(Q414),COUNTIFS(U414:W414,Constants!$B$18,V414:X414,"&gt;=0")&gt;0),AND(NOT(R414),COUNTIFS(U414:W414,Constants!$B$19,V414:X414,"&gt;=0")&gt;0)),Constants!$B$12,Constants!$B$11)))</f>
        <v/>
      </c>
      <c r="AB414" s="97" t="str">
        <f aca="false">IF($Z414=Constants!$B$7,IF(V414="",Constants!$B$13,V414),"")</f>
        <v/>
      </c>
      <c r="AC414" s="97" t="str">
        <f aca="false">IF($Z414=Constants!$B$7,IF(X414="",Constants!$B$13,X414),"")</f>
        <v/>
      </c>
      <c r="AD414" s="97" t="str">
        <f aca="false">IF($Z414=Constants!$B$7,IF($AB414&gt;=$AC414,1,2),"")</f>
        <v/>
      </c>
      <c r="AE414" s="97" t="str">
        <f aca="false">IF($Z414=Constants!$B$7,LARGE(AB414:AC414,1),"")</f>
        <v/>
      </c>
      <c r="AF414" s="97" t="str">
        <f aca="false">IF(ISBLANK($C414),"",IF($Z414&lt;&gt;Constants!$B$7,$Z414,AE414*S414))</f>
        <v/>
      </c>
      <c r="AG414" s="97" t="str">
        <f aca="false">IF(ISBLANK($C414),"",IF($Z414=Constants!$B$7,IF(ISNUMBER(AF414),RANK(AF414,$AF$8:$AF$507),Constants!$B$14),$Z414))</f>
        <v/>
      </c>
      <c r="AH414" s="97" t="str">
        <f aca="false">IF(ISBLANK($C414),"",IF($Z414=Constants!$B$7,IF(ISNUMBER(AG414),COUNTIFS($AA$8:$AA$507,"&lt;"&amp;$AA414)+COUNTIFS($AA$8:$AA$507,$AA414,$AG$8:$AG$507,"&lt;"&amp;$AG414)+1,Constants!$B$14),$Z414))</f>
        <v/>
      </c>
      <c r="AI414" s="97" t="str">
        <f aca="false">IF(ISBLANK($C414),"",IF($Z414=Constants!$B$7,LARGE(AB414:AC414,2)*S414,""))</f>
        <v/>
      </c>
      <c r="AJ414" s="97" t="str">
        <f aca="false">IF(ISBLANK($C414),"",IF($Z414=Constants!$B$7,RANK(AI414,$AI$8:$AI$507),$Z414))</f>
        <v/>
      </c>
      <c r="AK414" s="97" t="str">
        <f aca="false">IF(ISBLANK($C414),"",IF($Z414=Constants!$B$7,IF(ISNUMBER(AG414),COUNTIFS($AA$8:$AA$507,"&lt;"&amp;$AA414)+COUNTIFS($AA$8:$AA$507,$AA414,$AG$8:$AG$507,"&lt;"&amp;$AG414)+COUNTIFS($AA$8:$AA$507,$AA414,$AG$8:$AG$507,$AG414,$AJ$8:$AJ$507,"&lt;"&amp;$AJ414)+1,Constants!$B$14),$Z414))</f>
        <v/>
      </c>
      <c r="AL414" s="97" t="str">
        <f aca="false">IF(ISBLANK($C414),"",IF($Z414=Constants!$B$7,IF(ISNUMBER(AH414),AH414-AK414,Constants!$B$14),$Z414))</f>
        <v/>
      </c>
      <c r="AM414" s="98"/>
      <c r="AN414" s="99" t="str">
        <f aca="false">IF(ISBLANK($C414),"",IF($Z414&lt;&gt;Constants!$B$7,$Z414,AD414))</f>
        <v/>
      </c>
      <c r="AO414" s="100" t="str">
        <f aca="false">IF(ISBLANK($C414),"",IF($Z414&lt;&gt;Constants!$B$7,$Z414,S414))</f>
        <v/>
      </c>
      <c r="AP414" s="101" t="str">
        <f aca="false">IF(ISBLANK($C414),"",IF($Z414&lt;&gt;Constants!$B$7,$Z414,AF414))</f>
        <v/>
      </c>
      <c r="AQ414" s="102" t="str">
        <f aca="false">IF(ISBLANK($C414),"",IF($Z414&lt;&gt;Constants!$B$7,$Z414,AA414))</f>
        <v/>
      </c>
      <c r="AR414" s="100" t="str">
        <f aca="false">IF(ISBLANK($C414),"",AL414)</f>
        <v/>
      </c>
      <c r="AS414" s="100" t="str">
        <f aca="false">IF(ISBLANK($C414),"",AK414)</f>
        <v/>
      </c>
      <c r="AT414" s="103" t="str">
        <f aca="false">IF(ISBLANK($C414),"",IF(AS414=Constants!$B$4,COUNTA($C$8:$C$507)+2,IF(AS414=Constants!$B$5,COUNTA($C$8:$C$507)+1,IF(AS414=Constants!$B$6,COUNTA($C$8:$C$507),AS414))))</f>
        <v/>
      </c>
      <c r="AU414" s="5"/>
      <c r="AV414" s="104" t="n">
        <f aca="false">IF(OR(ISNUMBER(AS414),AS414=Constants!$B$4,AS414=Constants!$B$6,AS414=Constants!$B$5),1,0)</f>
        <v>0</v>
      </c>
      <c r="AW414" s="104" t="n">
        <v>407</v>
      </c>
      <c r="AX414" s="104" t="str">
        <f aca="false">IF(ISBLANK($C414),"",IF(ISNUMBER(AT414),AT414+ROW($B414)/1000,""))</f>
        <v/>
      </c>
      <c r="AY414" s="104" t="str">
        <f aca="false">IF(ISNUMBER(AX414),RANK(AX414,$AX$8:$AX$507,1),"")</f>
        <v/>
      </c>
      <c r="AZ414" s="104" t="str">
        <f aca="false">IF(ISBLANK($C414),"",$B414)</f>
        <v/>
      </c>
      <c r="BA414" s="104" t="str">
        <f aca="false">IF(ISBLANK($C414),"",$C414)</f>
        <v/>
      </c>
      <c r="BB414" s="104" t="str">
        <f aca="false">IF(ISBLANK($C414),"",$D414)</f>
        <v/>
      </c>
      <c r="BC414" s="105" t="str">
        <f aca="false">AQ414</f>
        <v/>
      </c>
      <c r="BD414" s="106" t="str">
        <f aca="false">AP414</f>
        <v/>
      </c>
      <c r="BE414" s="104" t="str">
        <f aca="false">IF(ISBLANK($C414),"",AS414)</f>
        <v/>
      </c>
      <c r="BF414" s="107" t="str">
        <f aca="false">IF($AW414&gt;$AV$7,"",VLOOKUP($AW414,$AY$8:$BE$507,7,FALSE()))</f>
        <v/>
      </c>
      <c r="BG414" s="108" t="str">
        <f aca="false">IF($AW414&gt;$AV$7,"",VLOOKUP($AW414,$AY$8:$BE$507,2,FALSE()))</f>
        <v/>
      </c>
      <c r="BH414" s="108" t="str">
        <f aca="false">IF($AW414&gt;$AV$7,"",VLOOKUP($AW414,$AY$8:$BE$507,3,FALSE()))</f>
        <v/>
      </c>
      <c r="BI414" s="108" t="str">
        <f aca="false">IF($AW414&gt;$AV$7,"",VLOOKUP($AW414,$AY$8:$BE$507,4,FALSE()))</f>
        <v/>
      </c>
      <c r="BJ414" s="108" t="str">
        <f aca="false">IF($AW414&gt;$AV$7,"",VLOOKUP($AW414,$AY$8:$BE$507,5,FALSE()))</f>
        <v/>
      </c>
      <c r="BK414" s="109" t="str">
        <f aca="false">IF($AW414&gt;$AV$7,"",VLOOKUP($AW414,$AY$8:$BE$507,6,FALSE()))</f>
        <v/>
      </c>
      <c r="BL414" s="50"/>
    </row>
    <row r="415" customFormat="false" ht="15.75" hidden="false" customHeight="false" outlineLevel="0" collapsed="false">
      <c r="A415" s="5"/>
      <c r="B415" s="124"/>
      <c r="C415" s="125"/>
      <c r="D415" s="110"/>
      <c r="E415" s="130"/>
      <c r="F415" s="135"/>
      <c r="G415" s="88"/>
      <c r="H415" s="136"/>
      <c r="I415" s="137"/>
      <c r="J415" s="91"/>
      <c r="K415" s="92"/>
      <c r="L415" s="137"/>
      <c r="M415" s="93"/>
      <c r="N415" s="94"/>
      <c r="O415" s="130"/>
      <c r="P415" s="96"/>
      <c r="Q415" s="97" t="str">
        <f aca="false">IF(ISBLANK($C415),"",IF(E415=Constants!$B$2, TRUE(), IF(E415=Constants!$B$3, FALSE(), TRUE())))</f>
        <v/>
      </c>
      <c r="R415" s="97" t="str">
        <f aca="false">IF(ISBLANK($C415),"",IF(F415=Constants!$B$2, TRUE(), IF(F415=Constants!$B$3, FALSE(), TRUE())))</f>
        <v/>
      </c>
      <c r="S415" s="97" t="str">
        <f aca="false">IF(ISBLANK($C415),"",IF(G415=Constants!$B$15,Constants!$B$8,IF(G415=Constants!$B$16,Constants!$B$9,Constants!$B$10)))</f>
        <v/>
      </c>
      <c r="T415" s="97" t="str">
        <f aca="false">IF(ISBLANK($C415),"",IF(H415=Constants!$B$2, TRUE(), IF(H415=Constants!$B$3, FALSE(), TRUE())))</f>
        <v/>
      </c>
      <c r="U415" s="97" t="str">
        <f aca="false">IF(ISBLANK($C415),"",IF(I415=Constants!$B$19,Constants!$B$19,Constants!$B$18))</f>
        <v/>
      </c>
      <c r="V415" s="97" t="str">
        <f aca="false">IF(ISBLANK($C415),"",IF(COUNTA(J415:K415)=0,"",IF(AND(OR(ISBLANK(J415),AND(ISNUMBER(J415),J415&gt;=0)),OR(ISBLANK(K415),AND(ISNUMBER(K415),K415&gt;=0))),60*IF(ISBLANK(J415),0,J415)+IF(ISBLANK(K415),0,K415),"")))</f>
        <v/>
      </c>
      <c r="W415" s="97" t="str">
        <f aca="false">IF(ISBLANK($C415),"",IF(L415=Constants!$B$19,Constants!$B$19,Constants!$B$18))</f>
        <v/>
      </c>
      <c r="X415" s="97" t="str">
        <f aca="false">IF(ISBLANK($C415),"",IF(COUNTA(M415:N415)=0,"",IF(AND(OR(ISBLANK(M415),AND(ISNUMBER(M415),M415&gt;=0)),OR(ISBLANK(N415),AND(ISNUMBER(N415),N415&gt;=0))),60*IF(ISBLANK(M415),0,M415)+IF(ISBLANK(N415),0,N415),"")))</f>
        <v/>
      </c>
      <c r="Y415" s="97" t="str">
        <f aca="false">IF(ISBLANK($C415),"",IF(O415=Constants!$B$2, TRUE(), IF(O415=Constants!$B$3, FALSE(), FALSE())))</f>
        <v/>
      </c>
      <c r="Z415" s="97" t="str">
        <f aca="false">IF(ISBLANK($C415),"",IF(Y415,Constants!$B$4,IF(COUNTA(E415:N415)=0,Constants!$B$5,IF(COUNTA(J415:K415,M415:N415)=0,Constants!$B$6,Constants!$B$7))))</f>
        <v/>
      </c>
      <c r="AA415" s="97" t="str">
        <f aca="false">IF(ISBLANK($C415),"",IF($Z415&lt;&gt;Constants!$B$7,$Z415,IF(OR(NOT(T415),AND(NOT(Q415),COUNTIFS(U415:W415,Constants!$B$18,V415:X415,"&gt;=0")&gt;0),AND(NOT(R415),COUNTIFS(U415:W415,Constants!$B$19,V415:X415,"&gt;=0")&gt;0)),Constants!$B$12,Constants!$B$11)))</f>
        <v/>
      </c>
      <c r="AB415" s="97" t="str">
        <f aca="false">IF($Z415=Constants!$B$7,IF(V415="",Constants!$B$13,V415),"")</f>
        <v/>
      </c>
      <c r="AC415" s="97" t="str">
        <f aca="false">IF($Z415=Constants!$B$7,IF(X415="",Constants!$B$13,X415),"")</f>
        <v/>
      </c>
      <c r="AD415" s="97" t="str">
        <f aca="false">IF($Z415=Constants!$B$7,IF($AB415&gt;=$AC415,1,2),"")</f>
        <v/>
      </c>
      <c r="AE415" s="97" t="str">
        <f aca="false">IF($Z415=Constants!$B$7,LARGE(AB415:AC415,1),"")</f>
        <v/>
      </c>
      <c r="AF415" s="97" t="str">
        <f aca="false">IF(ISBLANK($C415),"",IF($Z415&lt;&gt;Constants!$B$7,$Z415,AE415*S415))</f>
        <v/>
      </c>
      <c r="AG415" s="97" t="str">
        <f aca="false">IF(ISBLANK($C415),"",IF($Z415=Constants!$B$7,IF(ISNUMBER(AF415),RANK(AF415,$AF$8:$AF$507),Constants!$B$14),$Z415))</f>
        <v/>
      </c>
      <c r="AH415" s="97" t="str">
        <f aca="false">IF(ISBLANK($C415),"",IF($Z415=Constants!$B$7,IF(ISNUMBER(AG415),COUNTIFS($AA$8:$AA$507,"&lt;"&amp;$AA415)+COUNTIFS($AA$8:$AA$507,$AA415,$AG$8:$AG$507,"&lt;"&amp;$AG415)+1,Constants!$B$14),$Z415))</f>
        <v/>
      </c>
      <c r="AI415" s="97" t="str">
        <f aca="false">IF(ISBLANK($C415),"",IF($Z415=Constants!$B$7,LARGE(AB415:AC415,2)*S415,""))</f>
        <v/>
      </c>
      <c r="AJ415" s="97" t="str">
        <f aca="false">IF(ISBLANK($C415),"",IF($Z415=Constants!$B$7,RANK(AI415,$AI$8:$AI$507),$Z415))</f>
        <v/>
      </c>
      <c r="AK415" s="97" t="str">
        <f aca="false">IF(ISBLANK($C415),"",IF($Z415=Constants!$B$7,IF(ISNUMBER(AG415),COUNTIFS($AA$8:$AA$507,"&lt;"&amp;$AA415)+COUNTIFS($AA$8:$AA$507,$AA415,$AG$8:$AG$507,"&lt;"&amp;$AG415)+COUNTIFS($AA$8:$AA$507,$AA415,$AG$8:$AG$507,$AG415,$AJ$8:$AJ$507,"&lt;"&amp;$AJ415)+1,Constants!$B$14),$Z415))</f>
        <v/>
      </c>
      <c r="AL415" s="97" t="str">
        <f aca="false">IF(ISBLANK($C415),"",IF($Z415=Constants!$B$7,IF(ISNUMBER(AH415),AH415-AK415,Constants!$B$14),$Z415))</f>
        <v/>
      </c>
      <c r="AM415" s="98"/>
      <c r="AN415" s="99" t="str">
        <f aca="false">IF(ISBLANK($C415),"",IF($Z415&lt;&gt;Constants!$B$7,$Z415,AD415))</f>
        <v/>
      </c>
      <c r="AO415" s="100" t="str">
        <f aca="false">IF(ISBLANK($C415),"",IF($Z415&lt;&gt;Constants!$B$7,$Z415,S415))</f>
        <v/>
      </c>
      <c r="AP415" s="101" t="str">
        <f aca="false">IF(ISBLANK($C415),"",IF($Z415&lt;&gt;Constants!$B$7,$Z415,AF415))</f>
        <v/>
      </c>
      <c r="AQ415" s="102" t="str">
        <f aca="false">IF(ISBLANK($C415),"",IF($Z415&lt;&gt;Constants!$B$7,$Z415,AA415))</f>
        <v/>
      </c>
      <c r="AR415" s="100" t="str">
        <f aca="false">IF(ISBLANK($C415),"",AL415)</f>
        <v/>
      </c>
      <c r="AS415" s="100" t="str">
        <f aca="false">IF(ISBLANK($C415),"",AK415)</f>
        <v/>
      </c>
      <c r="AT415" s="103" t="str">
        <f aca="false">IF(ISBLANK($C415),"",IF(AS415=Constants!$B$4,COUNTA($C$8:$C$507)+2,IF(AS415=Constants!$B$5,COUNTA($C$8:$C$507)+1,IF(AS415=Constants!$B$6,COUNTA($C$8:$C$507),AS415))))</f>
        <v/>
      </c>
      <c r="AU415" s="5"/>
      <c r="AV415" s="104" t="n">
        <f aca="false">IF(OR(ISNUMBER(AS415),AS415=Constants!$B$4,AS415=Constants!$B$6,AS415=Constants!$B$5),1,0)</f>
        <v>0</v>
      </c>
      <c r="AW415" s="104" t="n">
        <v>408</v>
      </c>
      <c r="AX415" s="104" t="str">
        <f aca="false">IF(ISBLANK($C415),"",IF(ISNUMBER(AT415),AT415+ROW($B415)/1000,""))</f>
        <v/>
      </c>
      <c r="AY415" s="104" t="str">
        <f aca="false">IF(ISNUMBER(AX415),RANK(AX415,$AX$8:$AX$507,1),"")</f>
        <v/>
      </c>
      <c r="AZ415" s="104" t="str">
        <f aca="false">IF(ISBLANK($C415),"",$B415)</f>
        <v/>
      </c>
      <c r="BA415" s="104" t="str">
        <f aca="false">IF(ISBLANK($C415),"",$C415)</f>
        <v/>
      </c>
      <c r="BB415" s="104" t="str">
        <f aca="false">IF(ISBLANK($C415),"",$D415)</f>
        <v/>
      </c>
      <c r="BC415" s="105" t="str">
        <f aca="false">AQ415</f>
        <v/>
      </c>
      <c r="BD415" s="106" t="str">
        <f aca="false">AP415</f>
        <v/>
      </c>
      <c r="BE415" s="104" t="str">
        <f aca="false">IF(ISBLANK($C415),"",AS415)</f>
        <v/>
      </c>
      <c r="BF415" s="107" t="str">
        <f aca="false">IF($AW415&gt;$AV$7,"",VLOOKUP($AW415,$AY$8:$BE$507,7,FALSE()))</f>
        <v/>
      </c>
      <c r="BG415" s="108" t="str">
        <f aca="false">IF($AW415&gt;$AV$7,"",VLOOKUP($AW415,$AY$8:$BE$507,2,FALSE()))</f>
        <v/>
      </c>
      <c r="BH415" s="108" t="str">
        <f aca="false">IF($AW415&gt;$AV$7,"",VLOOKUP($AW415,$AY$8:$BE$507,3,FALSE()))</f>
        <v/>
      </c>
      <c r="BI415" s="108" t="str">
        <f aca="false">IF($AW415&gt;$AV$7,"",VLOOKUP($AW415,$AY$8:$BE$507,4,FALSE()))</f>
        <v/>
      </c>
      <c r="BJ415" s="108" t="str">
        <f aca="false">IF($AW415&gt;$AV$7,"",VLOOKUP($AW415,$AY$8:$BE$507,5,FALSE()))</f>
        <v/>
      </c>
      <c r="BK415" s="109" t="str">
        <f aca="false">IF($AW415&gt;$AV$7,"",VLOOKUP($AW415,$AY$8:$BE$507,6,FALSE()))</f>
        <v/>
      </c>
      <c r="BL415" s="50"/>
    </row>
    <row r="416" customFormat="false" ht="15.75" hidden="false" customHeight="false" outlineLevel="0" collapsed="false">
      <c r="A416" s="5"/>
      <c r="B416" s="131"/>
      <c r="C416" s="52"/>
      <c r="D416" s="53"/>
      <c r="E416" s="80"/>
      <c r="F416" s="132"/>
      <c r="G416" s="56"/>
      <c r="H416" s="133"/>
      <c r="I416" s="134"/>
      <c r="J416" s="59"/>
      <c r="K416" s="60"/>
      <c r="L416" s="134"/>
      <c r="M416" s="61"/>
      <c r="N416" s="62"/>
      <c r="O416" s="80"/>
      <c r="P416" s="64"/>
      <c r="Q416" s="65" t="str">
        <f aca="false">IF(ISBLANK($C416),"",IF(E416=Constants!$B$2, TRUE(), IF(E416=Constants!$B$3, FALSE(), TRUE())))</f>
        <v/>
      </c>
      <c r="R416" s="65" t="str">
        <f aca="false">IF(ISBLANK($C416),"",IF(F416=Constants!$B$2, TRUE(), IF(F416=Constants!$B$3, FALSE(), TRUE())))</f>
        <v/>
      </c>
      <c r="S416" s="65" t="str">
        <f aca="false">IF(ISBLANK($C416),"",IF(G416=Constants!$B$15,Constants!$B$8,IF(G416=Constants!$B$16,Constants!$B$9,Constants!$B$10)))</f>
        <v/>
      </c>
      <c r="T416" s="65" t="str">
        <f aca="false">IF(ISBLANK($C416),"",IF(H416=Constants!$B$2, TRUE(), IF(H416=Constants!$B$3, FALSE(), TRUE())))</f>
        <v/>
      </c>
      <c r="U416" s="65" t="str">
        <f aca="false">IF(ISBLANK($C416),"",IF(I416=Constants!$B$19,Constants!$B$19,Constants!$B$18))</f>
        <v/>
      </c>
      <c r="V416" s="65" t="str">
        <f aca="false">IF(ISBLANK($C416),"",IF(COUNTA(J416:K416)=0,"",IF(AND(OR(ISBLANK(J416),AND(ISNUMBER(J416),J416&gt;=0)),OR(ISBLANK(K416),AND(ISNUMBER(K416),K416&gt;=0))),60*IF(ISBLANK(J416),0,J416)+IF(ISBLANK(K416),0,K416),"")))</f>
        <v/>
      </c>
      <c r="W416" s="65" t="str">
        <f aca="false">IF(ISBLANK($C416),"",IF(L416=Constants!$B$19,Constants!$B$19,Constants!$B$18))</f>
        <v/>
      </c>
      <c r="X416" s="65" t="str">
        <f aca="false">IF(ISBLANK($C416),"",IF(COUNTA(M416:N416)=0,"",IF(AND(OR(ISBLANK(M416),AND(ISNUMBER(M416),M416&gt;=0)),OR(ISBLANK(N416),AND(ISNUMBER(N416),N416&gt;=0))),60*IF(ISBLANK(M416),0,M416)+IF(ISBLANK(N416),0,N416),"")))</f>
        <v/>
      </c>
      <c r="Y416" s="65" t="str">
        <f aca="false">IF(ISBLANK($C416),"",IF(O416=Constants!$B$2, TRUE(), IF(O416=Constants!$B$3, FALSE(), FALSE())))</f>
        <v/>
      </c>
      <c r="Z416" s="65" t="str">
        <f aca="false">IF(ISBLANK($C416),"",IF(Y416,Constants!$B$4,IF(COUNTA(E416:N416)=0,Constants!$B$5,IF(COUNTA(J416:K416,M416:N416)=0,Constants!$B$6,Constants!$B$7))))</f>
        <v/>
      </c>
      <c r="AA416" s="65" t="str">
        <f aca="false">IF(ISBLANK($C416),"",IF($Z416&lt;&gt;Constants!$B$7,$Z416,IF(OR(NOT(T416),AND(NOT(Q416),COUNTIFS(U416:W416,Constants!$B$18,V416:X416,"&gt;=0")&gt;0),AND(NOT(R416),COUNTIFS(U416:W416,Constants!$B$19,V416:X416,"&gt;=0")&gt;0)),Constants!$B$12,Constants!$B$11)))</f>
        <v/>
      </c>
      <c r="AB416" s="65" t="str">
        <f aca="false">IF($Z416=Constants!$B$7,IF(V416="",Constants!$B$13,V416),"")</f>
        <v/>
      </c>
      <c r="AC416" s="65" t="str">
        <f aca="false">IF($Z416=Constants!$B$7,IF(X416="",Constants!$B$13,X416),"")</f>
        <v/>
      </c>
      <c r="AD416" s="65" t="str">
        <f aca="false">IF($Z416=Constants!$B$7,IF($AB416&gt;=$AC416,1,2),"")</f>
        <v/>
      </c>
      <c r="AE416" s="65" t="str">
        <f aca="false">IF($Z416=Constants!$B$7,LARGE(AB416:AC416,1),"")</f>
        <v/>
      </c>
      <c r="AF416" s="65" t="str">
        <f aca="false">IF(ISBLANK($C416),"",IF($Z416&lt;&gt;Constants!$B$7,$Z416,AE416*S416))</f>
        <v/>
      </c>
      <c r="AG416" s="65" t="str">
        <f aca="false">IF(ISBLANK($C416),"",IF($Z416=Constants!$B$7,IF(ISNUMBER(AF416),RANK(AF416,$AF$8:$AF$507),Constants!$B$14),$Z416))</f>
        <v/>
      </c>
      <c r="AH416" s="65" t="str">
        <f aca="false">IF(ISBLANK($C416),"",IF($Z416=Constants!$B$7,IF(ISNUMBER(AG416),COUNTIFS($AA$8:$AA$507,"&lt;"&amp;$AA416)+COUNTIFS($AA$8:$AA$507,$AA416,$AG$8:$AG$507,"&lt;"&amp;$AG416)+1,Constants!$B$14),$Z416))</f>
        <v/>
      </c>
      <c r="AI416" s="65" t="str">
        <f aca="false">IF(ISBLANK($C416),"",IF($Z416=Constants!$B$7,LARGE(AB416:AC416,2)*S416,""))</f>
        <v/>
      </c>
      <c r="AJ416" s="65" t="str">
        <f aca="false">IF(ISBLANK($C416),"",IF($Z416=Constants!$B$7,RANK(AI416,$AI$8:$AI$507),$Z416))</f>
        <v/>
      </c>
      <c r="AK416" s="65" t="str">
        <f aca="false">IF(ISBLANK($C416),"",IF($Z416=Constants!$B$7,IF(ISNUMBER(AG416),COUNTIFS($AA$8:$AA$507,"&lt;"&amp;$AA416)+COUNTIFS($AA$8:$AA$507,$AA416,$AG$8:$AG$507,"&lt;"&amp;$AG416)+COUNTIFS($AA$8:$AA$507,$AA416,$AG$8:$AG$507,$AG416,$AJ$8:$AJ$507,"&lt;"&amp;$AJ416)+1,Constants!$B$14),$Z416))</f>
        <v/>
      </c>
      <c r="AL416" s="65" t="str">
        <f aca="false">IF(ISBLANK($C416),"",IF($Z416=Constants!$B$7,IF(ISNUMBER(AH416),AH416-AK416,Constants!$B$14),$Z416))</f>
        <v/>
      </c>
      <c r="AM416" s="67"/>
      <c r="AN416" s="68" t="str">
        <f aca="false">IF(ISBLANK($C416),"",IF($Z416&lt;&gt;Constants!$B$7,$Z416,AD416))</f>
        <v/>
      </c>
      <c r="AO416" s="69" t="str">
        <f aca="false">IF(ISBLANK($C416),"",IF($Z416&lt;&gt;Constants!$B$7,$Z416,S416))</f>
        <v/>
      </c>
      <c r="AP416" s="70" t="str">
        <f aca="false">IF(ISBLANK($C416),"",IF($Z416&lt;&gt;Constants!$B$7,$Z416,AF416))</f>
        <v/>
      </c>
      <c r="AQ416" s="71" t="str">
        <f aca="false">IF(ISBLANK($C416),"",IF($Z416&lt;&gt;Constants!$B$7,$Z416,AA416))</f>
        <v/>
      </c>
      <c r="AR416" s="69" t="str">
        <f aca="false">IF(ISBLANK($C416),"",AL416)</f>
        <v/>
      </c>
      <c r="AS416" s="69" t="str">
        <f aca="false">IF(ISBLANK($C416),"",AK416)</f>
        <v/>
      </c>
      <c r="AT416" s="72" t="str">
        <f aca="false">IF(ISBLANK($C416),"",IF(AS416=Constants!$B$4,COUNTA($C$8:$C$507)+2,IF(AS416=Constants!$B$5,COUNTA($C$8:$C$507)+1,IF(AS416=Constants!$B$6,COUNTA($C$8:$C$507),AS416))))</f>
        <v/>
      </c>
      <c r="AU416" s="5"/>
      <c r="AV416" s="73" t="n">
        <f aca="false">IF(OR(ISNUMBER(AS416),AS416=Constants!$B$4,AS416=Constants!$B$6,AS416=Constants!$B$5),1,0)</f>
        <v>0</v>
      </c>
      <c r="AW416" s="73" t="n">
        <v>409</v>
      </c>
      <c r="AX416" s="73" t="str">
        <f aca="false">IF(ISBLANK($C416),"",IF(ISNUMBER(AT416),AT416+ROW($B416)/1000,""))</f>
        <v/>
      </c>
      <c r="AY416" s="73" t="str">
        <f aca="false">IF(ISNUMBER(AX416),RANK(AX416,$AX$8:$AX$507,1),"")</f>
        <v/>
      </c>
      <c r="AZ416" s="73" t="str">
        <f aca="false">IF(ISBLANK($C416),"",$B416)</f>
        <v/>
      </c>
      <c r="BA416" s="73" t="str">
        <f aca="false">IF(ISBLANK($C416),"",$C416)</f>
        <v/>
      </c>
      <c r="BB416" s="73" t="str">
        <f aca="false">IF(ISBLANK($C416),"",$D416)</f>
        <v/>
      </c>
      <c r="BC416" s="74" t="str">
        <f aca="false">AQ416</f>
        <v/>
      </c>
      <c r="BD416" s="75" t="str">
        <f aca="false">AP416</f>
        <v/>
      </c>
      <c r="BE416" s="73" t="str">
        <f aca="false">IF(ISBLANK($C416),"",AS416)</f>
        <v/>
      </c>
      <c r="BF416" s="76" t="str">
        <f aca="false">IF($AW416&gt;$AV$7,"",VLOOKUP($AW416,$AY$8:$BE$507,7,FALSE()))</f>
        <v/>
      </c>
      <c r="BG416" s="77" t="str">
        <f aca="false">IF($AW416&gt;$AV$7,"",VLOOKUP($AW416,$AY$8:$BE$507,2,FALSE()))</f>
        <v/>
      </c>
      <c r="BH416" s="77" t="str">
        <f aca="false">IF($AW416&gt;$AV$7,"",VLOOKUP($AW416,$AY$8:$BE$507,3,FALSE()))</f>
        <v/>
      </c>
      <c r="BI416" s="77" t="str">
        <f aca="false">IF($AW416&gt;$AV$7,"",VLOOKUP($AW416,$AY$8:$BE$507,4,FALSE()))</f>
        <v/>
      </c>
      <c r="BJ416" s="77" t="str">
        <f aca="false">IF($AW416&gt;$AV$7,"",VLOOKUP($AW416,$AY$8:$BE$507,5,FALSE()))</f>
        <v/>
      </c>
      <c r="BK416" s="78" t="str">
        <f aca="false">IF($AW416&gt;$AV$7,"",VLOOKUP($AW416,$AY$8:$BE$507,6,FALSE()))</f>
        <v/>
      </c>
      <c r="BL416" s="50"/>
    </row>
    <row r="417" customFormat="false" ht="15.75" hidden="false" customHeight="false" outlineLevel="0" collapsed="false">
      <c r="A417" s="5"/>
      <c r="B417" s="131"/>
      <c r="C417" s="52"/>
      <c r="D417" s="53"/>
      <c r="E417" s="80"/>
      <c r="F417" s="132"/>
      <c r="G417" s="56"/>
      <c r="H417" s="133"/>
      <c r="I417" s="134"/>
      <c r="J417" s="59"/>
      <c r="K417" s="60"/>
      <c r="L417" s="134"/>
      <c r="M417" s="61"/>
      <c r="N417" s="62"/>
      <c r="O417" s="80"/>
      <c r="P417" s="64"/>
      <c r="Q417" s="65" t="str">
        <f aca="false">IF(ISBLANK($C417),"",IF(E417=Constants!$B$2, TRUE(), IF(E417=Constants!$B$3, FALSE(), TRUE())))</f>
        <v/>
      </c>
      <c r="R417" s="65" t="str">
        <f aca="false">IF(ISBLANK($C417),"",IF(F417=Constants!$B$2, TRUE(), IF(F417=Constants!$B$3, FALSE(), TRUE())))</f>
        <v/>
      </c>
      <c r="S417" s="65" t="str">
        <f aca="false">IF(ISBLANK($C417),"",IF(G417=Constants!$B$15,Constants!$B$8,IF(G417=Constants!$B$16,Constants!$B$9,Constants!$B$10)))</f>
        <v/>
      </c>
      <c r="T417" s="65" t="str">
        <f aca="false">IF(ISBLANK($C417),"",IF(H417=Constants!$B$2, TRUE(), IF(H417=Constants!$B$3, FALSE(), TRUE())))</f>
        <v/>
      </c>
      <c r="U417" s="65" t="str">
        <f aca="false">IF(ISBLANK($C417),"",IF(I417=Constants!$B$19,Constants!$B$19,Constants!$B$18))</f>
        <v/>
      </c>
      <c r="V417" s="65" t="str">
        <f aca="false">IF(ISBLANK($C417),"",IF(COUNTA(J417:K417)=0,"",IF(AND(OR(ISBLANK(J417),AND(ISNUMBER(J417),J417&gt;=0)),OR(ISBLANK(K417),AND(ISNUMBER(K417),K417&gt;=0))),60*IF(ISBLANK(J417),0,J417)+IF(ISBLANK(K417),0,K417),"")))</f>
        <v/>
      </c>
      <c r="W417" s="65" t="str">
        <f aca="false">IF(ISBLANK($C417),"",IF(L417=Constants!$B$19,Constants!$B$19,Constants!$B$18))</f>
        <v/>
      </c>
      <c r="X417" s="65" t="str">
        <f aca="false">IF(ISBLANK($C417),"",IF(COUNTA(M417:N417)=0,"",IF(AND(OR(ISBLANK(M417),AND(ISNUMBER(M417),M417&gt;=0)),OR(ISBLANK(N417),AND(ISNUMBER(N417),N417&gt;=0))),60*IF(ISBLANK(M417),0,M417)+IF(ISBLANK(N417),0,N417),"")))</f>
        <v/>
      </c>
      <c r="Y417" s="65" t="str">
        <f aca="false">IF(ISBLANK($C417),"",IF(O417=Constants!$B$2, TRUE(), IF(O417=Constants!$B$3, FALSE(), FALSE())))</f>
        <v/>
      </c>
      <c r="Z417" s="65" t="str">
        <f aca="false">IF(ISBLANK($C417),"",IF(Y417,Constants!$B$4,IF(COUNTA(E417:N417)=0,Constants!$B$5,IF(COUNTA(J417:K417,M417:N417)=0,Constants!$B$6,Constants!$B$7))))</f>
        <v/>
      </c>
      <c r="AA417" s="65" t="str">
        <f aca="false">IF(ISBLANK($C417),"",IF($Z417&lt;&gt;Constants!$B$7,$Z417,IF(OR(NOT(T417),AND(NOT(Q417),COUNTIFS(U417:W417,Constants!$B$18,V417:X417,"&gt;=0")&gt;0),AND(NOT(R417),COUNTIFS(U417:W417,Constants!$B$19,V417:X417,"&gt;=0")&gt;0)),Constants!$B$12,Constants!$B$11)))</f>
        <v/>
      </c>
      <c r="AB417" s="65" t="str">
        <f aca="false">IF($Z417=Constants!$B$7,IF(V417="",Constants!$B$13,V417),"")</f>
        <v/>
      </c>
      <c r="AC417" s="65" t="str">
        <f aca="false">IF($Z417=Constants!$B$7,IF(X417="",Constants!$B$13,X417),"")</f>
        <v/>
      </c>
      <c r="AD417" s="65" t="str">
        <f aca="false">IF($Z417=Constants!$B$7,IF($AB417&gt;=$AC417,1,2),"")</f>
        <v/>
      </c>
      <c r="AE417" s="65" t="str">
        <f aca="false">IF($Z417=Constants!$B$7,LARGE(AB417:AC417,1),"")</f>
        <v/>
      </c>
      <c r="AF417" s="65" t="str">
        <f aca="false">IF(ISBLANK($C417),"",IF($Z417&lt;&gt;Constants!$B$7,$Z417,AE417*S417))</f>
        <v/>
      </c>
      <c r="AG417" s="65" t="str">
        <f aca="false">IF(ISBLANK($C417),"",IF($Z417=Constants!$B$7,IF(ISNUMBER(AF417),RANK(AF417,$AF$8:$AF$507),Constants!$B$14),$Z417))</f>
        <v/>
      </c>
      <c r="AH417" s="65" t="str">
        <f aca="false">IF(ISBLANK($C417),"",IF($Z417=Constants!$B$7,IF(ISNUMBER(AG417),COUNTIFS($AA$8:$AA$507,"&lt;"&amp;$AA417)+COUNTIFS($AA$8:$AA$507,$AA417,$AG$8:$AG$507,"&lt;"&amp;$AG417)+1,Constants!$B$14),$Z417))</f>
        <v/>
      </c>
      <c r="AI417" s="65" t="str">
        <f aca="false">IF(ISBLANK($C417),"",IF($Z417=Constants!$B$7,LARGE(AB417:AC417,2)*S417,""))</f>
        <v/>
      </c>
      <c r="AJ417" s="65" t="str">
        <f aca="false">IF(ISBLANK($C417),"",IF($Z417=Constants!$B$7,RANK(AI417,$AI$8:$AI$507),$Z417))</f>
        <v/>
      </c>
      <c r="AK417" s="65" t="str">
        <f aca="false">IF(ISBLANK($C417),"",IF($Z417=Constants!$B$7,IF(ISNUMBER(AG417),COUNTIFS($AA$8:$AA$507,"&lt;"&amp;$AA417)+COUNTIFS($AA$8:$AA$507,$AA417,$AG$8:$AG$507,"&lt;"&amp;$AG417)+COUNTIFS($AA$8:$AA$507,$AA417,$AG$8:$AG$507,$AG417,$AJ$8:$AJ$507,"&lt;"&amp;$AJ417)+1,Constants!$B$14),$Z417))</f>
        <v/>
      </c>
      <c r="AL417" s="65" t="str">
        <f aca="false">IF(ISBLANK($C417),"",IF($Z417=Constants!$B$7,IF(ISNUMBER(AH417),AH417-AK417,Constants!$B$14),$Z417))</f>
        <v/>
      </c>
      <c r="AM417" s="67"/>
      <c r="AN417" s="68" t="str">
        <f aca="false">IF(ISBLANK($C417),"",IF($Z417&lt;&gt;Constants!$B$7,$Z417,AD417))</f>
        <v/>
      </c>
      <c r="AO417" s="69" t="str">
        <f aca="false">IF(ISBLANK($C417),"",IF($Z417&lt;&gt;Constants!$B$7,$Z417,S417))</f>
        <v/>
      </c>
      <c r="AP417" s="70" t="str">
        <f aca="false">IF(ISBLANK($C417),"",IF($Z417&lt;&gt;Constants!$B$7,$Z417,AF417))</f>
        <v/>
      </c>
      <c r="AQ417" s="71" t="str">
        <f aca="false">IF(ISBLANK($C417),"",IF($Z417&lt;&gt;Constants!$B$7,$Z417,AA417))</f>
        <v/>
      </c>
      <c r="AR417" s="69" t="str">
        <f aca="false">IF(ISBLANK($C417),"",AL417)</f>
        <v/>
      </c>
      <c r="AS417" s="69" t="str">
        <f aca="false">IF(ISBLANK($C417),"",AK417)</f>
        <v/>
      </c>
      <c r="AT417" s="72" t="str">
        <f aca="false">IF(ISBLANK($C417),"",IF(AS417=Constants!$B$4,COUNTA($C$8:$C$507)+2,IF(AS417=Constants!$B$5,COUNTA($C$8:$C$507)+1,IF(AS417=Constants!$B$6,COUNTA($C$8:$C$507),AS417))))</f>
        <v/>
      </c>
      <c r="AU417" s="5"/>
      <c r="AV417" s="73" t="n">
        <f aca="false">IF(OR(ISNUMBER(AS417),AS417=Constants!$B$4,AS417=Constants!$B$6,AS417=Constants!$B$5),1,0)</f>
        <v>0</v>
      </c>
      <c r="AW417" s="73" t="n">
        <v>410</v>
      </c>
      <c r="AX417" s="73" t="str">
        <f aca="false">IF(ISBLANK($C417),"",IF(ISNUMBER(AT417),AT417+ROW($B417)/1000,""))</f>
        <v/>
      </c>
      <c r="AY417" s="73" t="str">
        <f aca="false">IF(ISNUMBER(AX417),RANK(AX417,$AX$8:$AX$507,1),"")</f>
        <v/>
      </c>
      <c r="AZ417" s="73" t="str">
        <f aca="false">IF(ISBLANK($C417),"",$B417)</f>
        <v/>
      </c>
      <c r="BA417" s="73" t="str">
        <f aca="false">IF(ISBLANK($C417),"",$C417)</f>
        <v/>
      </c>
      <c r="BB417" s="73" t="str">
        <f aca="false">IF(ISBLANK($C417),"",$D417)</f>
        <v/>
      </c>
      <c r="BC417" s="74" t="str">
        <f aca="false">AQ417</f>
        <v/>
      </c>
      <c r="BD417" s="75" t="str">
        <f aca="false">AP417</f>
        <v/>
      </c>
      <c r="BE417" s="73" t="str">
        <f aca="false">IF(ISBLANK($C417),"",AS417)</f>
        <v/>
      </c>
      <c r="BF417" s="76" t="str">
        <f aca="false">IF($AW417&gt;$AV$7,"",VLOOKUP($AW417,$AY$8:$BE$507,7,FALSE()))</f>
        <v/>
      </c>
      <c r="BG417" s="77" t="str">
        <f aca="false">IF($AW417&gt;$AV$7,"",VLOOKUP($AW417,$AY$8:$BE$507,2,FALSE()))</f>
        <v/>
      </c>
      <c r="BH417" s="77" t="str">
        <f aca="false">IF($AW417&gt;$AV$7,"",VLOOKUP($AW417,$AY$8:$BE$507,3,FALSE()))</f>
        <v/>
      </c>
      <c r="BI417" s="77" t="str">
        <f aca="false">IF($AW417&gt;$AV$7,"",VLOOKUP($AW417,$AY$8:$BE$507,4,FALSE()))</f>
        <v/>
      </c>
      <c r="BJ417" s="77" t="str">
        <f aca="false">IF($AW417&gt;$AV$7,"",VLOOKUP($AW417,$AY$8:$BE$507,5,FALSE()))</f>
        <v/>
      </c>
      <c r="BK417" s="78" t="str">
        <f aca="false">IF($AW417&gt;$AV$7,"",VLOOKUP($AW417,$AY$8:$BE$507,6,FALSE()))</f>
        <v/>
      </c>
      <c r="BL417" s="50"/>
    </row>
    <row r="418" customFormat="false" ht="15.75" hidden="false" customHeight="false" outlineLevel="0" collapsed="false">
      <c r="A418" s="5"/>
      <c r="B418" s="131"/>
      <c r="C418" s="52"/>
      <c r="D418" s="53"/>
      <c r="E418" s="80"/>
      <c r="F418" s="132"/>
      <c r="G418" s="56"/>
      <c r="H418" s="133"/>
      <c r="I418" s="134"/>
      <c r="J418" s="59"/>
      <c r="K418" s="60"/>
      <c r="L418" s="134"/>
      <c r="M418" s="61"/>
      <c r="N418" s="62"/>
      <c r="O418" s="80"/>
      <c r="P418" s="64"/>
      <c r="Q418" s="65" t="str">
        <f aca="false">IF(ISBLANK($C418),"",IF(E418=Constants!$B$2, TRUE(), IF(E418=Constants!$B$3, FALSE(), TRUE())))</f>
        <v/>
      </c>
      <c r="R418" s="65" t="str">
        <f aca="false">IF(ISBLANK($C418),"",IF(F418=Constants!$B$2, TRUE(), IF(F418=Constants!$B$3, FALSE(), TRUE())))</f>
        <v/>
      </c>
      <c r="S418" s="65" t="str">
        <f aca="false">IF(ISBLANK($C418),"",IF(G418=Constants!$B$15,Constants!$B$8,IF(G418=Constants!$B$16,Constants!$B$9,Constants!$B$10)))</f>
        <v/>
      </c>
      <c r="T418" s="65" t="str">
        <f aca="false">IF(ISBLANK($C418),"",IF(H418=Constants!$B$2, TRUE(), IF(H418=Constants!$B$3, FALSE(), TRUE())))</f>
        <v/>
      </c>
      <c r="U418" s="65" t="str">
        <f aca="false">IF(ISBLANK($C418),"",IF(I418=Constants!$B$19,Constants!$B$19,Constants!$B$18))</f>
        <v/>
      </c>
      <c r="V418" s="65" t="str">
        <f aca="false">IF(ISBLANK($C418),"",IF(COUNTA(J418:K418)=0,"",IF(AND(OR(ISBLANK(J418),AND(ISNUMBER(J418),J418&gt;=0)),OR(ISBLANK(K418),AND(ISNUMBER(K418),K418&gt;=0))),60*IF(ISBLANK(J418),0,J418)+IF(ISBLANK(K418),0,K418),"")))</f>
        <v/>
      </c>
      <c r="W418" s="65" t="str">
        <f aca="false">IF(ISBLANK($C418),"",IF(L418=Constants!$B$19,Constants!$B$19,Constants!$B$18))</f>
        <v/>
      </c>
      <c r="X418" s="65" t="str">
        <f aca="false">IF(ISBLANK($C418),"",IF(COUNTA(M418:N418)=0,"",IF(AND(OR(ISBLANK(M418),AND(ISNUMBER(M418),M418&gt;=0)),OR(ISBLANK(N418),AND(ISNUMBER(N418),N418&gt;=0))),60*IF(ISBLANK(M418),0,M418)+IF(ISBLANK(N418),0,N418),"")))</f>
        <v/>
      </c>
      <c r="Y418" s="65" t="str">
        <f aca="false">IF(ISBLANK($C418),"",IF(O418=Constants!$B$2, TRUE(), IF(O418=Constants!$B$3, FALSE(), FALSE())))</f>
        <v/>
      </c>
      <c r="Z418" s="65" t="str">
        <f aca="false">IF(ISBLANK($C418),"",IF(Y418,Constants!$B$4,IF(COUNTA(E418:N418)=0,Constants!$B$5,IF(COUNTA(J418:K418,M418:N418)=0,Constants!$B$6,Constants!$B$7))))</f>
        <v/>
      </c>
      <c r="AA418" s="65" t="str">
        <f aca="false">IF(ISBLANK($C418),"",IF($Z418&lt;&gt;Constants!$B$7,$Z418,IF(OR(NOT(T418),AND(NOT(Q418),COUNTIFS(U418:W418,Constants!$B$18,V418:X418,"&gt;=0")&gt;0),AND(NOT(R418),COUNTIFS(U418:W418,Constants!$B$19,V418:X418,"&gt;=0")&gt;0)),Constants!$B$12,Constants!$B$11)))</f>
        <v/>
      </c>
      <c r="AB418" s="65" t="str">
        <f aca="false">IF($Z418=Constants!$B$7,IF(V418="",Constants!$B$13,V418),"")</f>
        <v/>
      </c>
      <c r="AC418" s="65" t="str">
        <f aca="false">IF($Z418=Constants!$B$7,IF(X418="",Constants!$B$13,X418),"")</f>
        <v/>
      </c>
      <c r="AD418" s="65" t="str">
        <f aca="false">IF($Z418=Constants!$B$7,IF($AB418&gt;=$AC418,1,2),"")</f>
        <v/>
      </c>
      <c r="AE418" s="65" t="str">
        <f aca="false">IF($Z418=Constants!$B$7,LARGE(AB418:AC418,1),"")</f>
        <v/>
      </c>
      <c r="AF418" s="65" t="str">
        <f aca="false">IF(ISBLANK($C418),"",IF($Z418&lt;&gt;Constants!$B$7,$Z418,AE418*S418))</f>
        <v/>
      </c>
      <c r="AG418" s="65" t="str">
        <f aca="false">IF(ISBLANK($C418),"",IF($Z418=Constants!$B$7,IF(ISNUMBER(AF418),RANK(AF418,$AF$8:$AF$507),Constants!$B$14),$Z418))</f>
        <v/>
      </c>
      <c r="AH418" s="65" t="str">
        <f aca="false">IF(ISBLANK($C418),"",IF($Z418=Constants!$B$7,IF(ISNUMBER(AG418),COUNTIFS($AA$8:$AA$507,"&lt;"&amp;$AA418)+COUNTIFS($AA$8:$AA$507,$AA418,$AG$8:$AG$507,"&lt;"&amp;$AG418)+1,Constants!$B$14),$Z418))</f>
        <v/>
      </c>
      <c r="AI418" s="65" t="str">
        <f aca="false">IF(ISBLANK($C418),"",IF($Z418=Constants!$B$7,LARGE(AB418:AC418,2)*S418,""))</f>
        <v/>
      </c>
      <c r="AJ418" s="65" t="str">
        <f aca="false">IF(ISBLANK($C418),"",IF($Z418=Constants!$B$7,RANK(AI418,$AI$8:$AI$507),$Z418))</f>
        <v/>
      </c>
      <c r="AK418" s="65" t="str">
        <f aca="false">IF(ISBLANK($C418),"",IF($Z418=Constants!$B$7,IF(ISNUMBER(AG418),COUNTIFS($AA$8:$AA$507,"&lt;"&amp;$AA418)+COUNTIFS($AA$8:$AA$507,$AA418,$AG$8:$AG$507,"&lt;"&amp;$AG418)+COUNTIFS($AA$8:$AA$507,$AA418,$AG$8:$AG$507,$AG418,$AJ$8:$AJ$507,"&lt;"&amp;$AJ418)+1,Constants!$B$14),$Z418))</f>
        <v/>
      </c>
      <c r="AL418" s="65" t="str">
        <f aca="false">IF(ISBLANK($C418),"",IF($Z418=Constants!$B$7,IF(ISNUMBER(AH418),AH418-AK418,Constants!$B$14),$Z418))</f>
        <v/>
      </c>
      <c r="AM418" s="67"/>
      <c r="AN418" s="68" t="str">
        <f aca="false">IF(ISBLANK($C418),"",IF($Z418&lt;&gt;Constants!$B$7,$Z418,AD418))</f>
        <v/>
      </c>
      <c r="AO418" s="69" t="str">
        <f aca="false">IF(ISBLANK($C418),"",IF($Z418&lt;&gt;Constants!$B$7,$Z418,S418))</f>
        <v/>
      </c>
      <c r="AP418" s="70" t="str">
        <f aca="false">IF(ISBLANK($C418),"",IF($Z418&lt;&gt;Constants!$B$7,$Z418,AF418))</f>
        <v/>
      </c>
      <c r="AQ418" s="71" t="str">
        <f aca="false">IF(ISBLANK($C418),"",IF($Z418&lt;&gt;Constants!$B$7,$Z418,AA418))</f>
        <v/>
      </c>
      <c r="AR418" s="69" t="str">
        <f aca="false">IF(ISBLANK($C418),"",AL418)</f>
        <v/>
      </c>
      <c r="AS418" s="69" t="str">
        <f aca="false">IF(ISBLANK($C418),"",AK418)</f>
        <v/>
      </c>
      <c r="AT418" s="72" t="str">
        <f aca="false">IF(ISBLANK($C418),"",IF(AS418=Constants!$B$4,COUNTA($C$8:$C$507)+2,IF(AS418=Constants!$B$5,COUNTA($C$8:$C$507)+1,IF(AS418=Constants!$B$6,COUNTA($C$8:$C$507),AS418))))</f>
        <v/>
      </c>
      <c r="AU418" s="5"/>
      <c r="AV418" s="73" t="n">
        <f aca="false">IF(OR(ISNUMBER(AS418),AS418=Constants!$B$4,AS418=Constants!$B$6,AS418=Constants!$B$5),1,0)</f>
        <v>0</v>
      </c>
      <c r="AW418" s="73" t="n">
        <v>411</v>
      </c>
      <c r="AX418" s="73" t="str">
        <f aca="false">IF(ISBLANK($C418),"",IF(ISNUMBER(AT418),AT418+ROW($B418)/1000,""))</f>
        <v/>
      </c>
      <c r="AY418" s="73" t="str">
        <f aca="false">IF(ISNUMBER(AX418),RANK(AX418,$AX$8:$AX$507,1),"")</f>
        <v/>
      </c>
      <c r="AZ418" s="73" t="str">
        <f aca="false">IF(ISBLANK($C418),"",$B418)</f>
        <v/>
      </c>
      <c r="BA418" s="73" t="str">
        <f aca="false">IF(ISBLANK($C418),"",$C418)</f>
        <v/>
      </c>
      <c r="BB418" s="73" t="str">
        <f aca="false">IF(ISBLANK($C418),"",$D418)</f>
        <v/>
      </c>
      <c r="BC418" s="74" t="str">
        <f aca="false">AQ418</f>
        <v/>
      </c>
      <c r="BD418" s="75" t="str">
        <f aca="false">AP418</f>
        <v/>
      </c>
      <c r="BE418" s="73" t="str">
        <f aca="false">IF(ISBLANK($C418),"",AS418)</f>
        <v/>
      </c>
      <c r="BF418" s="76" t="str">
        <f aca="false">IF($AW418&gt;$AV$7,"",VLOOKUP($AW418,$AY$8:$BE$507,7,FALSE()))</f>
        <v/>
      </c>
      <c r="BG418" s="77" t="str">
        <f aca="false">IF($AW418&gt;$AV$7,"",VLOOKUP($AW418,$AY$8:$BE$507,2,FALSE()))</f>
        <v/>
      </c>
      <c r="BH418" s="77" t="str">
        <f aca="false">IF($AW418&gt;$AV$7,"",VLOOKUP($AW418,$AY$8:$BE$507,3,FALSE()))</f>
        <v/>
      </c>
      <c r="BI418" s="77" t="str">
        <f aca="false">IF($AW418&gt;$AV$7,"",VLOOKUP($AW418,$AY$8:$BE$507,4,FALSE()))</f>
        <v/>
      </c>
      <c r="BJ418" s="77" t="str">
        <f aca="false">IF($AW418&gt;$AV$7,"",VLOOKUP($AW418,$AY$8:$BE$507,5,FALSE()))</f>
        <v/>
      </c>
      <c r="BK418" s="78" t="str">
        <f aca="false">IF($AW418&gt;$AV$7,"",VLOOKUP($AW418,$AY$8:$BE$507,6,FALSE()))</f>
        <v/>
      </c>
      <c r="BL418" s="50"/>
    </row>
    <row r="419" customFormat="false" ht="15.75" hidden="false" customHeight="false" outlineLevel="0" collapsed="false">
      <c r="A419" s="5"/>
      <c r="B419" s="124"/>
      <c r="C419" s="125"/>
      <c r="D419" s="110"/>
      <c r="E419" s="130"/>
      <c r="F419" s="135"/>
      <c r="G419" s="88"/>
      <c r="H419" s="136"/>
      <c r="I419" s="137"/>
      <c r="J419" s="91"/>
      <c r="K419" s="92"/>
      <c r="L419" s="137"/>
      <c r="M419" s="93"/>
      <c r="N419" s="94"/>
      <c r="O419" s="130"/>
      <c r="P419" s="96"/>
      <c r="Q419" s="97" t="str">
        <f aca="false">IF(ISBLANK($C419),"",IF(E419=Constants!$B$2, TRUE(), IF(E419=Constants!$B$3, FALSE(), TRUE())))</f>
        <v/>
      </c>
      <c r="R419" s="97" t="str">
        <f aca="false">IF(ISBLANK($C419),"",IF(F419=Constants!$B$2, TRUE(), IF(F419=Constants!$B$3, FALSE(), TRUE())))</f>
        <v/>
      </c>
      <c r="S419" s="97" t="str">
        <f aca="false">IF(ISBLANK($C419),"",IF(G419=Constants!$B$15,Constants!$B$8,IF(G419=Constants!$B$16,Constants!$B$9,Constants!$B$10)))</f>
        <v/>
      </c>
      <c r="T419" s="97" t="str">
        <f aca="false">IF(ISBLANK($C419),"",IF(H419=Constants!$B$2, TRUE(), IF(H419=Constants!$B$3, FALSE(), TRUE())))</f>
        <v/>
      </c>
      <c r="U419" s="97" t="str">
        <f aca="false">IF(ISBLANK($C419),"",IF(I419=Constants!$B$19,Constants!$B$19,Constants!$B$18))</f>
        <v/>
      </c>
      <c r="V419" s="97" t="str">
        <f aca="false">IF(ISBLANK($C419),"",IF(COUNTA(J419:K419)=0,"",IF(AND(OR(ISBLANK(J419),AND(ISNUMBER(J419),J419&gt;=0)),OR(ISBLANK(K419),AND(ISNUMBER(K419),K419&gt;=0))),60*IF(ISBLANK(J419),0,J419)+IF(ISBLANK(K419),0,K419),"")))</f>
        <v/>
      </c>
      <c r="W419" s="97" t="str">
        <f aca="false">IF(ISBLANK($C419),"",IF(L419=Constants!$B$19,Constants!$B$19,Constants!$B$18))</f>
        <v/>
      </c>
      <c r="X419" s="97" t="str">
        <f aca="false">IF(ISBLANK($C419),"",IF(COUNTA(M419:N419)=0,"",IF(AND(OR(ISBLANK(M419),AND(ISNUMBER(M419),M419&gt;=0)),OR(ISBLANK(N419),AND(ISNUMBER(N419),N419&gt;=0))),60*IF(ISBLANK(M419),0,M419)+IF(ISBLANK(N419),0,N419),"")))</f>
        <v/>
      </c>
      <c r="Y419" s="97" t="str">
        <f aca="false">IF(ISBLANK($C419),"",IF(O419=Constants!$B$2, TRUE(), IF(O419=Constants!$B$3, FALSE(), FALSE())))</f>
        <v/>
      </c>
      <c r="Z419" s="97" t="str">
        <f aca="false">IF(ISBLANK($C419),"",IF(Y419,Constants!$B$4,IF(COUNTA(E419:N419)=0,Constants!$B$5,IF(COUNTA(J419:K419,M419:N419)=0,Constants!$B$6,Constants!$B$7))))</f>
        <v/>
      </c>
      <c r="AA419" s="97" t="str">
        <f aca="false">IF(ISBLANK($C419),"",IF($Z419&lt;&gt;Constants!$B$7,$Z419,IF(OR(NOT(T419),AND(NOT(Q419),COUNTIFS(U419:W419,Constants!$B$18,V419:X419,"&gt;=0")&gt;0),AND(NOT(R419),COUNTIFS(U419:W419,Constants!$B$19,V419:X419,"&gt;=0")&gt;0)),Constants!$B$12,Constants!$B$11)))</f>
        <v/>
      </c>
      <c r="AB419" s="97" t="str">
        <f aca="false">IF($Z419=Constants!$B$7,IF(V419="",Constants!$B$13,V419),"")</f>
        <v/>
      </c>
      <c r="AC419" s="97" t="str">
        <f aca="false">IF($Z419=Constants!$B$7,IF(X419="",Constants!$B$13,X419),"")</f>
        <v/>
      </c>
      <c r="AD419" s="97" t="str">
        <f aca="false">IF($Z419=Constants!$B$7,IF($AB419&gt;=$AC419,1,2),"")</f>
        <v/>
      </c>
      <c r="AE419" s="97" t="str">
        <f aca="false">IF($Z419=Constants!$B$7,LARGE(AB419:AC419,1),"")</f>
        <v/>
      </c>
      <c r="AF419" s="97" t="str">
        <f aca="false">IF(ISBLANK($C419),"",IF($Z419&lt;&gt;Constants!$B$7,$Z419,AE419*S419))</f>
        <v/>
      </c>
      <c r="AG419" s="97" t="str">
        <f aca="false">IF(ISBLANK($C419),"",IF($Z419=Constants!$B$7,IF(ISNUMBER(AF419),RANK(AF419,$AF$8:$AF$507),Constants!$B$14),$Z419))</f>
        <v/>
      </c>
      <c r="AH419" s="97" t="str">
        <f aca="false">IF(ISBLANK($C419),"",IF($Z419=Constants!$B$7,IF(ISNUMBER(AG419),COUNTIFS($AA$8:$AA$507,"&lt;"&amp;$AA419)+COUNTIFS($AA$8:$AA$507,$AA419,$AG$8:$AG$507,"&lt;"&amp;$AG419)+1,Constants!$B$14),$Z419))</f>
        <v/>
      </c>
      <c r="AI419" s="97" t="str">
        <f aca="false">IF(ISBLANK($C419),"",IF($Z419=Constants!$B$7,LARGE(AB419:AC419,2)*S419,""))</f>
        <v/>
      </c>
      <c r="AJ419" s="97" t="str">
        <f aca="false">IF(ISBLANK($C419),"",IF($Z419=Constants!$B$7,RANK(AI419,$AI$8:$AI$507),$Z419))</f>
        <v/>
      </c>
      <c r="AK419" s="97" t="str">
        <f aca="false">IF(ISBLANK($C419),"",IF($Z419=Constants!$B$7,IF(ISNUMBER(AG419),COUNTIFS($AA$8:$AA$507,"&lt;"&amp;$AA419)+COUNTIFS($AA$8:$AA$507,$AA419,$AG$8:$AG$507,"&lt;"&amp;$AG419)+COUNTIFS($AA$8:$AA$507,$AA419,$AG$8:$AG$507,$AG419,$AJ$8:$AJ$507,"&lt;"&amp;$AJ419)+1,Constants!$B$14),$Z419))</f>
        <v/>
      </c>
      <c r="AL419" s="97" t="str">
        <f aca="false">IF(ISBLANK($C419),"",IF($Z419=Constants!$B$7,IF(ISNUMBER(AH419),AH419-AK419,Constants!$B$14),$Z419))</f>
        <v/>
      </c>
      <c r="AM419" s="98"/>
      <c r="AN419" s="99" t="str">
        <f aca="false">IF(ISBLANK($C419),"",IF($Z419&lt;&gt;Constants!$B$7,$Z419,AD419))</f>
        <v/>
      </c>
      <c r="AO419" s="100" t="str">
        <f aca="false">IF(ISBLANK($C419),"",IF($Z419&lt;&gt;Constants!$B$7,$Z419,S419))</f>
        <v/>
      </c>
      <c r="AP419" s="101" t="str">
        <f aca="false">IF(ISBLANK($C419),"",IF($Z419&lt;&gt;Constants!$B$7,$Z419,AF419))</f>
        <v/>
      </c>
      <c r="AQ419" s="102" t="str">
        <f aca="false">IF(ISBLANK($C419),"",IF($Z419&lt;&gt;Constants!$B$7,$Z419,AA419))</f>
        <v/>
      </c>
      <c r="AR419" s="100" t="str">
        <f aca="false">IF(ISBLANK($C419),"",AL419)</f>
        <v/>
      </c>
      <c r="AS419" s="100" t="str">
        <f aca="false">IF(ISBLANK($C419),"",AK419)</f>
        <v/>
      </c>
      <c r="AT419" s="103" t="str">
        <f aca="false">IF(ISBLANK($C419),"",IF(AS419=Constants!$B$4,COUNTA($C$8:$C$507)+2,IF(AS419=Constants!$B$5,COUNTA($C$8:$C$507)+1,IF(AS419=Constants!$B$6,COUNTA($C$8:$C$507),AS419))))</f>
        <v/>
      </c>
      <c r="AU419" s="5"/>
      <c r="AV419" s="104" t="n">
        <f aca="false">IF(OR(ISNUMBER(AS419),AS419=Constants!$B$4,AS419=Constants!$B$6,AS419=Constants!$B$5),1,0)</f>
        <v>0</v>
      </c>
      <c r="AW419" s="104" t="n">
        <v>412</v>
      </c>
      <c r="AX419" s="104" t="str">
        <f aca="false">IF(ISBLANK($C419),"",IF(ISNUMBER(AT419),AT419+ROW($B419)/1000,""))</f>
        <v/>
      </c>
      <c r="AY419" s="104" t="str">
        <f aca="false">IF(ISNUMBER(AX419),RANK(AX419,$AX$8:$AX$507,1),"")</f>
        <v/>
      </c>
      <c r="AZ419" s="104" t="str">
        <f aca="false">IF(ISBLANK($C419),"",$B419)</f>
        <v/>
      </c>
      <c r="BA419" s="104" t="str">
        <f aca="false">IF(ISBLANK($C419),"",$C419)</f>
        <v/>
      </c>
      <c r="BB419" s="104" t="str">
        <f aca="false">IF(ISBLANK($C419),"",$D419)</f>
        <v/>
      </c>
      <c r="BC419" s="105" t="str">
        <f aca="false">AQ419</f>
        <v/>
      </c>
      <c r="BD419" s="106" t="str">
        <f aca="false">AP419</f>
        <v/>
      </c>
      <c r="BE419" s="104" t="str">
        <f aca="false">IF(ISBLANK($C419),"",AS419)</f>
        <v/>
      </c>
      <c r="BF419" s="107" t="str">
        <f aca="false">IF($AW419&gt;$AV$7,"",VLOOKUP($AW419,$AY$8:$BE$507,7,FALSE()))</f>
        <v/>
      </c>
      <c r="BG419" s="108" t="str">
        <f aca="false">IF($AW419&gt;$AV$7,"",VLOOKUP($AW419,$AY$8:$BE$507,2,FALSE()))</f>
        <v/>
      </c>
      <c r="BH419" s="108" t="str">
        <f aca="false">IF($AW419&gt;$AV$7,"",VLOOKUP($AW419,$AY$8:$BE$507,3,FALSE()))</f>
        <v/>
      </c>
      <c r="BI419" s="108" t="str">
        <f aca="false">IF($AW419&gt;$AV$7,"",VLOOKUP($AW419,$AY$8:$BE$507,4,FALSE()))</f>
        <v/>
      </c>
      <c r="BJ419" s="108" t="str">
        <f aca="false">IF($AW419&gt;$AV$7,"",VLOOKUP($AW419,$AY$8:$BE$507,5,FALSE()))</f>
        <v/>
      </c>
      <c r="BK419" s="109" t="str">
        <f aca="false">IF($AW419&gt;$AV$7,"",VLOOKUP($AW419,$AY$8:$BE$507,6,FALSE()))</f>
        <v/>
      </c>
      <c r="BL419" s="50"/>
    </row>
    <row r="420" customFormat="false" ht="15.75" hidden="false" customHeight="false" outlineLevel="0" collapsed="false">
      <c r="A420" s="5"/>
      <c r="B420" s="124"/>
      <c r="C420" s="125"/>
      <c r="D420" s="110"/>
      <c r="E420" s="130"/>
      <c r="F420" s="135"/>
      <c r="G420" s="88"/>
      <c r="H420" s="136"/>
      <c r="I420" s="137"/>
      <c r="J420" s="91"/>
      <c r="K420" s="92"/>
      <c r="L420" s="137"/>
      <c r="M420" s="93"/>
      <c r="N420" s="94"/>
      <c r="O420" s="130"/>
      <c r="P420" s="96"/>
      <c r="Q420" s="97" t="str">
        <f aca="false">IF(ISBLANK($C420),"",IF(E420=Constants!$B$2, TRUE(), IF(E420=Constants!$B$3, FALSE(), TRUE())))</f>
        <v/>
      </c>
      <c r="R420" s="97" t="str">
        <f aca="false">IF(ISBLANK($C420),"",IF(F420=Constants!$B$2, TRUE(), IF(F420=Constants!$B$3, FALSE(), TRUE())))</f>
        <v/>
      </c>
      <c r="S420" s="97" t="str">
        <f aca="false">IF(ISBLANK($C420),"",IF(G420=Constants!$B$15,Constants!$B$8,IF(G420=Constants!$B$16,Constants!$B$9,Constants!$B$10)))</f>
        <v/>
      </c>
      <c r="T420" s="97" t="str">
        <f aca="false">IF(ISBLANK($C420),"",IF(H420=Constants!$B$2, TRUE(), IF(H420=Constants!$B$3, FALSE(), TRUE())))</f>
        <v/>
      </c>
      <c r="U420" s="97" t="str">
        <f aca="false">IF(ISBLANK($C420),"",IF(I420=Constants!$B$19,Constants!$B$19,Constants!$B$18))</f>
        <v/>
      </c>
      <c r="V420" s="97" t="str">
        <f aca="false">IF(ISBLANK($C420),"",IF(COUNTA(J420:K420)=0,"",IF(AND(OR(ISBLANK(J420),AND(ISNUMBER(J420),J420&gt;=0)),OR(ISBLANK(K420),AND(ISNUMBER(K420),K420&gt;=0))),60*IF(ISBLANK(J420),0,J420)+IF(ISBLANK(K420),0,K420),"")))</f>
        <v/>
      </c>
      <c r="W420" s="97" t="str">
        <f aca="false">IF(ISBLANK($C420),"",IF(L420=Constants!$B$19,Constants!$B$19,Constants!$B$18))</f>
        <v/>
      </c>
      <c r="X420" s="97" t="str">
        <f aca="false">IF(ISBLANK($C420),"",IF(COUNTA(M420:N420)=0,"",IF(AND(OR(ISBLANK(M420),AND(ISNUMBER(M420),M420&gt;=0)),OR(ISBLANK(N420),AND(ISNUMBER(N420),N420&gt;=0))),60*IF(ISBLANK(M420),0,M420)+IF(ISBLANK(N420),0,N420),"")))</f>
        <v/>
      </c>
      <c r="Y420" s="97" t="str">
        <f aca="false">IF(ISBLANK($C420),"",IF(O420=Constants!$B$2, TRUE(), IF(O420=Constants!$B$3, FALSE(), FALSE())))</f>
        <v/>
      </c>
      <c r="Z420" s="97" t="str">
        <f aca="false">IF(ISBLANK($C420),"",IF(Y420,Constants!$B$4,IF(COUNTA(E420:N420)=0,Constants!$B$5,IF(COUNTA(J420:K420,M420:N420)=0,Constants!$B$6,Constants!$B$7))))</f>
        <v/>
      </c>
      <c r="AA420" s="97" t="str">
        <f aca="false">IF(ISBLANK($C420),"",IF($Z420&lt;&gt;Constants!$B$7,$Z420,IF(OR(NOT(T420),AND(NOT(Q420),COUNTIFS(U420:W420,Constants!$B$18,V420:X420,"&gt;=0")&gt;0),AND(NOT(R420),COUNTIFS(U420:W420,Constants!$B$19,V420:X420,"&gt;=0")&gt;0)),Constants!$B$12,Constants!$B$11)))</f>
        <v/>
      </c>
      <c r="AB420" s="97" t="str">
        <f aca="false">IF($Z420=Constants!$B$7,IF(V420="",Constants!$B$13,V420),"")</f>
        <v/>
      </c>
      <c r="AC420" s="97" t="str">
        <f aca="false">IF($Z420=Constants!$B$7,IF(X420="",Constants!$B$13,X420),"")</f>
        <v/>
      </c>
      <c r="AD420" s="97" t="str">
        <f aca="false">IF($Z420=Constants!$B$7,IF($AB420&gt;=$AC420,1,2),"")</f>
        <v/>
      </c>
      <c r="AE420" s="97" t="str">
        <f aca="false">IF($Z420=Constants!$B$7,LARGE(AB420:AC420,1),"")</f>
        <v/>
      </c>
      <c r="AF420" s="97" t="str">
        <f aca="false">IF(ISBLANK($C420),"",IF($Z420&lt;&gt;Constants!$B$7,$Z420,AE420*S420))</f>
        <v/>
      </c>
      <c r="AG420" s="97" t="str">
        <f aca="false">IF(ISBLANK($C420),"",IF($Z420=Constants!$B$7,IF(ISNUMBER(AF420),RANK(AF420,$AF$8:$AF$507),Constants!$B$14),$Z420))</f>
        <v/>
      </c>
      <c r="AH420" s="97" t="str">
        <f aca="false">IF(ISBLANK($C420),"",IF($Z420=Constants!$B$7,IF(ISNUMBER(AG420),COUNTIFS($AA$8:$AA$507,"&lt;"&amp;$AA420)+COUNTIFS($AA$8:$AA$507,$AA420,$AG$8:$AG$507,"&lt;"&amp;$AG420)+1,Constants!$B$14),$Z420))</f>
        <v/>
      </c>
      <c r="AI420" s="97" t="str">
        <f aca="false">IF(ISBLANK($C420),"",IF($Z420=Constants!$B$7,LARGE(AB420:AC420,2)*S420,""))</f>
        <v/>
      </c>
      <c r="AJ420" s="97" t="str">
        <f aca="false">IF(ISBLANK($C420),"",IF($Z420=Constants!$B$7,RANK(AI420,$AI$8:$AI$507),$Z420))</f>
        <v/>
      </c>
      <c r="AK420" s="97" t="str">
        <f aca="false">IF(ISBLANK($C420),"",IF($Z420=Constants!$B$7,IF(ISNUMBER(AG420),COUNTIFS($AA$8:$AA$507,"&lt;"&amp;$AA420)+COUNTIFS($AA$8:$AA$507,$AA420,$AG$8:$AG$507,"&lt;"&amp;$AG420)+COUNTIFS($AA$8:$AA$507,$AA420,$AG$8:$AG$507,$AG420,$AJ$8:$AJ$507,"&lt;"&amp;$AJ420)+1,Constants!$B$14),$Z420))</f>
        <v/>
      </c>
      <c r="AL420" s="97" t="str">
        <f aca="false">IF(ISBLANK($C420),"",IF($Z420=Constants!$B$7,IF(ISNUMBER(AH420),AH420-AK420,Constants!$B$14),$Z420))</f>
        <v/>
      </c>
      <c r="AM420" s="98"/>
      <c r="AN420" s="99" t="str">
        <f aca="false">IF(ISBLANK($C420),"",IF($Z420&lt;&gt;Constants!$B$7,$Z420,AD420))</f>
        <v/>
      </c>
      <c r="AO420" s="100" t="str">
        <f aca="false">IF(ISBLANK($C420),"",IF($Z420&lt;&gt;Constants!$B$7,$Z420,S420))</f>
        <v/>
      </c>
      <c r="AP420" s="101" t="str">
        <f aca="false">IF(ISBLANK($C420),"",IF($Z420&lt;&gt;Constants!$B$7,$Z420,AF420))</f>
        <v/>
      </c>
      <c r="AQ420" s="102" t="str">
        <f aca="false">IF(ISBLANK($C420),"",IF($Z420&lt;&gt;Constants!$B$7,$Z420,AA420))</f>
        <v/>
      </c>
      <c r="AR420" s="100" t="str">
        <f aca="false">IF(ISBLANK($C420),"",AL420)</f>
        <v/>
      </c>
      <c r="AS420" s="100" t="str">
        <f aca="false">IF(ISBLANK($C420),"",AK420)</f>
        <v/>
      </c>
      <c r="AT420" s="103" t="str">
        <f aca="false">IF(ISBLANK($C420),"",IF(AS420=Constants!$B$4,COUNTA($C$8:$C$507)+2,IF(AS420=Constants!$B$5,COUNTA($C$8:$C$507)+1,IF(AS420=Constants!$B$6,COUNTA($C$8:$C$507),AS420))))</f>
        <v/>
      </c>
      <c r="AU420" s="5"/>
      <c r="AV420" s="104" t="n">
        <f aca="false">IF(OR(ISNUMBER(AS420),AS420=Constants!$B$4,AS420=Constants!$B$6,AS420=Constants!$B$5),1,0)</f>
        <v>0</v>
      </c>
      <c r="AW420" s="104" t="n">
        <v>413</v>
      </c>
      <c r="AX420" s="104" t="str">
        <f aca="false">IF(ISBLANK($C420),"",IF(ISNUMBER(AT420),AT420+ROW($B420)/1000,""))</f>
        <v/>
      </c>
      <c r="AY420" s="104" t="str">
        <f aca="false">IF(ISNUMBER(AX420),RANK(AX420,$AX$8:$AX$507,1),"")</f>
        <v/>
      </c>
      <c r="AZ420" s="104" t="str">
        <f aca="false">IF(ISBLANK($C420),"",$B420)</f>
        <v/>
      </c>
      <c r="BA420" s="104" t="str">
        <f aca="false">IF(ISBLANK($C420),"",$C420)</f>
        <v/>
      </c>
      <c r="BB420" s="104" t="str">
        <f aca="false">IF(ISBLANK($C420),"",$D420)</f>
        <v/>
      </c>
      <c r="BC420" s="105" t="str">
        <f aca="false">AQ420</f>
        <v/>
      </c>
      <c r="BD420" s="106" t="str">
        <f aca="false">AP420</f>
        <v/>
      </c>
      <c r="BE420" s="104" t="str">
        <f aca="false">IF(ISBLANK($C420),"",AS420)</f>
        <v/>
      </c>
      <c r="BF420" s="107" t="str">
        <f aca="false">IF($AW420&gt;$AV$7,"",VLOOKUP($AW420,$AY$8:$BE$507,7,FALSE()))</f>
        <v/>
      </c>
      <c r="BG420" s="108" t="str">
        <f aca="false">IF($AW420&gt;$AV$7,"",VLOOKUP($AW420,$AY$8:$BE$507,2,FALSE()))</f>
        <v/>
      </c>
      <c r="BH420" s="108" t="str">
        <f aca="false">IF($AW420&gt;$AV$7,"",VLOOKUP($AW420,$AY$8:$BE$507,3,FALSE()))</f>
        <v/>
      </c>
      <c r="BI420" s="108" t="str">
        <f aca="false">IF($AW420&gt;$AV$7,"",VLOOKUP($AW420,$AY$8:$BE$507,4,FALSE()))</f>
        <v/>
      </c>
      <c r="BJ420" s="108" t="str">
        <f aca="false">IF($AW420&gt;$AV$7,"",VLOOKUP($AW420,$AY$8:$BE$507,5,FALSE()))</f>
        <v/>
      </c>
      <c r="BK420" s="109" t="str">
        <f aca="false">IF($AW420&gt;$AV$7,"",VLOOKUP($AW420,$AY$8:$BE$507,6,FALSE()))</f>
        <v/>
      </c>
      <c r="BL420" s="50"/>
    </row>
    <row r="421" customFormat="false" ht="15.75" hidden="false" customHeight="false" outlineLevel="0" collapsed="false">
      <c r="A421" s="5"/>
      <c r="B421" s="124"/>
      <c r="C421" s="125"/>
      <c r="D421" s="110"/>
      <c r="E421" s="130"/>
      <c r="F421" s="135"/>
      <c r="G421" s="88"/>
      <c r="H421" s="136"/>
      <c r="I421" s="137"/>
      <c r="J421" s="91"/>
      <c r="K421" s="92"/>
      <c r="L421" s="137"/>
      <c r="M421" s="93"/>
      <c r="N421" s="94"/>
      <c r="O421" s="130"/>
      <c r="P421" s="96"/>
      <c r="Q421" s="97" t="str">
        <f aca="false">IF(ISBLANK($C421),"",IF(E421=Constants!$B$2, TRUE(), IF(E421=Constants!$B$3, FALSE(), TRUE())))</f>
        <v/>
      </c>
      <c r="R421" s="97" t="str">
        <f aca="false">IF(ISBLANK($C421),"",IF(F421=Constants!$B$2, TRUE(), IF(F421=Constants!$B$3, FALSE(), TRUE())))</f>
        <v/>
      </c>
      <c r="S421" s="97" t="str">
        <f aca="false">IF(ISBLANK($C421),"",IF(G421=Constants!$B$15,Constants!$B$8,IF(G421=Constants!$B$16,Constants!$B$9,Constants!$B$10)))</f>
        <v/>
      </c>
      <c r="T421" s="97" t="str">
        <f aca="false">IF(ISBLANK($C421),"",IF(H421=Constants!$B$2, TRUE(), IF(H421=Constants!$B$3, FALSE(), TRUE())))</f>
        <v/>
      </c>
      <c r="U421" s="97" t="str">
        <f aca="false">IF(ISBLANK($C421),"",IF(I421=Constants!$B$19,Constants!$B$19,Constants!$B$18))</f>
        <v/>
      </c>
      <c r="V421" s="97" t="str">
        <f aca="false">IF(ISBLANK($C421),"",IF(COUNTA(J421:K421)=0,"",IF(AND(OR(ISBLANK(J421),AND(ISNUMBER(J421),J421&gt;=0)),OR(ISBLANK(K421),AND(ISNUMBER(K421),K421&gt;=0))),60*IF(ISBLANK(J421),0,J421)+IF(ISBLANK(K421),0,K421),"")))</f>
        <v/>
      </c>
      <c r="W421" s="97" t="str">
        <f aca="false">IF(ISBLANK($C421),"",IF(L421=Constants!$B$19,Constants!$B$19,Constants!$B$18))</f>
        <v/>
      </c>
      <c r="X421" s="97" t="str">
        <f aca="false">IF(ISBLANK($C421),"",IF(COUNTA(M421:N421)=0,"",IF(AND(OR(ISBLANK(M421),AND(ISNUMBER(M421),M421&gt;=0)),OR(ISBLANK(N421),AND(ISNUMBER(N421),N421&gt;=0))),60*IF(ISBLANK(M421),0,M421)+IF(ISBLANK(N421),0,N421),"")))</f>
        <v/>
      </c>
      <c r="Y421" s="97" t="str">
        <f aca="false">IF(ISBLANK($C421),"",IF(O421=Constants!$B$2, TRUE(), IF(O421=Constants!$B$3, FALSE(), FALSE())))</f>
        <v/>
      </c>
      <c r="Z421" s="97" t="str">
        <f aca="false">IF(ISBLANK($C421),"",IF(Y421,Constants!$B$4,IF(COUNTA(E421:N421)=0,Constants!$B$5,IF(COUNTA(J421:K421,M421:N421)=0,Constants!$B$6,Constants!$B$7))))</f>
        <v/>
      </c>
      <c r="AA421" s="97" t="str">
        <f aca="false">IF(ISBLANK($C421),"",IF($Z421&lt;&gt;Constants!$B$7,$Z421,IF(OR(NOT(T421),AND(NOT(Q421),COUNTIFS(U421:W421,Constants!$B$18,V421:X421,"&gt;=0")&gt;0),AND(NOT(R421),COUNTIFS(U421:W421,Constants!$B$19,V421:X421,"&gt;=0")&gt;0)),Constants!$B$12,Constants!$B$11)))</f>
        <v/>
      </c>
      <c r="AB421" s="97" t="str">
        <f aca="false">IF($Z421=Constants!$B$7,IF(V421="",Constants!$B$13,V421),"")</f>
        <v/>
      </c>
      <c r="AC421" s="97" t="str">
        <f aca="false">IF($Z421=Constants!$B$7,IF(X421="",Constants!$B$13,X421),"")</f>
        <v/>
      </c>
      <c r="AD421" s="97" t="str">
        <f aca="false">IF($Z421=Constants!$B$7,IF($AB421&gt;=$AC421,1,2),"")</f>
        <v/>
      </c>
      <c r="AE421" s="97" t="str">
        <f aca="false">IF($Z421=Constants!$B$7,LARGE(AB421:AC421,1),"")</f>
        <v/>
      </c>
      <c r="AF421" s="97" t="str">
        <f aca="false">IF(ISBLANK($C421),"",IF($Z421&lt;&gt;Constants!$B$7,$Z421,AE421*S421))</f>
        <v/>
      </c>
      <c r="AG421" s="97" t="str">
        <f aca="false">IF(ISBLANK($C421),"",IF($Z421=Constants!$B$7,IF(ISNUMBER(AF421),RANK(AF421,$AF$8:$AF$507),Constants!$B$14),$Z421))</f>
        <v/>
      </c>
      <c r="AH421" s="97" t="str">
        <f aca="false">IF(ISBLANK($C421),"",IF($Z421=Constants!$B$7,IF(ISNUMBER(AG421),COUNTIFS($AA$8:$AA$507,"&lt;"&amp;$AA421)+COUNTIFS($AA$8:$AA$507,$AA421,$AG$8:$AG$507,"&lt;"&amp;$AG421)+1,Constants!$B$14),$Z421))</f>
        <v/>
      </c>
      <c r="AI421" s="97" t="str">
        <f aca="false">IF(ISBLANK($C421),"",IF($Z421=Constants!$B$7,LARGE(AB421:AC421,2)*S421,""))</f>
        <v/>
      </c>
      <c r="AJ421" s="97" t="str">
        <f aca="false">IF(ISBLANK($C421),"",IF($Z421=Constants!$B$7,RANK(AI421,$AI$8:$AI$507),$Z421))</f>
        <v/>
      </c>
      <c r="AK421" s="97" t="str">
        <f aca="false">IF(ISBLANK($C421),"",IF($Z421=Constants!$B$7,IF(ISNUMBER(AG421),COUNTIFS($AA$8:$AA$507,"&lt;"&amp;$AA421)+COUNTIFS($AA$8:$AA$507,$AA421,$AG$8:$AG$507,"&lt;"&amp;$AG421)+COUNTIFS($AA$8:$AA$507,$AA421,$AG$8:$AG$507,$AG421,$AJ$8:$AJ$507,"&lt;"&amp;$AJ421)+1,Constants!$B$14),$Z421))</f>
        <v/>
      </c>
      <c r="AL421" s="97" t="str">
        <f aca="false">IF(ISBLANK($C421),"",IF($Z421=Constants!$B$7,IF(ISNUMBER(AH421),AH421-AK421,Constants!$B$14),$Z421))</f>
        <v/>
      </c>
      <c r="AM421" s="98"/>
      <c r="AN421" s="99" t="str">
        <f aca="false">IF(ISBLANK($C421),"",IF($Z421&lt;&gt;Constants!$B$7,$Z421,AD421))</f>
        <v/>
      </c>
      <c r="AO421" s="100" t="str">
        <f aca="false">IF(ISBLANK($C421),"",IF($Z421&lt;&gt;Constants!$B$7,$Z421,S421))</f>
        <v/>
      </c>
      <c r="AP421" s="101" t="str">
        <f aca="false">IF(ISBLANK($C421),"",IF($Z421&lt;&gt;Constants!$B$7,$Z421,AF421))</f>
        <v/>
      </c>
      <c r="AQ421" s="102" t="str">
        <f aca="false">IF(ISBLANK($C421),"",IF($Z421&lt;&gt;Constants!$B$7,$Z421,AA421))</f>
        <v/>
      </c>
      <c r="AR421" s="100" t="str">
        <f aca="false">IF(ISBLANK($C421),"",AL421)</f>
        <v/>
      </c>
      <c r="AS421" s="100" t="str">
        <f aca="false">IF(ISBLANK($C421),"",AK421)</f>
        <v/>
      </c>
      <c r="AT421" s="103" t="str">
        <f aca="false">IF(ISBLANK($C421),"",IF(AS421=Constants!$B$4,COUNTA($C$8:$C$507)+2,IF(AS421=Constants!$B$5,COUNTA($C$8:$C$507)+1,IF(AS421=Constants!$B$6,COUNTA($C$8:$C$507),AS421))))</f>
        <v/>
      </c>
      <c r="AU421" s="5"/>
      <c r="AV421" s="104" t="n">
        <f aca="false">IF(OR(ISNUMBER(AS421),AS421=Constants!$B$4,AS421=Constants!$B$6,AS421=Constants!$B$5),1,0)</f>
        <v>0</v>
      </c>
      <c r="AW421" s="104" t="n">
        <v>414</v>
      </c>
      <c r="AX421" s="104" t="str">
        <f aca="false">IF(ISBLANK($C421),"",IF(ISNUMBER(AT421),AT421+ROW($B421)/1000,""))</f>
        <v/>
      </c>
      <c r="AY421" s="104" t="str">
        <f aca="false">IF(ISNUMBER(AX421),RANK(AX421,$AX$8:$AX$507,1),"")</f>
        <v/>
      </c>
      <c r="AZ421" s="104" t="str">
        <f aca="false">IF(ISBLANK($C421),"",$B421)</f>
        <v/>
      </c>
      <c r="BA421" s="104" t="str">
        <f aca="false">IF(ISBLANK($C421),"",$C421)</f>
        <v/>
      </c>
      <c r="BB421" s="104" t="str">
        <f aca="false">IF(ISBLANK($C421),"",$D421)</f>
        <v/>
      </c>
      <c r="BC421" s="105" t="str">
        <f aca="false">AQ421</f>
        <v/>
      </c>
      <c r="BD421" s="106" t="str">
        <f aca="false">AP421</f>
        <v/>
      </c>
      <c r="BE421" s="104" t="str">
        <f aca="false">IF(ISBLANK($C421),"",AS421)</f>
        <v/>
      </c>
      <c r="BF421" s="107" t="str">
        <f aca="false">IF($AW421&gt;$AV$7,"",VLOOKUP($AW421,$AY$8:$BE$507,7,FALSE()))</f>
        <v/>
      </c>
      <c r="BG421" s="108" t="str">
        <f aca="false">IF($AW421&gt;$AV$7,"",VLOOKUP($AW421,$AY$8:$BE$507,2,FALSE()))</f>
        <v/>
      </c>
      <c r="BH421" s="108" t="str">
        <f aca="false">IF($AW421&gt;$AV$7,"",VLOOKUP($AW421,$AY$8:$BE$507,3,FALSE()))</f>
        <v/>
      </c>
      <c r="BI421" s="108" t="str">
        <f aca="false">IF($AW421&gt;$AV$7,"",VLOOKUP($AW421,$AY$8:$BE$507,4,FALSE()))</f>
        <v/>
      </c>
      <c r="BJ421" s="108" t="str">
        <f aca="false">IF($AW421&gt;$AV$7,"",VLOOKUP($AW421,$AY$8:$BE$507,5,FALSE()))</f>
        <v/>
      </c>
      <c r="BK421" s="109" t="str">
        <f aca="false">IF($AW421&gt;$AV$7,"",VLOOKUP($AW421,$AY$8:$BE$507,6,FALSE()))</f>
        <v/>
      </c>
      <c r="BL421" s="50"/>
    </row>
    <row r="422" customFormat="false" ht="15.75" hidden="false" customHeight="false" outlineLevel="0" collapsed="false">
      <c r="A422" s="5"/>
      <c r="B422" s="131"/>
      <c r="C422" s="52"/>
      <c r="D422" s="53"/>
      <c r="E422" s="80"/>
      <c r="F422" s="132"/>
      <c r="G422" s="56"/>
      <c r="H422" s="133"/>
      <c r="I422" s="134"/>
      <c r="J422" s="59"/>
      <c r="K422" s="60"/>
      <c r="L422" s="134"/>
      <c r="M422" s="61"/>
      <c r="N422" s="62"/>
      <c r="O422" s="80"/>
      <c r="P422" s="64"/>
      <c r="Q422" s="65" t="str">
        <f aca="false">IF(ISBLANK($C422),"",IF(E422=Constants!$B$2, TRUE(), IF(E422=Constants!$B$3, FALSE(), TRUE())))</f>
        <v/>
      </c>
      <c r="R422" s="65" t="str">
        <f aca="false">IF(ISBLANK($C422),"",IF(F422=Constants!$B$2, TRUE(), IF(F422=Constants!$B$3, FALSE(), TRUE())))</f>
        <v/>
      </c>
      <c r="S422" s="65" t="str">
        <f aca="false">IF(ISBLANK($C422),"",IF(G422=Constants!$B$15,Constants!$B$8,IF(G422=Constants!$B$16,Constants!$B$9,Constants!$B$10)))</f>
        <v/>
      </c>
      <c r="T422" s="65" t="str">
        <f aca="false">IF(ISBLANK($C422),"",IF(H422=Constants!$B$2, TRUE(), IF(H422=Constants!$B$3, FALSE(), TRUE())))</f>
        <v/>
      </c>
      <c r="U422" s="65" t="str">
        <f aca="false">IF(ISBLANK($C422),"",IF(I422=Constants!$B$19,Constants!$B$19,Constants!$B$18))</f>
        <v/>
      </c>
      <c r="V422" s="65" t="str">
        <f aca="false">IF(ISBLANK($C422),"",IF(COUNTA(J422:K422)=0,"",IF(AND(OR(ISBLANK(J422),AND(ISNUMBER(J422),J422&gt;=0)),OR(ISBLANK(K422),AND(ISNUMBER(K422),K422&gt;=0))),60*IF(ISBLANK(J422),0,J422)+IF(ISBLANK(K422),0,K422),"")))</f>
        <v/>
      </c>
      <c r="W422" s="65" t="str">
        <f aca="false">IF(ISBLANK($C422),"",IF(L422=Constants!$B$19,Constants!$B$19,Constants!$B$18))</f>
        <v/>
      </c>
      <c r="X422" s="65" t="str">
        <f aca="false">IF(ISBLANK($C422),"",IF(COUNTA(M422:N422)=0,"",IF(AND(OR(ISBLANK(M422),AND(ISNUMBER(M422),M422&gt;=0)),OR(ISBLANK(N422),AND(ISNUMBER(N422),N422&gt;=0))),60*IF(ISBLANK(M422),0,M422)+IF(ISBLANK(N422),0,N422),"")))</f>
        <v/>
      </c>
      <c r="Y422" s="65" t="str">
        <f aca="false">IF(ISBLANK($C422),"",IF(O422=Constants!$B$2, TRUE(), IF(O422=Constants!$B$3, FALSE(), FALSE())))</f>
        <v/>
      </c>
      <c r="Z422" s="65" t="str">
        <f aca="false">IF(ISBLANK($C422),"",IF(Y422,Constants!$B$4,IF(COUNTA(E422:N422)=0,Constants!$B$5,IF(COUNTA(J422:K422,M422:N422)=0,Constants!$B$6,Constants!$B$7))))</f>
        <v/>
      </c>
      <c r="AA422" s="65" t="str">
        <f aca="false">IF(ISBLANK($C422),"",IF($Z422&lt;&gt;Constants!$B$7,$Z422,IF(OR(NOT(T422),AND(NOT(Q422),COUNTIFS(U422:W422,Constants!$B$18,V422:X422,"&gt;=0")&gt;0),AND(NOT(R422),COUNTIFS(U422:W422,Constants!$B$19,V422:X422,"&gt;=0")&gt;0)),Constants!$B$12,Constants!$B$11)))</f>
        <v/>
      </c>
      <c r="AB422" s="65" t="str">
        <f aca="false">IF($Z422=Constants!$B$7,IF(V422="",Constants!$B$13,V422),"")</f>
        <v/>
      </c>
      <c r="AC422" s="65" t="str">
        <f aca="false">IF($Z422=Constants!$B$7,IF(X422="",Constants!$B$13,X422),"")</f>
        <v/>
      </c>
      <c r="AD422" s="65" t="str">
        <f aca="false">IF($Z422=Constants!$B$7,IF($AB422&gt;=$AC422,1,2),"")</f>
        <v/>
      </c>
      <c r="AE422" s="65" t="str">
        <f aca="false">IF($Z422=Constants!$B$7,LARGE(AB422:AC422,1),"")</f>
        <v/>
      </c>
      <c r="AF422" s="65" t="str">
        <f aca="false">IF(ISBLANK($C422),"",IF($Z422&lt;&gt;Constants!$B$7,$Z422,AE422*S422))</f>
        <v/>
      </c>
      <c r="AG422" s="65" t="str">
        <f aca="false">IF(ISBLANK($C422),"",IF($Z422=Constants!$B$7,IF(ISNUMBER(AF422),RANK(AF422,$AF$8:$AF$507),Constants!$B$14),$Z422))</f>
        <v/>
      </c>
      <c r="AH422" s="65" t="str">
        <f aca="false">IF(ISBLANK($C422),"",IF($Z422=Constants!$B$7,IF(ISNUMBER(AG422),COUNTIFS($AA$8:$AA$507,"&lt;"&amp;$AA422)+COUNTIFS($AA$8:$AA$507,$AA422,$AG$8:$AG$507,"&lt;"&amp;$AG422)+1,Constants!$B$14),$Z422))</f>
        <v/>
      </c>
      <c r="AI422" s="65" t="str">
        <f aca="false">IF(ISBLANK($C422),"",IF($Z422=Constants!$B$7,LARGE(AB422:AC422,2)*S422,""))</f>
        <v/>
      </c>
      <c r="AJ422" s="65" t="str">
        <f aca="false">IF(ISBLANK($C422),"",IF($Z422=Constants!$B$7,RANK(AI422,$AI$8:$AI$507),$Z422))</f>
        <v/>
      </c>
      <c r="AK422" s="65" t="str">
        <f aca="false">IF(ISBLANK($C422),"",IF($Z422=Constants!$B$7,IF(ISNUMBER(AG422),COUNTIFS($AA$8:$AA$507,"&lt;"&amp;$AA422)+COUNTIFS($AA$8:$AA$507,$AA422,$AG$8:$AG$507,"&lt;"&amp;$AG422)+COUNTIFS($AA$8:$AA$507,$AA422,$AG$8:$AG$507,$AG422,$AJ$8:$AJ$507,"&lt;"&amp;$AJ422)+1,Constants!$B$14),$Z422))</f>
        <v/>
      </c>
      <c r="AL422" s="65" t="str">
        <f aca="false">IF(ISBLANK($C422),"",IF($Z422=Constants!$B$7,IF(ISNUMBER(AH422),AH422-AK422,Constants!$B$14),$Z422))</f>
        <v/>
      </c>
      <c r="AM422" s="67"/>
      <c r="AN422" s="68" t="str">
        <f aca="false">IF(ISBLANK($C422),"",IF($Z422&lt;&gt;Constants!$B$7,$Z422,AD422))</f>
        <v/>
      </c>
      <c r="AO422" s="69" t="str">
        <f aca="false">IF(ISBLANK($C422),"",IF($Z422&lt;&gt;Constants!$B$7,$Z422,S422))</f>
        <v/>
      </c>
      <c r="AP422" s="70" t="str">
        <f aca="false">IF(ISBLANK($C422),"",IF($Z422&lt;&gt;Constants!$B$7,$Z422,AF422))</f>
        <v/>
      </c>
      <c r="AQ422" s="71" t="str">
        <f aca="false">IF(ISBLANK($C422),"",IF($Z422&lt;&gt;Constants!$B$7,$Z422,AA422))</f>
        <v/>
      </c>
      <c r="AR422" s="69" t="str">
        <f aca="false">IF(ISBLANK($C422),"",AL422)</f>
        <v/>
      </c>
      <c r="AS422" s="69" t="str">
        <f aca="false">IF(ISBLANK($C422),"",AK422)</f>
        <v/>
      </c>
      <c r="AT422" s="72" t="str">
        <f aca="false">IF(ISBLANK($C422),"",IF(AS422=Constants!$B$4,COUNTA($C$8:$C$507)+2,IF(AS422=Constants!$B$5,COUNTA($C$8:$C$507)+1,IF(AS422=Constants!$B$6,COUNTA($C$8:$C$507),AS422))))</f>
        <v/>
      </c>
      <c r="AU422" s="5"/>
      <c r="AV422" s="73" t="n">
        <f aca="false">IF(OR(ISNUMBER(AS422),AS422=Constants!$B$4,AS422=Constants!$B$6,AS422=Constants!$B$5),1,0)</f>
        <v>0</v>
      </c>
      <c r="AW422" s="73" t="n">
        <v>415</v>
      </c>
      <c r="AX422" s="73" t="str">
        <f aca="false">IF(ISBLANK($C422),"",IF(ISNUMBER(AT422),AT422+ROW($B422)/1000,""))</f>
        <v/>
      </c>
      <c r="AY422" s="73" t="str">
        <f aca="false">IF(ISNUMBER(AX422),RANK(AX422,$AX$8:$AX$507,1),"")</f>
        <v/>
      </c>
      <c r="AZ422" s="73" t="str">
        <f aca="false">IF(ISBLANK($C422),"",$B422)</f>
        <v/>
      </c>
      <c r="BA422" s="73" t="str">
        <f aca="false">IF(ISBLANK($C422),"",$C422)</f>
        <v/>
      </c>
      <c r="BB422" s="73" t="str">
        <f aca="false">IF(ISBLANK($C422),"",$D422)</f>
        <v/>
      </c>
      <c r="BC422" s="74" t="str">
        <f aca="false">AQ422</f>
        <v/>
      </c>
      <c r="BD422" s="75" t="str">
        <f aca="false">AP422</f>
        <v/>
      </c>
      <c r="BE422" s="73" t="str">
        <f aca="false">IF(ISBLANK($C422),"",AS422)</f>
        <v/>
      </c>
      <c r="BF422" s="76" t="str">
        <f aca="false">IF($AW422&gt;$AV$7,"",VLOOKUP($AW422,$AY$8:$BE$507,7,FALSE()))</f>
        <v/>
      </c>
      <c r="BG422" s="77" t="str">
        <f aca="false">IF($AW422&gt;$AV$7,"",VLOOKUP($AW422,$AY$8:$BE$507,2,FALSE()))</f>
        <v/>
      </c>
      <c r="BH422" s="77" t="str">
        <f aca="false">IF($AW422&gt;$AV$7,"",VLOOKUP($AW422,$AY$8:$BE$507,3,FALSE()))</f>
        <v/>
      </c>
      <c r="BI422" s="77" t="str">
        <f aca="false">IF($AW422&gt;$AV$7,"",VLOOKUP($AW422,$AY$8:$BE$507,4,FALSE()))</f>
        <v/>
      </c>
      <c r="BJ422" s="77" t="str">
        <f aca="false">IF($AW422&gt;$AV$7,"",VLOOKUP($AW422,$AY$8:$BE$507,5,FALSE()))</f>
        <v/>
      </c>
      <c r="BK422" s="78" t="str">
        <f aca="false">IF($AW422&gt;$AV$7,"",VLOOKUP($AW422,$AY$8:$BE$507,6,FALSE()))</f>
        <v/>
      </c>
      <c r="BL422" s="50"/>
    </row>
    <row r="423" customFormat="false" ht="15.75" hidden="false" customHeight="false" outlineLevel="0" collapsed="false">
      <c r="A423" s="5"/>
      <c r="B423" s="131"/>
      <c r="C423" s="52"/>
      <c r="D423" s="53"/>
      <c r="E423" s="80"/>
      <c r="F423" s="132"/>
      <c r="G423" s="56"/>
      <c r="H423" s="133"/>
      <c r="I423" s="134"/>
      <c r="J423" s="59"/>
      <c r="K423" s="60"/>
      <c r="L423" s="134"/>
      <c r="M423" s="61"/>
      <c r="N423" s="62"/>
      <c r="O423" s="80"/>
      <c r="P423" s="64"/>
      <c r="Q423" s="65" t="str">
        <f aca="false">IF(ISBLANK($C423),"",IF(E423=Constants!$B$2, TRUE(), IF(E423=Constants!$B$3, FALSE(), TRUE())))</f>
        <v/>
      </c>
      <c r="R423" s="65" t="str">
        <f aca="false">IF(ISBLANK($C423),"",IF(F423=Constants!$B$2, TRUE(), IF(F423=Constants!$B$3, FALSE(), TRUE())))</f>
        <v/>
      </c>
      <c r="S423" s="65" t="str">
        <f aca="false">IF(ISBLANK($C423),"",IF(G423=Constants!$B$15,Constants!$B$8,IF(G423=Constants!$B$16,Constants!$B$9,Constants!$B$10)))</f>
        <v/>
      </c>
      <c r="T423" s="65" t="str">
        <f aca="false">IF(ISBLANK($C423),"",IF(H423=Constants!$B$2, TRUE(), IF(H423=Constants!$B$3, FALSE(), TRUE())))</f>
        <v/>
      </c>
      <c r="U423" s="65" t="str">
        <f aca="false">IF(ISBLANK($C423),"",IF(I423=Constants!$B$19,Constants!$B$19,Constants!$B$18))</f>
        <v/>
      </c>
      <c r="V423" s="65" t="str">
        <f aca="false">IF(ISBLANK($C423),"",IF(COUNTA(J423:K423)=0,"",IF(AND(OR(ISBLANK(J423),AND(ISNUMBER(J423),J423&gt;=0)),OR(ISBLANK(K423),AND(ISNUMBER(K423),K423&gt;=0))),60*IF(ISBLANK(J423),0,J423)+IF(ISBLANK(K423),0,K423),"")))</f>
        <v/>
      </c>
      <c r="W423" s="65" t="str">
        <f aca="false">IF(ISBLANK($C423),"",IF(L423=Constants!$B$19,Constants!$B$19,Constants!$B$18))</f>
        <v/>
      </c>
      <c r="X423" s="65" t="str">
        <f aca="false">IF(ISBLANK($C423),"",IF(COUNTA(M423:N423)=0,"",IF(AND(OR(ISBLANK(M423),AND(ISNUMBER(M423),M423&gt;=0)),OR(ISBLANK(N423),AND(ISNUMBER(N423),N423&gt;=0))),60*IF(ISBLANK(M423),0,M423)+IF(ISBLANK(N423),0,N423),"")))</f>
        <v/>
      </c>
      <c r="Y423" s="65" t="str">
        <f aca="false">IF(ISBLANK($C423),"",IF(O423=Constants!$B$2, TRUE(), IF(O423=Constants!$B$3, FALSE(), FALSE())))</f>
        <v/>
      </c>
      <c r="Z423" s="65" t="str">
        <f aca="false">IF(ISBLANK($C423),"",IF(Y423,Constants!$B$4,IF(COUNTA(E423:N423)=0,Constants!$B$5,IF(COUNTA(J423:K423,M423:N423)=0,Constants!$B$6,Constants!$B$7))))</f>
        <v/>
      </c>
      <c r="AA423" s="65" t="str">
        <f aca="false">IF(ISBLANK($C423),"",IF($Z423&lt;&gt;Constants!$B$7,$Z423,IF(OR(NOT(T423),AND(NOT(Q423),COUNTIFS(U423:W423,Constants!$B$18,V423:X423,"&gt;=0")&gt;0),AND(NOT(R423),COUNTIFS(U423:W423,Constants!$B$19,V423:X423,"&gt;=0")&gt;0)),Constants!$B$12,Constants!$B$11)))</f>
        <v/>
      </c>
      <c r="AB423" s="65" t="str">
        <f aca="false">IF($Z423=Constants!$B$7,IF(V423="",Constants!$B$13,V423),"")</f>
        <v/>
      </c>
      <c r="AC423" s="65" t="str">
        <f aca="false">IF($Z423=Constants!$B$7,IF(X423="",Constants!$B$13,X423),"")</f>
        <v/>
      </c>
      <c r="AD423" s="65" t="str">
        <f aca="false">IF($Z423=Constants!$B$7,IF($AB423&gt;=$AC423,1,2),"")</f>
        <v/>
      </c>
      <c r="AE423" s="65" t="str">
        <f aca="false">IF($Z423=Constants!$B$7,LARGE(AB423:AC423,1),"")</f>
        <v/>
      </c>
      <c r="AF423" s="65" t="str">
        <f aca="false">IF(ISBLANK($C423),"",IF($Z423&lt;&gt;Constants!$B$7,$Z423,AE423*S423))</f>
        <v/>
      </c>
      <c r="AG423" s="65" t="str">
        <f aca="false">IF(ISBLANK($C423),"",IF($Z423=Constants!$B$7,IF(ISNUMBER(AF423),RANK(AF423,$AF$8:$AF$507),Constants!$B$14),$Z423))</f>
        <v/>
      </c>
      <c r="AH423" s="65" t="str">
        <f aca="false">IF(ISBLANK($C423),"",IF($Z423=Constants!$B$7,IF(ISNUMBER(AG423),COUNTIFS($AA$8:$AA$507,"&lt;"&amp;$AA423)+COUNTIFS($AA$8:$AA$507,$AA423,$AG$8:$AG$507,"&lt;"&amp;$AG423)+1,Constants!$B$14),$Z423))</f>
        <v/>
      </c>
      <c r="AI423" s="65" t="str">
        <f aca="false">IF(ISBLANK($C423),"",IF($Z423=Constants!$B$7,LARGE(AB423:AC423,2)*S423,""))</f>
        <v/>
      </c>
      <c r="AJ423" s="65" t="str">
        <f aca="false">IF(ISBLANK($C423),"",IF($Z423=Constants!$B$7,RANK(AI423,$AI$8:$AI$507),$Z423))</f>
        <v/>
      </c>
      <c r="AK423" s="65" t="str">
        <f aca="false">IF(ISBLANK($C423),"",IF($Z423=Constants!$B$7,IF(ISNUMBER(AG423),COUNTIFS($AA$8:$AA$507,"&lt;"&amp;$AA423)+COUNTIFS($AA$8:$AA$507,$AA423,$AG$8:$AG$507,"&lt;"&amp;$AG423)+COUNTIFS($AA$8:$AA$507,$AA423,$AG$8:$AG$507,$AG423,$AJ$8:$AJ$507,"&lt;"&amp;$AJ423)+1,Constants!$B$14),$Z423))</f>
        <v/>
      </c>
      <c r="AL423" s="65" t="str">
        <f aca="false">IF(ISBLANK($C423),"",IF($Z423=Constants!$B$7,IF(ISNUMBER(AH423),AH423-AK423,Constants!$B$14),$Z423))</f>
        <v/>
      </c>
      <c r="AM423" s="67"/>
      <c r="AN423" s="68" t="str">
        <f aca="false">IF(ISBLANK($C423),"",IF($Z423&lt;&gt;Constants!$B$7,$Z423,AD423))</f>
        <v/>
      </c>
      <c r="AO423" s="69" t="str">
        <f aca="false">IF(ISBLANK($C423),"",IF($Z423&lt;&gt;Constants!$B$7,$Z423,S423))</f>
        <v/>
      </c>
      <c r="AP423" s="70" t="str">
        <f aca="false">IF(ISBLANK($C423),"",IF($Z423&lt;&gt;Constants!$B$7,$Z423,AF423))</f>
        <v/>
      </c>
      <c r="AQ423" s="71" t="str">
        <f aca="false">IF(ISBLANK($C423),"",IF($Z423&lt;&gt;Constants!$B$7,$Z423,AA423))</f>
        <v/>
      </c>
      <c r="AR423" s="69" t="str">
        <f aca="false">IF(ISBLANK($C423),"",AL423)</f>
        <v/>
      </c>
      <c r="AS423" s="69" t="str">
        <f aca="false">IF(ISBLANK($C423),"",AK423)</f>
        <v/>
      </c>
      <c r="AT423" s="72" t="str">
        <f aca="false">IF(ISBLANK($C423),"",IF(AS423=Constants!$B$4,COUNTA($C$8:$C$507)+2,IF(AS423=Constants!$B$5,COUNTA($C$8:$C$507)+1,IF(AS423=Constants!$B$6,COUNTA($C$8:$C$507),AS423))))</f>
        <v/>
      </c>
      <c r="AU423" s="5"/>
      <c r="AV423" s="73" t="n">
        <f aca="false">IF(OR(ISNUMBER(AS423),AS423=Constants!$B$4,AS423=Constants!$B$6,AS423=Constants!$B$5),1,0)</f>
        <v>0</v>
      </c>
      <c r="AW423" s="73" t="n">
        <v>416</v>
      </c>
      <c r="AX423" s="73" t="str">
        <f aca="false">IF(ISBLANK($C423),"",IF(ISNUMBER(AT423),AT423+ROW($B423)/1000,""))</f>
        <v/>
      </c>
      <c r="AY423" s="73" t="str">
        <f aca="false">IF(ISNUMBER(AX423),RANK(AX423,$AX$8:$AX$507,1),"")</f>
        <v/>
      </c>
      <c r="AZ423" s="73" t="str">
        <f aca="false">IF(ISBLANK($C423),"",$B423)</f>
        <v/>
      </c>
      <c r="BA423" s="73" t="str">
        <f aca="false">IF(ISBLANK($C423),"",$C423)</f>
        <v/>
      </c>
      <c r="BB423" s="73" t="str">
        <f aca="false">IF(ISBLANK($C423),"",$D423)</f>
        <v/>
      </c>
      <c r="BC423" s="74" t="str">
        <f aca="false">AQ423</f>
        <v/>
      </c>
      <c r="BD423" s="75" t="str">
        <f aca="false">AP423</f>
        <v/>
      </c>
      <c r="BE423" s="73" t="str">
        <f aca="false">IF(ISBLANK($C423),"",AS423)</f>
        <v/>
      </c>
      <c r="BF423" s="76" t="str">
        <f aca="false">IF($AW423&gt;$AV$7,"",VLOOKUP($AW423,$AY$8:$BE$507,7,FALSE()))</f>
        <v/>
      </c>
      <c r="BG423" s="77" t="str">
        <f aca="false">IF($AW423&gt;$AV$7,"",VLOOKUP($AW423,$AY$8:$BE$507,2,FALSE()))</f>
        <v/>
      </c>
      <c r="BH423" s="77" t="str">
        <f aca="false">IF($AW423&gt;$AV$7,"",VLOOKUP($AW423,$AY$8:$BE$507,3,FALSE()))</f>
        <v/>
      </c>
      <c r="BI423" s="77" t="str">
        <f aca="false">IF($AW423&gt;$AV$7,"",VLOOKUP($AW423,$AY$8:$BE$507,4,FALSE()))</f>
        <v/>
      </c>
      <c r="BJ423" s="77" t="str">
        <f aca="false">IF($AW423&gt;$AV$7,"",VLOOKUP($AW423,$AY$8:$BE$507,5,FALSE()))</f>
        <v/>
      </c>
      <c r="BK423" s="78" t="str">
        <f aca="false">IF($AW423&gt;$AV$7,"",VLOOKUP($AW423,$AY$8:$BE$507,6,FALSE()))</f>
        <v/>
      </c>
      <c r="BL423" s="50"/>
    </row>
    <row r="424" customFormat="false" ht="15.75" hidden="false" customHeight="false" outlineLevel="0" collapsed="false">
      <c r="A424" s="5"/>
      <c r="B424" s="131"/>
      <c r="C424" s="52"/>
      <c r="D424" s="53"/>
      <c r="E424" s="80"/>
      <c r="F424" s="132"/>
      <c r="G424" s="56"/>
      <c r="H424" s="133"/>
      <c r="I424" s="134"/>
      <c r="J424" s="59"/>
      <c r="K424" s="60"/>
      <c r="L424" s="134"/>
      <c r="M424" s="61"/>
      <c r="N424" s="62"/>
      <c r="O424" s="80"/>
      <c r="P424" s="64"/>
      <c r="Q424" s="65" t="str">
        <f aca="false">IF(ISBLANK($C424),"",IF(E424=Constants!$B$2, TRUE(), IF(E424=Constants!$B$3, FALSE(), TRUE())))</f>
        <v/>
      </c>
      <c r="R424" s="65" t="str">
        <f aca="false">IF(ISBLANK($C424),"",IF(F424=Constants!$B$2, TRUE(), IF(F424=Constants!$B$3, FALSE(), TRUE())))</f>
        <v/>
      </c>
      <c r="S424" s="65" t="str">
        <f aca="false">IF(ISBLANK($C424),"",IF(G424=Constants!$B$15,Constants!$B$8,IF(G424=Constants!$B$16,Constants!$B$9,Constants!$B$10)))</f>
        <v/>
      </c>
      <c r="T424" s="65" t="str">
        <f aca="false">IF(ISBLANK($C424),"",IF(H424=Constants!$B$2, TRUE(), IF(H424=Constants!$B$3, FALSE(), TRUE())))</f>
        <v/>
      </c>
      <c r="U424" s="65" t="str">
        <f aca="false">IF(ISBLANK($C424),"",IF(I424=Constants!$B$19,Constants!$B$19,Constants!$B$18))</f>
        <v/>
      </c>
      <c r="V424" s="65" t="str">
        <f aca="false">IF(ISBLANK($C424),"",IF(COUNTA(J424:K424)=0,"",IF(AND(OR(ISBLANK(J424),AND(ISNUMBER(J424),J424&gt;=0)),OR(ISBLANK(K424),AND(ISNUMBER(K424),K424&gt;=0))),60*IF(ISBLANK(J424),0,J424)+IF(ISBLANK(K424),0,K424),"")))</f>
        <v/>
      </c>
      <c r="W424" s="65" t="str">
        <f aca="false">IF(ISBLANK($C424),"",IF(L424=Constants!$B$19,Constants!$B$19,Constants!$B$18))</f>
        <v/>
      </c>
      <c r="X424" s="65" t="str">
        <f aca="false">IF(ISBLANK($C424),"",IF(COUNTA(M424:N424)=0,"",IF(AND(OR(ISBLANK(M424),AND(ISNUMBER(M424),M424&gt;=0)),OR(ISBLANK(N424),AND(ISNUMBER(N424),N424&gt;=0))),60*IF(ISBLANK(M424),0,M424)+IF(ISBLANK(N424),0,N424),"")))</f>
        <v/>
      </c>
      <c r="Y424" s="65" t="str">
        <f aca="false">IF(ISBLANK($C424),"",IF(O424=Constants!$B$2, TRUE(), IF(O424=Constants!$B$3, FALSE(), FALSE())))</f>
        <v/>
      </c>
      <c r="Z424" s="65" t="str">
        <f aca="false">IF(ISBLANK($C424),"",IF(Y424,Constants!$B$4,IF(COUNTA(E424:N424)=0,Constants!$B$5,IF(COUNTA(J424:K424,M424:N424)=0,Constants!$B$6,Constants!$B$7))))</f>
        <v/>
      </c>
      <c r="AA424" s="65" t="str">
        <f aca="false">IF(ISBLANK($C424),"",IF($Z424&lt;&gt;Constants!$B$7,$Z424,IF(OR(NOT(T424),AND(NOT(Q424),COUNTIFS(U424:W424,Constants!$B$18,V424:X424,"&gt;=0")&gt;0),AND(NOT(R424),COUNTIFS(U424:W424,Constants!$B$19,V424:X424,"&gt;=0")&gt;0)),Constants!$B$12,Constants!$B$11)))</f>
        <v/>
      </c>
      <c r="AB424" s="65" t="str">
        <f aca="false">IF($Z424=Constants!$B$7,IF(V424="",Constants!$B$13,V424),"")</f>
        <v/>
      </c>
      <c r="AC424" s="65" t="str">
        <f aca="false">IF($Z424=Constants!$B$7,IF(X424="",Constants!$B$13,X424),"")</f>
        <v/>
      </c>
      <c r="AD424" s="65" t="str">
        <f aca="false">IF($Z424=Constants!$B$7,IF($AB424&gt;=$AC424,1,2),"")</f>
        <v/>
      </c>
      <c r="AE424" s="65" t="str">
        <f aca="false">IF($Z424=Constants!$B$7,LARGE(AB424:AC424,1),"")</f>
        <v/>
      </c>
      <c r="AF424" s="65" t="str">
        <f aca="false">IF(ISBLANK($C424),"",IF($Z424&lt;&gt;Constants!$B$7,$Z424,AE424*S424))</f>
        <v/>
      </c>
      <c r="AG424" s="65" t="str">
        <f aca="false">IF(ISBLANK($C424),"",IF($Z424=Constants!$B$7,IF(ISNUMBER(AF424),RANK(AF424,$AF$8:$AF$507),Constants!$B$14),$Z424))</f>
        <v/>
      </c>
      <c r="AH424" s="65" t="str">
        <f aca="false">IF(ISBLANK($C424),"",IF($Z424=Constants!$B$7,IF(ISNUMBER(AG424),COUNTIFS($AA$8:$AA$507,"&lt;"&amp;$AA424)+COUNTIFS($AA$8:$AA$507,$AA424,$AG$8:$AG$507,"&lt;"&amp;$AG424)+1,Constants!$B$14),$Z424))</f>
        <v/>
      </c>
      <c r="AI424" s="65" t="str">
        <f aca="false">IF(ISBLANK($C424),"",IF($Z424=Constants!$B$7,LARGE(AB424:AC424,2)*S424,""))</f>
        <v/>
      </c>
      <c r="AJ424" s="65" t="str">
        <f aca="false">IF(ISBLANK($C424),"",IF($Z424=Constants!$B$7,RANK(AI424,$AI$8:$AI$507),$Z424))</f>
        <v/>
      </c>
      <c r="AK424" s="65" t="str">
        <f aca="false">IF(ISBLANK($C424),"",IF($Z424=Constants!$B$7,IF(ISNUMBER(AG424),COUNTIFS($AA$8:$AA$507,"&lt;"&amp;$AA424)+COUNTIFS($AA$8:$AA$507,$AA424,$AG$8:$AG$507,"&lt;"&amp;$AG424)+COUNTIFS($AA$8:$AA$507,$AA424,$AG$8:$AG$507,$AG424,$AJ$8:$AJ$507,"&lt;"&amp;$AJ424)+1,Constants!$B$14),$Z424))</f>
        <v/>
      </c>
      <c r="AL424" s="65" t="str">
        <f aca="false">IF(ISBLANK($C424),"",IF($Z424=Constants!$B$7,IF(ISNUMBER(AH424),AH424-AK424,Constants!$B$14),$Z424))</f>
        <v/>
      </c>
      <c r="AM424" s="67"/>
      <c r="AN424" s="68" t="str">
        <f aca="false">IF(ISBLANK($C424),"",IF($Z424&lt;&gt;Constants!$B$7,$Z424,AD424))</f>
        <v/>
      </c>
      <c r="AO424" s="69" t="str">
        <f aca="false">IF(ISBLANK($C424),"",IF($Z424&lt;&gt;Constants!$B$7,$Z424,S424))</f>
        <v/>
      </c>
      <c r="AP424" s="70" t="str">
        <f aca="false">IF(ISBLANK($C424),"",IF($Z424&lt;&gt;Constants!$B$7,$Z424,AF424))</f>
        <v/>
      </c>
      <c r="AQ424" s="71" t="str">
        <f aca="false">IF(ISBLANK($C424),"",IF($Z424&lt;&gt;Constants!$B$7,$Z424,AA424))</f>
        <v/>
      </c>
      <c r="AR424" s="69" t="str">
        <f aca="false">IF(ISBLANK($C424),"",AL424)</f>
        <v/>
      </c>
      <c r="AS424" s="69" t="str">
        <f aca="false">IF(ISBLANK($C424),"",AK424)</f>
        <v/>
      </c>
      <c r="AT424" s="72" t="str">
        <f aca="false">IF(ISBLANK($C424),"",IF(AS424=Constants!$B$4,COUNTA($C$8:$C$507)+2,IF(AS424=Constants!$B$5,COUNTA($C$8:$C$507)+1,IF(AS424=Constants!$B$6,COUNTA($C$8:$C$507),AS424))))</f>
        <v/>
      </c>
      <c r="AU424" s="5"/>
      <c r="AV424" s="73" t="n">
        <f aca="false">IF(OR(ISNUMBER(AS424),AS424=Constants!$B$4,AS424=Constants!$B$6,AS424=Constants!$B$5),1,0)</f>
        <v>0</v>
      </c>
      <c r="AW424" s="73" t="n">
        <v>417</v>
      </c>
      <c r="AX424" s="73" t="str">
        <f aca="false">IF(ISBLANK($C424),"",IF(ISNUMBER(AT424),AT424+ROW($B424)/1000,""))</f>
        <v/>
      </c>
      <c r="AY424" s="73" t="str">
        <f aca="false">IF(ISNUMBER(AX424),RANK(AX424,$AX$8:$AX$507,1),"")</f>
        <v/>
      </c>
      <c r="AZ424" s="73" t="str">
        <f aca="false">IF(ISBLANK($C424),"",$B424)</f>
        <v/>
      </c>
      <c r="BA424" s="73" t="str">
        <f aca="false">IF(ISBLANK($C424),"",$C424)</f>
        <v/>
      </c>
      <c r="BB424" s="73" t="str">
        <f aca="false">IF(ISBLANK($C424),"",$D424)</f>
        <v/>
      </c>
      <c r="BC424" s="74" t="str">
        <f aca="false">AQ424</f>
        <v/>
      </c>
      <c r="BD424" s="75" t="str">
        <f aca="false">AP424</f>
        <v/>
      </c>
      <c r="BE424" s="73" t="str">
        <f aca="false">IF(ISBLANK($C424),"",AS424)</f>
        <v/>
      </c>
      <c r="BF424" s="76" t="str">
        <f aca="false">IF($AW424&gt;$AV$7,"",VLOOKUP($AW424,$AY$8:$BE$507,7,FALSE()))</f>
        <v/>
      </c>
      <c r="BG424" s="77" t="str">
        <f aca="false">IF($AW424&gt;$AV$7,"",VLOOKUP($AW424,$AY$8:$BE$507,2,FALSE()))</f>
        <v/>
      </c>
      <c r="BH424" s="77" t="str">
        <f aca="false">IF($AW424&gt;$AV$7,"",VLOOKUP($AW424,$AY$8:$BE$507,3,FALSE()))</f>
        <v/>
      </c>
      <c r="BI424" s="77" t="str">
        <f aca="false">IF($AW424&gt;$AV$7,"",VLOOKUP($AW424,$AY$8:$BE$507,4,FALSE()))</f>
        <v/>
      </c>
      <c r="BJ424" s="77" t="str">
        <f aca="false">IF($AW424&gt;$AV$7,"",VLOOKUP($AW424,$AY$8:$BE$507,5,FALSE()))</f>
        <v/>
      </c>
      <c r="BK424" s="78" t="str">
        <f aca="false">IF($AW424&gt;$AV$7,"",VLOOKUP($AW424,$AY$8:$BE$507,6,FALSE()))</f>
        <v/>
      </c>
      <c r="BL424" s="50"/>
    </row>
    <row r="425" customFormat="false" ht="15.75" hidden="false" customHeight="false" outlineLevel="0" collapsed="false">
      <c r="A425" s="5"/>
      <c r="B425" s="124"/>
      <c r="C425" s="125"/>
      <c r="D425" s="110"/>
      <c r="E425" s="130"/>
      <c r="F425" s="135"/>
      <c r="G425" s="88"/>
      <c r="H425" s="136"/>
      <c r="I425" s="137"/>
      <c r="J425" s="91"/>
      <c r="K425" s="92"/>
      <c r="L425" s="137"/>
      <c r="M425" s="93"/>
      <c r="N425" s="94"/>
      <c r="O425" s="130"/>
      <c r="P425" s="96"/>
      <c r="Q425" s="97" t="str">
        <f aca="false">IF(ISBLANK($C425),"",IF(E425=Constants!$B$2, TRUE(), IF(E425=Constants!$B$3, FALSE(), TRUE())))</f>
        <v/>
      </c>
      <c r="R425" s="97" t="str">
        <f aca="false">IF(ISBLANK($C425),"",IF(F425=Constants!$B$2, TRUE(), IF(F425=Constants!$B$3, FALSE(), TRUE())))</f>
        <v/>
      </c>
      <c r="S425" s="97" t="str">
        <f aca="false">IF(ISBLANK($C425),"",IF(G425=Constants!$B$15,Constants!$B$8,IF(G425=Constants!$B$16,Constants!$B$9,Constants!$B$10)))</f>
        <v/>
      </c>
      <c r="T425" s="97" t="str">
        <f aca="false">IF(ISBLANK($C425),"",IF(H425=Constants!$B$2, TRUE(), IF(H425=Constants!$B$3, FALSE(), TRUE())))</f>
        <v/>
      </c>
      <c r="U425" s="97" t="str">
        <f aca="false">IF(ISBLANK($C425),"",IF(I425=Constants!$B$19,Constants!$B$19,Constants!$B$18))</f>
        <v/>
      </c>
      <c r="V425" s="97" t="str">
        <f aca="false">IF(ISBLANK($C425),"",IF(COUNTA(J425:K425)=0,"",IF(AND(OR(ISBLANK(J425),AND(ISNUMBER(J425),J425&gt;=0)),OR(ISBLANK(K425),AND(ISNUMBER(K425),K425&gt;=0))),60*IF(ISBLANK(J425),0,J425)+IF(ISBLANK(K425),0,K425),"")))</f>
        <v/>
      </c>
      <c r="W425" s="97" t="str">
        <f aca="false">IF(ISBLANK($C425),"",IF(L425=Constants!$B$19,Constants!$B$19,Constants!$B$18))</f>
        <v/>
      </c>
      <c r="X425" s="97" t="str">
        <f aca="false">IF(ISBLANK($C425),"",IF(COUNTA(M425:N425)=0,"",IF(AND(OR(ISBLANK(M425),AND(ISNUMBER(M425),M425&gt;=0)),OR(ISBLANK(N425),AND(ISNUMBER(N425),N425&gt;=0))),60*IF(ISBLANK(M425),0,M425)+IF(ISBLANK(N425),0,N425),"")))</f>
        <v/>
      </c>
      <c r="Y425" s="97" t="str">
        <f aca="false">IF(ISBLANK($C425),"",IF(O425=Constants!$B$2, TRUE(), IF(O425=Constants!$B$3, FALSE(), FALSE())))</f>
        <v/>
      </c>
      <c r="Z425" s="97" t="str">
        <f aca="false">IF(ISBLANK($C425),"",IF(Y425,Constants!$B$4,IF(COUNTA(E425:N425)=0,Constants!$B$5,IF(COUNTA(J425:K425,M425:N425)=0,Constants!$B$6,Constants!$B$7))))</f>
        <v/>
      </c>
      <c r="AA425" s="97" t="str">
        <f aca="false">IF(ISBLANK($C425),"",IF($Z425&lt;&gt;Constants!$B$7,$Z425,IF(OR(NOT(T425),AND(NOT(Q425),COUNTIFS(U425:W425,Constants!$B$18,V425:X425,"&gt;=0")&gt;0),AND(NOT(R425),COUNTIFS(U425:W425,Constants!$B$19,V425:X425,"&gt;=0")&gt;0)),Constants!$B$12,Constants!$B$11)))</f>
        <v/>
      </c>
      <c r="AB425" s="97" t="str">
        <f aca="false">IF($Z425=Constants!$B$7,IF(V425="",Constants!$B$13,V425),"")</f>
        <v/>
      </c>
      <c r="AC425" s="97" t="str">
        <f aca="false">IF($Z425=Constants!$B$7,IF(X425="",Constants!$B$13,X425),"")</f>
        <v/>
      </c>
      <c r="AD425" s="97" t="str">
        <f aca="false">IF($Z425=Constants!$B$7,IF($AB425&gt;=$AC425,1,2),"")</f>
        <v/>
      </c>
      <c r="AE425" s="97" t="str">
        <f aca="false">IF($Z425=Constants!$B$7,LARGE(AB425:AC425,1),"")</f>
        <v/>
      </c>
      <c r="AF425" s="97" t="str">
        <f aca="false">IF(ISBLANK($C425),"",IF($Z425&lt;&gt;Constants!$B$7,$Z425,AE425*S425))</f>
        <v/>
      </c>
      <c r="AG425" s="97" t="str">
        <f aca="false">IF(ISBLANK($C425),"",IF($Z425=Constants!$B$7,IF(ISNUMBER(AF425),RANK(AF425,$AF$8:$AF$507),Constants!$B$14),$Z425))</f>
        <v/>
      </c>
      <c r="AH425" s="97" t="str">
        <f aca="false">IF(ISBLANK($C425),"",IF($Z425=Constants!$B$7,IF(ISNUMBER(AG425),COUNTIFS($AA$8:$AA$507,"&lt;"&amp;$AA425)+COUNTIFS($AA$8:$AA$507,$AA425,$AG$8:$AG$507,"&lt;"&amp;$AG425)+1,Constants!$B$14),$Z425))</f>
        <v/>
      </c>
      <c r="AI425" s="97" t="str">
        <f aca="false">IF(ISBLANK($C425),"",IF($Z425=Constants!$B$7,LARGE(AB425:AC425,2)*S425,""))</f>
        <v/>
      </c>
      <c r="AJ425" s="97" t="str">
        <f aca="false">IF(ISBLANK($C425),"",IF($Z425=Constants!$B$7,RANK(AI425,$AI$8:$AI$507),$Z425))</f>
        <v/>
      </c>
      <c r="AK425" s="97" t="str">
        <f aca="false">IF(ISBLANK($C425),"",IF($Z425=Constants!$B$7,IF(ISNUMBER(AG425),COUNTIFS($AA$8:$AA$507,"&lt;"&amp;$AA425)+COUNTIFS($AA$8:$AA$507,$AA425,$AG$8:$AG$507,"&lt;"&amp;$AG425)+COUNTIFS($AA$8:$AA$507,$AA425,$AG$8:$AG$507,$AG425,$AJ$8:$AJ$507,"&lt;"&amp;$AJ425)+1,Constants!$B$14),$Z425))</f>
        <v/>
      </c>
      <c r="AL425" s="97" t="str">
        <f aca="false">IF(ISBLANK($C425),"",IF($Z425=Constants!$B$7,IF(ISNUMBER(AH425),AH425-AK425,Constants!$B$14),$Z425))</f>
        <v/>
      </c>
      <c r="AM425" s="98"/>
      <c r="AN425" s="99" t="str">
        <f aca="false">IF(ISBLANK($C425),"",IF($Z425&lt;&gt;Constants!$B$7,$Z425,AD425))</f>
        <v/>
      </c>
      <c r="AO425" s="100" t="str">
        <f aca="false">IF(ISBLANK($C425),"",IF($Z425&lt;&gt;Constants!$B$7,$Z425,S425))</f>
        <v/>
      </c>
      <c r="AP425" s="101" t="str">
        <f aca="false">IF(ISBLANK($C425),"",IF($Z425&lt;&gt;Constants!$B$7,$Z425,AF425))</f>
        <v/>
      </c>
      <c r="AQ425" s="102" t="str">
        <f aca="false">IF(ISBLANK($C425),"",IF($Z425&lt;&gt;Constants!$B$7,$Z425,AA425))</f>
        <v/>
      </c>
      <c r="AR425" s="100" t="str">
        <f aca="false">IF(ISBLANK($C425),"",AL425)</f>
        <v/>
      </c>
      <c r="AS425" s="100" t="str">
        <f aca="false">IF(ISBLANK($C425),"",AK425)</f>
        <v/>
      </c>
      <c r="AT425" s="103" t="str">
        <f aca="false">IF(ISBLANK($C425),"",IF(AS425=Constants!$B$4,COUNTA($C$8:$C$507)+2,IF(AS425=Constants!$B$5,COUNTA($C$8:$C$507)+1,IF(AS425=Constants!$B$6,COUNTA($C$8:$C$507),AS425))))</f>
        <v/>
      </c>
      <c r="AU425" s="5"/>
      <c r="AV425" s="104" t="n">
        <f aca="false">IF(OR(ISNUMBER(AS425),AS425=Constants!$B$4,AS425=Constants!$B$6,AS425=Constants!$B$5),1,0)</f>
        <v>0</v>
      </c>
      <c r="AW425" s="104" t="n">
        <v>418</v>
      </c>
      <c r="AX425" s="104" t="str">
        <f aca="false">IF(ISBLANK($C425),"",IF(ISNUMBER(AT425),AT425+ROW($B425)/1000,""))</f>
        <v/>
      </c>
      <c r="AY425" s="104" t="str">
        <f aca="false">IF(ISNUMBER(AX425),RANK(AX425,$AX$8:$AX$507,1),"")</f>
        <v/>
      </c>
      <c r="AZ425" s="104" t="str">
        <f aca="false">IF(ISBLANK($C425),"",$B425)</f>
        <v/>
      </c>
      <c r="BA425" s="104" t="str">
        <f aca="false">IF(ISBLANK($C425),"",$C425)</f>
        <v/>
      </c>
      <c r="BB425" s="104" t="str">
        <f aca="false">IF(ISBLANK($C425),"",$D425)</f>
        <v/>
      </c>
      <c r="BC425" s="105" t="str">
        <f aca="false">AQ425</f>
        <v/>
      </c>
      <c r="BD425" s="106" t="str">
        <f aca="false">AP425</f>
        <v/>
      </c>
      <c r="BE425" s="104" t="str">
        <f aca="false">IF(ISBLANK($C425),"",AS425)</f>
        <v/>
      </c>
      <c r="BF425" s="107" t="str">
        <f aca="false">IF($AW425&gt;$AV$7,"",VLOOKUP($AW425,$AY$8:$BE$507,7,FALSE()))</f>
        <v/>
      </c>
      <c r="BG425" s="108" t="str">
        <f aca="false">IF($AW425&gt;$AV$7,"",VLOOKUP($AW425,$AY$8:$BE$507,2,FALSE()))</f>
        <v/>
      </c>
      <c r="BH425" s="108" t="str">
        <f aca="false">IF($AW425&gt;$AV$7,"",VLOOKUP($AW425,$AY$8:$BE$507,3,FALSE()))</f>
        <v/>
      </c>
      <c r="BI425" s="108" t="str">
        <f aca="false">IF($AW425&gt;$AV$7,"",VLOOKUP($AW425,$AY$8:$BE$507,4,FALSE()))</f>
        <v/>
      </c>
      <c r="BJ425" s="108" t="str">
        <f aca="false">IF($AW425&gt;$AV$7,"",VLOOKUP($AW425,$AY$8:$BE$507,5,FALSE()))</f>
        <v/>
      </c>
      <c r="BK425" s="109" t="str">
        <f aca="false">IF($AW425&gt;$AV$7,"",VLOOKUP($AW425,$AY$8:$BE$507,6,FALSE()))</f>
        <v/>
      </c>
      <c r="BL425" s="50"/>
    </row>
    <row r="426" customFormat="false" ht="15.75" hidden="false" customHeight="false" outlineLevel="0" collapsed="false">
      <c r="A426" s="5"/>
      <c r="B426" s="124"/>
      <c r="C426" s="125"/>
      <c r="D426" s="110"/>
      <c r="E426" s="130"/>
      <c r="F426" s="135"/>
      <c r="G426" s="88"/>
      <c r="H426" s="136"/>
      <c r="I426" s="137"/>
      <c r="J426" s="91"/>
      <c r="K426" s="92"/>
      <c r="L426" s="137"/>
      <c r="M426" s="93"/>
      <c r="N426" s="94"/>
      <c r="O426" s="130"/>
      <c r="P426" s="96"/>
      <c r="Q426" s="97" t="str">
        <f aca="false">IF(ISBLANK($C426),"",IF(E426=Constants!$B$2, TRUE(), IF(E426=Constants!$B$3, FALSE(), TRUE())))</f>
        <v/>
      </c>
      <c r="R426" s="97" t="str">
        <f aca="false">IF(ISBLANK($C426),"",IF(F426=Constants!$B$2, TRUE(), IF(F426=Constants!$B$3, FALSE(), TRUE())))</f>
        <v/>
      </c>
      <c r="S426" s="97" t="str">
        <f aca="false">IF(ISBLANK($C426),"",IF(G426=Constants!$B$15,Constants!$B$8,IF(G426=Constants!$B$16,Constants!$B$9,Constants!$B$10)))</f>
        <v/>
      </c>
      <c r="T426" s="97" t="str">
        <f aca="false">IF(ISBLANK($C426),"",IF(H426=Constants!$B$2, TRUE(), IF(H426=Constants!$B$3, FALSE(), TRUE())))</f>
        <v/>
      </c>
      <c r="U426" s="97" t="str">
        <f aca="false">IF(ISBLANK($C426),"",IF(I426=Constants!$B$19,Constants!$B$19,Constants!$B$18))</f>
        <v/>
      </c>
      <c r="V426" s="97" t="str">
        <f aca="false">IF(ISBLANK($C426),"",IF(COUNTA(J426:K426)=0,"",IF(AND(OR(ISBLANK(J426),AND(ISNUMBER(J426),J426&gt;=0)),OR(ISBLANK(K426),AND(ISNUMBER(K426),K426&gt;=0))),60*IF(ISBLANK(J426),0,J426)+IF(ISBLANK(K426),0,K426),"")))</f>
        <v/>
      </c>
      <c r="W426" s="97" t="str">
        <f aca="false">IF(ISBLANK($C426),"",IF(L426=Constants!$B$19,Constants!$B$19,Constants!$B$18))</f>
        <v/>
      </c>
      <c r="X426" s="97" t="str">
        <f aca="false">IF(ISBLANK($C426),"",IF(COUNTA(M426:N426)=0,"",IF(AND(OR(ISBLANK(M426),AND(ISNUMBER(M426),M426&gt;=0)),OR(ISBLANK(N426),AND(ISNUMBER(N426),N426&gt;=0))),60*IF(ISBLANK(M426),0,M426)+IF(ISBLANK(N426),0,N426),"")))</f>
        <v/>
      </c>
      <c r="Y426" s="97" t="str">
        <f aca="false">IF(ISBLANK($C426),"",IF(O426=Constants!$B$2, TRUE(), IF(O426=Constants!$B$3, FALSE(), FALSE())))</f>
        <v/>
      </c>
      <c r="Z426" s="97" t="str">
        <f aca="false">IF(ISBLANK($C426),"",IF(Y426,Constants!$B$4,IF(COUNTA(E426:N426)=0,Constants!$B$5,IF(COUNTA(J426:K426,M426:N426)=0,Constants!$B$6,Constants!$B$7))))</f>
        <v/>
      </c>
      <c r="AA426" s="97" t="str">
        <f aca="false">IF(ISBLANK($C426),"",IF($Z426&lt;&gt;Constants!$B$7,$Z426,IF(OR(NOT(T426),AND(NOT(Q426),COUNTIFS(U426:W426,Constants!$B$18,V426:X426,"&gt;=0")&gt;0),AND(NOT(R426),COUNTIFS(U426:W426,Constants!$B$19,V426:X426,"&gt;=0")&gt;0)),Constants!$B$12,Constants!$B$11)))</f>
        <v/>
      </c>
      <c r="AB426" s="97" t="str">
        <f aca="false">IF($Z426=Constants!$B$7,IF(V426="",Constants!$B$13,V426),"")</f>
        <v/>
      </c>
      <c r="AC426" s="97" t="str">
        <f aca="false">IF($Z426=Constants!$B$7,IF(X426="",Constants!$B$13,X426),"")</f>
        <v/>
      </c>
      <c r="AD426" s="97" t="str">
        <f aca="false">IF($Z426=Constants!$B$7,IF($AB426&gt;=$AC426,1,2),"")</f>
        <v/>
      </c>
      <c r="AE426" s="97" t="str">
        <f aca="false">IF($Z426=Constants!$B$7,LARGE(AB426:AC426,1),"")</f>
        <v/>
      </c>
      <c r="AF426" s="97" t="str">
        <f aca="false">IF(ISBLANK($C426),"",IF($Z426&lt;&gt;Constants!$B$7,$Z426,AE426*S426))</f>
        <v/>
      </c>
      <c r="AG426" s="97" t="str">
        <f aca="false">IF(ISBLANK($C426),"",IF($Z426=Constants!$B$7,IF(ISNUMBER(AF426),RANK(AF426,$AF$8:$AF$507),Constants!$B$14),$Z426))</f>
        <v/>
      </c>
      <c r="AH426" s="97" t="str">
        <f aca="false">IF(ISBLANK($C426),"",IF($Z426=Constants!$B$7,IF(ISNUMBER(AG426),COUNTIFS($AA$8:$AA$507,"&lt;"&amp;$AA426)+COUNTIFS($AA$8:$AA$507,$AA426,$AG$8:$AG$507,"&lt;"&amp;$AG426)+1,Constants!$B$14),$Z426))</f>
        <v/>
      </c>
      <c r="AI426" s="97" t="str">
        <f aca="false">IF(ISBLANK($C426),"",IF($Z426=Constants!$B$7,LARGE(AB426:AC426,2)*S426,""))</f>
        <v/>
      </c>
      <c r="AJ426" s="97" t="str">
        <f aca="false">IF(ISBLANK($C426),"",IF($Z426=Constants!$B$7,RANK(AI426,$AI$8:$AI$507),$Z426))</f>
        <v/>
      </c>
      <c r="AK426" s="97" t="str">
        <f aca="false">IF(ISBLANK($C426),"",IF($Z426=Constants!$B$7,IF(ISNUMBER(AG426),COUNTIFS($AA$8:$AA$507,"&lt;"&amp;$AA426)+COUNTIFS($AA$8:$AA$507,$AA426,$AG$8:$AG$507,"&lt;"&amp;$AG426)+COUNTIFS($AA$8:$AA$507,$AA426,$AG$8:$AG$507,$AG426,$AJ$8:$AJ$507,"&lt;"&amp;$AJ426)+1,Constants!$B$14),$Z426))</f>
        <v/>
      </c>
      <c r="AL426" s="97" t="str">
        <f aca="false">IF(ISBLANK($C426),"",IF($Z426=Constants!$B$7,IF(ISNUMBER(AH426),AH426-AK426,Constants!$B$14),$Z426))</f>
        <v/>
      </c>
      <c r="AM426" s="98"/>
      <c r="AN426" s="99" t="str">
        <f aca="false">IF(ISBLANK($C426),"",IF($Z426&lt;&gt;Constants!$B$7,$Z426,AD426))</f>
        <v/>
      </c>
      <c r="AO426" s="100" t="str">
        <f aca="false">IF(ISBLANK($C426),"",IF($Z426&lt;&gt;Constants!$B$7,$Z426,S426))</f>
        <v/>
      </c>
      <c r="AP426" s="101" t="str">
        <f aca="false">IF(ISBLANK($C426),"",IF($Z426&lt;&gt;Constants!$B$7,$Z426,AF426))</f>
        <v/>
      </c>
      <c r="AQ426" s="102" t="str">
        <f aca="false">IF(ISBLANK($C426),"",IF($Z426&lt;&gt;Constants!$B$7,$Z426,AA426))</f>
        <v/>
      </c>
      <c r="AR426" s="100" t="str">
        <f aca="false">IF(ISBLANK($C426),"",AL426)</f>
        <v/>
      </c>
      <c r="AS426" s="100" t="str">
        <f aca="false">IF(ISBLANK($C426),"",AK426)</f>
        <v/>
      </c>
      <c r="AT426" s="103" t="str">
        <f aca="false">IF(ISBLANK($C426),"",IF(AS426=Constants!$B$4,COUNTA($C$8:$C$507)+2,IF(AS426=Constants!$B$5,COUNTA($C$8:$C$507)+1,IF(AS426=Constants!$B$6,COUNTA($C$8:$C$507),AS426))))</f>
        <v/>
      </c>
      <c r="AU426" s="5"/>
      <c r="AV426" s="104" t="n">
        <f aca="false">IF(OR(ISNUMBER(AS426),AS426=Constants!$B$4,AS426=Constants!$B$6,AS426=Constants!$B$5),1,0)</f>
        <v>0</v>
      </c>
      <c r="AW426" s="104" t="n">
        <v>419</v>
      </c>
      <c r="AX426" s="104" t="str">
        <f aca="false">IF(ISBLANK($C426),"",IF(ISNUMBER(AT426),AT426+ROW($B426)/1000,""))</f>
        <v/>
      </c>
      <c r="AY426" s="104" t="str">
        <f aca="false">IF(ISNUMBER(AX426),RANK(AX426,$AX$8:$AX$507,1),"")</f>
        <v/>
      </c>
      <c r="AZ426" s="104" t="str">
        <f aca="false">IF(ISBLANK($C426),"",$B426)</f>
        <v/>
      </c>
      <c r="BA426" s="104" t="str">
        <f aca="false">IF(ISBLANK($C426),"",$C426)</f>
        <v/>
      </c>
      <c r="BB426" s="104" t="str">
        <f aca="false">IF(ISBLANK($C426),"",$D426)</f>
        <v/>
      </c>
      <c r="BC426" s="105" t="str">
        <f aca="false">AQ426</f>
        <v/>
      </c>
      <c r="BD426" s="106" t="str">
        <f aca="false">AP426</f>
        <v/>
      </c>
      <c r="BE426" s="104" t="str">
        <f aca="false">IF(ISBLANK($C426),"",AS426)</f>
        <v/>
      </c>
      <c r="BF426" s="107" t="str">
        <f aca="false">IF($AW426&gt;$AV$7,"",VLOOKUP($AW426,$AY$8:$BE$507,7,FALSE()))</f>
        <v/>
      </c>
      <c r="BG426" s="108" t="str">
        <f aca="false">IF($AW426&gt;$AV$7,"",VLOOKUP($AW426,$AY$8:$BE$507,2,FALSE()))</f>
        <v/>
      </c>
      <c r="BH426" s="108" t="str">
        <f aca="false">IF($AW426&gt;$AV$7,"",VLOOKUP($AW426,$AY$8:$BE$507,3,FALSE()))</f>
        <v/>
      </c>
      <c r="BI426" s="108" t="str">
        <f aca="false">IF($AW426&gt;$AV$7,"",VLOOKUP($AW426,$AY$8:$BE$507,4,FALSE()))</f>
        <v/>
      </c>
      <c r="BJ426" s="108" t="str">
        <f aca="false">IF($AW426&gt;$AV$7,"",VLOOKUP($AW426,$AY$8:$BE$507,5,FALSE()))</f>
        <v/>
      </c>
      <c r="BK426" s="109" t="str">
        <f aca="false">IF($AW426&gt;$AV$7,"",VLOOKUP($AW426,$AY$8:$BE$507,6,FALSE()))</f>
        <v/>
      </c>
      <c r="BL426" s="50"/>
    </row>
    <row r="427" customFormat="false" ht="15.75" hidden="false" customHeight="false" outlineLevel="0" collapsed="false">
      <c r="A427" s="5"/>
      <c r="B427" s="124"/>
      <c r="C427" s="125"/>
      <c r="D427" s="110"/>
      <c r="E427" s="130"/>
      <c r="F427" s="135"/>
      <c r="G427" s="88"/>
      <c r="H427" s="136"/>
      <c r="I427" s="137"/>
      <c r="J427" s="91"/>
      <c r="K427" s="92"/>
      <c r="L427" s="137"/>
      <c r="M427" s="93"/>
      <c r="N427" s="94"/>
      <c r="O427" s="130"/>
      <c r="P427" s="96"/>
      <c r="Q427" s="97" t="str">
        <f aca="false">IF(ISBLANK($C427),"",IF(E427=Constants!$B$2, TRUE(), IF(E427=Constants!$B$3, FALSE(), TRUE())))</f>
        <v/>
      </c>
      <c r="R427" s="97" t="str">
        <f aca="false">IF(ISBLANK($C427),"",IF(F427=Constants!$B$2, TRUE(), IF(F427=Constants!$B$3, FALSE(), TRUE())))</f>
        <v/>
      </c>
      <c r="S427" s="97" t="str">
        <f aca="false">IF(ISBLANK($C427),"",IF(G427=Constants!$B$15,Constants!$B$8,IF(G427=Constants!$B$16,Constants!$B$9,Constants!$B$10)))</f>
        <v/>
      </c>
      <c r="T427" s="97" t="str">
        <f aca="false">IF(ISBLANK($C427),"",IF(H427=Constants!$B$2, TRUE(), IF(H427=Constants!$B$3, FALSE(), TRUE())))</f>
        <v/>
      </c>
      <c r="U427" s="97" t="str">
        <f aca="false">IF(ISBLANK($C427),"",IF(I427=Constants!$B$19,Constants!$B$19,Constants!$B$18))</f>
        <v/>
      </c>
      <c r="V427" s="97" t="str">
        <f aca="false">IF(ISBLANK($C427),"",IF(COUNTA(J427:K427)=0,"",IF(AND(OR(ISBLANK(J427),AND(ISNUMBER(J427),J427&gt;=0)),OR(ISBLANK(K427),AND(ISNUMBER(K427),K427&gt;=0))),60*IF(ISBLANK(J427),0,J427)+IF(ISBLANK(K427),0,K427),"")))</f>
        <v/>
      </c>
      <c r="W427" s="97" t="str">
        <f aca="false">IF(ISBLANK($C427),"",IF(L427=Constants!$B$19,Constants!$B$19,Constants!$B$18))</f>
        <v/>
      </c>
      <c r="X427" s="97" t="str">
        <f aca="false">IF(ISBLANK($C427),"",IF(COUNTA(M427:N427)=0,"",IF(AND(OR(ISBLANK(M427),AND(ISNUMBER(M427),M427&gt;=0)),OR(ISBLANK(N427),AND(ISNUMBER(N427),N427&gt;=0))),60*IF(ISBLANK(M427),0,M427)+IF(ISBLANK(N427),0,N427),"")))</f>
        <v/>
      </c>
      <c r="Y427" s="97" t="str">
        <f aca="false">IF(ISBLANK($C427),"",IF(O427=Constants!$B$2, TRUE(), IF(O427=Constants!$B$3, FALSE(), FALSE())))</f>
        <v/>
      </c>
      <c r="Z427" s="97" t="str">
        <f aca="false">IF(ISBLANK($C427),"",IF(Y427,Constants!$B$4,IF(COUNTA(E427:N427)=0,Constants!$B$5,IF(COUNTA(J427:K427,M427:N427)=0,Constants!$B$6,Constants!$B$7))))</f>
        <v/>
      </c>
      <c r="AA427" s="97" t="str">
        <f aca="false">IF(ISBLANK($C427),"",IF($Z427&lt;&gt;Constants!$B$7,$Z427,IF(OR(NOT(T427),AND(NOT(Q427),COUNTIFS(U427:W427,Constants!$B$18,V427:X427,"&gt;=0")&gt;0),AND(NOT(R427),COUNTIFS(U427:W427,Constants!$B$19,V427:X427,"&gt;=0")&gt;0)),Constants!$B$12,Constants!$B$11)))</f>
        <v/>
      </c>
      <c r="AB427" s="97" t="str">
        <f aca="false">IF($Z427=Constants!$B$7,IF(V427="",Constants!$B$13,V427),"")</f>
        <v/>
      </c>
      <c r="AC427" s="97" t="str">
        <f aca="false">IF($Z427=Constants!$B$7,IF(X427="",Constants!$B$13,X427),"")</f>
        <v/>
      </c>
      <c r="AD427" s="97" t="str">
        <f aca="false">IF($Z427=Constants!$B$7,IF($AB427&gt;=$AC427,1,2),"")</f>
        <v/>
      </c>
      <c r="AE427" s="97" t="str">
        <f aca="false">IF($Z427=Constants!$B$7,LARGE(AB427:AC427,1),"")</f>
        <v/>
      </c>
      <c r="AF427" s="97" t="str">
        <f aca="false">IF(ISBLANK($C427),"",IF($Z427&lt;&gt;Constants!$B$7,$Z427,AE427*S427))</f>
        <v/>
      </c>
      <c r="AG427" s="97" t="str">
        <f aca="false">IF(ISBLANK($C427),"",IF($Z427=Constants!$B$7,IF(ISNUMBER(AF427),RANK(AF427,$AF$8:$AF$507),Constants!$B$14),$Z427))</f>
        <v/>
      </c>
      <c r="AH427" s="97" t="str">
        <f aca="false">IF(ISBLANK($C427),"",IF($Z427=Constants!$B$7,IF(ISNUMBER(AG427),COUNTIFS($AA$8:$AA$507,"&lt;"&amp;$AA427)+COUNTIFS($AA$8:$AA$507,$AA427,$AG$8:$AG$507,"&lt;"&amp;$AG427)+1,Constants!$B$14),$Z427))</f>
        <v/>
      </c>
      <c r="AI427" s="97" t="str">
        <f aca="false">IF(ISBLANK($C427),"",IF($Z427=Constants!$B$7,LARGE(AB427:AC427,2)*S427,""))</f>
        <v/>
      </c>
      <c r="AJ427" s="97" t="str">
        <f aca="false">IF(ISBLANK($C427),"",IF($Z427=Constants!$B$7,RANK(AI427,$AI$8:$AI$507),$Z427))</f>
        <v/>
      </c>
      <c r="AK427" s="97" t="str">
        <f aca="false">IF(ISBLANK($C427),"",IF($Z427=Constants!$B$7,IF(ISNUMBER(AG427),COUNTIFS($AA$8:$AA$507,"&lt;"&amp;$AA427)+COUNTIFS($AA$8:$AA$507,$AA427,$AG$8:$AG$507,"&lt;"&amp;$AG427)+COUNTIFS($AA$8:$AA$507,$AA427,$AG$8:$AG$507,$AG427,$AJ$8:$AJ$507,"&lt;"&amp;$AJ427)+1,Constants!$B$14),$Z427))</f>
        <v/>
      </c>
      <c r="AL427" s="97" t="str">
        <f aca="false">IF(ISBLANK($C427),"",IF($Z427=Constants!$B$7,IF(ISNUMBER(AH427),AH427-AK427,Constants!$B$14),$Z427))</f>
        <v/>
      </c>
      <c r="AM427" s="98"/>
      <c r="AN427" s="99" t="str">
        <f aca="false">IF(ISBLANK($C427),"",IF($Z427&lt;&gt;Constants!$B$7,$Z427,AD427))</f>
        <v/>
      </c>
      <c r="AO427" s="100" t="str">
        <f aca="false">IF(ISBLANK($C427),"",IF($Z427&lt;&gt;Constants!$B$7,$Z427,S427))</f>
        <v/>
      </c>
      <c r="AP427" s="101" t="str">
        <f aca="false">IF(ISBLANK($C427),"",IF($Z427&lt;&gt;Constants!$B$7,$Z427,AF427))</f>
        <v/>
      </c>
      <c r="AQ427" s="102" t="str">
        <f aca="false">IF(ISBLANK($C427),"",IF($Z427&lt;&gt;Constants!$B$7,$Z427,AA427))</f>
        <v/>
      </c>
      <c r="AR427" s="100" t="str">
        <f aca="false">IF(ISBLANK($C427),"",AL427)</f>
        <v/>
      </c>
      <c r="AS427" s="100" t="str">
        <f aca="false">IF(ISBLANK($C427),"",AK427)</f>
        <v/>
      </c>
      <c r="AT427" s="103" t="str">
        <f aca="false">IF(ISBLANK($C427),"",IF(AS427=Constants!$B$4,COUNTA($C$8:$C$507)+2,IF(AS427=Constants!$B$5,COUNTA($C$8:$C$507)+1,IF(AS427=Constants!$B$6,COUNTA($C$8:$C$507),AS427))))</f>
        <v/>
      </c>
      <c r="AU427" s="5"/>
      <c r="AV427" s="104" t="n">
        <f aca="false">IF(OR(ISNUMBER(AS427),AS427=Constants!$B$4,AS427=Constants!$B$6,AS427=Constants!$B$5),1,0)</f>
        <v>0</v>
      </c>
      <c r="AW427" s="104" t="n">
        <v>420</v>
      </c>
      <c r="AX427" s="104" t="str">
        <f aca="false">IF(ISBLANK($C427),"",IF(ISNUMBER(AT427),AT427+ROW($B427)/1000,""))</f>
        <v/>
      </c>
      <c r="AY427" s="104" t="str">
        <f aca="false">IF(ISNUMBER(AX427),RANK(AX427,$AX$8:$AX$507,1),"")</f>
        <v/>
      </c>
      <c r="AZ427" s="104" t="str">
        <f aca="false">IF(ISBLANK($C427),"",$B427)</f>
        <v/>
      </c>
      <c r="BA427" s="104" t="str">
        <f aca="false">IF(ISBLANK($C427),"",$C427)</f>
        <v/>
      </c>
      <c r="BB427" s="104" t="str">
        <f aca="false">IF(ISBLANK($C427),"",$D427)</f>
        <v/>
      </c>
      <c r="BC427" s="105" t="str">
        <f aca="false">AQ427</f>
        <v/>
      </c>
      <c r="BD427" s="106" t="str">
        <f aca="false">AP427</f>
        <v/>
      </c>
      <c r="BE427" s="104" t="str">
        <f aca="false">IF(ISBLANK($C427),"",AS427)</f>
        <v/>
      </c>
      <c r="BF427" s="107" t="str">
        <f aca="false">IF($AW427&gt;$AV$7,"",VLOOKUP($AW427,$AY$8:$BE$507,7,FALSE()))</f>
        <v/>
      </c>
      <c r="BG427" s="108" t="str">
        <f aca="false">IF($AW427&gt;$AV$7,"",VLOOKUP($AW427,$AY$8:$BE$507,2,FALSE()))</f>
        <v/>
      </c>
      <c r="BH427" s="108" t="str">
        <f aca="false">IF($AW427&gt;$AV$7,"",VLOOKUP($AW427,$AY$8:$BE$507,3,FALSE()))</f>
        <v/>
      </c>
      <c r="BI427" s="108" t="str">
        <f aca="false">IF($AW427&gt;$AV$7,"",VLOOKUP($AW427,$AY$8:$BE$507,4,FALSE()))</f>
        <v/>
      </c>
      <c r="BJ427" s="108" t="str">
        <f aca="false">IF($AW427&gt;$AV$7,"",VLOOKUP($AW427,$AY$8:$BE$507,5,FALSE()))</f>
        <v/>
      </c>
      <c r="BK427" s="109" t="str">
        <f aca="false">IF($AW427&gt;$AV$7,"",VLOOKUP($AW427,$AY$8:$BE$507,6,FALSE()))</f>
        <v/>
      </c>
      <c r="BL427" s="50"/>
    </row>
    <row r="428" customFormat="false" ht="15.75" hidden="false" customHeight="false" outlineLevel="0" collapsed="false">
      <c r="A428" s="5"/>
      <c r="B428" s="131"/>
      <c r="C428" s="52"/>
      <c r="D428" s="53"/>
      <c r="E428" s="80"/>
      <c r="F428" s="132"/>
      <c r="G428" s="56"/>
      <c r="H428" s="133"/>
      <c r="I428" s="134"/>
      <c r="J428" s="59"/>
      <c r="K428" s="60"/>
      <c r="L428" s="134"/>
      <c r="M428" s="61"/>
      <c r="N428" s="62"/>
      <c r="O428" s="80"/>
      <c r="P428" s="64"/>
      <c r="Q428" s="65" t="str">
        <f aca="false">IF(ISBLANK($C428),"",IF(E428=Constants!$B$2, TRUE(), IF(E428=Constants!$B$3, FALSE(), TRUE())))</f>
        <v/>
      </c>
      <c r="R428" s="65" t="str">
        <f aca="false">IF(ISBLANK($C428),"",IF(F428=Constants!$B$2, TRUE(), IF(F428=Constants!$B$3, FALSE(), TRUE())))</f>
        <v/>
      </c>
      <c r="S428" s="65" t="str">
        <f aca="false">IF(ISBLANK($C428),"",IF(G428=Constants!$B$15,Constants!$B$8,IF(G428=Constants!$B$16,Constants!$B$9,Constants!$B$10)))</f>
        <v/>
      </c>
      <c r="T428" s="65" t="str">
        <f aca="false">IF(ISBLANK($C428),"",IF(H428=Constants!$B$2, TRUE(), IF(H428=Constants!$B$3, FALSE(), TRUE())))</f>
        <v/>
      </c>
      <c r="U428" s="65" t="str">
        <f aca="false">IF(ISBLANK($C428),"",IF(I428=Constants!$B$19,Constants!$B$19,Constants!$B$18))</f>
        <v/>
      </c>
      <c r="V428" s="65" t="str">
        <f aca="false">IF(ISBLANK($C428),"",IF(COUNTA(J428:K428)=0,"",IF(AND(OR(ISBLANK(J428),AND(ISNUMBER(J428),J428&gt;=0)),OR(ISBLANK(K428),AND(ISNUMBER(K428),K428&gt;=0))),60*IF(ISBLANK(J428),0,J428)+IF(ISBLANK(K428),0,K428),"")))</f>
        <v/>
      </c>
      <c r="W428" s="65" t="str">
        <f aca="false">IF(ISBLANK($C428),"",IF(L428=Constants!$B$19,Constants!$B$19,Constants!$B$18))</f>
        <v/>
      </c>
      <c r="X428" s="65" t="str">
        <f aca="false">IF(ISBLANK($C428),"",IF(COUNTA(M428:N428)=0,"",IF(AND(OR(ISBLANK(M428),AND(ISNUMBER(M428),M428&gt;=0)),OR(ISBLANK(N428),AND(ISNUMBER(N428),N428&gt;=0))),60*IF(ISBLANK(M428),0,M428)+IF(ISBLANK(N428),0,N428),"")))</f>
        <v/>
      </c>
      <c r="Y428" s="65" t="str">
        <f aca="false">IF(ISBLANK($C428),"",IF(O428=Constants!$B$2, TRUE(), IF(O428=Constants!$B$3, FALSE(), FALSE())))</f>
        <v/>
      </c>
      <c r="Z428" s="65" t="str">
        <f aca="false">IF(ISBLANK($C428),"",IF(Y428,Constants!$B$4,IF(COUNTA(E428:N428)=0,Constants!$B$5,IF(COUNTA(J428:K428,M428:N428)=0,Constants!$B$6,Constants!$B$7))))</f>
        <v/>
      </c>
      <c r="AA428" s="65" t="str">
        <f aca="false">IF(ISBLANK($C428),"",IF($Z428&lt;&gt;Constants!$B$7,$Z428,IF(OR(NOT(T428),AND(NOT(Q428),COUNTIFS(U428:W428,Constants!$B$18,V428:X428,"&gt;=0")&gt;0),AND(NOT(R428),COUNTIFS(U428:W428,Constants!$B$19,V428:X428,"&gt;=0")&gt;0)),Constants!$B$12,Constants!$B$11)))</f>
        <v/>
      </c>
      <c r="AB428" s="65" t="str">
        <f aca="false">IF($Z428=Constants!$B$7,IF(V428="",Constants!$B$13,V428),"")</f>
        <v/>
      </c>
      <c r="AC428" s="65" t="str">
        <f aca="false">IF($Z428=Constants!$B$7,IF(X428="",Constants!$B$13,X428),"")</f>
        <v/>
      </c>
      <c r="AD428" s="65" t="str">
        <f aca="false">IF($Z428=Constants!$B$7,IF($AB428&gt;=$AC428,1,2),"")</f>
        <v/>
      </c>
      <c r="AE428" s="65" t="str">
        <f aca="false">IF($Z428=Constants!$B$7,LARGE(AB428:AC428,1),"")</f>
        <v/>
      </c>
      <c r="AF428" s="65" t="str">
        <f aca="false">IF(ISBLANK($C428),"",IF($Z428&lt;&gt;Constants!$B$7,$Z428,AE428*S428))</f>
        <v/>
      </c>
      <c r="AG428" s="65" t="str">
        <f aca="false">IF(ISBLANK($C428),"",IF($Z428=Constants!$B$7,IF(ISNUMBER(AF428),RANK(AF428,$AF$8:$AF$507),Constants!$B$14),$Z428))</f>
        <v/>
      </c>
      <c r="AH428" s="65" t="str">
        <f aca="false">IF(ISBLANK($C428),"",IF($Z428=Constants!$B$7,IF(ISNUMBER(AG428),COUNTIFS($AA$8:$AA$507,"&lt;"&amp;$AA428)+COUNTIFS($AA$8:$AA$507,$AA428,$AG$8:$AG$507,"&lt;"&amp;$AG428)+1,Constants!$B$14),$Z428))</f>
        <v/>
      </c>
      <c r="AI428" s="65" t="str">
        <f aca="false">IF(ISBLANK($C428),"",IF($Z428=Constants!$B$7,LARGE(AB428:AC428,2)*S428,""))</f>
        <v/>
      </c>
      <c r="AJ428" s="65" t="str">
        <f aca="false">IF(ISBLANK($C428),"",IF($Z428=Constants!$B$7,RANK(AI428,$AI$8:$AI$507),$Z428))</f>
        <v/>
      </c>
      <c r="AK428" s="65" t="str">
        <f aca="false">IF(ISBLANK($C428),"",IF($Z428=Constants!$B$7,IF(ISNUMBER(AG428),COUNTIFS($AA$8:$AA$507,"&lt;"&amp;$AA428)+COUNTIFS($AA$8:$AA$507,$AA428,$AG$8:$AG$507,"&lt;"&amp;$AG428)+COUNTIFS($AA$8:$AA$507,$AA428,$AG$8:$AG$507,$AG428,$AJ$8:$AJ$507,"&lt;"&amp;$AJ428)+1,Constants!$B$14),$Z428))</f>
        <v/>
      </c>
      <c r="AL428" s="65" t="str">
        <f aca="false">IF(ISBLANK($C428),"",IF($Z428=Constants!$B$7,IF(ISNUMBER(AH428),AH428-AK428,Constants!$B$14),$Z428))</f>
        <v/>
      </c>
      <c r="AM428" s="67"/>
      <c r="AN428" s="68" t="str">
        <f aca="false">IF(ISBLANK($C428),"",IF($Z428&lt;&gt;Constants!$B$7,$Z428,AD428))</f>
        <v/>
      </c>
      <c r="AO428" s="69" t="str">
        <f aca="false">IF(ISBLANK($C428),"",IF($Z428&lt;&gt;Constants!$B$7,$Z428,S428))</f>
        <v/>
      </c>
      <c r="AP428" s="70" t="str">
        <f aca="false">IF(ISBLANK($C428),"",IF($Z428&lt;&gt;Constants!$B$7,$Z428,AF428))</f>
        <v/>
      </c>
      <c r="AQ428" s="71" t="str">
        <f aca="false">IF(ISBLANK($C428),"",IF($Z428&lt;&gt;Constants!$B$7,$Z428,AA428))</f>
        <v/>
      </c>
      <c r="AR428" s="69" t="str">
        <f aca="false">IF(ISBLANK($C428),"",AL428)</f>
        <v/>
      </c>
      <c r="AS428" s="69" t="str">
        <f aca="false">IF(ISBLANK($C428),"",AK428)</f>
        <v/>
      </c>
      <c r="AT428" s="72" t="str">
        <f aca="false">IF(ISBLANK($C428),"",IF(AS428=Constants!$B$4,COUNTA($C$8:$C$507)+2,IF(AS428=Constants!$B$5,COUNTA($C$8:$C$507)+1,IF(AS428=Constants!$B$6,COUNTA($C$8:$C$507),AS428))))</f>
        <v/>
      </c>
      <c r="AU428" s="5"/>
      <c r="AV428" s="73" t="n">
        <f aca="false">IF(OR(ISNUMBER(AS428),AS428=Constants!$B$4,AS428=Constants!$B$6,AS428=Constants!$B$5),1,0)</f>
        <v>0</v>
      </c>
      <c r="AW428" s="73" t="n">
        <v>421</v>
      </c>
      <c r="AX428" s="73" t="str">
        <f aca="false">IF(ISBLANK($C428),"",IF(ISNUMBER(AT428),AT428+ROW($B428)/1000,""))</f>
        <v/>
      </c>
      <c r="AY428" s="73" t="str">
        <f aca="false">IF(ISNUMBER(AX428),RANK(AX428,$AX$8:$AX$507,1),"")</f>
        <v/>
      </c>
      <c r="AZ428" s="73" t="str">
        <f aca="false">IF(ISBLANK($C428),"",$B428)</f>
        <v/>
      </c>
      <c r="BA428" s="73" t="str">
        <f aca="false">IF(ISBLANK($C428),"",$C428)</f>
        <v/>
      </c>
      <c r="BB428" s="73" t="str">
        <f aca="false">IF(ISBLANK($C428),"",$D428)</f>
        <v/>
      </c>
      <c r="BC428" s="74" t="str">
        <f aca="false">AQ428</f>
        <v/>
      </c>
      <c r="BD428" s="75" t="str">
        <f aca="false">AP428</f>
        <v/>
      </c>
      <c r="BE428" s="73" t="str">
        <f aca="false">IF(ISBLANK($C428),"",AS428)</f>
        <v/>
      </c>
      <c r="BF428" s="76" t="str">
        <f aca="false">IF($AW428&gt;$AV$7,"",VLOOKUP($AW428,$AY$8:$BE$507,7,FALSE()))</f>
        <v/>
      </c>
      <c r="BG428" s="77" t="str">
        <f aca="false">IF($AW428&gt;$AV$7,"",VLOOKUP($AW428,$AY$8:$BE$507,2,FALSE()))</f>
        <v/>
      </c>
      <c r="BH428" s="77" t="str">
        <f aca="false">IF($AW428&gt;$AV$7,"",VLOOKUP($AW428,$AY$8:$BE$507,3,FALSE()))</f>
        <v/>
      </c>
      <c r="BI428" s="77" t="str">
        <f aca="false">IF($AW428&gt;$AV$7,"",VLOOKUP($AW428,$AY$8:$BE$507,4,FALSE()))</f>
        <v/>
      </c>
      <c r="BJ428" s="77" t="str">
        <f aca="false">IF($AW428&gt;$AV$7,"",VLOOKUP($AW428,$AY$8:$BE$507,5,FALSE()))</f>
        <v/>
      </c>
      <c r="BK428" s="78" t="str">
        <f aca="false">IF($AW428&gt;$AV$7,"",VLOOKUP($AW428,$AY$8:$BE$507,6,FALSE()))</f>
        <v/>
      </c>
      <c r="BL428" s="50"/>
    </row>
    <row r="429" customFormat="false" ht="15.75" hidden="false" customHeight="false" outlineLevel="0" collapsed="false">
      <c r="A429" s="5"/>
      <c r="B429" s="131"/>
      <c r="C429" s="52"/>
      <c r="D429" s="53"/>
      <c r="E429" s="80"/>
      <c r="F429" s="132"/>
      <c r="G429" s="56"/>
      <c r="H429" s="133"/>
      <c r="I429" s="134"/>
      <c r="J429" s="59"/>
      <c r="K429" s="60"/>
      <c r="L429" s="134"/>
      <c r="M429" s="61"/>
      <c r="N429" s="62"/>
      <c r="O429" s="80"/>
      <c r="P429" s="64"/>
      <c r="Q429" s="65" t="str">
        <f aca="false">IF(ISBLANK($C429),"",IF(E429=Constants!$B$2, TRUE(), IF(E429=Constants!$B$3, FALSE(), TRUE())))</f>
        <v/>
      </c>
      <c r="R429" s="65" t="str">
        <f aca="false">IF(ISBLANK($C429),"",IF(F429=Constants!$B$2, TRUE(), IF(F429=Constants!$B$3, FALSE(), TRUE())))</f>
        <v/>
      </c>
      <c r="S429" s="65" t="str">
        <f aca="false">IF(ISBLANK($C429),"",IF(G429=Constants!$B$15,Constants!$B$8,IF(G429=Constants!$B$16,Constants!$B$9,Constants!$B$10)))</f>
        <v/>
      </c>
      <c r="T429" s="65" t="str">
        <f aca="false">IF(ISBLANK($C429),"",IF(H429=Constants!$B$2, TRUE(), IF(H429=Constants!$B$3, FALSE(), TRUE())))</f>
        <v/>
      </c>
      <c r="U429" s="65" t="str">
        <f aca="false">IF(ISBLANK($C429),"",IF(I429=Constants!$B$19,Constants!$B$19,Constants!$B$18))</f>
        <v/>
      </c>
      <c r="V429" s="65" t="str">
        <f aca="false">IF(ISBLANK($C429),"",IF(COUNTA(J429:K429)=0,"",IF(AND(OR(ISBLANK(J429),AND(ISNUMBER(J429),J429&gt;=0)),OR(ISBLANK(K429),AND(ISNUMBER(K429),K429&gt;=0))),60*IF(ISBLANK(J429),0,J429)+IF(ISBLANK(K429),0,K429),"")))</f>
        <v/>
      </c>
      <c r="W429" s="65" t="str">
        <f aca="false">IF(ISBLANK($C429),"",IF(L429=Constants!$B$19,Constants!$B$19,Constants!$B$18))</f>
        <v/>
      </c>
      <c r="X429" s="65" t="str">
        <f aca="false">IF(ISBLANK($C429),"",IF(COUNTA(M429:N429)=0,"",IF(AND(OR(ISBLANK(M429),AND(ISNUMBER(M429),M429&gt;=0)),OR(ISBLANK(N429),AND(ISNUMBER(N429),N429&gt;=0))),60*IF(ISBLANK(M429),0,M429)+IF(ISBLANK(N429),0,N429),"")))</f>
        <v/>
      </c>
      <c r="Y429" s="65" t="str">
        <f aca="false">IF(ISBLANK($C429),"",IF(O429=Constants!$B$2, TRUE(), IF(O429=Constants!$B$3, FALSE(), FALSE())))</f>
        <v/>
      </c>
      <c r="Z429" s="65" t="str">
        <f aca="false">IF(ISBLANK($C429),"",IF(Y429,Constants!$B$4,IF(COUNTA(E429:N429)=0,Constants!$B$5,IF(COUNTA(J429:K429,M429:N429)=0,Constants!$B$6,Constants!$B$7))))</f>
        <v/>
      </c>
      <c r="AA429" s="65" t="str">
        <f aca="false">IF(ISBLANK($C429),"",IF($Z429&lt;&gt;Constants!$B$7,$Z429,IF(OR(NOT(T429),AND(NOT(Q429),COUNTIFS(U429:W429,Constants!$B$18,V429:X429,"&gt;=0")&gt;0),AND(NOT(R429),COUNTIFS(U429:W429,Constants!$B$19,V429:X429,"&gt;=0")&gt;0)),Constants!$B$12,Constants!$B$11)))</f>
        <v/>
      </c>
      <c r="AB429" s="65" t="str">
        <f aca="false">IF($Z429=Constants!$B$7,IF(V429="",Constants!$B$13,V429),"")</f>
        <v/>
      </c>
      <c r="AC429" s="65" t="str">
        <f aca="false">IF($Z429=Constants!$B$7,IF(X429="",Constants!$B$13,X429),"")</f>
        <v/>
      </c>
      <c r="AD429" s="65" t="str">
        <f aca="false">IF($Z429=Constants!$B$7,IF($AB429&gt;=$AC429,1,2),"")</f>
        <v/>
      </c>
      <c r="AE429" s="65" t="str">
        <f aca="false">IF($Z429=Constants!$B$7,LARGE(AB429:AC429,1),"")</f>
        <v/>
      </c>
      <c r="AF429" s="65" t="str">
        <f aca="false">IF(ISBLANK($C429),"",IF($Z429&lt;&gt;Constants!$B$7,$Z429,AE429*S429))</f>
        <v/>
      </c>
      <c r="AG429" s="65" t="str">
        <f aca="false">IF(ISBLANK($C429),"",IF($Z429=Constants!$B$7,IF(ISNUMBER(AF429),RANK(AF429,$AF$8:$AF$507),Constants!$B$14),$Z429))</f>
        <v/>
      </c>
      <c r="AH429" s="65" t="str">
        <f aca="false">IF(ISBLANK($C429),"",IF($Z429=Constants!$B$7,IF(ISNUMBER(AG429),COUNTIFS($AA$8:$AA$507,"&lt;"&amp;$AA429)+COUNTIFS($AA$8:$AA$507,$AA429,$AG$8:$AG$507,"&lt;"&amp;$AG429)+1,Constants!$B$14),$Z429))</f>
        <v/>
      </c>
      <c r="AI429" s="65" t="str">
        <f aca="false">IF(ISBLANK($C429),"",IF($Z429=Constants!$B$7,LARGE(AB429:AC429,2)*S429,""))</f>
        <v/>
      </c>
      <c r="AJ429" s="65" t="str">
        <f aca="false">IF(ISBLANK($C429),"",IF($Z429=Constants!$B$7,RANK(AI429,$AI$8:$AI$507),$Z429))</f>
        <v/>
      </c>
      <c r="AK429" s="65" t="str">
        <f aca="false">IF(ISBLANK($C429),"",IF($Z429=Constants!$B$7,IF(ISNUMBER(AG429),COUNTIFS($AA$8:$AA$507,"&lt;"&amp;$AA429)+COUNTIFS($AA$8:$AA$507,$AA429,$AG$8:$AG$507,"&lt;"&amp;$AG429)+COUNTIFS($AA$8:$AA$507,$AA429,$AG$8:$AG$507,$AG429,$AJ$8:$AJ$507,"&lt;"&amp;$AJ429)+1,Constants!$B$14),$Z429))</f>
        <v/>
      </c>
      <c r="AL429" s="65" t="str">
        <f aca="false">IF(ISBLANK($C429),"",IF($Z429=Constants!$B$7,IF(ISNUMBER(AH429),AH429-AK429,Constants!$B$14),$Z429))</f>
        <v/>
      </c>
      <c r="AM429" s="67"/>
      <c r="AN429" s="68" t="str">
        <f aca="false">IF(ISBLANK($C429),"",IF($Z429&lt;&gt;Constants!$B$7,$Z429,AD429))</f>
        <v/>
      </c>
      <c r="AO429" s="69" t="str">
        <f aca="false">IF(ISBLANK($C429),"",IF($Z429&lt;&gt;Constants!$B$7,$Z429,S429))</f>
        <v/>
      </c>
      <c r="AP429" s="70" t="str">
        <f aca="false">IF(ISBLANK($C429),"",IF($Z429&lt;&gt;Constants!$B$7,$Z429,AF429))</f>
        <v/>
      </c>
      <c r="AQ429" s="71" t="str">
        <f aca="false">IF(ISBLANK($C429),"",IF($Z429&lt;&gt;Constants!$B$7,$Z429,AA429))</f>
        <v/>
      </c>
      <c r="AR429" s="69" t="str">
        <f aca="false">IF(ISBLANK($C429),"",AL429)</f>
        <v/>
      </c>
      <c r="AS429" s="69" t="str">
        <f aca="false">IF(ISBLANK($C429),"",AK429)</f>
        <v/>
      </c>
      <c r="AT429" s="72" t="str">
        <f aca="false">IF(ISBLANK($C429),"",IF(AS429=Constants!$B$4,COUNTA($C$8:$C$507)+2,IF(AS429=Constants!$B$5,COUNTA($C$8:$C$507)+1,IF(AS429=Constants!$B$6,COUNTA($C$8:$C$507),AS429))))</f>
        <v/>
      </c>
      <c r="AU429" s="5"/>
      <c r="AV429" s="73" t="n">
        <f aca="false">IF(OR(ISNUMBER(AS429),AS429=Constants!$B$4,AS429=Constants!$B$6,AS429=Constants!$B$5),1,0)</f>
        <v>0</v>
      </c>
      <c r="AW429" s="73" t="n">
        <v>422</v>
      </c>
      <c r="AX429" s="73" t="str">
        <f aca="false">IF(ISBLANK($C429),"",IF(ISNUMBER(AT429),AT429+ROW($B429)/1000,""))</f>
        <v/>
      </c>
      <c r="AY429" s="73" t="str">
        <f aca="false">IF(ISNUMBER(AX429),RANK(AX429,$AX$8:$AX$507,1),"")</f>
        <v/>
      </c>
      <c r="AZ429" s="73" t="str">
        <f aca="false">IF(ISBLANK($C429),"",$B429)</f>
        <v/>
      </c>
      <c r="BA429" s="73" t="str">
        <f aca="false">IF(ISBLANK($C429),"",$C429)</f>
        <v/>
      </c>
      <c r="BB429" s="73" t="str">
        <f aca="false">IF(ISBLANK($C429),"",$D429)</f>
        <v/>
      </c>
      <c r="BC429" s="74" t="str">
        <f aca="false">AQ429</f>
        <v/>
      </c>
      <c r="BD429" s="75" t="str">
        <f aca="false">AP429</f>
        <v/>
      </c>
      <c r="BE429" s="73" t="str">
        <f aca="false">IF(ISBLANK($C429),"",AS429)</f>
        <v/>
      </c>
      <c r="BF429" s="76" t="str">
        <f aca="false">IF($AW429&gt;$AV$7,"",VLOOKUP($AW429,$AY$8:$BE$507,7,FALSE()))</f>
        <v/>
      </c>
      <c r="BG429" s="77" t="str">
        <f aca="false">IF($AW429&gt;$AV$7,"",VLOOKUP($AW429,$AY$8:$BE$507,2,FALSE()))</f>
        <v/>
      </c>
      <c r="BH429" s="77" t="str">
        <f aca="false">IF($AW429&gt;$AV$7,"",VLOOKUP($AW429,$AY$8:$BE$507,3,FALSE()))</f>
        <v/>
      </c>
      <c r="BI429" s="77" t="str">
        <f aca="false">IF($AW429&gt;$AV$7,"",VLOOKUP($AW429,$AY$8:$BE$507,4,FALSE()))</f>
        <v/>
      </c>
      <c r="BJ429" s="77" t="str">
        <f aca="false">IF($AW429&gt;$AV$7,"",VLOOKUP($AW429,$AY$8:$BE$507,5,FALSE()))</f>
        <v/>
      </c>
      <c r="BK429" s="78" t="str">
        <f aca="false">IF($AW429&gt;$AV$7,"",VLOOKUP($AW429,$AY$8:$BE$507,6,FALSE()))</f>
        <v/>
      </c>
      <c r="BL429" s="50"/>
    </row>
    <row r="430" customFormat="false" ht="15.75" hidden="false" customHeight="false" outlineLevel="0" collapsed="false">
      <c r="A430" s="5"/>
      <c r="B430" s="131"/>
      <c r="C430" s="52"/>
      <c r="D430" s="53"/>
      <c r="E430" s="80"/>
      <c r="F430" s="132"/>
      <c r="G430" s="56"/>
      <c r="H430" s="133"/>
      <c r="I430" s="134"/>
      <c r="J430" s="59"/>
      <c r="K430" s="60"/>
      <c r="L430" s="134"/>
      <c r="M430" s="61"/>
      <c r="N430" s="62"/>
      <c r="O430" s="80"/>
      <c r="P430" s="64"/>
      <c r="Q430" s="65" t="str">
        <f aca="false">IF(ISBLANK($C430),"",IF(E430=Constants!$B$2, TRUE(), IF(E430=Constants!$B$3, FALSE(), TRUE())))</f>
        <v/>
      </c>
      <c r="R430" s="65" t="str">
        <f aca="false">IF(ISBLANK($C430),"",IF(F430=Constants!$B$2, TRUE(), IF(F430=Constants!$B$3, FALSE(), TRUE())))</f>
        <v/>
      </c>
      <c r="S430" s="65" t="str">
        <f aca="false">IF(ISBLANK($C430),"",IF(G430=Constants!$B$15,Constants!$B$8,IF(G430=Constants!$B$16,Constants!$B$9,Constants!$B$10)))</f>
        <v/>
      </c>
      <c r="T430" s="65" t="str">
        <f aca="false">IF(ISBLANK($C430),"",IF(H430=Constants!$B$2, TRUE(), IF(H430=Constants!$B$3, FALSE(), TRUE())))</f>
        <v/>
      </c>
      <c r="U430" s="65" t="str">
        <f aca="false">IF(ISBLANK($C430),"",IF(I430=Constants!$B$19,Constants!$B$19,Constants!$B$18))</f>
        <v/>
      </c>
      <c r="V430" s="65" t="str">
        <f aca="false">IF(ISBLANK($C430),"",IF(COUNTA(J430:K430)=0,"",IF(AND(OR(ISBLANK(J430),AND(ISNUMBER(J430),J430&gt;=0)),OR(ISBLANK(K430),AND(ISNUMBER(K430),K430&gt;=0))),60*IF(ISBLANK(J430),0,J430)+IF(ISBLANK(K430),0,K430),"")))</f>
        <v/>
      </c>
      <c r="W430" s="65" t="str">
        <f aca="false">IF(ISBLANK($C430),"",IF(L430=Constants!$B$19,Constants!$B$19,Constants!$B$18))</f>
        <v/>
      </c>
      <c r="X430" s="65" t="str">
        <f aca="false">IF(ISBLANK($C430),"",IF(COUNTA(M430:N430)=0,"",IF(AND(OR(ISBLANK(M430),AND(ISNUMBER(M430),M430&gt;=0)),OR(ISBLANK(N430),AND(ISNUMBER(N430),N430&gt;=0))),60*IF(ISBLANK(M430),0,M430)+IF(ISBLANK(N430),0,N430),"")))</f>
        <v/>
      </c>
      <c r="Y430" s="65" t="str">
        <f aca="false">IF(ISBLANK($C430),"",IF(O430=Constants!$B$2, TRUE(), IF(O430=Constants!$B$3, FALSE(), FALSE())))</f>
        <v/>
      </c>
      <c r="Z430" s="65" t="str">
        <f aca="false">IF(ISBLANK($C430),"",IF(Y430,Constants!$B$4,IF(COUNTA(E430:N430)=0,Constants!$B$5,IF(COUNTA(J430:K430,M430:N430)=0,Constants!$B$6,Constants!$B$7))))</f>
        <v/>
      </c>
      <c r="AA430" s="65" t="str">
        <f aca="false">IF(ISBLANK($C430),"",IF($Z430&lt;&gt;Constants!$B$7,$Z430,IF(OR(NOT(T430),AND(NOT(Q430),COUNTIFS(U430:W430,Constants!$B$18,V430:X430,"&gt;=0")&gt;0),AND(NOT(R430),COUNTIFS(U430:W430,Constants!$B$19,V430:X430,"&gt;=0")&gt;0)),Constants!$B$12,Constants!$B$11)))</f>
        <v/>
      </c>
      <c r="AB430" s="65" t="str">
        <f aca="false">IF($Z430=Constants!$B$7,IF(V430="",Constants!$B$13,V430),"")</f>
        <v/>
      </c>
      <c r="AC430" s="65" t="str">
        <f aca="false">IF($Z430=Constants!$B$7,IF(X430="",Constants!$B$13,X430),"")</f>
        <v/>
      </c>
      <c r="AD430" s="65" t="str">
        <f aca="false">IF($Z430=Constants!$B$7,IF($AB430&gt;=$AC430,1,2),"")</f>
        <v/>
      </c>
      <c r="AE430" s="65" t="str">
        <f aca="false">IF($Z430=Constants!$B$7,LARGE(AB430:AC430,1),"")</f>
        <v/>
      </c>
      <c r="AF430" s="65" t="str">
        <f aca="false">IF(ISBLANK($C430),"",IF($Z430&lt;&gt;Constants!$B$7,$Z430,AE430*S430))</f>
        <v/>
      </c>
      <c r="AG430" s="65" t="str">
        <f aca="false">IF(ISBLANK($C430),"",IF($Z430=Constants!$B$7,IF(ISNUMBER(AF430),RANK(AF430,$AF$8:$AF$507),Constants!$B$14),$Z430))</f>
        <v/>
      </c>
      <c r="AH430" s="65" t="str">
        <f aca="false">IF(ISBLANK($C430),"",IF($Z430=Constants!$B$7,IF(ISNUMBER(AG430),COUNTIFS($AA$8:$AA$507,"&lt;"&amp;$AA430)+COUNTIFS($AA$8:$AA$507,$AA430,$AG$8:$AG$507,"&lt;"&amp;$AG430)+1,Constants!$B$14),$Z430))</f>
        <v/>
      </c>
      <c r="AI430" s="65" t="str">
        <f aca="false">IF(ISBLANK($C430),"",IF($Z430=Constants!$B$7,LARGE(AB430:AC430,2)*S430,""))</f>
        <v/>
      </c>
      <c r="AJ430" s="65" t="str">
        <f aca="false">IF(ISBLANK($C430),"",IF($Z430=Constants!$B$7,RANK(AI430,$AI$8:$AI$507),$Z430))</f>
        <v/>
      </c>
      <c r="AK430" s="65" t="str">
        <f aca="false">IF(ISBLANK($C430),"",IF($Z430=Constants!$B$7,IF(ISNUMBER(AG430),COUNTIFS($AA$8:$AA$507,"&lt;"&amp;$AA430)+COUNTIFS($AA$8:$AA$507,$AA430,$AG$8:$AG$507,"&lt;"&amp;$AG430)+COUNTIFS($AA$8:$AA$507,$AA430,$AG$8:$AG$507,$AG430,$AJ$8:$AJ$507,"&lt;"&amp;$AJ430)+1,Constants!$B$14),$Z430))</f>
        <v/>
      </c>
      <c r="AL430" s="65" t="str">
        <f aca="false">IF(ISBLANK($C430),"",IF($Z430=Constants!$B$7,IF(ISNUMBER(AH430),AH430-AK430,Constants!$B$14),$Z430))</f>
        <v/>
      </c>
      <c r="AM430" s="67"/>
      <c r="AN430" s="68" t="str">
        <f aca="false">IF(ISBLANK($C430),"",IF($Z430&lt;&gt;Constants!$B$7,$Z430,AD430))</f>
        <v/>
      </c>
      <c r="AO430" s="69" t="str">
        <f aca="false">IF(ISBLANK($C430),"",IF($Z430&lt;&gt;Constants!$B$7,$Z430,S430))</f>
        <v/>
      </c>
      <c r="AP430" s="70" t="str">
        <f aca="false">IF(ISBLANK($C430),"",IF($Z430&lt;&gt;Constants!$B$7,$Z430,AF430))</f>
        <v/>
      </c>
      <c r="AQ430" s="71" t="str">
        <f aca="false">IF(ISBLANK($C430),"",IF($Z430&lt;&gt;Constants!$B$7,$Z430,AA430))</f>
        <v/>
      </c>
      <c r="AR430" s="69" t="str">
        <f aca="false">IF(ISBLANK($C430),"",AL430)</f>
        <v/>
      </c>
      <c r="AS430" s="69" t="str">
        <f aca="false">IF(ISBLANK($C430),"",AK430)</f>
        <v/>
      </c>
      <c r="AT430" s="72" t="str">
        <f aca="false">IF(ISBLANK($C430),"",IF(AS430=Constants!$B$4,COUNTA($C$8:$C$507)+2,IF(AS430=Constants!$B$5,COUNTA($C$8:$C$507)+1,IF(AS430=Constants!$B$6,COUNTA($C$8:$C$507),AS430))))</f>
        <v/>
      </c>
      <c r="AU430" s="5"/>
      <c r="AV430" s="73" t="n">
        <f aca="false">IF(OR(ISNUMBER(AS430),AS430=Constants!$B$4,AS430=Constants!$B$6,AS430=Constants!$B$5),1,0)</f>
        <v>0</v>
      </c>
      <c r="AW430" s="73" t="n">
        <v>423</v>
      </c>
      <c r="AX430" s="73" t="str">
        <f aca="false">IF(ISBLANK($C430),"",IF(ISNUMBER(AT430),AT430+ROW($B430)/1000,""))</f>
        <v/>
      </c>
      <c r="AY430" s="73" t="str">
        <f aca="false">IF(ISNUMBER(AX430),RANK(AX430,$AX$8:$AX$507,1),"")</f>
        <v/>
      </c>
      <c r="AZ430" s="73" t="str">
        <f aca="false">IF(ISBLANK($C430),"",$B430)</f>
        <v/>
      </c>
      <c r="BA430" s="73" t="str">
        <f aca="false">IF(ISBLANK($C430),"",$C430)</f>
        <v/>
      </c>
      <c r="BB430" s="73" t="str">
        <f aca="false">IF(ISBLANK($C430),"",$D430)</f>
        <v/>
      </c>
      <c r="BC430" s="74" t="str">
        <f aca="false">AQ430</f>
        <v/>
      </c>
      <c r="BD430" s="75" t="str">
        <f aca="false">AP430</f>
        <v/>
      </c>
      <c r="BE430" s="73" t="str">
        <f aca="false">IF(ISBLANK($C430),"",AS430)</f>
        <v/>
      </c>
      <c r="BF430" s="76" t="str">
        <f aca="false">IF($AW430&gt;$AV$7,"",VLOOKUP($AW430,$AY$8:$BE$507,7,FALSE()))</f>
        <v/>
      </c>
      <c r="BG430" s="77" t="str">
        <f aca="false">IF($AW430&gt;$AV$7,"",VLOOKUP($AW430,$AY$8:$BE$507,2,FALSE()))</f>
        <v/>
      </c>
      <c r="BH430" s="77" t="str">
        <f aca="false">IF($AW430&gt;$AV$7,"",VLOOKUP($AW430,$AY$8:$BE$507,3,FALSE()))</f>
        <v/>
      </c>
      <c r="BI430" s="77" t="str">
        <f aca="false">IF($AW430&gt;$AV$7,"",VLOOKUP($AW430,$AY$8:$BE$507,4,FALSE()))</f>
        <v/>
      </c>
      <c r="BJ430" s="77" t="str">
        <f aca="false">IF($AW430&gt;$AV$7,"",VLOOKUP($AW430,$AY$8:$BE$507,5,FALSE()))</f>
        <v/>
      </c>
      <c r="BK430" s="78" t="str">
        <f aca="false">IF($AW430&gt;$AV$7,"",VLOOKUP($AW430,$AY$8:$BE$507,6,FALSE()))</f>
        <v/>
      </c>
      <c r="BL430" s="50"/>
    </row>
    <row r="431" customFormat="false" ht="15.75" hidden="false" customHeight="false" outlineLevel="0" collapsed="false">
      <c r="A431" s="5"/>
      <c r="B431" s="124"/>
      <c r="C431" s="125"/>
      <c r="D431" s="110"/>
      <c r="E431" s="130"/>
      <c r="F431" s="135"/>
      <c r="G431" s="88"/>
      <c r="H431" s="136"/>
      <c r="I431" s="137"/>
      <c r="J431" s="91"/>
      <c r="K431" s="92"/>
      <c r="L431" s="137"/>
      <c r="M431" s="93"/>
      <c r="N431" s="94"/>
      <c r="O431" s="130"/>
      <c r="P431" s="96"/>
      <c r="Q431" s="97" t="str">
        <f aca="false">IF(ISBLANK($C431),"",IF(E431=Constants!$B$2, TRUE(), IF(E431=Constants!$B$3, FALSE(), TRUE())))</f>
        <v/>
      </c>
      <c r="R431" s="97" t="str">
        <f aca="false">IF(ISBLANK($C431),"",IF(F431=Constants!$B$2, TRUE(), IF(F431=Constants!$B$3, FALSE(), TRUE())))</f>
        <v/>
      </c>
      <c r="S431" s="97" t="str">
        <f aca="false">IF(ISBLANK($C431),"",IF(G431=Constants!$B$15,Constants!$B$8,IF(G431=Constants!$B$16,Constants!$B$9,Constants!$B$10)))</f>
        <v/>
      </c>
      <c r="T431" s="97" t="str">
        <f aca="false">IF(ISBLANK($C431),"",IF(H431=Constants!$B$2, TRUE(), IF(H431=Constants!$B$3, FALSE(), TRUE())))</f>
        <v/>
      </c>
      <c r="U431" s="97" t="str">
        <f aca="false">IF(ISBLANK($C431),"",IF(I431=Constants!$B$19,Constants!$B$19,Constants!$B$18))</f>
        <v/>
      </c>
      <c r="V431" s="97" t="str">
        <f aca="false">IF(ISBLANK($C431),"",IF(COUNTA(J431:K431)=0,"",IF(AND(OR(ISBLANK(J431),AND(ISNUMBER(J431),J431&gt;=0)),OR(ISBLANK(K431),AND(ISNUMBER(K431),K431&gt;=0))),60*IF(ISBLANK(J431),0,J431)+IF(ISBLANK(K431),0,K431),"")))</f>
        <v/>
      </c>
      <c r="W431" s="97" t="str">
        <f aca="false">IF(ISBLANK($C431),"",IF(L431=Constants!$B$19,Constants!$B$19,Constants!$B$18))</f>
        <v/>
      </c>
      <c r="X431" s="97" t="str">
        <f aca="false">IF(ISBLANK($C431),"",IF(COUNTA(M431:N431)=0,"",IF(AND(OR(ISBLANK(M431),AND(ISNUMBER(M431),M431&gt;=0)),OR(ISBLANK(N431),AND(ISNUMBER(N431),N431&gt;=0))),60*IF(ISBLANK(M431),0,M431)+IF(ISBLANK(N431),0,N431),"")))</f>
        <v/>
      </c>
      <c r="Y431" s="97" t="str">
        <f aca="false">IF(ISBLANK($C431),"",IF(O431=Constants!$B$2, TRUE(), IF(O431=Constants!$B$3, FALSE(), FALSE())))</f>
        <v/>
      </c>
      <c r="Z431" s="97" t="str">
        <f aca="false">IF(ISBLANK($C431),"",IF(Y431,Constants!$B$4,IF(COUNTA(E431:N431)=0,Constants!$B$5,IF(COUNTA(J431:K431,M431:N431)=0,Constants!$B$6,Constants!$B$7))))</f>
        <v/>
      </c>
      <c r="AA431" s="97" t="str">
        <f aca="false">IF(ISBLANK($C431),"",IF($Z431&lt;&gt;Constants!$B$7,$Z431,IF(OR(NOT(T431),AND(NOT(Q431),COUNTIFS(U431:W431,Constants!$B$18,V431:X431,"&gt;=0")&gt;0),AND(NOT(R431),COUNTIFS(U431:W431,Constants!$B$19,V431:X431,"&gt;=0")&gt;0)),Constants!$B$12,Constants!$B$11)))</f>
        <v/>
      </c>
      <c r="AB431" s="97" t="str">
        <f aca="false">IF($Z431=Constants!$B$7,IF(V431="",Constants!$B$13,V431),"")</f>
        <v/>
      </c>
      <c r="AC431" s="97" t="str">
        <f aca="false">IF($Z431=Constants!$B$7,IF(X431="",Constants!$B$13,X431),"")</f>
        <v/>
      </c>
      <c r="AD431" s="97" t="str">
        <f aca="false">IF($Z431=Constants!$B$7,IF($AB431&gt;=$AC431,1,2),"")</f>
        <v/>
      </c>
      <c r="AE431" s="97" t="str">
        <f aca="false">IF($Z431=Constants!$B$7,LARGE(AB431:AC431,1),"")</f>
        <v/>
      </c>
      <c r="AF431" s="97" t="str">
        <f aca="false">IF(ISBLANK($C431),"",IF($Z431&lt;&gt;Constants!$B$7,$Z431,AE431*S431))</f>
        <v/>
      </c>
      <c r="AG431" s="97" t="str">
        <f aca="false">IF(ISBLANK($C431),"",IF($Z431=Constants!$B$7,IF(ISNUMBER(AF431),RANK(AF431,$AF$8:$AF$507),Constants!$B$14),$Z431))</f>
        <v/>
      </c>
      <c r="AH431" s="97" t="str">
        <f aca="false">IF(ISBLANK($C431),"",IF($Z431=Constants!$B$7,IF(ISNUMBER(AG431),COUNTIFS($AA$8:$AA$507,"&lt;"&amp;$AA431)+COUNTIFS($AA$8:$AA$507,$AA431,$AG$8:$AG$507,"&lt;"&amp;$AG431)+1,Constants!$B$14),$Z431))</f>
        <v/>
      </c>
      <c r="AI431" s="97" t="str">
        <f aca="false">IF(ISBLANK($C431),"",IF($Z431=Constants!$B$7,LARGE(AB431:AC431,2)*S431,""))</f>
        <v/>
      </c>
      <c r="AJ431" s="97" t="str">
        <f aca="false">IF(ISBLANK($C431),"",IF($Z431=Constants!$B$7,RANK(AI431,$AI$8:$AI$507),$Z431))</f>
        <v/>
      </c>
      <c r="AK431" s="97" t="str">
        <f aca="false">IF(ISBLANK($C431),"",IF($Z431=Constants!$B$7,IF(ISNUMBER(AG431),COUNTIFS($AA$8:$AA$507,"&lt;"&amp;$AA431)+COUNTIFS($AA$8:$AA$507,$AA431,$AG$8:$AG$507,"&lt;"&amp;$AG431)+COUNTIFS($AA$8:$AA$507,$AA431,$AG$8:$AG$507,$AG431,$AJ$8:$AJ$507,"&lt;"&amp;$AJ431)+1,Constants!$B$14),$Z431))</f>
        <v/>
      </c>
      <c r="AL431" s="97" t="str">
        <f aca="false">IF(ISBLANK($C431),"",IF($Z431=Constants!$B$7,IF(ISNUMBER(AH431),AH431-AK431,Constants!$B$14),$Z431))</f>
        <v/>
      </c>
      <c r="AM431" s="98"/>
      <c r="AN431" s="99" t="str">
        <f aca="false">IF(ISBLANK($C431),"",IF($Z431&lt;&gt;Constants!$B$7,$Z431,AD431))</f>
        <v/>
      </c>
      <c r="AO431" s="100" t="str">
        <f aca="false">IF(ISBLANK($C431),"",IF($Z431&lt;&gt;Constants!$B$7,$Z431,S431))</f>
        <v/>
      </c>
      <c r="AP431" s="101" t="str">
        <f aca="false">IF(ISBLANK($C431),"",IF($Z431&lt;&gt;Constants!$B$7,$Z431,AF431))</f>
        <v/>
      </c>
      <c r="AQ431" s="102" t="str">
        <f aca="false">IF(ISBLANK($C431),"",IF($Z431&lt;&gt;Constants!$B$7,$Z431,AA431))</f>
        <v/>
      </c>
      <c r="AR431" s="100" t="str">
        <f aca="false">IF(ISBLANK($C431),"",AL431)</f>
        <v/>
      </c>
      <c r="AS431" s="100" t="str">
        <f aca="false">IF(ISBLANK($C431),"",AK431)</f>
        <v/>
      </c>
      <c r="AT431" s="103" t="str">
        <f aca="false">IF(ISBLANK($C431),"",IF(AS431=Constants!$B$4,COUNTA($C$8:$C$507)+2,IF(AS431=Constants!$B$5,COUNTA($C$8:$C$507)+1,IF(AS431=Constants!$B$6,COUNTA($C$8:$C$507),AS431))))</f>
        <v/>
      </c>
      <c r="AU431" s="5"/>
      <c r="AV431" s="104" t="n">
        <f aca="false">IF(OR(ISNUMBER(AS431),AS431=Constants!$B$4,AS431=Constants!$B$6,AS431=Constants!$B$5),1,0)</f>
        <v>0</v>
      </c>
      <c r="AW431" s="104" t="n">
        <v>424</v>
      </c>
      <c r="AX431" s="104" t="str">
        <f aca="false">IF(ISBLANK($C431),"",IF(ISNUMBER(AT431),AT431+ROW($B431)/1000,""))</f>
        <v/>
      </c>
      <c r="AY431" s="104" t="str">
        <f aca="false">IF(ISNUMBER(AX431),RANK(AX431,$AX$8:$AX$507,1),"")</f>
        <v/>
      </c>
      <c r="AZ431" s="104" t="str">
        <f aca="false">IF(ISBLANK($C431),"",$B431)</f>
        <v/>
      </c>
      <c r="BA431" s="104" t="str">
        <f aca="false">IF(ISBLANK($C431),"",$C431)</f>
        <v/>
      </c>
      <c r="BB431" s="104" t="str">
        <f aca="false">IF(ISBLANK($C431),"",$D431)</f>
        <v/>
      </c>
      <c r="BC431" s="105" t="str">
        <f aca="false">AQ431</f>
        <v/>
      </c>
      <c r="BD431" s="106" t="str">
        <f aca="false">AP431</f>
        <v/>
      </c>
      <c r="BE431" s="104" t="str">
        <f aca="false">IF(ISBLANK($C431),"",AS431)</f>
        <v/>
      </c>
      <c r="BF431" s="107" t="str">
        <f aca="false">IF($AW431&gt;$AV$7,"",VLOOKUP($AW431,$AY$8:$BE$507,7,FALSE()))</f>
        <v/>
      </c>
      <c r="BG431" s="108" t="str">
        <f aca="false">IF($AW431&gt;$AV$7,"",VLOOKUP($AW431,$AY$8:$BE$507,2,FALSE()))</f>
        <v/>
      </c>
      <c r="BH431" s="108" t="str">
        <f aca="false">IF($AW431&gt;$AV$7,"",VLOOKUP($AW431,$AY$8:$BE$507,3,FALSE()))</f>
        <v/>
      </c>
      <c r="BI431" s="108" t="str">
        <f aca="false">IF($AW431&gt;$AV$7,"",VLOOKUP($AW431,$AY$8:$BE$507,4,FALSE()))</f>
        <v/>
      </c>
      <c r="BJ431" s="108" t="str">
        <f aca="false">IF($AW431&gt;$AV$7,"",VLOOKUP($AW431,$AY$8:$BE$507,5,FALSE()))</f>
        <v/>
      </c>
      <c r="BK431" s="109" t="str">
        <f aca="false">IF($AW431&gt;$AV$7,"",VLOOKUP($AW431,$AY$8:$BE$507,6,FALSE()))</f>
        <v/>
      </c>
      <c r="BL431" s="50"/>
    </row>
    <row r="432" customFormat="false" ht="15.75" hidden="false" customHeight="false" outlineLevel="0" collapsed="false">
      <c r="A432" s="5"/>
      <c r="B432" s="124"/>
      <c r="C432" s="125"/>
      <c r="D432" s="110"/>
      <c r="E432" s="130"/>
      <c r="F432" s="135"/>
      <c r="G432" s="88"/>
      <c r="H432" s="136"/>
      <c r="I432" s="137"/>
      <c r="J432" s="91"/>
      <c r="K432" s="92"/>
      <c r="L432" s="137"/>
      <c r="M432" s="93"/>
      <c r="N432" s="94"/>
      <c r="O432" s="130"/>
      <c r="P432" s="96"/>
      <c r="Q432" s="97" t="str">
        <f aca="false">IF(ISBLANK($C432),"",IF(E432=Constants!$B$2, TRUE(), IF(E432=Constants!$B$3, FALSE(), TRUE())))</f>
        <v/>
      </c>
      <c r="R432" s="97" t="str">
        <f aca="false">IF(ISBLANK($C432),"",IF(F432=Constants!$B$2, TRUE(), IF(F432=Constants!$B$3, FALSE(), TRUE())))</f>
        <v/>
      </c>
      <c r="S432" s="97" t="str">
        <f aca="false">IF(ISBLANK($C432),"",IF(G432=Constants!$B$15,Constants!$B$8,IF(G432=Constants!$B$16,Constants!$B$9,Constants!$B$10)))</f>
        <v/>
      </c>
      <c r="T432" s="97" t="str">
        <f aca="false">IF(ISBLANK($C432),"",IF(H432=Constants!$B$2, TRUE(), IF(H432=Constants!$B$3, FALSE(), TRUE())))</f>
        <v/>
      </c>
      <c r="U432" s="97" t="str">
        <f aca="false">IF(ISBLANK($C432),"",IF(I432=Constants!$B$19,Constants!$B$19,Constants!$B$18))</f>
        <v/>
      </c>
      <c r="V432" s="97" t="str">
        <f aca="false">IF(ISBLANK($C432),"",IF(COUNTA(J432:K432)=0,"",IF(AND(OR(ISBLANK(J432),AND(ISNUMBER(J432),J432&gt;=0)),OR(ISBLANK(K432),AND(ISNUMBER(K432),K432&gt;=0))),60*IF(ISBLANK(J432),0,J432)+IF(ISBLANK(K432),0,K432),"")))</f>
        <v/>
      </c>
      <c r="W432" s="97" t="str">
        <f aca="false">IF(ISBLANK($C432),"",IF(L432=Constants!$B$19,Constants!$B$19,Constants!$B$18))</f>
        <v/>
      </c>
      <c r="X432" s="97" t="str">
        <f aca="false">IF(ISBLANK($C432),"",IF(COUNTA(M432:N432)=0,"",IF(AND(OR(ISBLANK(M432),AND(ISNUMBER(M432),M432&gt;=0)),OR(ISBLANK(N432),AND(ISNUMBER(N432),N432&gt;=0))),60*IF(ISBLANK(M432),0,M432)+IF(ISBLANK(N432),0,N432),"")))</f>
        <v/>
      </c>
      <c r="Y432" s="97" t="str">
        <f aca="false">IF(ISBLANK($C432),"",IF(O432=Constants!$B$2, TRUE(), IF(O432=Constants!$B$3, FALSE(), FALSE())))</f>
        <v/>
      </c>
      <c r="Z432" s="97" t="str">
        <f aca="false">IF(ISBLANK($C432),"",IF(Y432,Constants!$B$4,IF(COUNTA(E432:N432)=0,Constants!$B$5,IF(COUNTA(J432:K432,M432:N432)=0,Constants!$B$6,Constants!$B$7))))</f>
        <v/>
      </c>
      <c r="AA432" s="97" t="str">
        <f aca="false">IF(ISBLANK($C432),"",IF($Z432&lt;&gt;Constants!$B$7,$Z432,IF(OR(NOT(T432),AND(NOT(Q432),COUNTIFS(U432:W432,Constants!$B$18,V432:X432,"&gt;=0")&gt;0),AND(NOT(R432),COUNTIFS(U432:W432,Constants!$B$19,V432:X432,"&gt;=0")&gt;0)),Constants!$B$12,Constants!$B$11)))</f>
        <v/>
      </c>
      <c r="AB432" s="97" t="str">
        <f aca="false">IF($Z432=Constants!$B$7,IF(V432="",Constants!$B$13,V432),"")</f>
        <v/>
      </c>
      <c r="AC432" s="97" t="str">
        <f aca="false">IF($Z432=Constants!$B$7,IF(X432="",Constants!$B$13,X432),"")</f>
        <v/>
      </c>
      <c r="AD432" s="97" t="str">
        <f aca="false">IF($Z432=Constants!$B$7,IF($AB432&gt;=$AC432,1,2),"")</f>
        <v/>
      </c>
      <c r="AE432" s="97" t="str">
        <f aca="false">IF($Z432=Constants!$B$7,LARGE(AB432:AC432,1),"")</f>
        <v/>
      </c>
      <c r="AF432" s="97" t="str">
        <f aca="false">IF(ISBLANK($C432),"",IF($Z432&lt;&gt;Constants!$B$7,$Z432,AE432*S432))</f>
        <v/>
      </c>
      <c r="AG432" s="97" t="str">
        <f aca="false">IF(ISBLANK($C432),"",IF($Z432=Constants!$B$7,IF(ISNUMBER(AF432),RANK(AF432,$AF$8:$AF$507),Constants!$B$14),$Z432))</f>
        <v/>
      </c>
      <c r="AH432" s="97" t="str">
        <f aca="false">IF(ISBLANK($C432),"",IF($Z432=Constants!$B$7,IF(ISNUMBER(AG432),COUNTIFS($AA$8:$AA$507,"&lt;"&amp;$AA432)+COUNTIFS($AA$8:$AA$507,$AA432,$AG$8:$AG$507,"&lt;"&amp;$AG432)+1,Constants!$B$14),$Z432))</f>
        <v/>
      </c>
      <c r="AI432" s="97" t="str">
        <f aca="false">IF(ISBLANK($C432),"",IF($Z432=Constants!$B$7,LARGE(AB432:AC432,2)*S432,""))</f>
        <v/>
      </c>
      <c r="AJ432" s="97" t="str">
        <f aca="false">IF(ISBLANK($C432),"",IF($Z432=Constants!$B$7,RANK(AI432,$AI$8:$AI$507),$Z432))</f>
        <v/>
      </c>
      <c r="AK432" s="97" t="str">
        <f aca="false">IF(ISBLANK($C432),"",IF($Z432=Constants!$B$7,IF(ISNUMBER(AG432),COUNTIFS($AA$8:$AA$507,"&lt;"&amp;$AA432)+COUNTIFS($AA$8:$AA$507,$AA432,$AG$8:$AG$507,"&lt;"&amp;$AG432)+COUNTIFS($AA$8:$AA$507,$AA432,$AG$8:$AG$507,$AG432,$AJ$8:$AJ$507,"&lt;"&amp;$AJ432)+1,Constants!$B$14),$Z432))</f>
        <v/>
      </c>
      <c r="AL432" s="97" t="str">
        <f aca="false">IF(ISBLANK($C432),"",IF($Z432=Constants!$B$7,IF(ISNUMBER(AH432),AH432-AK432,Constants!$B$14),$Z432))</f>
        <v/>
      </c>
      <c r="AM432" s="98"/>
      <c r="AN432" s="99" t="str">
        <f aca="false">IF(ISBLANK($C432),"",IF($Z432&lt;&gt;Constants!$B$7,$Z432,AD432))</f>
        <v/>
      </c>
      <c r="AO432" s="100" t="str">
        <f aca="false">IF(ISBLANK($C432),"",IF($Z432&lt;&gt;Constants!$B$7,$Z432,S432))</f>
        <v/>
      </c>
      <c r="AP432" s="101" t="str">
        <f aca="false">IF(ISBLANK($C432),"",IF($Z432&lt;&gt;Constants!$B$7,$Z432,AF432))</f>
        <v/>
      </c>
      <c r="AQ432" s="102" t="str">
        <f aca="false">IF(ISBLANK($C432),"",IF($Z432&lt;&gt;Constants!$B$7,$Z432,AA432))</f>
        <v/>
      </c>
      <c r="AR432" s="100" t="str">
        <f aca="false">IF(ISBLANK($C432),"",AL432)</f>
        <v/>
      </c>
      <c r="AS432" s="100" t="str">
        <f aca="false">IF(ISBLANK($C432),"",AK432)</f>
        <v/>
      </c>
      <c r="AT432" s="103" t="str">
        <f aca="false">IF(ISBLANK($C432),"",IF(AS432=Constants!$B$4,COUNTA($C$8:$C$507)+2,IF(AS432=Constants!$B$5,COUNTA($C$8:$C$507)+1,IF(AS432=Constants!$B$6,COUNTA($C$8:$C$507),AS432))))</f>
        <v/>
      </c>
      <c r="AU432" s="5"/>
      <c r="AV432" s="104" t="n">
        <f aca="false">IF(OR(ISNUMBER(AS432),AS432=Constants!$B$4,AS432=Constants!$B$6,AS432=Constants!$B$5),1,0)</f>
        <v>0</v>
      </c>
      <c r="AW432" s="104" t="n">
        <v>425</v>
      </c>
      <c r="AX432" s="104" t="str">
        <f aca="false">IF(ISBLANK($C432),"",IF(ISNUMBER(AT432),AT432+ROW($B432)/1000,""))</f>
        <v/>
      </c>
      <c r="AY432" s="104" t="str">
        <f aca="false">IF(ISNUMBER(AX432),RANK(AX432,$AX$8:$AX$507,1),"")</f>
        <v/>
      </c>
      <c r="AZ432" s="104" t="str">
        <f aca="false">IF(ISBLANK($C432),"",$B432)</f>
        <v/>
      </c>
      <c r="BA432" s="104" t="str">
        <f aca="false">IF(ISBLANK($C432),"",$C432)</f>
        <v/>
      </c>
      <c r="BB432" s="104" t="str">
        <f aca="false">IF(ISBLANK($C432),"",$D432)</f>
        <v/>
      </c>
      <c r="BC432" s="105" t="str">
        <f aca="false">AQ432</f>
        <v/>
      </c>
      <c r="BD432" s="106" t="str">
        <f aca="false">AP432</f>
        <v/>
      </c>
      <c r="BE432" s="104" t="str">
        <f aca="false">IF(ISBLANK($C432),"",AS432)</f>
        <v/>
      </c>
      <c r="BF432" s="107" t="str">
        <f aca="false">IF($AW432&gt;$AV$7,"",VLOOKUP($AW432,$AY$8:$BE$507,7,FALSE()))</f>
        <v/>
      </c>
      <c r="BG432" s="108" t="str">
        <f aca="false">IF($AW432&gt;$AV$7,"",VLOOKUP($AW432,$AY$8:$BE$507,2,FALSE()))</f>
        <v/>
      </c>
      <c r="BH432" s="108" t="str">
        <f aca="false">IF($AW432&gt;$AV$7,"",VLOOKUP($AW432,$AY$8:$BE$507,3,FALSE()))</f>
        <v/>
      </c>
      <c r="BI432" s="108" t="str">
        <f aca="false">IF($AW432&gt;$AV$7,"",VLOOKUP($AW432,$AY$8:$BE$507,4,FALSE()))</f>
        <v/>
      </c>
      <c r="BJ432" s="108" t="str">
        <f aca="false">IF($AW432&gt;$AV$7,"",VLOOKUP($AW432,$AY$8:$BE$507,5,FALSE()))</f>
        <v/>
      </c>
      <c r="BK432" s="109" t="str">
        <f aca="false">IF($AW432&gt;$AV$7,"",VLOOKUP($AW432,$AY$8:$BE$507,6,FALSE()))</f>
        <v/>
      </c>
      <c r="BL432" s="50"/>
    </row>
    <row r="433" customFormat="false" ht="15.75" hidden="false" customHeight="false" outlineLevel="0" collapsed="false">
      <c r="A433" s="5"/>
      <c r="B433" s="124"/>
      <c r="C433" s="125"/>
      <c r="D433" s="110"/>
      <c r="E433" s="130"/>
      <c r="F433" s="135"/>
      <c r="G433" s="88"/>
      <c r="H433" s="136"/>
      <c r="I433" s="137"/>
      <c r="J433" s="91"/>
      <c r="K433" s="92"/>
      <c r="L433" s="137"/>
      <c r="M433" s="93"/>
      <c r="N433" s="94"/>
      <c r="O433" s="130"/>
      <c r="P433" s="96"/>
      <c r="Q433" s="97" t="str">
        <f aca="false">IF(ISBLANK($C433),"",IF(E433=Constants!$B$2, TRUE(), IF(E433=Constants!$B$3, FALSE(), TRUE())))</f>
        <v/>
      </c>
      <c r="R433" s="97" t="str">
        <f aca="false">IF(ISBLANK($C433),"",IF(F433=Constants!$B$2, TRUE(), IF(F433=Constants!$B$3, FALSE(), TRUE())))</f>
        <v/>
      </c>
      <c r="S433" s="97" t="str">
        <f aca="false">IF(ISBLANK($C433),"",IF(G433=Constants!$B$15,Constants!$B$8,IF(G433=Constants!$B$16,Constants!$B$9,Constants!$B$10)))</f>
        <v/>
      </c>
      <c r="T433" s="97" t="str">
        <f aca="false">IF(ISBLANK($C433),"",IF(H433=Constants!$B$2, TRUE(), IF(H433=Constants!$B$3, FALSE(), TRUE())))</f>
        <v/>
      </c>
      <c r="U433" s="97" t="str">
        <f aca="false">IF(ISBLANK($C433),"",IF(I433=Constants!$B$19,Constants!$B$19,Constants!$B$18))</f>
        <v/>
      </c>
      <c r="V433" s="97" t="str">
        <f aca="false">IF(ISBLANK($C433),"",IF(COUNTA(J433:K433)=0,"",IF(AND(OR(ISBLANK(J433),AND(ISNUMBER(J433),J433&gt;=0)),OR(ISBLANK(K433),AND(ISNUMBER(K433),K433&gt;=0))),60*IF(ISBLANK(J433),0,J433)+IF(ISBLANK(K433),0,K433),"")))</f>
        <v/>
      </c>
      <c r="W433" s="97" t="str">
        <f aca="false">IF(ISBLANK($C433),"",IF(L433=Constants!$B$19,Constants!$B$19,Constants!$B$18))</f>
        <v/>
      </c>
      <c r="X433" s="97" t="str">
        <f aca="false">IF(ISBLANK($C433),"",IF(COUNTA(M433:N433)=0,"",IF(AND(OR(ISBLANK(M433),AND(ISNUMBER(M433),M433&gt;=0)),OR(ISBLANK(N433),AND(ISNUMBER(N433),N433&gt;=0))),60*IF(ISBLANK(M433),0,M433)+IF(ISBLANK(N433),0,N433),"")))</f>
        <v/>
      </c>
      <c r="Y433" s="97" t="str">
        <f aca="false">IF(ISBLANK($C433),"",IF(O433=Constants!$B$2, TRUE(), IF(O433=Constants!$B$3, FALSE(), FALSE())))</f>
        <v/>
      </c>
      <c r="Z433" s="97" t="str">
        <f aca="false">IF(ISBLANK($C433),"",IF(Y433,Constants!$B$4,IF(COUNTA(E433:N433)=0,Constants!$B$5,IF(COUNTA(J433:K433,M433:N433)=0,Constants!$B$6,Constants!$B$7))))</f>
        <v/>
      </c>
      <c r="AA433" s="97" t="str">
        <f aca="false">IF(ISBLANK($C433),"",IF($Z433&lt;&gt;Constants!$B$7,$Z433,IF(OR(NOT(T433),AND(NOT(Q433),COUNTIFS(U433:W433,Constants!$B$18,V433:X433,"&gt;=0")&gt;0),AND(NOT(R433),COUNTIFS(U433:W433,Constants!$B$19,V433:X433,"&gt;=0")&gt;0)),Constants!$B$12,Constants!$B$11)))</f>
        <v/>
      </c>
      <c r="AB433" s="97" t="str">
        <f aca="false">IF($Z433=Constants!$B$7,IF(V433="",Constants!$B$13,V433),"")</f>
        <v/>
      </c>
      <c r="AC433" s="97" t="str">
        <f aca="false">IF($Z433=Constants!$B$7,IF(X433="",Constants!$B$13,X433),"")</f>
        <v/>
      </c>
      <c r="AD433" s="97" t="str">
        <f aca="false">IF($Z433=Constants!$B$7,IF($AB433&gt;=$AC433,1,2),"")</f>
        <v/>
      </c>
      <c r="AE433" s="97" t="str">
        <f aca="false">IF($Z433=Constants!$B$7,LARGE(AB433:AC433,1),"")</f>
        <v/>
      </c>
      <c r="AF433" s="97" t="str">
        <f aca="false">IF(ISBLANK($C433),"",IF($Z433&lt;&gt;Constants!$B$7,$Z433,AE433*S433))</f>
        <v/>
      </c>
      <c r="AG433" s="97" t="str">
        <f aca="false">IF(ISBLANK($C433),"",IF($Z433=Constants!$B$7,IF(ISNUMBER(AF433),RANK(AF433,$AF$8:$AF$507),Constants!$B$14),$Z433))</f>
        <v/>
      </c>
      <c r="AH433" s="97" t="str">
        <f aca="false">IF(ISBLANK($C433),"",IF($Z433=Constants!$B$7,IF(ISNUMBER(AG433),COUNTIFS($AA$8:$AA$507,"&lt;"&amp;$AA433)+COUNTIFS($AA$8:$AA$507,$AA433,$AG$8:$AG$507,"&lt;"&amp;$AG433)+1,Constants!$B$14),$Z433))</f>
        <v/>
      </c>
      <c r="AI433" s="97" t="str">
        <f aca="false">IF(ISBLANK($C433),"",IF($Z433=Constants!$B$7,LARGE(AB433:AC433,2)*S433,""))</f>
        <v/>
      </c>
      <c r="AJ433" s="97" t="str">
        <f aca="false">IF(ISBLANK($C433),"",IF($Z433=Constants!$B$7,RANK(AI433,$AI$8:$AI$507),$Z433))</f>
        <v/>
      </c>
      <c r="AK433" s="97" t="str">
        <f aca="false">IF(ISBLANK($C433),"",IF($Z433=Constants!$B$7,IF(ISNUMBER(AG433),COUNTIFS($AA$8:$AA$507,"&lt;"&amp;$AA433)+COUNTIFS($AA$8:$AA$507,$AA433,$AG$8:$AG$507,"&lt;"&amp;$AG433)+COUNTIFS($AA$8:$AA$507,$AA433,$AG$8:$AG$507,$AG433,$AJ$8:$AJ$507,"&lt;"&amp;$AJ433)+1,Constants!$B$14),$Z433))</f>
        <v/>
      </c>
      <c r="AL433" s="97" t="str">
        <f aca="false">IF(ISBLANK($C433),"",IF($Z433=Constants!$B$7,IF(ISNUMBER(AH433),AH433-AK433,Constants!$B$14),$Z433))</f>
        <v/>
      </c>
      <c r="AM433" s="98"/>
      <c r="AN433" s="99" t="str">
        <f aca="false">IF(ISBLANK($C433),"",IF($Z433&lt;&gt;Constants!$B$7,$Z433,AD433))</f>
        <v/>
      </c>
      <c r="AO433" s="100" t="str">
        <f aca="false">IF(ISBLANK($C433),"",IF($Z433&lt;&gt;Constants!$B$7,$Z433,S433))</f>
        <v/>
      </c>
      <c r="AP433" s="101" t="str">
        <f aca="false">IF(ISBLANK($C433),"",IF($Z433&lt;&gt;Constants!$B$7,$Z433,AF433))</f>
        <v/>
      </c>
      <c r="AQ433" s="102" t="str">
        <f aca="false">IF(ISBLANK($C433),"",IF($Z433&lt;&gt;Constants!$B$7,$Z433,AA433))</f>
        <v/>
      </c>
      <c r="AR433" s="100" t="str">
        <f aca="false">IF(ISBLANK($C433),"",AL433)</f>
        <v/>
      </c>
      <c r="AS433" s="100" t="str">
        <f aca="false">IF(ISBLANK($C433),"",AK433)</f>
        <v/>
      </c>
      <c r="AT433" s="103" t="str">
        <f aca="false">IF(ISBLANK($C433),"",IF(AS433=Constants!$B$4,COUNTA($C$8:$C$507)+2,IF(AS433=Constants!$B$5,COUNTA($C$8:$C$507)+1,IF(AS433=Constants!$B$6,COUNTA($C$8:$C$507),AS433))))</f>
        <v/>
      </c>
      <c r="AU433" s="5"/>
      <c r="AV433" s="104" t="n">
        <f aca="false">IF(OR(ISNUMBER(AS433),AS433=Constants!$B$4,AS433=Constants!$B$6,AS433=Constants!$B$5),1,0)</f>
        <v>0</v>
      </c>
      <c r="AW433" s="104" t="n">
        <v>426</v>
      </c>
      <c r="AX433" s="104" t="str">
        <f aca="false">IF(ISBLANK($C433),"",IF(ISNUMBER(AT433),AT433+ROW($B433)/1000,""))</f>
        <v/>
      </c>
      <c r="AY433" s="104" t="str">
        <f aca="false">IF(ISNUMBER(AX433),RANK(AX433,$AX$8:$AX$507,1),"")</f>
        <v/>
      </c>
      <c r="AZ433" s="104" t="str">
        <f aca="false">IF(ISBLANK($C433),"",$B433)</f>
        <v/>
      </c>
      <c r="BA433" s="104" t="str">
        <f aca="false">IF(ISBLANK($C433),"",$C433)</f>
        <v/>
      </c>
      <c r="BB433" s="104" t="str">
        <f aca="false">IF(ISBLANK($C433),"",$D433)</f>
        <v/>
      </c>
      <c r="BC433" s="105" t="str">
        <f aca="false">AQ433</f>
        <v/>
      </c>
      <c r="BD433" s="106" t="str">
        <f aca="false">AP433</f>
        <v/>
      </c>
      <c r="BE433" s="104" t="str">
        <f aca="false">IF(ISBLANK($C433),"",AS433)</f>
        <v/>
      </c>
      <c r="BF433" s="107" t="str">
        <f aca="false">IF($AW433&gt;$AV$7,"",VLOOKUP($AW433,$AY$8:$BE$507,7,FALSE()))</f>
        <v/>
      </c>
      <c r="BG433" s="108" t="str">
        <f aca="false">IF($AW433&gt;$AV$7,"",VLOOKUP($AW433,$AY$8:$BE$507,2,FALSE()))</f>
        <v/>
      </c>
      <c r="BH433" s="108" t="str">
        <f aca="false">IF($AW433&gt;$AV$7,"",VLOOKUP($AW433,$AY$8:$BE$507,3,FALSE()))</f>
        <v/>
      </c>
      <c r="BI433" s="108" t="str">
        <f aca="false">IF($AW433&gt;$AV$7,"",VLOOKUP($AW433,$AY$8:$BE$507,4,FALSE()))</f>
        <v/>
      </c>
      <c r="BJ433" s="108" t="str">
        <f aca="false">IF($AW433&gt;$AV$7,"",VLOOKUP($AW433,$AY$8:$BE$507,5,FALSE()))</f>
        <v/>
      </c>
      <c r="BK433" s="109" t="str">
        <f aca="false">IF($AW433&gt;$AV$7,"",VLOOKUP($AW433,$AY$8:$BE$507,6,FALSE()))</f>
        <v/>
      </c>
      <c r="BL433" s="50"/>
    </row>
    <row r="434" customFormat="false" ht="15.75" hidden="false" customHeight="false" outlineLevel="0" collapsed="false">
      <c r="A434" s="5"/>
      <c r="B434" s="131"/>
      <c r="C434" s="52"/>
      <c r="D434" s="53"/>
      <c r="E434" s="80"/>
      <c r="F434" s="132"/>
      <c r="G434" s="56"/>
      <c r="H434" s="133"/>
      <c r="I434" s="134"/>
      <c r="J434" s="59"/>
      <c r="K434" s="60"/>
      <c r="L434" s="134"/>
      <c r="M434" s="61"/>
      <c r="N434" s="62"/>
      <c r="O434" s="80"/>
      <c r="P434" s="64"/>
      <c r="Q434" s="65" t="str">
        <f aca="false">IF(ISBLANK($C434),"",IF(E434=Constants!$B$2, TRUE(), IF(E434=Constants!$B$3, FALSE(), TRUE())))</f>
        <v/>
      </c>
      <c r="R434" s="65" t="str">
        <f aca="false">IF(ISBLANK($C434),"",IF(F434=Constants!$B$2, TRUE(), IF(F434=Constants!$B$3, FALSE(), TRUE())))</f>
        <v/>
      </c>
      <c r="S434" s="65" t="str">
        <f aca="false">IF(ISBLANK($C434),"",IF(G434=Constants!$B$15,Constants!$B$8,IF(G434=Constants!$B$16,Constants!$B$9,Constants!$B$10)))</f>
        <v/>
      </c>
      <c r="T434" s="65" t="str">
        <f aca="false">IF(ISBLANK($C434),"",IF(H434=Constants!$B$2, TRUE(), IF(H434=Constants!$B$3, FALSE(), TRUE())))</f>
        <v/>
      </c>
      <c r="U434" s="65" t="str">
        <f aca="false">IF(ISBLANK($C434),"",IF(I434=Constants!$B$19,Constants!$B$19,Constants!$B$18))</f>
        <v/>
      </c>
      <c r="V434" s="65" t="str">
        <f aca="false">IF(ISBLANK($C434),"",IF(COUNTA(J434:K434)=0,"",IF(AND(OR(ISBLANK(J434),AND(ISNUMBER(J434),J434&gt;=0)),OR(ISBLANK(K434),AND(ISNUMBER(K434),K434&gt;=0))),60*IF(ISBLANK(J434),0,J434)+IF(ISBLANK(K434),0,K434),"")))</f>
        <v/>
      </c>
      <c r="W434" s="65" t="str">
        <f aca="false">IF(ISBLANK($C434),"",IF(L434=Constants!$B$19,Constants!$B$19,Constants!$B$18))</f>
        <v/>
      </c>
      <c r="X434" s="65" t="str">
        <f aca="false">IF(ISBLANK($C434),"",IF(COUNTA(M434:N434)=0,"",IF(AND(OR(ISBLANK(M434),AND(ISNUMBER(M434),M434&gt;=0)),OR(ISBLANK(N434),AND(ISNUMBER(N434),N434&gt;=0))),60*IF(ISBLANK(M434),0,M434)+IF(ISBLANK(N434),0,N434),"")))</f>
        <v/>
      </c>
      <c r="Y434" s="65" t="str">
        <f aca="false">IF(ISBLANK($C434),"",IF(O434=Constants!$B$2, TRUE(), IF(O434=Constants!$B$3, FALSE(), FALSE())))</f>
        <v/>
      </c>
      <c r="Z434" s="65" t="str">
        <f aca="false">IF(ISBLANK($C434),"",IF(Y434,Constants!$B$4,IF(COUNTA(E434:N434)=0,Constants!$B$5,IF(COUNTA(J434:K434,M434:N434)=0,Constants!$B$6,Constants!$B$7))))</f>
        <v/>
      </c>
      <c r="AA434" s="65" t="str">
        <f aca="false">IF(ISBLANK($C434),"",IF($Z434&lt;&gt;Constants!$B$7,$Z434,IF(OR(NOT(T434),AND(NOT(Q434),COUNTIFS(U434:W434,Constants!$B$18,V434:X434,"&gt;=0")&gt;0),AND(NOT(R434),COUNTIFS(U434:W434,Constants!$B$19,V434:X434,"&gt;=0")&gt;0)),Constants!$B$12,Constants!$B$11)))</f>
        <v/>
      </c>
      <c r="AB434" s="65" t="str">
        <f aca="false">IF($Z434=Constants!$B$7,IF(V434="",Constants!$B$13,V434),"")</f>
        <v/>
      </c>
      <c r="AC434" s="65" t="str">
        <f aca="false">IF($Z434=Constants!$B$7,IF(X434="",Constants!$B$13,X434),"")</f>
        <v/>
      </c>
      <c r="AD434" s="65" t="str">
        <f aca="false">IF($Z434=Constants!$B$7,IF($AB434&gt;=$AC434,1,2),"")</f>
        <v/>
      </c>
      <c r="AE434" s="65" t="str">
        <f aca="false">IF($Z434=Constants!$B$7,LARGE(AB434:AC434,1),"")</f>
        <v/>
      </c>
      <c r="AF434" s="65" t="str">
        <f aca="false">IF(ISBLANK($C434),"",IF($Z434&lt;&gt;Constants!$B$7,$Z434,AE434*S434))</f>
        <v/>
      </c>
      <c r="AG434" s="65" t="str">
        <f aca="false">IF(ISBLANK($C434),"",IF($Z434=Constants!$B$7,IF(ISNUMBER(AF434),RANK(AF434,$AF$8:$AF$507),Constants!$B$14),$Z434))</f>
        <v/>
      </c>
      <c r="AH434" s="65" t="str">
        <f aca="false">IF(ISBLANK($C434),"",IF($Z434=Constants!$B$7,IF(ISNUMBER(AG434),COUNTIFS($AA$8:$AA$507,"&lt;"&amp;$AA434)+COUNTIFS($AA$8:$AA$507,$AA434,$AG$8:$AG$507,"&lt;"&amp;$AG434)+1,Constants!$B$14),$Z434))</f>
        <v/>
      </c>
      <c r="AI434" s="65" t="str">
        <f aca="false">IF(ISBLANK($C434),"",IF($Z434=Constants!$B$7,LARGE(AB434:AC434,2)*S434,""))</f>
        <v/>
      </c>
      <c r="AJ434" s="65" t="str">
        <f aca="false">IF(ISBLANK($C434),"",IF($Z434=Constants!$B$7,RANK(AI434,$AI$8:$AI$507),$Z434))</f>
        <v/>
      </c>
      <c r="AK434" s="65" t="str">
        <f aca="false">IF(ISBLANK($C434),"",IF($Z434=Constants!$B$7,IF(ISNUMBER(AG434),COUNTIFS($AA$8:$AA$507,"&lt;"&amp;$AA434)+COUNTIFS($AA$8:$AA$507,$AA434,$AG$8:$AG$507,"&lt;"&amp;$AG434)+COUNTIFS($AA$8:$AA$507,$AA434,$AG$8:$AG$507,$AG434,$AJ$8:$AJ$507,"&lt;"&amp;$AJ434)+1,Constants!$B$14),$Z434))</f>
        <v/>
      </c>
      <c r="AL434" s="65" t="str">
        <f aca="false">IF(ISBLANK($C434),"",IF($Z434=Constants!$B$7,IF(ISNUMBER(AH434),AH434-AK434,Constants!$B$14),$Z434))</f>
        <v/>
      </c>
      <c r="AM434" s="67"/>
      <c r="AN434" s="68" t="str">
        <f aca="false">IF(ISBLANK($C434),"",IF($Z434&lt;&gt;Constants!$B$7,$Z434,AD434))</f>
        <v/>
      </c>
      <c r="AO434" s="69" t="str">
        <f aca="false">IF(ISBLANK($C434),"",IF($Z434&lt;&gt;Constants!$B$7,$Z434,S434))</f>
        <v/>
      </c>
      <c r="AP434" s="70" t="str">
        <f aca="false">IF(ISBLANK($C434),"",IF($Z434&lt;&gt;Constants!$B$7,$Z434,AF434))</f>
        <v/>
      </c>
      <c r="AQ434" s="71" t="str">
        <f aca="false">IF(ISBLANK($C434),"",IF($Z434&lt;&gt;Constants!$B$7,$Z434,AA434))</f>
        <v/>
      </c>
      <c r="AR434" s="69" t="str">
        <f aca="false">IF(ISBLANK($C434),"",AL434)</f>
        <v/>
      </c>
      <c r="AS434" s="69" t="str">
        <f aca="false">IF(ISBLANK($C434),"",AK434)</f>
        <v/>
      </c>
      <c r="AT434" s="72" t="str">
        <f aca="false">IF(ISBLANK($C434),"",IF(AS434=Constants!$B$4,COUNTA($C$8:$C$507)+2,IF(AS434=Constants!$B$5,COUNTA($C$8:$C$507)+1,IF(AS434=Constants!$B$6,COUNTA($C$8:$C$507),AS434))))</f>
        <v/>
      </c>
      <c r="AU434" s="5"/>
      <c r="AV434" s="73" t="n">
        <f aca="false">IF(OR(ISNUMBER(AS434),AS434=Constants!$B$4,AS434=Constants!$B$6,AS434=Constants!$B$5),1,0)</f>
        <v>0</v>
      </c>
      <c r="AW434" s="73" t="n">
        <v>427</v>
      </c>
      <c r="AX434" s="73" t="str">
        <f aca="false">IF(ISBLANK($C434),"",IF(ISNUMBER(AT434),AT434+ROW($B434)/1000,""))</f>
        <v/>
      </c>
      <c r="AY434" s="73" t="str">
        <f aca="false">IF(ISNUMBER(AX434),RANK(AX434,$AX$8:$AX$507,1),"")</f>
        <v/>
      </c>
      <c r="AZ434" s="73" t="str">
        <f aca="false">IF(ISBLANK($C434),"",$B434)</f>
        <v/>
      </c>
      <c r="BA434" s="73" t="str">
        <f aca="false">IF(ISBLANK($C434),"",$C434)</f>
        <v/>
      </c>
      <c r="BB434" s="73" t="str">
        <f aca="false">IF(ISBLANK($C434),"",$D434)</f>
        <v/>
      </c>
      <c r="BC434" s="74" t="str">
        <f aca="false">AQ434</f>
        <v/>
      </c>
      <c r="BD434" s="75" t="str">
        <f aca="false">AP434</f>
        <v/>
      </c>
      <c r="BE434" s="73" t="str">
        <f aca="false">IF(ISBLANK($C434),"",AS434)</f>
        <v/>
      </c>
      <c r="BF434" s="76" t="str">
        <f aca="false">IF($AW434&gt;$AV$7,"",VLOOKUP($AW434,$AY$8:$BE$507,7,FALSE()))</f>
        <v/>
      </c>
      <c r="BG434" s="77" t="str">
        <f aca="false">IF($AW434&gt;$AV$7,"",VLOOKUP($AW434,$AY$8:$BE$507,2,FALSE()))</f>
        <v/>
      </c>
      <c r="BH434" s="77" t="str">
        <f aca="false">IF($AW434&gt;$AV$7,"",VLOOKUP($AW434,$AY$8:$BE$507,3,FALSE()))</f>
        <v/>
      </c>
      <c r="BI434" s="77" t="str">
        <f aca="false">IF($AW434&gt;$AV$7,"",VLOOKUP($AW434,$AY$8:$BE$507,4,FALSE()))</f>
        <v/>
      </c>
      <c r="BJ434" s="77" t="str">
        <f aca="false">IF($AW434&gt;$AV$7,"",VLOOKUP($AW434,$AY$8:$BE$507,5,FALSE()))</f>
        <v/>
      </c>
      <c r="BK434" s="78" t="str">
        <f aca="false">IF($AW434&gt;$AV$7,"",VLOOKUP($AW434,$AY$8:$BE$507,6,FALSE()))</f>
        <v/>
      </c>
      <c r="BL434" s="50"/>
    </row>
    <row r="435" customFormat="false" ht="15.75" hidden="false" customHeight="false" outlineLevel="0" collapsed="false">
      <c r="A435" s="5"/>
      <c r="B435" s="131"/>
      <c r="C435" s="52"/>
      <c r="D435" s="53"/>
      <c r="E435" s="80"/>
      <c r="F435" s="132"/>
      <c r="G435" s="56"/>
      <c r="H435" s="133"/>
      <c r="I435" s="134"/>
      <c r="J435" s="59"/>
      <c r="K435" s="60"/>
      <c r="L435" s="134"/>
      <c r="M435" s="61"/>
      <c r="N435" s="62"/>
      <c r="O435" s="80"/>
      <c r="P435" s="64"/>
      <c r="Q435" s="65" t="str">
        <f aca="false">IF(ISBLANK($C435),"",IF(E435=Constants!$B$2, TRUE(), IF(E435=Constants!$B$3, FALSE(), TRUE())))</f>
        <v/>
      </c>
      <c r="R435" s="65" t="str">
        <f aca="false">IF(ISBLANK($C435),"",IF(F435=Constants!$B$2, TRUE(), IF(F435=Constants!$B$3, FALSE(), TRUE())))</f>
        <v/>
      </c>
      <c r="S435" s="65" t="str">
        <f aca="false">IF(ISBLANK($C435),"",IF(G435=Constants!$B$15,Constants!$B$8,IF(G435=Constants!$B$16,Constants!$B$9,Constants!$B$10)))</f>
        <v/>
      </c>
      <c r="T435" s="65" t="str">
        <f aca="false">IF(ISBLANK($C435),"",IF(H435=Constants!$B$2, TRUE(), IF(H435=Constants!$B$3, FALSE(), TRUE())))</f>
        <v/>
      </c>
      <c r="U435" s="65" t="str">
        <f aca="false">IF(ISBLANK($C435),"",IF(I435=Constants!$B$19,Constants!$B$19,Constants!$B$18))</f>
        <v/>
      </c>
      <c r="V435" s="65" t="str">
        <f aca="false">IF(ISBLANK($C435),"",IF(COUNTA(J435:K435)=0,"",IF(AND(OR(ISBLANK(J435),AND(ISNUMBER(J435),J435&gt;=0)),OR(ISBLANK(K435),AND(ISNUMBER(K435),K435&gt;=0))),60*IF(ISBLANK(J435),0,J435)+IF(ISBLANK(K435),0,K435),"")))</f>
        <v/>
      </c>
      <c r="W435" s="65" t="str">
        <f aca="false">IF(ISBLANK($C435),"",IF(L435=Constants!$B$19,Constants!$B$19,Constants!$B$18))</f>
        <v/>
      </c>
      <c r="X435" s="65" t="str">
        <f aca="false">IF(ISBLANK($C435),"",IF(COUNTA(M435:N435)=0,"",IF(AND(OR(ISBLANK(M435),AND(ISNUMBER(M435),M435&gt;=0)),OR(ISBLANK(N435),AND(ISNUMBER(N435),N435&gt;=0))),60*IF(ISBLANK(M435),0,M435)+IF(ISBLANK(N435),0,N435),"")))</f>
        <v/>
      </c>
      <c r="Y435" s="65" t="str">
        <f aca="false">IF(ISBLANK($C435),"",IF(O435=Constants!$B$2, TRUE(), IF(O435=Constants!$B$3, FALSE(), FALSE())))</f>
        <v/>
      </c>
      <c r="Z435" s="65" t="str">
        <f aca="false">IF(ISBLANK($C435),"",IF(Y435,Constants!$B$4,IF(COUNTA(E435:N435)=0,Constants!$B$5,IF(COUNTA(J435:K435,M435:N435)=0,Constants!$B$6,Constants!$B$7))))</f>
        <v/>
      </c>
      <c r="AA435" s="65" t="str">
        <f aca="false">IF(ISBLANK($C435),"",IF($Z435&lt;&gt;Constants!$B$7,$Z435,IF(OR(NOT(T435),AND(NOT(Q435),COUNTIFS(U435:W435,Constants!$B$18,V435:X435,"&gt;=0")&gt;0),AND(NOT(R435),COUNTIFS(U435:W435,Constants!$B$19,V435:X435,"&gt;=0")&gt;0)),Constants!$B$12,Constants!$B$11)))</f>
        <v/>
      </c>
      <c r="AB435" s="65" t="str">
        <f aca="false">IF($Z435=Constants!$B$7,IF(V435="",Constants!$B$13,V435),"")</f>
        <v/>
      </c>
      <c r="AC435" s="65" t="str">
        <f aca="false">IF($Z435=Constants!$B$7,IF(X435="",Constants!$B$13,X435),"")</f>
        <v/>
      </c>
      <c r="AD435" s="65" t="str">
        <f aca="false">IF($Z435=Constants!$B$7,IF($AB435&gt;=$AC435,1,2),"")</f>
        <v/>
      </c>
      <c r="AE435" s="65" t="str">
        <f aca="false">IF($Z435=Constants!$B$7,LARGE(AB435:AC435,1),"")</f>
        <v/>
      </c>
      <c r="AF435" s="65" t="str">
        <f aca="false">IF(ISBLANK($C435),"",IF($Z435&lt;&gt;Constants!$B$7,$Z435,AE435*S435))</f>
        <v/>
      </c>
      <c r="AG435" s="65" t="str">
        <f aca="false">IF(ISBLANK($C435),"",IF($Z435=Constants!$B$7,IF(ISNUMBER(AF435),RANK(AF435,$AF$8:$AF$507),Constants!$B$14),$Z435))</f>
        <v/>
      </c>
      <c r="AH435" s="65" t="str">
        <f aca="false">IF(ISBLANK($C435),"",IF($Z435=Constants!$B$7,IF(ISNUMBER(AG435),COUNTIFS($AA$8:$AA$507,"&lt;"&amp;$AA435)+COUNTIFS($AA$8:$AA$507,$AA435,$AG$8:$AG$507,"&lt;"&amp;$AG435)+1,Constants!$B$14),$Z435))</f>
        <v/>
      </c>
      <c r="AI435" s="65" t="str">
        <f aca="false">IF(ISBLANK($C435),"",IF($Z435=Constants!$B$7,LARGE(AB435:AC435,2)*S435,""))</f>
        <v/>
      </c>
      <c r="AJ435" s="65" t="str">
        <f aca="false">IF(ISBLANK($C435),"",IF($Z435=Constants!$B$7,RANK(AI435,$AI$8:$AI$507),$Z435))</f>
        <v/>
      </c>
      <c r="AK435" s="65" t="str">
        <f aca="false">IF(ISBLANK($C435),"",IF($Z435=Constants!$B$7,IF(ISNUMBER(AG435),COUNTIFS($AA$8:$AA$507,"&lt;"&amp;$AA435)+COUNTIFS($AA$8:$AA$507,$AA435,$AG$8:$AG$507,"&lt;"&amp;$AG435)+COUNTIFS($AA$8:$AA$507,$AA435,$AG$8:$AG$507,$AG435,$AJ$8:$AJ$507,"&lt;"&amp;$AJ435)+1,Constants!$B$14),$Z435))</f>
        <v/>
      </c>
      <c r="AL435" s="65" t="str">
        <f aca="false">IF(ISBLANK($C435),"",IF($Z435=Constants!$B$7,IF(ISNUMBER(AH435),AH435-AK435,Constants!$B$14),$Z435))</f>
        <v/>
      </c>
      <c r="AM435" s="67"/>
      <c r="AN435" s="68" t="str">
        <f aca="false">IF(ISBLANK($C435),"",IF($Z435&lt;&gt;Constants!$B$7,$Z435,AD435))</f>
        <v/>
      </c>
      <c r="AO435" s="69" t="str">
        <f aca="false">IF(ISBLANK($C435),"",IF($Z435&lt;&gt;Constants!$B$7,$Z435,S435))</f>
        <v/>
      </c>
      <c r="AP435" s="70" t="str">
        <f aca="false">IF(ISBLANK($C435),"",IF($Z435&lt;&gt;Constants!$B$7,$Z435,AF435))</f>
        <v/>
      </c>
      <c r="AQ435" s="71" t="str">
        <f aca="false">IF(ISBLANK($C435),"",IF($Z435&lt;&gt;Constants!$B$7,$Z435,AA435))</f>
        <v/>
      </c>
      <c r="AR435" s="69" t="str">
        <f aca="false">IF(ISBLANK($C435),"",AL435)</f>
        <v/>
      </c>
      <c r="AS435" s="69" t="str">
        <f aca="false">IF(ISBLANK($C435),"",AK435)</f>
        <v/>
      </c>
      <c r="AT435" s="72" t="str">
        <f aca="false">IF(ISBLANK($C435),"",IF(AS435=Constants!$B$4,COUNTA($C$8:$C$507)+2,IF(AS435=Constants!$B$5,COUNTA($C$8:$C$507)+1,IF(AS435=Constants!$B$6,COUNTA($C$8:$C$507),AS435))))</f>
        <v/>
      </c>
      <c r="AU435" s="5"/>
      <c r="AV435" s="73" t="n">
        <f aca="false">IF(OR(ISNUMBER(AS435),AS435=Constants!$B$4,AS435=Constants!$B$6,AS435=Constants!$B$5),1,0)</f>
        <v>0</v>
      </c>
      <c r="AW435" s="73" t="n">
        <v>428</v>
      </c>
      <c r="AX435" s="73" t="str">
        <f aca="false">IF(ISBLANK($C435),"",IF(ISNUMBER(AT435),AT435+ROW($B435)/1000,""))</f>
        <v/>
      </c>
      <c r="AY435" s="73" t="str">
        <f aca="false">IF(ISNUMBER(AX435),RANK(AX435,$AX$8:$AX$507,1),"")</f>
        <v/>
      </c>
      <c r="AZ435" s="73" t="str">
        <f aca="false">IF(ISBLANK($C435),"",$B435)</f>
        <v/>
      </c>
      <c r="BA435" s="73" t="str">
        <f aca="false">IF(ISBLANK($C435),"",$C435)</f>
        <v/>
      </c>
      <c r="BB435" s="73" t="str">
        <f aca="false">IF(ISBLANK($C435),"",$D435)</f>
        <v/>
      </c>
      <c r="BC435" s="74" t="str">
        <f aca="false">AQ435</f>
        <v/>
      </c>
      <c r="BD435" s="75" t="str">
        <f aca="false">AP435</f>
        <v/>
      </c>
      <c r="BE435" s="73" t="str">
        <f aca="false">IF(ISBLANK($C435),"",AS435)</f>
        <v/>
      </c>
      <c r="BF435" s="76" t="str">
        <f aca="false">IF($AW435&gt;$AV$7,"",VLOOKUP($AW435,$AY$8:$BE$507,7,FALSE()))</f>
        <v/>
      </c>
      <c r="BG435" s="77" t="str">
        <f aca="false">IF($AW435&gt;$AV$7,"",VLOOKUP($AW435,$AY$8:$BE$507,2,FALSE()))</f>
        <v/>
      </c>
      <c r="BH435" s="77" t="str">
        <f aca="false">IF($AW435&gt;$AV$7,"",VLOOKUP($AW435,$AY$8:$BE$507,3,FALSE()))</f>
        <v/>
      </c>
      <c r="BI435" s="77" t="str">
        <f aca="false">IF($AW435&gt;$AV$7,"",VLOOKUP($AW435,$AY$8:$BE$507,4,FALSE()))</f>
        <v/>
      </c>
      <c r="BJ435" s="77" t="str">
        <f aca="false">IF($AW435&gt;$AV$7,"",VLOOKUP($AW435,$AY$8:$BE$507,5,FALSE()))</f>
        <v/>
      </c>
      <c r="BK435" s="78" t="str">
        <f aca="false">IF($AW435&gt;$AV$7,"",VLOOKUP($AW435,$AY$8:$BE$507,6,FALSE()))</f>
        <v/>
      </c>
      <c r="BL435" s="50"/>
    </row>
    <row r="436" customFormat="false" ht="15.75" hidden="false" customHeight="false" outlineLevel="0" collapsed="false">
      <c r="A436" s="5"/>
      <c r="B436" s="131"/>
      <c r="C436" s="52"/>
      <c r="D436" s="53"/>
      <c r="E436" s="80"/>
      <c r="F436" s="132"/>
      <c r="G436" s="56"/>
      <c r="H436" s="133"/>
      <c r="I436" s="134"/>
      <c r="J436" s="59"/>
      <c r="K436" s="60"/>
      <c r="L436" s="134"/>
      <c r="M436" s="61"/>
      <c r="N436" s="62"/>
      <c r="O436" s="80"/>
      <c r="P436" s="64"/>
      <c r="Q436" s="65" t="str">
        <f aca="false">IF(ISBLANK($C436),"",IF(E436=Constants!$B$2, TRUE(), IF(E436=Constants!$B$3, FALSE(), TRUE())))</f>
        <v/>
      </c>
      <c r="R436" s="65" t="str">
        <f aca="false">IF(ISBLANK($C436),"",IF(F436=Constants!$B$2, TRUE(), IF(F436=Constants!$B$3, FALSE(), TRUE())))</f>
        <v/>
      </c>
      <c r="S436" s="65" t="str">
        <f aca="false">IF(ISBLANK($C436),"",IF(G436=Constants!$B$15,Constants!$B$8,IF(G436=Constants!$B$16,Constants!$B$9,Constants!$B$10)))</f>
        <v/>
      </c>
      <c r="T436" s="65" t="str">
        <f aca="false">IF(ISBLANK($C436),"",IF(H436=Constants!$B$2, TRUE(), IF(H436=Constants!$B$3, FALSE(), TRUE())))</f>
        <v/>
      </c>
      <c r="U436" s="65" t="str">
        <f aca="false">IF(ISBLANK($C436),"",IF(I436=Constants!$B$19,Constants!$B$19,Constants!$B$18))</f>
        <v/>
      </c>
      <c r="V436" s="65" t="str">
        <f aca="false">IF(ISBLANK($C436),"",IF(COUNTA(J436:K436)=0,"",IF(AND(OR(ISBLANK(J436),AND(ISNUMBER(J436),J436&gt;=0)),OR(ISBLANK(K436),AND(ISNUMBER(K436),K436&gt;=0))),60*IF(ISBLANK(J436),0,J436)+IF(ISBLANK(K436),0,K436),"")))</f>
        <v/>
      </c>
      <c r="W436" s="65" t="str">
        <f aca="false">IF(ISBLANK($C436),"",IF(L436=Constants!$B$19,Constants!$B$19,Constants!$B$18))</f>
        <v/>
      </c>
      <c r="X436" s="65" t="str">
        <f aca="false">IF(ISBLANK($C436),"",IF(COUNTA(M436:N436)=0,"",IF(AND(OR(ISBLANK(M436),AND(ISNUMBER(M436),M436&gt;=0)),OR(ISBLANK(N436),AND(ISNUMBER(N436),N436&gt;=0))),60*IF(ISBLANK(M436),0,M436)+IF(ISBLANK(N436),0,N436),"")))</f>
        <v/>
      </c>
      <c r="Y436" s="65" t="str">
        <f aca="false">IF(ISBLANK($C436),"",IF(O436=Constants!$B$2, TRUE(), IF(O436=Constants!$B$3, FALSE(), FALSE())))</f>
        <v/>
      </c>
      <c r="Z436" s="65" t="str">
        <f aca="false">IF(ISBLANK($C436),"",IF(Y436,Constants!$B$4,IF(COUNTA(E436:N436)=0,Constants!$B$5,IF(COUNTA(J436:K436,M436:N436)=0,Constants!$B$6,Constants!$B$7))))</f>
        <v/>
      </c>
      <c r="AA436" s="65" t="str">
        <f aca="false">IF(ISBLANK($C436),"",IF($Z436&lt;&gt;Constants!$B$7,$Z436,IF(OR(NOT(T436),AND(NOT(Q436),COUNTIFS(U436:W436,Constants!$B$18,V436:X436,"&gt;=0")&gt;0),AND(NOT(R436),COUNTIFS(U436:W436,Constants!$B$19,V436:X436,"&gt;=0")&gt;0)),Constants!$B$12,Constants!$B$11)))</f>
        <v/>
      </c>
      <c r="AB436" s="65" t="str">
        <f aca="false">IF($Z436=Constants!$B$7,IF(V436="",Constants!$B$13,V436),"")</f>
        <v/>
      </c>
      <c r="AC436" s="65" t="str">
        <f aca="false">IF($Z436=Constants!$B$7,IF(X436="",Constants!$B$13,X436),"")</f>
        <v/>
      </c>
      <c r="AD436" s="65" t="str">
        <f aca="false">IF($Z436=Constants!$B$7,IF($AB436&gt;=$AC436,1,2),"")</f>
        <v/>
      </c>
      <c r="AE436" s="65" t="str">
        <f aca="false">IF($Z436=Constants!$B$7,LARGE(AB436:AC436,1),"")</f>
        <v/>
      </c>
      <c r="AF436" s="65" t="str">
        <f aca="false">IF(ISBLANK($C436),"",IF($Z436&lt;&gt;Constants!$B$7,$Z436,AE436*S436))</f>
        <v/>
      </c>
      <c r="AG436" s="65" t="str">
        <f aca="false">IF(ISBLANK($C436),"",IF($Z436=Constants!$B$7,IF(ISNUMBER(AF436),RANK(AF436,$AF$8:$AF$507),Constants!$B$14),$Z436))</f>
        <v/>
      </c>
      <c r="AH436" s="65" t="str">
        <f aca="false">IF(ISBLANK($C436),"",IF($Z436=Constants!$B$7,IF(ISNUMBER(AG436),COUNTIFS($AA$8:$AA$507,"&lt;"&amp;$AA436)+COUNTIFS($AA$8:$AA$507,$AA436,$AG$8:$AG$507,"&lt;"&amp;$AG436)+1,Constants!$B$14),$Z436))</f>
        <v/>
      </c>
      <c r="AI436" s="65" t="str">
        <f aca="false">IF(ISBLANK($C436),"",IF($Z436=Constants!$B$7,LARGE(AB436:AC436,2)*S436,""))</f>
        <v/>
      </c>
      <c r="AJ436" s="65" t="str">
        <f aca="false">IF(ISBLANK($C436),"",IF($Z436=Constants!$B$7,RANK(AI436,$AI$8:$AI$507),$Z436))</f>
        <v/>
      </c>
      <c r="AK436" s="65" t="str">
        <f aca="false">IF(ISBLANK($C436),"",IF($Z436=Constants!$B$7,IF(ISNUMBER(AG436),COUNTIFS($AA$8:$AA$507,"&lt;"&amp;$AA436)+COUNTIFS($AA$8:$AA$507,$AA436,$AG$8:$AG$507,"&lt;"&amp;$AG436)+COUNTIFS($AA$8:$AA$507,$AA436,$AG$8:$AG$507,$AG436,$AJ$8:$AJ$507,"&lt;"&amp;$AJ436)+1,Constants!$B$14),$Z436))</f>
        <v/>
      </c>
      <c r="AL436" s="65" t="str">
        <f aca="false">IF(ISBLANK($C436),"",IF($Z436=Constants!$B$7,IF(ISNUMBER(AH436),AH436-AK436,Constants!$B$14),$Z436))</f>
        <v/>
      </c>
      <c r="AM436" s="67"/>
      <c r="AN436" s="68" t="str">
        <f aca="false">IF(ISBLANK($C436),"",IF($Z436&lt;&gt;Constants!$B$7,$Z436,AD436))</f>
        <v/>
      </c>
      <c r="AO436" s="69" t="str">
        <f aca="false">IF(ISBLANK($C436),"",IF($Z436&lt;&gt;Constants!$B$7,$Z436,S436))</f>
        <v/>
      </c>
      <c r="AP436" s="70" t="str">
        <f aca="false">IF(ISBLANK($C436),"",IF($Z436&lt;&gt;Constants!$B$7,$Z436,AF436))</f>
        <v/>
      </c>
      <c r="AQ436" s="71" t="str">
        <f aca="false">IF(ISBLANK($C436),"",IF($Z436&lt;&gt;Constants!$B$7,$Z436,AA436))</f>
        <v/>
      </c>
      <c r="AR436" s="69" t="str">
        <f aca="false">IF(ISBLANK($C436),"",AL436)</f>
        <v/>
      </c>
      <c r="AS436" s="69" t="str">
        <f aca="false">IF(ISBLANK($C436),"",AK436)</f>
        <v/>
      </c>
      <c r="AT436" s="72" t="str">
        <f aca="false">IF(ISBLANK($C436),"",IF(AS436=Constants!$B$4,COUNTA($C$8:$C$507)+2,IF(AS436=Constants!$B$5,COUNTA($C$8:$C$507)+1,IF(AS436=Constants!$B$6,COUNTA($C$8:$C$507),AS436))))</f>
        <v/>
      </c>
      <c r="AU436" s="5"/>
      <c r="AV436" s="73" t="n">
        <f aca="false">IF(OR(ISNUMBER(AS436),AS436=Constants!$B$4,AS436=Constants!$B$6,AS436=Constants!$B$5),1,0)</f>
        <v>0</v>
      </c>
      <c r="AW436" s="73" t="n">
        <v>429</v>
      </c>
      <c r="AX436" s="73" t="str">
        <f aca="false">IF(ISBLANK($C436),"",IF(ISNUMBER(AT436),AT436+ROW($B436)/1000,""))</f>
        <v/>
      </c>
      <c r="AY436" s="73" t="str">
        <f aca="false">IF(ISNUMBER(AX436),RANK(AX436,$AX$8:$AX$507,1),"")</f>
        <v/>
      </c>
      <c r="AZ436" s="73" t="str">
        <f aca="false">IF(ISBLANK($C436),"",$B436)</f>
        <v/>
      </c>
      <c r="BA436" s="73" t="str">
        <f aca="false">IF(ISBLANK($C436),"",$C436)</f>
        <v/>
      </c>
      <c r="BB436" s="73" t="str">
        <f aca="false">IF(ISBLANK($C436),"",$D436)</f>
        <v/>
      </c>
      <c r="BC436" s="74" t="str">
        <f aca="false">AQ436</f>
        <v/>
      </c>
      <c r="BD436" s="75" t="str">
        <f aca="false">AP436</f>
        <v/>
      </c>
      <c r="BE436" s="73" t="str">
        <f aca="false">IF(ISBLANK($C436),"",AS436)</f>
        <v/>
      </c>
      <c r="BF436" s="76" t="str">
        <f aca="false">IF($AW436&gt;$AV$7,"",VLOOKUP($AW436,$AY$8:$BE$507,7,FALSE()))</f>
        <v/>
      </c>
      <c r="BG436" s="77" t="str">
        <f aca="false">IF($AW436&gt;$AV$7,"",VLOOKUP($AW436,$AY$8:$BE$507,2,FALSE()))</f>
        <v/>
      </c>
      <c r="BH436" s="77" t="str">
        <f aca="false">IF($AW436&gt;$AV$7,"",VLOOKUP($AW436,$AY$8:$BE$507,3,FALSE()))</f>
        <v/>
      </c>
      <c r="BI436" s="77" t="str">
        <f aca="false">IF($AW436&gt;$AV$7,"",VLOOKUP($AW436,$AY$8:$BE$507,4,FALSE()))</f>
        <v/>
      </c>
      <c r="BJ436" s="77" t="str">
        <f aca="false">IF($AW436&gt;$AV$7,"",VLOOKUP($AW436,$AY$8:$BE$507,5,FALSE()))</f>
        <v/>
      </c>
      <c r="BK436" s="78" t="str">
        <f aca="false">IF($AW436&gt;$AV$7,"",VLOOKUP($AW436,$AY$8:$BE$507,6,FALSE()))</f>
        <v/>
      </c>
      <c r="BL436" s="50"/>
    </row>
    <row r="437" customFormat="false" ht="15.75" hidden="false" customHeight="false" outlineLevel="0" collapsed="false">
      <c r="A437" s="5"/>
      <c r="B437" s="124"/>
      <c r="C437" s="125"/>
      <c r="D437" s="110"/>
      <c r="E437" s="130"/>
      <c r="F437" s="135"/>
      <c r="G437" s="88"/>
      <c r="H437" s="136"/>
      <c r="I437" s="137"/>
      <c r="J437" s="91"/>
      <c r="K437" s="92"/>
      <c r="L437" s="137"/>
      <c r="M437" s="93"/>
      <c r="N437" s="94"/>
      <c r="O437" s="130"/>
      <c r="P437" s="96"/>
      <c r="Q437" s="97" t="str">
        <f aca="false">IF(ISBLANK($C437),"",IF(E437=Constants!$B$2, TRUE(), IF(E437=Constants!$B$3, FALSE(), TRUE())))</f>
        <v/>
      </c>
      <c r="R437" s="97" t="str">
        <f aca="false">IF(ISBLANK($C437),"",IF(F437=Constants!$B$2, TRUE(), IF(F437=Constants!$B$3, FALSE(), TRUE())))</f>
        <v/>
      </c>
      <c r="S437" s="97" t="str">
        <f aca="false">IF(ISBLANK($C437),"",IF(G437=Constants!$B$15,Constants!$B$8,IF(G437=Constants!$B$16,Constants!$B$9,Constants!$B$10)))</f>
        <v/>
      </c>
      <c r="T437" s="97" t="str">
        <f aca="false">IF(ISBLANK($C437),"",IF(H437=Constants!$B$2, TRUE(), IF(H437=Constants!$B$3, FALSE(), TRUE())))</f>
        <v/>
      </c>
      <c r="U437" s="97" t="str">
        <f aca="false">IF(ISBLANK($C437),"",IF(I437=Constants!$B$19,Constants!$B$19,Constants!$B$18))</f>
        <v/>
      </c>
      <c r="V437" s="97" t="str">
        <f aca="false">IF(ISBLANK($C437),"",IF(COUNTA(J437:K437)=0,"",IF(AND(OR(ISBLANK(J437),AND(ISNUMBER(J437),J437&gt;=0)),OR(ISBLANK(K437),AND(ISNUMBER(K437),K437&gt;=0))),60*IF(ISBLANK(J437),0,J437)+IF(ISBLANK(K437),0,K437),"")))</f>
        <v/>
      </c>
      <c r="W437" s="97" t="str">
        <f aca="false">IF(ISBLANK($C437),"",IF(L437=Constants!$B$19,Constants!$B$19,Constants!$B$18))</f>
        <v/>
      </c>
      <c r="X437" s="97" t="str">
        <f aca="false">IF(ISBLANK($C437),"",IF(COUNTA(M437:N437)=0,"",IF(AND(OR(ISBLANK(M437),AND(ISNUMBER(M437),M437&gt;=0)),OR(ISBLANK(N437),AND(ISNUMBER(N437),N437&gt;=0))),60*IF(ISBLANK(M437),0,M437)+IF(ISBLANK(N437),0,N437),"")))</f>
        <v/>
      </c>
      <c r="Y437" s="97" t="str">
        <f aca="false">IF(ISBLANK($C437),"",IF(O437=Constants!$B$2, TRUE(), IF(O437=Constants!$B$3, FALSE(), FALSE())))</f>
        <v/>
      </c>
      <c r="Z437" s="97" t="str">
        <f aca="false">IF(ISBLANK($C437),"",IF(Y437,Constants!$B$4,IF(COUNTA(E437:N437)=0,Constants!$B$5,IF(COUNTA(J437:K437,M437:N437)=0,Constants!$B$6,Constants!$B$7))))</f>
        <v/>
      </c>
      <c r="AA437" s="97" t="str">
        <f aca="false">IF(ISBLANK($C437),"",IF($Z437&lt;&gt;Constants!$B$7,$Z437,IF(OR(NOT(T437),AND(NOT(Q437),COUNTIFS(U437:W437,Constants!$B$18,V437:X437,"&gt;=0")&gt;0),AND(NOT(R437),COUNTIFS(U437:W437,Constants!$B$19,V437:X437,"&gt;=0")&gt;0)),Constants!$B$12,Constants!$B$11)))</f>
        <v/>
      </c>
      <c r="AB437" s="97" t="str">
        <f aca="false">IF($Z437=Constants!$B$7,IF(V437="",Constants!$B$13,V437),"")</f>
        <v/>
      </c>
      <c r="AC437" s="97" t="str">
        <f aca="false">IF($Z437=Constants!$B$7,IF(X437="",Constants!$B$13,X437),"")</f>
        <v/>
      </c>
      <c r="AD437" s="97" t="str">
        <f aca="false">IF($Z437=Constants!$B$7,IF($AB437&gt;=$AC437,1,2),"")</f>
        <v/>
      </c>
      <c r="AE437" s="97" t="str">
        <f aca="false">IF($Z437=Constants!$B$7,LARGE(AB437:AC437,1),"")</f>
        <v/>
      </c>
      <c r="AF437" s="97" t="str">
        <f aca="false">IF(ISBLANK($C437),"",IF($Z437&lt;&gt;Constants!$B$7,$Z437,AE437*S437))</f>
        <v/>
      </c>
      <c r="AG437" s="97" t="str">
        <f aca="false">IF(ISBLANK($C437),"",IF($Z437=Constants!$B$7,IF(ISNUMBER(AF437),RANK(AF437,$AF$8:$AF$507),Constants!$B$14),$Z437))</f>
        <v/>
      </c>
      <c r="AH437" s="97" t="str">
        <f aca="false">IF(ISBLANK($C437),"",IF($Z437=Constants!$B$7,IF(ISNUMBER(AG437),COUNTIFS($AA$8:$AA$507,"&lt;"&amp;$AA437)+COUNTIFS($AA$8:$AA$507,$AA437,$AG$8:$AG$507,"&lt;"&amp;$AG437)+1,Constants!$B$14),$Z437))</f>
        <v/>
      </c>
      <c r="AI437" s="97" t="str">
        <f aca="false">IF(ISBLANK($C437),"",IF($Z437=Constants!$B$7,LARGE(AB437:AC437,2)*S437,""))</f>
        <v/>
      </c>
      <c r="AJ437" s="97" t="str">
        <f aca="false">IF(ISBLANK($C437),"",IF($Z437=Constants!$B$7,RANK(AI437,$AI$8:$AI$507),$Z437))</f>
        <v/>
      </c>
      <c r="AK437" s="97" t="str">
        <f aca="false">IF(ISBLANK($C437),"",IF($Z437=Constants!$B$7,IF(ISNUMBER(AG437),COUNTIFS($AA$8:$AA$507,"&lt;"&amp;$AA437)+COUNTIFS($AA$8:$AA$507,$AA437,$AG$8:$AG$507,"&lt;"&amp;$AG437)+COUNTIFS($AA$8:$AA$507,$AA437,$AG$8:$AG$507,$AG437,$AJ$8:$AJ$507,"&lt;"&amp;$AJ437)+1,Constants!$B$14),$Z437))</f>
        <v/>
      </c>
      <c r="AL437" s="97" t="str">
        <f aca="false">IF(ISBLANK($C437),"",IF($Z437=Constants!$B$7,IF(ISNUMBER(AH437),AH437-AK437,Constants!$B$14),$Z437))</f>
        <v/>
      </c>
      <c r="AM437" s="98"/>
      <c r="AN437" s="99" t="str">
        <f aca="false">IF(ISBLANK($C437),"",IF($Z437&lt;&gt;Constants!$B$7,$Z437,AD437))</f>
        <v/>
      </c>
      <c r="AO437" s="100" t="str">
        <f aca="false">IF(ISBLANK($C437),"",IF($Z437&lt;&gt;Constants!$B$7,$Z437,S437))</f>
        <v/>
      </c>
      <c r="AP437" s="101" t="str">
        <f aca="false">IF(ISBLANK($C437),"",IF($Z437&lt;&gt;Constants!$B$7,$Z437,AF437))</f>
        <v/>
      </c>
      <c r="AQ437" s="102" t="str">
        <f aca="false">IF(ISBLANK($C437),"",IF($Z437&lt;&gt;Constants!$B$7,$Z437,AA437))</f>
        <v/>
      </c>
      <c r="AR437" s="100" t="str">
        <f aca="false">IF(ISBLANK($C437),"",AL437)</f>
        <v/>
      </c>
      <c r="AS437" s="100" t="str">
        <f aca="false">IF(ISBLANK($C437),"",AK437)</f>
        <v/>
      </c>
      <c r="AT437" s="103" t="str">
        <f aca="false">IF(ISBLANK($C437),"",IF(AS437=Constants!$B$4,COUNTA($C$8:$C$507)+2,IF(AS437=Constants!$B$5,COUNTA($C$8:$C$507)+1,IF(AS437=Constants!$B$6,COUNTA($C$8:$C$507),AS437))))</f>
        <v/>
      </c>
      <c r="AU437" s="5"/>
      <c r="AV437" s="104" t="n">
        <f aca="false">IF(OR(ISNUMBER(AS437),AS437=Constants!$B$4,AS437=Constants!$B$6,AS437=Constants!$B$5),1,0)</f>
        <v>0</v>
      </c>
      <c r="AW437" s="104" t="n">
        <v>430</v>
      </c>
      <c r="AX437" s="104" t="str">
        <f aca="false">IF(ISBLANK($C437),"",IF(ISNUMBER(AT437),AT437+ROW($B437)/1000,""))</f>
        <v/>
      </c>
      <c r="AY437" s="104" t="str">
        <f aca="false">IF(ISNUMBER(AX437),RANK(AX437,$AX$8:$AX$507,1),"")</f>
        <v/>
      </c>
      <c r="AZ437" s="104" t="str">
        <f aca="false">IF(ISBLANK($C437),"",$B437)</f>
        <v/>
      </c>
      <c r="BA437" s="104" t="str">
        <f aca="false">IF(ISBLANK($C437),"",$C437)</f>
        <v/>
      </c>
      <c r="BB437" s="104" t="str">
        <f aca="false">IF(ISBLANK($C437),"",$D437)</f>
        <v/>
      </c>
      <c r="BC437" s="105" t="str">
        <f aca="false">AQ437</f>
        <v/>
      </c>
      <c r="BD437" s="106" t="str">
        <f aca="false">AP437</f>
        <v/>
      </c>
      <c r="BE437" s="104" t="str">
        <f aca="false">IF(ISBLANK($C437),"",AS437)</f>
        <v/>
      </c>
      <c r="BF437" s="107" t="str">
        <f aca="false">IF($AW437&gt;$AV$7,"",VLOOKUP($AW437,$AY$8:$BE$507,7,FALSE()))</f>
        <v/>
      </c>
      <c r="BG437" s="108" t="str">
        <f aca="false">IF($AW437&gt;$AV$7,"",VLOOKUP($AW437,$AY$8:$BE$507,2,FALSE()))</f>
        <v/>
      </c>
      <c r="BH437" s="108" t="str">
        <f aca="false">IF($AW437&gt;$AV$7,"",VLOOKUP($AW437,$AY$8:$BE$507,3,FALSE()))</f>
        <v/>
      </c>
      <c r="BI437" s="108" t="str">
        <f aca="false">IF($AW437&gt;$AV$7,"",VLOOKUP($AW437,$AY$8:$BE$507,4,FALSE()))</f>
        <v/>
      </c>
      <c r="BJ437" s="108" t="str">
        <f aca="false">IF($AW437&gt;$AV$7,"",VLOOKUP($AW437,$AY$8:$BE$507,5,FALSE()))</f>
        <v/>
      </c>
      <c r="BK437" s="109" t="str">
        <f aca="false">IF($AW437&gt;$AV$7,"",VLOOKUP($AW437,$AY$8:$BE$507,6,FALSE()))</f>
        <v/>
      </c>
      <c r="BL437" s="50"/>
    </row>
    <row r="438" customFormat="false" ht="15.75" hidden="false" customHeight="false" outlineLevel="0" collapsed="false">
      <c r="A438" s="5"/>
      <c r="B438" s="124"/>
      <c r="C438" s="125"/>
      <c r="D438" s="110"/>
      <c r="E438" s="130"/>
      <c r="F438" s="135"/>
      <c r="G438" s="88"/>
      <c r="H438" s="136"/>
      <c r="I438" s="137"/>
      <c r="J438" s="91"/>
      <c r="K438" s="92"/>
      <c r="L438" s="137"/>
      <c r="M438" s="93"/>
      <c r="N438" s="94"/>
      <c r="O438" s="130"/>
      <c r="P438" s="96"/>
      <c r="Q438" s="97" t="str">
        <f aca="false">IF(ISBLANK($C438),"",IF(E438=Constants!$B$2, TRUE(), IF(E438=Constants!$B$3, FALSE(), TRUE())))</f>
        <v/>
      </c>
      <c r="R438" s="97" t="str">
        <f aca="false">IF(ISBLANK($C438),"",IF(F438=Constants!$B$2, TRUE(), IF(F438=Constants!$B$3, FALSE(), TRUE())))</f>
        <v/>
      </c>
      <c r="S438" s="97" t="str">
        <f aca="false">IF(ISBLANK($C438),"",IF(G438=Constants!$B$15,Constants!$B$8,IF(G438=Constants!$B$16,Constants!$B$9,Constants!$B$10)))</f>
        <v/>
      </c>
      <c r="T438" s="97" t="str">
        <f aca="false">IF(ISBLANK($C438),"",IF(H438=Constants!$B$2, TRUE(), IF(H438=Constants!$B$3, FALSE(), TRUE())))</f>
        <v/>
      </c>
      <c r="U438" s="97" t="str">
        <f aca="false">IF(ISBLANK($C438),"",IF(I438=Constants!$B$19,Constants!$B$19,Constants!$B$18))</f>
        <v/>
      </c>
      <c r="V438" s="97" t="str">
        <f aca="false">IF(ISBLANK($C438),"",IF(COUNTA(J438:K438)=0,"",IF(AND(OR(ISBLANK(J438),AND(ISNUMBER(J438),J438&gt;=0)),OR(ISBLANK(K438),AND(ISNUMBER(K438),K438&gt;=0))),60*IF(ISBLANK(J438),0,J438)+IF(ISBLANK(K438),0,K438),"")))</f>
        <v/>
      </c>
      <c r="W438" s="97" t="str">
        <f aca="false">IF(ISBLANK($C438),"",IF(L438=Constants!$B$19,Constants!$B$19,Constants!$B$18))</f>
        <v/>
      </c>
      <c r="X438" s="97" t="str">
        <f aca="false">IF(ISBLANK($C438),"",IF(COUNTA(M438:N438)=0,"",IF(AND(OR(ISBLANK(M438),AND(ISNUMBER(M438),M438&gt;=0)),OR(ISBLANK(N438),AND(ISNUMBER(N438),N438&gt;=0))),60*IF(ISBLANK(M438),0,M438)+IF(ISBLANK(N438),0,N438),"")))</f>
        <v/>
      </c>
      <c r="Y438" s="97" t="str">
        <f aca="false">IF(ISBLANK($C438),"",IF(O438=Constants!$B$2, TRUE(), IF(O438=Constants!$B$3, FALSE(), FALSE())))</f>
        <v/>
      </c>
      <c r="Z438" s="97" t="str">
        <f aca="false">IF(ISBLANK($C438),"",IF(Y438,Constants!$B$4,IF(COUNTA(E438:N438)=0,Constants!$B$5,IF(COUNTA(J438:K438,M438:N438)=0,Constants!$B$6,Constants!$B$7))))</f>
        <v/>
      </c>
      <c r="AA438" s="97" t="str">
        <f aca="false">IF(ISBLANK($C438),"",IF($Z438&lt;&gt;Constants!$B$7,$Z438,IF(OR(NOT(T438),AND(NOT(Q438),COUNTIFS(U438:W438,Constants!$B$18,V438:X438,"&gt;=0")&gt;0),AND(NOT(R438),COUNTIFS(U438:W438,Constants!$B$19,V438:X438,"&gt;=0")&gt;0)),Constants!$B$12,Constants!$B$11)))</f>
        <v/>
      </c>
      <c r="AB438" s="97" t="str">
        <f aca="false">IF($Z438=Constants!$B$7,IF(V438="",Constants!$B$13,V438),"")</f>
        <v/>
      </c>
      <c r="AC438" s="97" t="str">
        <f aca="false">IF($Z438=Constants!$B$7,IF(X438="",Constants!$B$13,X438),"")</f>
        <v/>
      </c>
      <c r="AD438" s="97" t="str">
        <f aca="false">IF($Z438=Constants!$B$7,IF($AB438&gt;=$AC438,1,2),"")</f>
        <v/>
      </c>
      <c r="AE438" s="97" t="str">
        <f aca="false">IF($Z438=Constants!$B$7,LARGE(AB438:AC438,1),"")</f>
        <v/>
      </c>
      <c r="AF438" s="97" t="str">
        <f aca="false">IF(ISBLANK($C438),"",IF($Z438&lt;&gt;Constants!$B$7,$Z438,AE438*S438))</f>
        <v/>
      </c>
      <c r="AG438" s="97" t="str">
        <f aca="false">IF(ISBLANK($C438),"",IF($Z438=Constants!$B$7,IF(ISNUMBER(AF438),RANK(AF438,$AF$8:$AF$507),Constants!$B$14),$Z438))</f>
        <v/>
      </c>
      <c r="AH438" s="97" t="str">
        <f aca="false">IF(ISBLANK($C438),"",IF($Z438=Constants!$B$7,IF(ISNUMBER(AG438),COUNTIFS($AA$8:$AA$507,"&lt;"&amp;$AA438)+COUNTIFS($AA$8:$AA$507,$AA438,$AG$8:$AG$507,"&lt;"&amp;$AG438)+1,Constants!$B$14),$Z438))</f>
        <v/>
      </c>
      <c r="AI438" s="97" t="str">
        <f aca="false">IF(ISBLANK($C438),"",IF($Z438=Constants!$B$7,LARGE(AB438:AC438,2)*S438,""))</f>
        <v/>
      </c>
      <c r="AJ438" s="97" t="str">
        <f aca="false">IF(ISBLANK($C438),"",IF($Z438=Constants!$B$7,RANK(AI438,$AI$8:$AI$507),$Z438))</f>
        <v/>
      </c>
      <c r="AK438" s="97" t="str">
        <f aca="false">IF(ISBLANK($C438),"",IF($Z438=Constants!$B$7,IF(ISNUMBER(AG438),COUNTIFS($AA$8:$AA$507,"&lt;"&amp;$AA438)+COUNTIFS($AA$8:$AA$507,$AA438,$AG$8:$AG$507,"&lt;"&amp;$AG438)+COUNTIFS($AA$8:$AA$507,$AA438,$AG$8:$AG$507,$AG438,$AJ$8:$AJ$507,"&lt;"&amp;$AJ438)+1,Constants!$B$14),$Z438))</f>
        <v/>
      </c>
      <c r="AL438" s="97" t="str">
        <f aca="false">IF(ISBLANK($C438),"",IF($Z438=Constants!$B$7,IF(ISNUMBER(AH438),AH438-AK438,Constants!$B$14),$Z438))</f>
        <v/>
      </c>
      <c r="AM438" s="98"/>
      <c r="AN438" s="99" t="str">
        <f aca="false">IF(ISBLANK($C438),"",IF($Z438&lt;&gt;Constants!$B$7,$Z438,AD438))</f>
        <v/>
      </c>
      <c r="AO438" s="100" t="str">
        <f aca="false">IF(ISBLANK($C438),"",IF($Z438&lt;&gt;Constants!$B$7,$Z438,S438))</f>
        <v/>
      </c>
      <c r="AP438" s="101" t="str">
        <f aca="false">IF(ISBLANK($C438),"",IF($Z438&lt;&gt;Constants!$B$7,$Z438,AF438))</f>
        <v/>
      </c>
      <c r="AQ438" s="102" t="str">
        <f aca="false">IF(ISBLANK($C438),"",IF($Z438&lt;&gt;Constants!$B$7,$Z438,AA438))</f>
        <v/>
      </c>
      <c r="AR438" s="100" t="str">
        <f aca="false">IF(ISBLANK($C438),"",AL438)</f>
        <v/>
      </c>
      <c r="AS438" s="100" t="str">
        <f aca="false">IF(ISBLANK($C438),"",AK438)</f>
        <v/>
      </c>
      <c r="AT438" s="103" t="str">
        <f aca="false">IF(ISBLANK($C438),"",IF(AS438=Constants!$B$4,COUNTA($C$8:$C$507)+2,IF(AS438=Constants!$B$5,COUNTA($C$8:$C$507)+1,IF(AS438=Constants!$B$6,COUNTA($C$8:$C$507),AS438))))</f>
        <v/>
      </c>
      <c r="AU438" s="5"/>
      <c r="AV438" s="104" t="n">
        <f aca="false">IF(OR(ISNUMBER(AS438),AS438=Constants!$B$4,AS438=Constants!$B$6,AS438=Constants!$B$5),1,0)</f>
        <v>0</v>
      </c>
      <c r="AW438" s="104" t="n">
        <v>431</v>
      </c>
      <c r="AX438" s="104" t="str">
        <f aca="false">IF(ISBLANK($C438),"",IF(ISNUMBER(AT438),AT438+ROW($B438)/1000,""))</f>
        <v/>
      </c>
      <c r="AY438" s="104" t="str">
        <f aca="false">IF(ISNUMBER(AX438),RANK(AX438,$AX$8:$AX$507,1),"")</f>
        <v/>
      </c>
      <c r="AZ438" s="104" t="str">
        <f aca="false">IF(ISBLANK($C438),"",$B438)</f>
        <v/>
      </c>
      <c r="BA438" s="104" t="str">
        <f aca="false">IF(ISBLANK($C438),"",$C438)</f>
        <v/>
      </c>
      <c r="BB438" s="104" t="str">
        <f aca="false">IF(ISBLANK($C438),"",$D438)</f>
        <v/>
      </c>
      <c r="BC438" s="105" t="str">
        <f aca="false">AQ438</f>
        <v/>
      </c>
      <c r="BD438" s="106" t="str">
        <f aca="false">AP438</f>
        <v/>
      </c>
      <c r="BE438" s="104" t="str">
        <f aca="false">IF(ISBLANK($C438),"",AS438)</f>
        <v/>
      </c>
      <c r="BF438" s="107" t="str">
        <f aca="false">IF($AW438&gt;$AV$7,"",VLOOKUP($AW438,$AY$8:$BE$507,7,FALSE()))</f>
        <v/>
      </c>
      <c r="BG438" s="108" t="str">
        <f aca="false">IF($AW438&gt;$AV$7,"",VLOOKUP($AW438,$AY$8:$BE$507,2,FALSE()))</f>
        <v/>
      </c>
      <c r="BH438" s="108" t="str">
        <f aca="false">IF($AW438&gt;$AV$7,"",VLOOKUP($AW438,$AY$8:$BE$507,3,FALSE()))</f>
        <v/>
      </c>
      <c r="BI438" s="108" t="str">
        <f aca="false">IF($AW438&gt;$AV$7,"",VLOOKUP($AW438,$AY$8:$BE$507,4,FALSE()))</f>
        <v/>
      </c>
      <c r="BJ438" s="108" t="str">
        <f aca="false">IF($AW438&gt;$AV$7,"",VLOOKUP($AW438,$AY$8:$BE$507,5,FALSE()))</f>
        <v/>
      </c>
      <c r="BK438" s="109" t="str">
        <f aca="false">IF($AW438&gt;$AV$7,"",VLOOKUP($AW438,$AY$8:$BE$507,6,FALSE()))</f>
        <v/>
      </c>
      <c r="BL438" s="50"/>
    </row>
    <row r="439" customFormat="false" ht="15.75" hidden="false" customHeight="false" outlineLevel="0" collapsed="false">
      <c r="A439" s="5"/>
      <c r="B439" s="124"/>
      <c r="C439" s="125"/>
      <c r="D439" s="110"/>
      <c r="E439" s="130"/>
      <c r="F439" s="135"/>
      <c r="G439" s="88"/>
      <c r="H439" s="136"/>
      <c r="I439" s="137"/>
      <c r="J439" s="91"/>
      <c r="K439" s="92"/>
      <c r="L439" s="137"/>
      <c r="M439" s="93"/>
      <c r="N439" s="94"/>
      <c r="O439" s="130"/>
      <c r="P439" s="96"/>
      <c r="Q439" s="97" t="str">
        <f aca="false">IF(ISBLANK($C439),"",IF(E439=Constants!$B$2, TRUE(), IF(E439=Constants!$B$3, FALSE(), TRUE())))</f>
        <v/>
      </c>
      <c r="R439" s="97" t="str">
        <f aca="false">IF(ISBLANK($C439),"",IF(F439=Constants!$B$2, TRUE(), IF(F439=Constants!$B$3, FALSE(), TRUE())))</f>
        <v/>
      </c>
      <c r="S439" s="97" t="str">
        <f aca="false">IF(ISBLANK($C439),"",IF(G439=Constants!$B$15,Constants!$B$8,IF(G439=Constants!$B$16,Constants!$B$9,Constants!$B$10)))</f>
        <v/>
      </c>
      <c r="T439" s="97" t="str">
        <f aca="false">IF(ISBLANK($C439),"",IF(H439=Constants!$B$2, TRUE(), IF(H439=Constants!$B$3, FALSE(), TRUE())))</f>
        <v/>
      </c>
      <c r="U439" s="97" t="str">
        <f aca="false">IF(ISBLANK($C439),"",IF(I439=Constants!$B$19,Constants!$B$19,Constants!$B$18))</f>
        <v/>
      </c>
      <c r="V439" s="97" t="str">
        <f aca="false">IF(ISBLANK($C439),"",IF(COUNTA(J439:K439)=0,"",IF(AND(OR(ISBLANK(J439),AND(ISNUMBER(J439),J439&gt;=0)),OR(ISBLANK(K439),AND(ISNUMBER(K439),K439&gt;=0))),60*IF(ISBLANK(J439),0,J439)+IF(ISBLANK(K439),0,K439),"")))</f>
        <v/>
      </c>
      <c r="W439" s="97" t="str">
        <f aca="false">IF(ISBLANK($C439),"",IF(L439=Constants!$B$19,Constants!$B$19,Constants!$B$18))</f>
        <v/>
      </c>
      <c r="X439" s="97" t="str">
        <f aca="false">IF(ISBLANK($C439),"",IF(COUNTA(M439:N439)=0,"",IF(AND(OR(ISBLANK(M439),AND(ISNUMBER(M439),M439&gt;=0)),OR(ISBLANK(N439),AND(ISNUMBER(N439),N439&gt;=0))),60*IF(ISBLANK(M439),0,M439)+IF(ISBLANK(N439),0,N439),"")))</f>
        <v/>
      </c>
      <c r="Y439" s="97" t="str">
        <f aca="false">IF(ISBLANK($C439),"",IF(O439=Constants!$B$2, TRUE(), IF(O439=Constants!$B$3, FALSE(), FALSE())))</f>
        <v/>
      </c>
      <c r="Z439" s="97" t="str">
        <f aca="false">IF(ISBLANK($C439),"",IF(Y439,Constants!$B$4,IF(COUNTA(E439:N439)=0,Constants!$B$5,IF(COUNTA(J439:K439,M439:N439)=0,Constants!$B$6,Constants!$B$7))))</f>
        <v/>
      </c>
      <c r="AA439" s="97" t="str">
        <f aca="false">IF(ISBLANK($C439),"",IF($Z439&lt;&gt;Constants!$B$7,$Z439,IF(OR(NOT(T439),AND(NOT(Q439),COUNTIFS(U439:W439,Constants!$B$18,V439:X439,"&gt;=0")&gt;0),AND(NOT(R439),COUNTIFS(U439:W439,Constants!$B$19,V439:X439,"&gt;=0")&gt;0)),Constants!$B$12,Constants!$B$11)))</f>
        <v/>
      </c>
      <c r="AB439" s="97" t="str">
        <f aca="false">IF($Z439=Constants!$B$7,IF(V439="",Constants!$B$13,V439),"")</f>
        <v/>
      </c>
      <c r="AC439" s="97" t="str">
        <f aca="false">IF($Z439=Constants!$B$7,IF(X439="",Constants!$B$13,X439),"")</f>
        <v/>
      </c>
      <c r="AD439" s="97" t="str">
        <f aca="false">IF($Z439=Constants!$B$7,IF($AB439&gt;=$AC439,1,2),"")</f>
        <v/>
      </c>
      <c r="AE439" s="97" t="str">
        <f aca="false">IF($Z439=Constants!$B$7,LARGE(AB439:AC439,1),"")</f>
        <v/>
      </c>
      <c r="AF439" s="97" t="str">
        <f aca="false">IF(ISBLANK($C439),"",IF($Z439&lt;&gt;Constants!$B$7,$Z439,AE439*S439))</f>
        <v/>
      </c>
      <c r="AG439" s="97" t="str">
        <f aca="false">IF(ISBLANK($C439),"",IF($Z439=Constants!$B$7,IF(ISNUMBER(AF439),RANK(AF439,$AF$8:$AF$507),Constants!$B$14),$Z439))</f>
        <v/>
      </c>
      <c r="AH439" s="97" t="str">
        <f aca="false">IF(ISBLANK($C439),"",IF($Z439=Constants!$B$7,IF(ISNUMBER(AG439),COUNTIFS($AA$8:$AA$507,"&lt;"&amp;$AA439)+COUNTIFS($AA$8:$AA$507,$AA439,$AG$8:$AG$507,"&lt;"&amp;$AG439)+1,Constants!$B$14),$Z439))</f>
        <v/>
      </c>
      <c r="AI439" s="97" t="str">
        <f aca="false">IF(ISBLANK($C439),"",IF($Z439=Constants!$B$7,LARGE(AB439:AC439,2)*S439,""))</f>
        <v/>
      </c>
      <c r="AJ439" s="97" t="str">
        <f aca="false">IF(ISBLANK($C439),"",IF($Z439=Constants!$B$7,RANK(AI439,$AI$8:$AI$507),$Z439))</f>
        <v/>
      </c>
      <c r="AK439" s="97" t="str">
        <f aca="false">IF(ISBLANK($C439),"",IF($Z439=Constants!$B$7,IF(ISNUMBER(AG439),COUNTIFS($AA$8:$AA$507,"&lt;"&amp;$AA439)+COUNTIFS($AA$8:$AA$507,$AA439,$AG$8:$AG$507,"&lt;"&amp;$AG439)+COUNTIFS($AA$8:$AA$507,$AA439,$AG$8:$AG$507,$AG439,$AJ$8:$AJ$507,"&lt;"&amp;$AJ439)+1,Constants!$B$14),$Z439))</f>
        <v/>
      </c>
      <c r="AL439" s="97" t="str">
        <f aca="false">IF(ISBLANK($C439),"",IF($Z439=Constants!$B$7,IF(ISNUMBER(AH439),AH439-AK439,Constants!$B$14),$Z439))</f>
        <v/>
      </c>
      <c r="AM439" s="98"/>
      <c r="AN439" s="99" t="str">
        <f aca="false">IF(ISBLANK($C439),"",IF($Z439&lt;&gt;Constants!$B$7,$Z439,AD439))</f>
        <v/>
      </c>
      <c r="AO439" s="100" t="str">
        <f aca="false">IF(ISBLANK($C439),"",IF($Z439&lt;&gt;Constants!$B$7,$Z439,S439))</f>
        <v/>
      </c>
      <c r="AP439" s="101" t="str">
        <f aca="false">IF(ISBLANK($C439),"",IF($Z439&lt;&gt;Constants!$B$7,$Z439,AF439))</f>
        <v/>
      </c>
      <c r="AQ439" s="102" t="str">
        <f aca="false">IF(ISBLANK($C439),"",IF($Z439&lt;&gt;Constants!$B$7,$Z439,AA439))</f>
        <v/>
      </c>
      <c r="AR439" s="100" t="str">
        <f aca="false">IF(ISBLANK($C439),"",AL439)</f>
        <v/>
      </c>
      <c r="AS439" s="100" t="str">
        <f aca="false">IF(ISBLANK($C439),"",AK439)</f>
        <v/>
      </c>
      <c r="AT439" s="103" t="str">
        <f aca="false">IF(ISBLANK($C439),"",IF(AS439=Constants!$B$4,COUNTA($C$8:$C$507)+2,IF(AS439=Constants!$B$5,COUNTA($C$8:$C$507)+1,IF(AS439=Constants!$B$6,COUNTA($C$8:$C$507),AS439))))</f>
        <v/>
      </c>
      <c r="AU439" s="5"/>
      <c r="AV439" s="104" t="n">
        <f aca="false">IF(OR(ISNUMBER(AS439),AS439=Constants!$B$4,AS439=Constants!$B$6,AS439=Constants!$B$5),1,0)</f>
        <v>0</v>
      </c>
      <c r="AW439" s="104" t="n">
        <v>432</v>
      </c>
      <c r="AX439" s="104" t="str">
        <f aca="false">IF(ISBLANK($C439),"",IF(ISNUMBER(AT439),AT439+ROW($B439)/1000,""))</f>
        <v/>
      </c>
      <c r="AY439" s="104" t="str">
        <f aca="false">IF(ISNUMBER(AX439),RANK(AX439,$AX$8:$AX$507,1),"")</f>
        <v/>
      </c>
      <c r="AZ439" s="104" t="str">
        <f aca="false">IF(ISBLANK($C439),"",$B439)</f>
        <v/>
      </c>
      <c r="BA439" s="104" t="str">
        <f aca="false">IF(ISBLANK($C439),"",$C439)</f>
        <v/>
      </c>
      <c r="BB439" s="104" t="str">
        <f aca="false">IF(ISBLANK($C439),"",$D439)</f>
        <v/>
      </c>
      <c r="BC439" s="105" t="str">
        <f aca="false">AQ439</f>
        <v/>
      </c>
      <c r="BD439" s="106" t="str">
        <f aca="false">AP439</f>
        <v/>
      </c>
      <c r="BE439" s="104" t="str">
        <f aca="false">IF(ISBLANK($C439),"",AS439)</f>
        <v/>
      </c>
      <c r="BF439" s="107" t="str">
        <f aca="false">IF($AW439&gt;$AV$7,"",VLOOKUP($AW439,$AY$8:$BE$507,7,FALSE()))</f>
        <v/>
      </c>
      <c r="BG439" s="108" t="str">
        <f aca="false">IF($AW439&gt;$AV$7,"",VLOOKUP($AW439,$AY$8:$BE$507,2,FALSE()))</f>
        <v/>
      </c>
      <c r="BH439" s="108" t="str">
        <f aca="false">IF($AW439&gt;$AV$7,"",VLOOKUP($AW439,$AY$8:$BE$507,3,FALSE()))</f>
        <v/>
      </c>
      <c r="BI439" s="108" t="str">
        <f aca="false">IF($AW439&gt;$AV$7,"",VLOOKUP($AW439,$AY$8:$BE$507,4,FALSE()))</f>
        <v/>
      </c>
      <c r="BJ439" s="108" t="str">
        <f aca="false">IF($AW439&gt;$AV$7,"",VLOOKUP($AW439,$AY$8:$BE$507,5,FALSE()))</f>
        <v/>
      </c>
      <c r="BK439" s="109" t="str">
        <f aca="false">IF($AW439&gt;$AV$7,"",VLOOKUP($AW439,$AY$8:$BE$507,6,FALSE()))</f>
        <v/>
      </c>
      <c r="BL439" s="50"/>
    </row>
    <row r="440" customFormat="false" ht="15.75" hidden="false" customHeight="false" outlineLevel="0" collapsed="false">
      <c r="A440" s="5"/>
      <c r="B440" s="131"/>
      <c r="C440" s="52"/>
      <c r="D440" s="53"/>
      <c r="E440" s="80"/>
      <c r="F440" s="132"/>
      <c r="G440" s="56"/>
      <c r="H440" s="133"/>
      <c r="I440" s="134"/>
      <c r="J440" s="59"/>
      <c r="K440" s="60"/>
      <c r="L440" s="134"/>
      <c r="M440" s="61"/>
      <c r="N440" s="62"/>
      <c r="O440" s="80"/>
      <c r="P440" s="64"/>
      <c r="Q440" s="65" t="str">
        <f aca="false">IF(ISBLANK($C440),"",IF(E440=Constants!$B$2, TRUE(), IF(E440=Constants!$B$3, FALSE(), TRUE())))</f>
        <v/>
      </c>
      <c r="R440" s="65" t="str">
        <f aca="false">IF(ISBLANK($C440),"",IF(F440=Constants!$B$2, TRUE(), IF(F440=Constants!$B$3, FALSE(), TRUE())))</f>
        <v/>
      </c>
      <c r="S440" s="65" t="str">
        <f aca="false">IF(ISBLANK($C440),"",IF(G440=Constants!$B$15,Constants!$B$8,IF(G440=Constants!$B$16,Constants!$B$9,Constants!$B$10)))</f>
        <v/>
      </c>
      <c r="T440" s="65" t="str">
        <f aca="false">IF(ISBLANK($C440),"",IF(H440=Constants!$B$2, TRUE(), IF(H440=Constants!$B$3, FALSE(), TRUE())))</f>
        <v/>
      </c>
      <c r="U440" s="65" t="str">
        <f aca="false">IF(ISBLANK($C440),"",IF(I440=Constants!$B$19,Constants!$B$19,Constants!$B$18))</f>
        <v/>
      </c>
      <c r="V440" s="65" t="str">
        <f aca="false">IF(ISBLANK($C440),"",IF(COUNTA(J440:K440)=0,"",IF(AND(OR(ISBLANK(J440),AND(ISNUMBER(J440),J440&gt;=0)),OR(ISBLANK(K440),AND(ISNUMBER(K440),K440&gt;=0))),60*IF(ISBLANK(J440),0,J440)+IF(ISBLANK(K440),0,K440),"")))</f>
        <v/>
      </c>
      <c r="W440" s="65" t="str">
        <f aca="false">IF(ISBLANK($C440),"",IF(L440=Constants!$B$19,Constants!$B$19,Constants!$B$18))</f>
        <v/>
      </c>
      <c r="X440" s="65" t="str">
        <f aca="false">IF(ISBLANK($C440),"",IF(COUNTA(M440:N440)=0,"",IF(AND(OR(ISBLANK(M440),AND(ISNUMBER(M440),M440&gt;=0)),OR(ISBLANK(N440),AND(ISNUMBER(N440),N440&gt;=0))),60*IF(ISBLANK(M440),0,M440)+IF(ISBLANK(N440),0,N440),"")))</f>
        <v/>
      </c>
      <c r="Y440" s="65" t="str">
        <f aca="false">IF(ISBLANK($C440),"",IF(O440=Constants!$B$2, TRUE(), IF(O440=Constants!$B$3, FALSE(), FALSE())))</f>
        <v/>
      </c>
      <c r="Z440" s="65" t="str">
        <f aca="false">IF(ISBLANK($C440),"",IF(Y440,Constants!$B$4,IF(COUNTA(E440:N440)=0,Constants!$B$5,IF(COUNTA(J440:K440,M440:N440)=0,Constants!$B$6,Constants!$B$7))))</f>
        <v/>
      </c>
      <c r="AA440" s="65" t="str">
        <f aca="false">IF(ISBLANK($C440),"",IF($Z440&lt;&gt;Constants!$B$7,$Z440,IF(OR(NOT(T440),AND(NOT(Q440),COUNTIFS(U440:W440,Constants!$B$18,V440:X440,"&gt;=0")&gt;0),AND(NOT(R440),COUNTIFS(U440:W440,Constants!$B$19,V440:X440,"&gt;=0")&gt;0)),Constants!$B$12,Constants!$B$11)))</f>
        <v/>
      </c>
      <c r="AB440" s="65" t="str">
        <f aca="false">IF($Z440=Constants!$B$7,IF(V440="",Constants!$B$13,V440),"")</f>
        <v/>
      </c>
      <c r="AC440" s="65" t="str">
        <f aca="false">IF($Z440=Constants!$B$7,IF(X440="",Constants!$B$13,X440),"")</f>
        <v/>
      </c>
      <c r="AD440" s="65" t="str">
        <f aca="false">IF($Z440=Constants!$B$7,IF($AB440&gt;=$AC440,1,2),"")</f>
        <v/>
      </c>
      <c r="AE440" s="65" t="str">
        <f aca="false">IF($Z440=Constants!$B$7,LARGE(AB440:AC440,1),"")</f>
        <v/>
      </c>
      <c r="AF440" s="65" t="str">
        <f aca="false">IF(ISBLANK($C440),"",IF($Z440&lt;&gt;Constants!$B$7,$Z440,AE440*S440))</f>
        <v/>
      </c>
      <c r="AG440" s="65" t="str">
        <f aca="false">IF(ISBLANK($C440),"",IF($Z440=Constants!$B$7,IF(ISNUMBER(AF440),RANK(AF440,$AF$8:$AF$507),Constants!$B$14),$Z440))</f>
        <v/>
      </c>
      <c r="AH440" s="65" t="str">
        <f aca="false">IF(ISBLANK($C440),"",IF($Z440=Constants!$B$7,IF(ISNUMBER(AG440),COUNTIFS($AA$8:$AA$507,"&lt;"&amp;$AA440)+COUNTIFS($AA$8:$AA$507,$AA440,$AG$8:$AG$507,"&lt;"&amp;$AG440)+1,Constants!$B$14),$Z440))</f>
        <v/>
      </c>
      <c r="AI440" s="65" t="str">
        <f aca="false">IF(ISBLANK($C440),"",IF($Z440=Constants!$B$7,LARGE(AB440:AC440,2)*S440,""))</f>
        <v/>
      </c>
      <c r="AJ440" s="65" t="str">
        <f aca="false">IF(ISBLANK($C440),"",IF($Z440=Constants!$B$7,RANK(AI440,$AI$8:$AI$507),$Z440))</f>
        <v/>
      </c>
      <c r="AK440" s="65" t="str">
        <f aca="false">IF(ISBLANK($C440),"",IF($Z440=Constants!$B$7,IF(ISNUMBER(AG440),COUNTIFS($AA$8:$AA$507,"&lt;"&amp;$AA440)+COUNTIFS($AA$8:$AA$507,$AA440,$AG$8:$AG$507,"&lt;"&amp;$AG440)+COUNTIFS($AA$8:$AA$507,$AA440,$AG$8:$AG$507,$AG440,$AJ$8:$AJ$507,"&lt;"&amp;$AJ440)+1,Constants!$B$14),$Z440))</f>
        <v/>
      </c>
      <c r="AL440" s="65" t="str">
        <f aca="false">IF(ISBLANK($C440),"",IF($Z440=Constants!$B$7,IF(ISNUMBER(AH440),AH440-AK440,Constants!$B$14),$Z440))</f>
        <v/>
      </c>
      <c r="AM440" s="67"/>
      <c r="AN440" s="68" t="str">
        <f aca="false">IF(ISBLANK($C440),"",IF($Z440&lt;&gt;Constants!$B$7,$Z440,AD440))</f>
        <v/>
      </c>
      <c r="AO440" s="69" t="str">
        <f aca="false">IF(ISBLANK($C440),"",IF($Z440&lt;&gt;Constants!$B$7,$Z440,S440))</f>
        <v/>
      </c>
      <c r="AP440" s="70" t="str">
        <f aca="false">IF(ISBLANK($C440),"",IF($Z440&lt;&gt;Constants!$B$7,$Z440,AF440))</f>
        <v/>
      </c>
      <c r="AQ440" s="71" t="str">
        <f aca="false">IF(ISBLANK($C440),"",IF($Z440&lt;&gt;Constants!$B$7,$Z440,AA440))</f>
        <v/>
      </c>
      <c r="AR440" s="69" t="str">
        <f aca="false">IF(ISBLANK($C440),"",AL440)</f>
        <v/>
      </c>
      <c r="AS440" s="69" t="str">
        <f aca="false">IF(ISBLANK($C440),"",AK440)</f>
        <v/>
      </c>
      <c r="AT440" s="72" t="str">
        <f aca="false">IF(ISBLANK($C440),"",IF(AS440=Constants!$B$4,COUNTA($C$8:$C$507)+2,IF(AS440=Constants!$B$5,COUNTA($C$8:$C$507)+1,IF(AS440=Constants!$B$6,COUNTA($C$8:$C$507),AS440))))</f>
        <v/>
      </c>
      <c r="AU440" s="5"/>
      <c r="AV440" s="73" t="n">
        <f aca="false">IF(OR(ISNUMBER(AS440),AS440=Constants!$B$4,AS440=Constants!$B$6,AS440=Constants!$B$5),1,0)</f>
        <v>0</v>
      </c>
      <c r="AW440" s="73" t="n">
        <v>433</v>
      </c>
      <c r="AX440" s="73" t="str">
        <f aca="false">IF(ISBLANK($C440),"",IF(ISNUMBER(AT440),AT440+ROW($B440)/1000,""))</f>
        <v/>
      </c>
      <c r="AY440" s="73" t="str">
        <f aca="false">IF(ISNUMBER(AX440),RANK(AX440,$AX$8:$AX$507,1),"")</f>
        <v/>
      </c>
      <c r="AZ440" s="73" t="str">
        <f aca="false">IF(ISBLANK($C440),"",$B440)</f>
        <v/>
      </c>
      <c r="BA440" s="73" t="str">
        <f aca="false">IF(ISBLANK($C440),"",$C440)</f>
        <v/>
      </c>
      <c r="BB440" s="73" t="str">
        <f aca="false">IF(ISBLANK($C440),"",$D440)</f>
        <v/>
      </c>
      <c r="BC440" s="74" t="str">
        <f aca="false">AQ440</f>
        <v/>
      </c>
      <c r="BD440" s="75" t="str">
        <f aca="false">AP440</f>
        <v/>
      </c>
      <c r="BE440" s="73" t="str">
        <f aca="false">IF(ISBLANK($C440),"",AS440)</f>
        <v/>
      </c>
      <c r="BF440" s="76" t="str">
        <f aca="false">IF($AW440&gt;$AV$7,"",VLOOKUP($AW440,$AY$8:$BE$507,7,FALSE()))</f>
        <v/>
      </c>
      <c r="BG440" s="77" t="str">
        <f aca="false">IF($AW440&gt;$AV$7,"",VLOOKUP($AW440,$AY$8:$BE$507,2,FALSE()))</f>
        <v/>
      </c>
      <c r="BH440" s="77" t="str">
        <f aca="false">IF($AW440&gt;$AV$7,"",VLOOKUP($AW440,$AY$8:$BE$507,3,FALSE()))</f>
        <v/>
      </c>
      <c r="BI440" s="77" t="str">
        <f aca="false">IF($AW440&gt;$AV$7,"",VLOOKUP($AW440,$AY$8:$BE$507,4,FALSE()))</f>
        <v/>
      </c>
      <c r="BJ440" s="77" t="str">
        <f aca="false">IF($AW440&gt;$AV$7,"",VLOOKUP($AW440,$AY$8:$BE$507,5,FALSE()))</f>
        <v/>
      </c>
      <c r="BK440" s="78" t="str">
        <f aca="false">IF($AW440&gt;$AV$7,"",VLOOKUP($AW440,$AY$8:$BE$507,6,FALSE()))</f>
        <v/>
      </c>
      <c r="BL440" s="50"/>
    </row>
    <row r="441" customFormat="false" ht="15.75" hidden="false" customHeight="false" outlineLevel="0" collapsed="false">
      <c r="A441" s="5"/>
      <c r="B441" s="131"/>
      <c r="C441" s="52"/>
      <c r="D441" s="53"/>
      <c r="E441" s="80"/>
      <c r="F441" s="132"/>
      <c r="G441" s="56"/>
      <c r="H441" s="133"/>
      <c r="I441" s="134"/>
      <c r="J441" s="59"/>
      <c r="K441" s="60"/>
      <c r="L441" s="134"/>
      <c r="M441" s="61"/>
      <c r="N441" s="62"/>
      <c r="O441" s="80"/>
      <c r="P441" s="64"/>
      <c r="Q441" s="65" t="str">
        <f aca="false">IF(ISBLANK($C441),"",IF(E441=Constants!$B$2, TRUE(), IF(E441=Constants!$B$3, FALSE(), TRUE())))</f>
        <v/>
      </c>
      <c r="R441" s="65" t="str">
        <f aca="false">IF(ISBLANK($C441),"",IF(F441=Constants!$B$2, TRUE(), IF(F441=Constants!$B$3, FALSE(), TRUE())))</f>
        <v/>
      </c>
      <c r="S441" s="65" t="str">
        <f aca="false">IF(ISBLANK($C441),"",IF(G441=Constants!$B$15,Constants!$B$8,IF(G441=Constants!$B$16,Constants!$B$9,Constants!$B$10)))</f>
        <v/>
      </c>
      <c r="T441" s="65" t="str">
        <f aca="false">IF(ISBLANK($C441),"",IF(H441=Constants!$B$2, TRUE(), IF(H441=Constants!$B$3, FALSE(), TRUE())))</f>
        <v/>
      </c>
      <c r="U441" s="65" t="str">
        <f aca="false">IF(ISBLANK($C441),"",IF(I441=Constants!$B$19,Constants!$B$19,Constants!$B$18))</f>
        <v/>
      </c>
      <c r="V441" s="65" t="str">
        <f aca="false">IF(ISBLANK($C441),"",IF(COUNTA(J441:K441)=0,"",IF(AND(OR(ISBLANK(J441),AND(ISNUMBER(J441),J441&gt;=0)),OR(ISBLANK(K441),AND(ISNUMBER(K441),K441&gt;=0))),60*IF(ISBLANK(J441),0,J441)+IF(ISBLANK(K441),0,K441),"")))</f>
        <v/>
      </c>
      <c r="W441" s="65" t="str">
        <f aca="false">IF(ISBLANK($C441),"",IF(L441=Constants!$B$19,Constants!$B$19,Constants!$B$18))</f>
        <v/>
      </c>
      <c r="X441" s="65" t="str">
        <f aca="false">IF(ISBLANK($C441),"",IF(COUNTA(M441:N441)=0,"",IF(AND(OR(ISBLANK(M441),AND(ISNUMBER(M441),M441&gt;=0)),OR(ISBLANK(N441),AND(ISNUMBER(N441),N441&gt;=0))),60*IF(ISBLANK(M441),0,M441)+IF(ISBLANK(N441),0,N441),"")))</f>
        <v/>
      </c>
      <c r="Y441" s="65" t="str">
        <f aca="false">IF(ISBLANK($C441),"",IF(O441=Constants!$B$2, TRUE(), IF(O441=Constants!$B$3, FALSE(), FALSE())))</f>
        <v/>
      </c>
      <c r="Z441" s="65" t="str">
        <f aca="false">IF(ISBLANK($C441),"",IF(Y441,Constants!$B$4,IF(COUNTA(E441:N441)=0,Constants!$B$5,IF(COUNTA(J441:K441,M441:N441)=0,Constants!$B$6,Constants!$B$7))))</f>
        <v/>
      </c>
      <c r="AA441" s="65" t="str">
        <f aca="false">IF(ISBLANK($C441),"",IF($Z441&lt;&gt;Constants!$B$7,$Z441,IF(OR(NOT(T441),AND(NOT(Q441),COUNTIFS(U441:W441,Constants!$B$18,V441:X441,"&gt;=0")&gt;0),AND(NOT(R441),COUNTIFS(U441:W441,Constants!$B$19,V441:X441,"&gt;=0")&gt;0)),Constants!$B$12,Constants!$B$11)))</f>
        <v/>
      </c>
      <c r="AB441" s="65" t="str">
        <f aca="false">IF($Z441=Constants!$B$7,IF(V441="",Constants!$B$13,V441),"")</f>
        <v/>
      </c>
      <c r="AC441" s="65" t="str">
        <f aca="false">IF($Z441=Constants!$B$7,IF(X441="",Constants!$B$13,X441),"")</f>
        <v/>
      </c>
      <c r="AD441" s="65" t="str">
        <f aca="false">IF($Z441=Constants!$B$7,IF($AB441&gt;=$AC441,1,2),"")</f>
        <v/>
      </c>
      <c r="AE441" s="65" t="str">
        <f aca="false">IF($Z441=Constants!$B$7,LARGE(AB441:AC441,1),"")</f>
        <v/>
      </c>
      <c r="AF441" s="65" t="str">
        <f aca="false">IF(ISBLANK($C441),"",IF($Z441&lt;&gt;Constants!$B$7,$Z441,AE441*S441))</f>
        <v/>
      </c>
      <c r="AG441" s="65" t="str">
        <f aca="false">IF(ISBLANK($C441),"",IF($Z441=Constants!$B$7,IF(ISNUMBER(AF441),RANK(AF441,$AF$8:$AF$507),Constants!$B$14),$Z441))</f>
        <v/>
      </c>
      <c r="AH441" s="65" t="str">
        <f aca="false">IF(ISBLANK($C441),"",IF($Z441=Constants!$B$7,IF(ISNUMBER(AG441),COUNTIFS($AA$8:$AA$507,"&lt;"&amp;$AA441)+COUNTIFS($AA$8:$AA$507,$AA441,$AG$8:$AG$507,"&lt;"&amp;$AG441)+1,Constants!$B$14),$Z441))</f>
        <v/>
      </c>
      <c r="AI441" s="65" t="str">
        <f aca="false">IF(ISBLANK($C441),"",IF($Z441=Constants!$B$7,LARGE(AB441:AC441,2)*S441,""))</f>
        <v/>
      </c>
      <c r="AJ441" s="65" t="str">
        <f aca="false">IF(ISBLANK($C441),"",IF($Z441=Constants!$B$7,RANK(AI441,$AI$8:$AI$507),$Z441))</f>
        <v/>
      </c>
      <c r="AK441" s="65" t="str">
        <f aca="false">IF(ISBLANK($C441),"",IF($Z441=Constants!$B$7,IF(ISNUMBER(AG441),COUNTIFS($AA$8:$AA$507,"&lt;"&amp;$AA441)+COUNTIFS($AA$8:$AA$507,$AA441,$AG$8:$AG$507,"&lt;"&amp;$AG441)+COUNTIFS($AA$8:$AA$507,$AA441,$AG$8:$AG$507,$AG441,$AJ$8:$AJ$507,"&lt;"&amp;$AJ441)+1,Constants!$B$14),$Z441))</f>
        <v/>
      </c>
      <c r="AL441" s="65" t="str">
        <f aca="false">IF(ISBLANK($C441),"",IF($Z441=Constants!$B$7,IF(ISNUMBER(AH441),AH441-AK441,Constants!$B$14),$Z441))</f>
        <v/>
      </c>
      <c r="AM441" s="67"/>
      <c r="AN441" s="68" t="str">
        <f aca="false">IF(ISBLANK($C441),"",IF($Z441&lt;&gt;Constants!$B$7,$Z441,AD441))</f>
        <v/>
      </c>
      <c r="AO441" s="69" t="str">
        <f aca="false">IF(ISBLANK($C441),"",IF($Z441&lt;&gt;Constants!$B$7,$Z441,S441))</f>
        <v/>
      </c>
      <c r="AP441" s="70" t="str">
        <f aca="false">IF(ISBLANK($C441),"",IF($Z441&lt;&gt;Constants!$B$7,$Z441,AF441))</f>
        <v/>
      </c>
      <c r="AQ441" s="71" t="str">
        <f aca="false">IF(ISBLANK($C441),"",IF($Z441&lt;&gt;Constants!$B$7,$Z441,AA441))</f>
        <v/>
      </c>
      <c r="AR441" s="69" t="str">
        <f aca="false">IF(ISBLANK($C441),"",AL441)</f>
        <v/>
      </c>
      <c r="AS441" s="69" t="str">
        <f aca="false">IF(ISBLANK($C441),"",AK441)</f>
        <v/>
      </c>
      <c r="AT441" s="72" t="str">
        <f aca="false">IF(ISBLANK($C441),"",IF(AS441=Constants!$B$4,COUNTA($C$8:$C$507)+2,IF(AS441=Constants!$B$5,COUNTA($C$8:$C$507)+1,IF(AS441=Constants!$B$6,COUNTA($C$8:$C$507),AS441))))</f>
        <v/>
      </c>
      <c r="AU441" s="5"/>
      <c r="AV441" s="73" t="n">
        <f aca="false">IF(OR(ISNUMBER(AS441),AS441=Constants!$B$4,AS441=Constants!$B$6,AS441=Constants!$B$5),1,0)</f>
        <v>0</v>
      </c>
      <c r="AW441" s="73" t="n">
        <v>434</v>
      </c>
      <c r="AX441" s="73" t="str">
        <f aca="false">IF(ISBLANK($C441),"",IF(ISNUMBER(AT441),AT441+ROW($B441)/1000,""))</f>
        <v/>
      </c>
      <c r="AY441" s="73" t="str">
        <f aca="false">IF(ISNUMBER(AX441),RANK(AX441,$AX$8:$AX$507,1),"")</f>
        <v/>
      </c>
      <c r="AZ441" s="73" t="str">
        <f aca="false">IF(ISBLANK($C441),"",$B441)</f>
        <v/>
      </c>
      <c r="BA441" s="73" t="str">
        <f aca="false">IF(ISBLANK($C441),"",$C441)</f>
        <v/>
      </c>
      <c r="BB441" s="73" t="str">
        <f aca="false">IF(ISBLANK($C441),"",$D441)</f>
        <v/>
      </c>
      <c r="BC441" s="74" t="str">
        <f aca="false">AQ441</f>
        <v/>
      </c>
      <c r="BD441" s="75" t="str">
        <f aca="false">AP441</f>
        <v/>
      </c>
      <c r="BE441" s="73" t="str">
        <f aca="false">IF(ISBLANK($C441),"",AS441)</f>
        <v/>
      </c>
      <c r="BF441" s="76" t="str">
        <f aca="false">IF($AW441&gt;$AV$7,"",VLOOKUP($AW441,$AY$8:$BE$507,7,FALSE()))</f>
        <v/>
      </c>
      <c r="BG441" s="77" t="str">
        <f aca="false">IF($AW441&gt;$AV$7,"",VLOOKUP($AW441,$AY$8:$BE$507,2,FALSE()))</f>
        <v/>
      </c>
      <c r="BH441" s="77" t="str">
        <f aca="false">IF($AW441&gt;$AV$7,"",VLOOKUP($AW441,$AY$8:$BE$507,3,FALSE()))</f>
        <v/>
      </c>
      <c r="BI441" s="77" t="str">
        <f aca="false">IF($AW441&gt;$AV$7,"",VLOOKUP($AW441,$AY$8:$BE$507,4,FALSE()))</f>
        <v/>
      </c>
      <c r="BJ441" s="77" t="str">
        <f aca="false">IF($AW441&gt;$AV$7,"",VLOOKUP($AW441,$AY$8:$BE$507,5,FALSE()))</f>
        <v/>
      </c>
      <c r="BK441" s="78" t="str">
        <f aca="false">IF($AW441&gt;$AV$7,"",VLOOKUP($AW441,$AY$8:$BE$507,6,FALSE()))</f>
        <v/>
      </c>
      <c r="BL441" s="50"/>
    </row>
    <row r="442" customFormat="false" ht="15.75" hidden="false" customHeight="false" outlineLevel="0" collapsed="false">
      <c r="A442" s="5"/>
      <c r="B442" s="131"/>
      <c r="C442" s="52"/>
      <c r="D442" s="53"/>
      <c r="E442" s="80"/>
      <c r="F442" s="132"/>
      <c r="G442" s="56"/>
      <c r="H442" s="133"/>
      <c r="I442" s="134"/>
      <c r="J442" s="59"/>
      <c r="K442" s="60"/>
      <c r="L442" s="134"/>
      <c r="M442" s="61"/>
      <c r="N442" s="62"/>
      <c r="O442" s="80"/>
      <c r="P442" s="64"/>
      <c r="Q442" s="65" t="str">
        <f aca="false">IF(ISBLANK($C442),"",IF(E442=Constants!$B$2, TRUE(), IF(E442=Constants!$B$3, FALSE(), TRUE())))</f>
        <v/>
      </c>
      <c r="R442" s="65" t="str">
        <f aca="false">IF(ISBLANK($C442),"",IF(F442=Constants!$B$2, TRUE(), IF(F442=Constants!$B$3, FALSE(), TRUE())))</f>
        <v/>
      </c>
      <c r="S442" s="65" t="str">
        <f aca="false">IF(ISBLANK($C442),"",IF(G442=Constants!$B$15,Constants!$B$8,IF(G442=Constants!$B$16,Constants!$B$9,Constants!$B$10)))</f>
        <v/>
      </c>
      <c r="T442" s="65" t="str">
        <f aca="false">IF(ISBLANK($C442),"",IF(H442=Constants!$B$2, TRUE(), IF(H442=Constants!$B$3, FALSE(), TRUE())))</f>
        <v/>
      </c>
      <c r="U442" s="65" t="str">
        <f aca="false">IF(ISBLANK($C442),"",IF(I442=Constants!$B$19,Constants!$B$19,Constants!$B$18))</f>
        <v/>
      </c>
      <c r="V442" s="65" t="str">
        <f aca="false">IF(ISBLANK($C442),"",IF(COUNTA(J442:K442)=0,"",IF(AND(OR(ISBLANK(J442),AND(ISNUMBER(J442),J442&gt;=0)),OR(ISBLANK(K442),AND(ISNUMBER(K442),K442&gt;=0))),60*IF(ISBLANK(J442),0,J442)+IF(ISBLANK(K442),0,K442),"")))</f>
        <v/>
      </c>
      <c r="W442" s="65" t="str">
        <f aca="false">IF(ISBLANK($C442),"",IF(L442=Constants!$B$19,Constants!$B$19,Constants!$B$18))</f>
        <v/>
      </c>
      <c r="X442" s="65" t="str">
        <f aca="false">IF(ISBLANK($C442),"",IF(COUNTA(M442:N442)=0,"",IF(AND(OR(ISBLANK(M442),AND(ISNUMBER(M442),M442&gt;=0)),OR(ISBLANK(N442),AND(ISNUMBER(N442),N442&gt;=0))),60*IF(ISBLANK(M442),0,M442)+IF(ISBLANK(N442),0,N442),"")))</f>
        <v/>
      </c>
      <c r="Y442" s="65" t="str">
        <f aca="false">IF(ISBLANK($C442),"",IF(O442=Constants!$B$2, TRUE(), IF(O442=Constants!$B$3, FALSE(), FALSE())))</f>
        <v/>
      </c>
      <c r="Z442" s="65" t="str">
        <f aca="false">IF(ISBLANK($C442),"",IF(Y442,Constants!$B$4,IF(COUNTA(E442:N442)=0,Constants!$B$5,IF(COUNTA(J442:K442,M442:N442)=0,Constants!$B$6,Constants!$B$7))))</f>
        <v/>
      </c>
      <c r="AA442" s="65" t="str">
        <f aca="false">IF(ISBLANK($C442),"",IF($Z442&lt;&gt;Constants!$B$7,$Z442,IF(OR(NOT(T442),AND(NOT(Q442),COUNTIFS(U442:W442,Constants!$B$18,V442:X442,"&gt;=0")&gt;0),AND(NOT(R442),COUNTIFS(U442:W442,Constants!$B$19,V442:X442,"&gt;=0")&gt;0)),Constants!$B$12,Constants!$B$11)))</f>
        <v/>
      </c>
      <c r="AB442" s="65" t="str">
        <f aca="false">IF($Z442=Constants!$B$7,IF(V442="",Constants!$B$13,V442),"")</f>
        <v/>
      </c>
      <c r="AC442" s="65" t="str">
        <f aca="false">IF($Z442=Constants!$B$7,IF(X442="",Constants!$B$13,X442),"")</f>
        <v/>
      </c>
      <c r="AD442" s="65" t="str">
        <f aca="false">IF($Z442=Constants!$B$7,IF($AB442&gt;=$AC442,1,2),"")</f>
        <v/>
      </c>
      <c r="AE442" s="65" t="str">
        <f aca="false">IF($Z442=Constants!$B$7,LARGE(AB442:AC442,1),"")</f>
        <v/>
      </c>
      <c r="AF442" s="65" t="str">
        <f aca="false">IF(ISBLANK($C442),"",IF($Z442&lt;&gt;Constants!$B$7,$Z442,AE442*S442))</f>
        <v/>
      </c>
      <c r="AG442" s="65" t="str">
        <f aca="false">IF(ISBLANK($C442),"",IF($Z442=Constants!$B$7,IF(ISNUMBER(AF442),RANK(AF442,$AF$8:$AF$507),Constants!$B$14),$Z442))</f>
        <v/>
      </c>
      <c r="AH442" s="65" t="str">
        <f aca="false">IF(ISBLANK($C442),"",IF($Z442=Constants!$B$7,IF(ISNUMBER(AG442),COUNTIFS($AA$8:$AA$507,"&lt;"&amp;$AA442)+COUNTIFS($AA$8:$AA$507,$AA442,$AG$8:$AG$507,"&lt;"&amp;$AG442)+1,Constants!$B$14),$Z442))</f>
        <v/>
      </c>
      <c r="AI442" s="65" t="str">
        <f aca="false">IF(ISBLANK($C442),"",IF($Z442=Constants!$B$7,LARGE(AB442:AC442,2)*S442,""))</f>
        <v/>
      </c>
      <c r="AJ442" s="65" t="str">
        <f aca="false">IF(ISBLANK($C442),"",IF($Z442=Constants!$B$7,RANK(AI442,$AI$8:$AI$507),$Z442))</f>
        <v/>
      </c>
      <c r="AK442" s="65" t="str">
        <f aca="false">IF(ISBLANK($C442),"",IF($Z442=Constants!$B$7,IF(ISNUMBER(AG442),COUNTIFS($AA$8:$AA$507,"&lt;"&amp;$AA442)+COUNTIFS($AA$8:$AA$507,$AA442,$AG$8:$AG$507,"&lt;"&amp;$AG442)+COUNTIFS($AA$8:$AA$507,$AA442,$AG$8:$AG$507,$AG442,$AJ$8:$AJ$507,"&lt;"&amp;$AJ442)+1,Constants!$B$14),$Z442))</f>
        <v/>
      </c>
      <c r="AL442" s="65" t="str">
        <f aca="false">IF(ISBLANK($C442),"",IF($Z442=Constants!$B$7,IF(ISNUMBER(AH442),AH442-AK442,Constants!$B$14),$Z442))</f>
        <v/>
      </c>
      <c r="AM442" s="67"/>
      <c r="AN442" s="68" t="str">
        <f aca="false">IF(ISBLANK($C442),"",IF($Z442&lt;&gt;Constants!$B$7,$Z442,AD442))</f>
        <v/>
      </c>
      <c r="AO442" s="69" t="str">
        <f aca="false">IF(ISBLANK($C442),"",IF($Z442&lt;&gt;Constants!$B$7,$Z442,S442))</f>
        <v/>
      </c>
      <c r="AP442" s="70" t="str">
        <f aca="false">IF(ISBLANK($C442),"",IF($Z442&lt;&gt;Constants!$B$7,$Z442,AF442))</f>
        <v/>
      </c>
      <c r="AQ442" s="71" t="str">
        <f aca="false">IF(ISBLANK($C442),"",IF($Z442&lt;&gt;Constants!$B$7,$Z442,AA442))</f>
        <v/>
      </c>
      <c r="AR442" s="69" t="str">
        <f aca="false">IF(ISBLANK($C442),"",AL442)</f>
        <v/>
      </c>
      <c r="AS442" s="69" t="str">
        <f aca="false">IF(ISBLANK($C442),"",AK442)</f>
        <v/>
      </c>
      <c r="AT442" s="72" t="str">
        <f aca="false">IF(ISBLANK($C442),"",IF(AS442=Constants!$B$4,COUNTA($C$8:$C$507)+2,IF(AS442=Constants!$B$5,COUNTA($C$8:$C$507)+1,IF(AS442=Constants!$B$6,COUNTA($C$8:$C$507),AS442))))</f>
        <v/>
      </c>
      <c r="AU442" s="5"/>
      <c r="AV442" s="73" t="n">
        <f aca="false">IF(OR(ISNUMBER(AS442),AS442=Constants!$B$4,AS442=Constants!$B$6,AS442=Constants!$B$5),1,0)</f>
        <v>0</v>
      </c>
      <c r="AW442" s="73" t="n">
        <v>435</v>
      </c>
      <c r="AX442" s="73" t="str">
        <f aca="false">IF(ISBLANK($C442),"",IF(ISNUMBER(AT442),AT442+ROW($B442)/1000,""))</f>
        <v/>
      </c>
      <c r="AY442" s="73" t="str">
        <f aca="false">IF(ISNUMBER(AX442),RANK(AX442,$AX$8:$AX$507,1),"")</f>
        <v/>
      </c>
      <c r="AZ442" s="73" t="str">
        <f aca="false">IF(ISBLANK($C442),"",$B442)</f>
        <v/>
      </c>
      <c r="BA442" s="73" t="str">
        <f aca="false">IF(ISBLANK($C442),"",$C442)</f>
        <v/>
      </c>
      <c r="BB442" s="73" t="str">
        <f aca="false">IF(ISBLANK($C442),"",$D442)</f>
        <v/>
      </c>
      <c r="BC442" s="74" t="str">
        <f aca="false">AQ442</f>
        <v/>
      </c>
      <c r="BD442" s="75" t="str">
        <f aca="false">AP442</f>
        <v/>
      </c>
      <c r="BE442" s="73" t="str">
        <f aca="false">IF(ISBLANK($C442),"",AS442)</f>
        <v/>
      </c>
      <c r="BF442" s="76" t="str">
        <f aca="false">IF($AW442&gt;$AV$7,"",VLOOKUP($AW442,$AY$8:$BE$507,7,FALSE()))</f>
        <v/>
      </c>
      <c r="BG442" s="77" t="str">
        <f aca="false">IF($AW442&gt;$AV$7,"",VLOOKUP($AW442,$AY$8:$BE$507,2,FALSE()))</f>
        <v/>
      </c>
      <c r="BH442" s="77" t="str">
        <f aca="false">IF($AW442&gt;$AV$7,"",VLOOKUP($AW442,$AY$8:$BE$507,3,FALSE()))</f>
        <v/>
      </c>
      <c r="BI442" s="77" t="str">
        <f aca="false">IF($AW442&gt;$AV$7,"",VLOOKUP($AW442,$AY$8:$BE$507,4,FALSE()))</f>
        <v/>
      </c>
      <c r="BJ442" s="77" t="str">
        <f aca="false">IF($AW442&gt;$AV$7,"",VLOOKUP($AW442,$AY$8:$BE$507,5,FALSE()))</f>
        <v/>
      </c>
      <c r="BK442" s="78" t="str">
        <f aca="false">IF($AW442&gt;$AV$7,"",VLOOKUP($AW442,$AY$8:$BE$507,6,FALSE()))</f>
        <v/>
      </c>
      <c r="BL442" s="50"/>
    </row>
    <row r="443" customFormat="false" ht="15.75" hidden="false" customHeight="false" outlineLevel="0" collapsed="false">
      <c r="A443" s="5"/>
      <c r="B443" s="124"/>
      <c r="C443" s="125"/>
      <c r="D443" s="110"/>
      <c r="E443" s="130"/>
      <c r="F443" s="135"/>
      <c r="G443" s="88"/>
      <c r="H443" s="136"/>
      <c r="I443" s="137"/>
      <c r="J443" s="91"/>
      <c r="K443" s="92"/>
      <c r="L443" s="137"/>
      <c r="M443" s="93"/>
      <c r="N443" s="94"/>
      <c r="O443" s="130"/>
      <c r="P443" s="96"/>
      <c r="Q443" s="97" t="str">
        <f aca="false">IF(ISBLANK($C443),"",IF(E443=Constants!$B$2, TRUE(), IF(E443=Constants!$B$3, FALSE(), TRUE())))</f>
        <v/>
      </c>
      <c r="R443" s="97" t="str">
        <f aca="false">IF(ISBLANK($C443),"",IF(F443=Constants!$B$2, TRUE(), IF(F443=Constants!$B$3, FALSE(), TRUE())))</f>
        <v/>
      </c>
      <c r="S443" s="97" t="str">
        <f aca="false">IF(ISBLANK($C443),"",IF(G443=Constants!$B$15,Constants!$B$8,IF(G443=Constants!$B$16,Constants!$B$9,Constants!$B$10)))</f>
        <v/>
      </c>
      <c r="T443" s="97" t="str">
        <f aca="false">IF(ISBLANK($C443),"",IF(H443=Constants!$B$2, TRUE(), IF(H443=Constants!$B$3, FALSE(), TRUE())))</f>
        <v/>
      </c>
      <c r="U443" s="97" t="str">
        <f aca="false">IF(ISBLANK($C443),"",IF(I443=Constants!$B$19,Constants!$B$19,Constants!$B$18))</f>
        <v/>
      </c>
      <c r="V443" s="97" t="str">
        <f aca="false">IF(ISBLANK($C443),"",IF(COUNTA(J443:K443)=0,"",IF(AND(OR(ISBLANK(J443),AND(ISNUMBER(J443),J443&gt;=0)),OR(ISBLANK(K443),AND(ISNUMBER(K443),K443&gt;=0))),60*IF(ISBLANK(J443),0,J443)+IF(ISBLANK(K443),0,K443),"")))</f>
        <v/>
      </c>
      <c r="W443" s="97" t="str">
        <f aca="false">IF(ISBLANK($C443),"",IF(L443=Constants!$B$19,Constants!$B$19,Constants!$B$18))</f>
        <v/>
      </c>
      <c r="X443" s="97" t="str">
        <f aca="false">IF(ISBLANK($C443),"",IF(COUNTA(M443:N443)=0,"",IF(AND(OR(ISBLANK(M443),AND(ISNUMBER(M443),M443&gt;=0)),OR(ISBLANK(N443),AND(ISNUMBER(N443),N443&gt;=0))),60*IF(ISBLANK(M443),0,M443)+IF(ISBLANK(N443),0,N443),"")))</f>
        <v/>
      </c>
      <c r="Y443" s="97" t="str">
        <f aca="false">IF(ISBLANK($C443),"",IF(O443=Constants!$B$2, TRUE(), IF(O443=Constants!$B$3, FALSE(), FALSE())))</f>
        <v/>
      </c>
      <c r="Z443" s="97" t="str">
        <f aca="false">IF(ISBLANK($C443),"",IF(Y443,Constants!$B$4,IF(COUNTA(E443:N443)=0,Constants!$B$5,IF(COUNTA(J443:K443,M443:N443)=0,Constants!$B$6,Constants!$B$7))))</f>
        <v/>
      </c>
      <c r="AA443" s="97" t="str">
        <f aca="false">IF(ISBLANK($C443),"",IF($Z443&lt;&gt;Constants!$B$7,$Z443,IF(OR(NOT(T443),AND(NOT(Q443),COUNTIFS(U443:W443,Constants!$B$18,V443:X443,"&gt;=0")&gt;0),AND(NOT(R443),COUNTIFS(U443:W443,Constants!$B$19,V443:X443,"&gt;=0")&gt;0)),Constants!$B$12,Constants!$B$11)))</f>
        <v/>
      </c>
      <c r="AB443" s="97" t="str">
        <f aca="false">IF($Z443=Constants!$B$7,IF(V443="",Constants!$B$13,V443),"")</f>
        <v/>
      </c>
      <c r="AC443" s="97" t="str">
        <f aca="false">IF($Z443=Constants!$B$7,IF(X443="",Constants!$B$13,X443),"")</f>
        <v/>
      </c>
      <c r="AD443" s="97" t="str">
        <f aca="false">IF($Z443=Constants!$B$7,IF($AB443&gt;=$AC443,1,2),"")</f>
        <v/>
      </c>
      <c r="AE443" s="97" t="str">
        <f aca="false">IF($Z443=Constants!$B$7,LARGE(AB443:AC443,1),"")</f>
        <v/>
      </c>
      <c r="AF443" s="97" t="str">
        <f aca="false">IF(ISBLANK($C443),"",IF($Z443&lt;&gt;Constants!$B$7,$Z443,AE443*S443))</f>
        <v/>
      </c>
      <c r="AG443" s="97" t="str">
        <f aca="false">IF(ISBLANK($C443),"",IF($Z443=Constants!$B$7,IF(ISNUMBER(AF443),RANK(AF443,$AF$8:$AF$507),Constants!$B$14),$Z443))</f>
        <v/>
      </c>
      <c r="AH443" s="97" t="str">
        <f aca="false">IF(ISBLANK($C443),"",IF($Z443=Constants!$B$7,IF(ISNUMBER(AG443),COUNTIFS($AA$8:$AA$507,"&lt;"&amp;$AA443)+COUNTIFS($AA$8:$AA$507,$AA443,$AG$8:$AG$507,"&lt;"&amp;$AG443)+1,Constants!$B$14),$Z443))</f>
        <v/>
      </c>
      <c r="AI443" s="97" t="str">
        <f aca="false">IF(ISBLANK($C443),"",IF($Z443=Constants!$B$7,LARGE(AB443:AC443,2)*S443,""))</f>
        <v/>
      </c>
      <c r="AJ443" s="97" t="str">
        <f aca="false">IF(ISBLANK($C443),"",IF($Z443=Constants!$B$7,RANK(AI443,$AI$8:$AI$507),$Z443))</f>
        <v/>
      </c>
      <c r="AK443" s="97" t="str">
        <f aca="false">IF(ISBLANK($C443),"",IF($Z443=Constants!$B$7,IF(ISNUMBER(AG443),COUNTIFS($AA$8:$AA$507,"&lt;"&amp;$AA443)+COUNTIFS($AA$8:$AA$507,$AA443,$AG$8:$AG$507,"&lt;"&amp;$AG443)+COUNTIFS($AA$8:$AA$507,$AA443,$AG$8:$AG$507,$AG443,$AJ$8:$AJ$507,"&lt;"&amp;$AJ443)+1,Constants!$B$14),$Z443))</f>
        <v/>
      </c>
      <c r="AL443" s="97" t="str">
        <f aca="false">IF(ISBLANK($C443),"",IF($Z443=Constants!$B$7,IF(ISNUMBER(AH443),AH443-AK443,Constants!$B$14),$Z443))</f>
        <v/>
      </c>
      <c r="AM443" s="98"/>
      <c r="AN443" s="99" t="str">
        <f aca="false">IF(ISBLANK($C443),"",IF($Z443&lt;&gt;Constants!$B$7,$Z443,AD443))</f>
        <v/>
      </c>
      <c r="AO443" s="100" t="str">
        <f aca="false">IF(ISBLANK($C443),"",IF($Z443&lt;&gt;Constants!$B$7,$Z443,S443))</f>
        <v/>
      </c>
      <c r="AP443" s="101" t="str">
        <f aca="false">IF(ISBLANK($C443),"",IF($Z443&lt;&gt;Constants!$B$7,$Z443,AF443))</f>
        <v/>
      </c>
      <c r="AQ443" s="102" t="str">
        <f aca="false">IF(ISBLANK($C443),"",IF($Z443&lt;&gt;Constants!$B$7,$Z443,AA443))</f>
        <v/>
      </c>
      <c r="AR443" s="100" t="str">
        <f aca="false">IF(ISBLANK($C443),"",AL443)</f>
        <v/>
      </c>
      <c r="AS443" s="100" t="str">
        <f aca="false">IF(ISBLANK($C443),"",AK443)</f>
        <v/>
      </c>
      <c r="AT443" s="103" t="str">
        <f aca="false">IF(ISBLANK($C443),"",IF(AS443=Constants!$B$4,COUNTA($C$8:$C$507)+2,IF(AS443=Constants!$B$5,COUNTA($C$8:$C$507)+1,IF(AS443=Constants!$B$6,COUNTA($C$8:$C$507),AS443))))</f>
        <v/>
      </c>
      <c r="AU443" s="5"/>
      <c r="AV443" s="104" t="n">
        <f aca="false">IF(OR(ISNUMBER(AS443),AS443=Constants!$B$4,AS443=Constants!$B$6,AS443=Constants!$B$5),1,0)</f>
        <v>0</v>
      </c>
      <c r="AW443" s="104" t="n">
        <v>436</v>
      </c>
      <c r="AX443" s="104" t="str">
        <f aca="false">IF(ISBLANK($C443),"",IF(ISNUMBER(AT443),AT443+ROW($B443)/1000,""))</f>
        <v/>
      </c>
      <c r="AY443" s="104" t="str">
        <f aca="false">IF(ISNUMBER(AX443),RANK(AX443,$AX$8:$AX$507,1),"")</f>
        <v/>
      </c>
      <c r="AZ443" s="104" t="str">
        <f aca="false">IF(ISBLANK($C443),"",$B443)</f>
        <v/>
      </c>
      <c r="BA443" s="104" t="str">
        <f aca="false">IF(ISBLANK($C443),"",$C443)</f>
        <v/>
      </c>
      <c r="BB443" s="104" t="str">
        <f aca="false">IF(ISBLANK($C443),"",$D443)</f>
        <v/>
      </c>
      <c r="BC443" s="105" t="str">
        <f aca="false">AQ443</f>
        <v/>
      </c>
      <c r="BD443" s="106" t="str">
        <f aca="false">AP443</f>
        <v/>
      </c>
      <c r="BE443" s="104" t="str">
        <f aca="false">IF(ISBLANK($C443),"",AS443)</f>
        <v/>
      </c>
      <c r="BF443" s="107" t="str">
        <f aca="false">IF($AW443&gt;$AV$7,"",VLOOKUP($AW443,$AY$8:$BE$507,7,FALSE()))</f>
        <v/>
      </c>
      <c r="BG443" s="108" t="str">
        <f aca="false">IF($AW443&gt;$AV$7,"",VLOOKUP($AW443,$AY$8:$BE$507,2,FALSE()))</f>
        <v/>
      </c>
      <c r="BH443" s="108" t="str">
        <f aca="false">IF($AW443&gt;$AV$7,"",VLOOKUP($AW443,$AY$8:$BE$507,3,FALSE()))</f>
        <v/>
      </c>
      <c r="BI443" s="108" t="str">
        <f aca="false">IF($AW443&gt;$AV$7,"",VLOOKUP($AW443,$AY$8:$BE$507,4,FALSE()))</f>
        <v/>
      </c>
      <c r="BJ443" s="108" t="str">
        <f aca="false">IF($AW443&gt;$AV$7,"",VLOOKUP($AW443,$AY$8:$BE$507,5,FALSE()))</f>
        <v/>
      </c>
      <c r="BK443" s="109" t="str">
        <f aca="false">IF($AW443&gt;$AV$7,"",VLOOKUP($AW443,$AY$8:$BE$507,6,FALSE()))</f>
        <v/>
      </c>
      <c r="BL443" s="50"/>
    </row>
    <row r="444" customFormat="false" ht="15.75" hidden="false" customHeight="false" outlineLevel="0" collapsed="false">
      <c r="A444" s="5"/>
      <c r="B444" s="124"/>
      <c r="C444" s="125"/>
      <c r="D444" s="110"/>
      <c r="E444" s="130"/>
      <c r="F444" s="135"/>
      <c r="G444" s="88"/>
      <c r="H444" s="136"/>
      <c r="I444" s="137"/>
      <c r="J444" s="91"/>
      <c r="K444" s="92"/>
      <c r="L444" s="137"/>
      <c r="M444" s="93"/>
      <c r="N444" s="94"/>
      <c r="O444" s="130"/>
      <c r="P444" s="96"/>
      <c r="Q444" s="97" t="str">
        <f aca="false">IF(ISBLANK($C444),"",IF(E444=Constants!$B$2, TRUE(), IF(E444=Constants!$B$3, FALSE(), TRUE())))</f>
        <v/>
      </c>
      <c r="R444" s="97" t="str">
        <f aca="false">IF(ISBLANK($C444),"",IF(F444=Constants!$B$2, TRUE(), IF(F444=Constants!$B$3, FALSE(), TRUE())))</f>
        <v/>
      </c>
      <c r="S444" s="97" t="str">
        <f aca="false">IF(ISBLANK($C444),"",IF(G444=Constants!$B$15,Constants!$B$8,IF(G444=Constants!$B$16,Constants!$B$9,Constants!$B$10)))</f>
        <v/>
      </c>
      <c r="T444" s="97" t="str">
        <f aca="false">IF(ISBLANK($C444),"",IF(H444=Constants!$B$2, TRUE(), IF(H444=Constants!$B$3, FALSE(), TRUE())))</f>
        <v/>
      </c>
      <c r="U444" s="97" t="str">
        <f aca="false">IF(ISBLANK($C444),"",IF(I444=Constants!$B$19,Constants!$B$19,Constants!$B$18))</f>
        <v/>
      </c>
      <c r="V444" s="97" t="str">
        <f aca="false">IF(ISBLANK($C444),"",IF(COUNTA(J444:K444)=0,"",IF(AND(OR(ISBLANK(J444),AND(ISNUMBER(J444),J444&gt;=0)),OR(ISBLANK(K444),AND(ISNUMBER(K444),K444&gt;=0))),60*IF(ISBLANK(J444),0,J444)+IF(ISBLANK(K444),0,K444),"")))</f>
        <v/>
      </c>
      <c r="W444" s="97" t="str">
        <f aca="false">IF(ISBLANK($C444),"",IF(L444=Constants!$B$19,Constants!$B$19,Constants!$B$18))</f>
        <v/>
      </c>
      <c r="X444" s="97" t="str">
        <f aca="false">IF(ISBLANK($C444),"",IF(COUNTA(M444:N444)=0,"",IF(AND(OR(ISBLANK(M444),AND(ISNUMBER(M444),M444&gt;=0)),OR(ISBLANK(N444),AND(ISNUMBER(N444),N444&gt;=0))),60*IF(ISBLANK(M444),0,M444)+IF(ISBLANK(N444),0,N444),"")))</f>
        <v/>
      </c>
      <c r="Y444" s="97" t="str">
        <f aca="false">IF(ISBLANK($C444),"",IF(O444=Constants!$B$2, TRUE(), IF(O444=Constants!$B$3, FALSE(), FALSE())))</f>
        <v/>
      </c>
      <c r="Z444" s="97" t="str">
        <f aca="false">IF(ISBLANK($C444),"",IF(Y444,Constants!$B$4,IF(COUNTA(E444:N444)=0,Constants!$B$5,IF(COUNTA(J444:K444,M444:N444)=0,Constants!$B$6,Constants!$B$7))))</f>
        <v/>
      </c>
      <c r="AA444" s="97" t="str">
        <f aca="false">IF(ISBLANK($C444),"",IF($Z444&lt;&gt;Constants!$B$7,$Z444,IF(OR(NOT(T444),AND(NOT(Q444),COUNTIFS(U444:W444,Constants!$B$18,V444:X444,"&gt;=0")&gt;0),AND(NOT(R444),COUNTIFS(U444:W444,Constants!$B$19,V444:X444,"&gt;=0")&gt;0)),Constants!$B$12,Constants!$B$11)))</f>
        <v/>
      </c>
      <c r="AB444" s="97" t="str">
        <f aca="false">IF($Z444=Constants!$B$7,IF(V444="",Constants!$B$13,V444),"")</f>
        <v/>
      </c>
      <c r="AC444" s="97" t="str">
        <f aca="false">IF($Z444=Constants!$B$7,IF(X444="",Constants!$B$13,X444),"")</f>
        <v/>
      </c>
      <c r="AD444" s="97" t="str">
        <f aca="false">IF($Z444=Constants!$B$7,IF($AB444&gt;=$AC444,1,2),"")</f>
        <v/>
      </c>
      <c r="AE444" s="97" t="str">
        <f aca="false">IF($Z444=Constants!$B$7,LARGE(AB444:AC444,1),"")</f>
        <v/>
      </c>
      <c r="AF444" s="97" t="str">
        <f aca="false">IF(ISBLANK($C444),"",IF($Z444&lt;&gt;Constants!$B$7,$Z444,AE444*S444))</f>
        <v/>
      </c>
      <c r="AG444" s="97" t="str">
        <f aca="false">IF(ISBLANK($C444),"",IF($Z444=Constants!$B$7,IF(ISNUMBER(AF444),RANK(AF444,$AF$8:$AF$507),Constants!$B$14),$Z444))</f>
        <v/>
      </c>
      <c r="AH444" s="97" t="str">
        <f aca="false">IF(ISBLANK($C444),"",IF($Z444=Constants!$B$7,IF(ISNUMBER(AG444),COUNTIFS($AA$8:$AA$507,"&lt;"&amp;$AA444)+COUNTIFS($AA$8:$AA$507,$AA444,$AG$8:$AG$507,"&lt;"&amp;$AG444)+1,Constants!$B$14),$Z444))</f>
        <v/>
      </c>
      <c r="AI444" s="97" t="str">
        <f aca="false">IF(ISBLANK($C444),"",IF($Z444=Constants!$B$7,LARGE(AB444:AC444,2)*S444,""))</f>
        <v/>
      </c>
      <c r="AJ444" s="97" t="str">
        <f aca="false">IF(ISBLANK($C444),"",IF($Z444=Constants!$B$7,RANK(AI444,$AI$8:$AI$507),$Z444))</f>
        <v/>
      </c>
      <c r="AK444" s="97" t="str">
        <f aca="false">IF(ISBLANK($C444),"",IF($Z444=Constants!$B$7,IF(ISNUMBER(AG444),COUNTIFS($AA$8:$AA$507,"&lt;"&amp;$AA444)+COUNTIFS($AA$8:$AA$507,$AA444,$AG$8:$AG$507,"&lt;"&amp;$AG444)+COUNTIFS($AA$8:$AA$507,$AA444,$AG$8:$AG$507,$AG444,$AJ$8:$AJ$507,"&lt;"&amp;$AJ444)+1,Constants!$B$14),$Z444))</f>
        <v/>
      </c>
      <c r="AL444" s="97" t="str">
        <f aca="false">IF(ISBLANK($C444),"",IF($Z444=Constants!$B$7,IF(ISNUMBER(AH444),AH444-AK444,Constants!$B$14),$Z444))</f>
        <v/>
      </c>
      <c r="AM444" s="98"/>
      <c r="AN444" s="99" t="str">
        <f aca="false">IF(ISBLANK($C444),"",IF($Z444&lt;&gt;Constants!$B$7,$Z444,AD444))</f>
        <v/>
      </c>
      <c r="AO444" s="100" t="str">
        <f aca="false">IF(ISBLANK($C444),"",IF($Z444&lt;&gt;Constants!$B$7,$Z444,S444))</f>
        <v/>
      </c>
      <c r="AP444" s="101" t="str">
        <f aca="false">IF(ISBLANK($C444),"",IF($Z444&lt;&gt;Constants!$B$7,$Z444,AF444))</f>
        <v/>
      </c>
      <c r="AQ444" s="102" t="str">
        <f aca="false">IF(ISBLANK($C444),"",IF($Z444&lt;&gt;Constants!$B$7,$Z444,AA444))</f>
        <v/>
      </c>
      <c r="AR444" s="100" t="str">
        <f aca="false">IF(ISBLANK($C444),"",AL444)</f>
        <v/>
      </c>
      <c r="AS444" s="100" t="str">
        <f aca="false">IF(ISBLANK($C444),"",AK444)</f>
        <v/>
      </c>
      <c r="AT444" s="103" t="str">
        <f aca="false">IF(ISBLANK($C444),"",IF(AS444=Constants!$B$4,COUNTA($C$8:$C$507)+2,IF(AS444=Constants!$B$5,COUNTA($C$8:$C$507)+1,IF(AS444=Constants!$B$6,COUNTA($C$8:$C$507),AS444))))</f>
        <v/>
      </c>
      <c r="AU444" s="5"/>
      <c r="AV444" s="104" t="n">
        <f aca="false">IF(OR(ISNUMBER(AS444),AS444=Constants!$B$4,AS444=Constants!$B$6,AS444=Constants!$B$5),1,0)</f>
        <v>0</v>
      </c>
      <c r="AW444" s="104" t="n">
        <v>437</v>
      </c>
      <c r="AX444" s="104" t="str">
        <f aca="false">IF(ISBLANK($C444),"",IF(ISNUMBER(AT444),AT444+ROW($B444)/1000,""))</f>
        <v/>
      </c>
      <c r="AY444" s="104" t="str">
        <f aca="false">IF(ISNUMBER(AX444),RANK(AX444,$AX$8:$AX$507,1),"")</f>
        <v/>
      </c>
      <c r="AZ444" s="104" t="str">
        <f aca="false">IF(ISBLANK($C444),"",$B444)</f>
        <v/>
      </c>
      <c r="BA444" s="104" t="str">
        <f aca="false">IF(ISBLANK($C444),"",$C444)</f>
        <v/>
      </c>
      <c r="BB444" s="104" t="str">
        <f aca="false">IF(ISBLANK($C444),"",$D444)</f>
        <v/>
      </c>
      <c r="BC444" s="105" t="str">
        <f aca="false">AQ444</f>
        <v/>
      </c>
      <c r="BD444" s="106" t="str">
        <f aca="false">AP444</f>
        <v/>
      </c>
      <c r="BE444" s="104" t="str">
        <f aca="false">IF(ISBLANK($C444),"",AS444)</f>
        <v/>
      </c>
      <c r="BF444" s="107" t="str">
        <f aca="false">IF($AW444&gt;$AV$7,"",VLOOKUP($AW444,$AY$8:$BE$507,7,FALSE()))</f>
        <v/>
      </c>
      <c r="BG444" s="108" t="str">
        <f aca="false">IF($AW444&gt;$AV$7,"",VLOOKUP($AW444,$AY$8:$BE$507,2,FALSE()))</f>
        <v/>
      </c>
      <c r="BH444" s="108" t="str">
        <f aca="false">IF($AW444&gt;$AV$7,"",VLOOKUP($AW444,$AY$8:$BE$507,3,FALSE()))</f>
        <v/>
      </c>
      <c r="BI444" s="108" t="str">
        <f aca="false">IF($AW444&gt;$AV$7,"",VLOOKUP($AW444,$AY$8:$BE$507,4,FALSE()))</f>
        <v/>
      </c>
      <c r="BJ444" s="108" t="str">
        <f aca="false">IF($AW444&gt;$AV$7,"",VLOOKUP($AW444,$AY$8:$BE$507,5,FALSE()))</f>
        <v/>
      </c>
      <c r="BK444" s="109" t="str">
        <f aca="false">IF($AW444&gt;$AV$7,"",VLOOKUP($AW444,$AY$8:$BE$507,6,FALSE()))</f>
        <v/>
      </c>
      <c r="BL444" s="50"/>
    </row>
    <row r="445" customFormat="false" ht="15.75" hidden="false" customHeight="false" outlineLevel="0" collapsed="false">
      <c r="A445" s="5"/>
      <c r="B445" s="124"/>
      <c r="C445" s="125"/>
      <c r="D445" s="110"/>
      <c r="E445" s="130"/>
      <c r="F445" s="135"/>
      <c r="G445" s="88"/>
      <c r="H445" s="136"/>
      <c r="I445" s="137"/>
      <c r="J445" s="91"/>
      <c r="K445" s="92"/>
      <c r="L445" s="137"/>
      <c r="M445" s="93"/>
      <c r="N445" s="94"/>
      <c r="O445" s="130"/>
      <c r="P445" s="96"/>
      <c r="Q445" s="97" t="str">
        <f aca="false">IF(ISBLANK($C445),"",IF(E445=Constants!$B$2, TRUE(), IF(E445=Constants!$B$3, FALSE(), TRUE())))</f>
        <v/>
      </c>
      <c r="R445" s="97" t="str">
        <f aca="false">IF(ISBLANK($C445),"",IF(F445=Constants!$B$2, TRUE(), IF(F445=Constants!$B$3, FALSE(), TRUE())))</f>
        <v/>
      </c>
      <c r="S445" s="97" t="str">
        <f aca="false">IF(ISBLANK($C445),"",IF(G445=Constants!$B$15,Constants!$B$8,IF(G445=Constants!$B$16,Constants!$B$9,Constants!$B$10)))</f>
        <v/>
      </c>
      <c r="T445" s="97" t="str">
        <f aca="false">IF(ISBLANK($C445),"",IF(H445=Constants!$B$2, TRUE(), IF(H445=Constants!$B$3, FALSE(), TRUE())))</f>
        <v/>
      </c>
      <c r="U445" s="97" t="str">
        <f aca="false">IF(ISBLANK($C445),"",IF(I445=Constants!$B$19,Constants!$B$19,Constants!$B$18))</f>
        <v/>
      </c>
      <c r="V445" s="97" t="str">
        <f aca="false">IF(ISBLANK($C445),"",IF(COUNTA(J445:K445)=0,"",IF(AND(OR(ISBLANK(J445),AND(ISNUMBER(J445),J445&gt;=0)),OR(ISBLANK(K445),AND(ISNUMBER(K445),K445&gt;=0))),60*IF(ISBLANK(J445),0,J445)+IF(ISBLANK(K445),0,K445),"")))</f>
        <v/>
      </c>
      <c r="W445" s="97" t="str">
        <f aca="false">IF(ISBLANK($C445),"",IF(L445=Constants!$B$19,Constants!$B$19,Constants!$B$18))</f>
        <v/>
      </c>
      <c r="X445" s="97" t="str">
        <f aca="false">IF(ISBLANK($C445),"",IF(COUNTA(M445:N445)=0,"",IF(AND(OR(ISBLANK(M445),AND(ISNUMBER(M445),M445&gt;=0)),OR(ISBLANK(N445),AND(ISNUMBER(N445),N445&gt;=0))),60*IF(ISBLANK(M445),0,M445)+IF(ISBLANK(N445),0,N445),"")))</f>
        <v/>
      </c>
      <c r="Y445" s="97" t="str">
        <f aca="false">IF(ISBLANK($C445),"",IF(O445=Constants!$B$2, TRUE(), IF(O445=Constants!$B$3, FALSE(), FALSE())))</f>
        <v/>
      </c>
      <c r="Z445" s="97" t="str">
        <f aca="false">IF(ISBLANK($C445),"",IF(Y445,Constants!$B$4,IF(COUNTA(E445:N445)=0,Constants!$B$5,IF(COUNTA(J445:K445,M445:N445)=0,Constants!$B$6,Constants!$B$7))))</f>
        <v/>
      </c>
      <c r="AA445" s="97" t="str">
        <f aca="false">IF(ISBLANK($C445),"",IF($Z445&lt;&gt;Constants!$B$7,$Z445,IF(OR(NOT(T445),AND(NOT(Q445),COUNTIFS(U445:W445,Constants!$B$18,V445:X445,"&gt;=0")&gt;0),AND(NOT(R445),COUNTIFS(U445:W445,Constants!$B$19,V445:X445,"&gt;=0")&gt;0)),Constants!$B$12,Constants!$B$11)))</f>
        <v/>
      </c>
      <c r="AB445" s="97" t="str">
        <f aca="false">IF($Z445=Constants!$B$7,IF(V445="",Constants!$B$13,V445),"")</f>
        <v/>
      </c>
      <c r="AC445" s="97" t="str">
        <f aca="false">IF($Z445=Constants!$B$7,IF(X445="",Constants!$B$13,X445),"")</f>
        <v/>
      </c>
      <c r="AD445" s="97" t="str">
        <f aca="false">IF($Z445=Constants!$B$7,IF($AB445&gt;=$AC445,1,2),"")</f>
        <v/>
      </c>
      <c r="AE445" s="97" t="str">
        <f aca="false">IF($Z445=Constants!$B$7,LARGE(AB445:AC445,1),"")</f>
        <v/>
      </c>
      <c r="AF445" s="97" t="str">
        <f aca="false">IF(ISBLANK($C445),"",IF($Z445&lt;&gt;Constants!$B$7,$Z445,AE445*S445))</f>
        <v/>
      </c>
      <c r="AG445" s="97" t="str">
        <f aca="false">IF(ISBLANK($C445),"",IF($Z445=Constants!$B$7,IF(ISNUMBER(AF445),RANK(AF445,$AF$8:$AF$507),Constants!$B$14),$Z445))</f>
        <v/>
      </c>
      <c r="AH445" s="97" t="str">
        <f aca="false">IF(ISBLANK($C445),"",IF($Z445=Constants!$B$7,IF(ISNUMBER(AG445),COUNTIFS($AA$8:$AA$507,"&lt;"&amp;$AA445)+COUNTIFS($AA$8:$AA$507,$AA445,$AG$8:$AG$507,"&lt;"&amp;$AG445)+1,Constants!$B$14),$Z445))</f>
        <v/>
      </c>
      <c r="AI445" s="97" t="str">
        <f aca="false">IF(ISBLANK($C445),"",IF($Z445=Constants!$B$7,LARGE(AB445:AC445,2)*S445,""))</f>
        <v/>
      </c>
      <c r="AJ445" s="97" t="str">
        <f aca="false">IF(ISBLANK($C445),"",IF($Z445=Constants!$B$7,RANK(AI445,$AI$8:$AI$507),$Z445))</f>
        <v/>
      </c>
      <c r="AK445" s="97" t="str">
        <f aca="false">IF(ISBLANK($C445),"",IF($Z445=Constants!$B$7,IF(ISNUMBER(AG445),COUNTIFS($AA$8:$AA$507,"&lt;"&amp;$AA445)+COUNTIFS($AA$8:$AA$507,$AA445,$AG$8:$AG$507,"&lt;"&amp;$AG445)+COUNTIFS($AA$8:$AA$507,$AA445,$AG$8:$AG$507,$AG445,$AJ$8:$AJ$507,"&lt;"&amp;$AJ445)+1,Constants!$B$14),$Z445))</f>
        <v/>
      </c>
      <c r="AL445" s="97" t="str">
        <f aca="false">IF(ISBLANK($C445),"",IF($Z445=Constants!$B$7,IF(ISNUMBER(AH445),AH445-AK445,Constants!$B$14),$Z445))</f>
        <v/>
      </c>
      <c r="AM445" s="98"/>
      <c r="AN445" s="99" t="str">
        <f aca="false">IF(ISBLANK($C445),"",IF($Z445&lt;&gt;Constants!$B$7,$Z445,AD445))</f>
        <v/>
      </c>
      <c r="AO445" s="100" t="str">
        <f aca="false">IF(ISBLANK($C445),"",IF($Z445&lt;&gt;Constants!$B$7,$Z445,S445))</f>
        <v/>
      </c>
      <c r="AP445" s="101" t="str">
        <f aca="false">IF(ISBLANK($C445),"",IF($Z445&lt;&gt;Constants!$B$7,$Z445,AF445))</f>
        <v/>
      </c>
      <c r="AQ445" s="102" t="str">
        <f aca="false">IF(ISBLANK($C445),"",IF($Z445&lt;&gt;Constants!$B$7,$Z445,AA445))</f>
        <v/>
      </c>
      <c r="AR445" s="100" t="str">
        <f aca="false">IF(ISBLANK($C445),"",AL445)</f>
        <v/>
      </c>
      <c r="AS445" s="100" t="str">
        <f aca="false">IF(ISBLANK($C445),"",AK445)</f>
        <v/>
      </c>
      <c r="AT445" s="103" t="str">
        <f aca="false">IF(ISBLANK($C445),"",IF(AS445=Constants!$B$4,COUNTA($C$8:$C$507)+2,IF(AS445=Constants!$B$5,COUNTA($C$8:$C$507)+1,IF(AS445=Constants!$B$6,COUNTA($C$8:$C$507),AS445))))</f>
        <v/>
      </c>
      <c r="AU445" s="5"/>
      <c r="AV445" s="104" t="n">
        <f aca="false">IF(OR(ISNUMBER(AS445),AS445=Constants!$B$4,AS445=Constants!$B$6,AS445=Constants!$B$5),1,0)</f>
        <v>0</v>
      </c>
      <c r="AW445" s="104" t="n">
        <v>438</v>
      </c>
      <c r="AX445" s="104" t="str">
        <f aca="false">IF(ISBLANK($C445),"",IF(ISNUMBER(AT445),AT445+ROW($B445)/1000,""))</f>
        <v/>
      </c>
      <c r="AY445" s="104" t="str">
        <f aca="false">IF(ISNUMBER(AX445),RANK(AX445,$AX$8:$AX$507,1),"")</f>
        <v/>
      </c>
      <c r="AZ445" s="104" t="str">
        <f aca="false">IF(ISBLANK($C445),"",$B445)</f>
        <v/>
      </c>
      <c r="BA445" s="104" t="str">
        <f aca="false">IF(ISBLANK($C445),"",$C445)</f>
        <v/>
      </c>
      <c r="BB445" s="104" t="str">
        <f aca="false">IF(ISBLANK($C445),"",$D445)</f>
        <v/>
      </c>
      <c r="BC445" s="105" t="str">
        <f aca="false">AQ445</f>
        <v/>
      </c>
      <c r="BD445" s="106" t="str">
        <f aca="false">AP445</f>
        <v/>
      </c>
      <c r="BE445" s="104" t="str">
        <f aca="false">IF(ISBLANK($C445),"",AS445)</f>
        <v/>
      </c>
      <c r="BF445" s="107" t="str">
        <f aca="false">IF($AW445&gt;$AV$7,"",VLOOKUP($AW445,$AY$8:$BE$507,7,FALSE()))</f>
        <v/>
      </c>
      <c r="BG445" s="108" t="str">
        <f aca="false">IF($AW445&gt;$AV$7,"",VLOOKUP($AW445,$AY$8:$BE$507,2,FALSE()))</f>
        <v/>
      </c>
      <c r="BH445" s="108" t="str">
        <f aca="false">IF($AW445&gt;$AV$7,"",VLOOKUP($AW445,$AY$8:$BE$507,3,FALSE()))</f>
        <v/>
      </c>
      <c r="BI445" s="108" t="str">
        <f aca="false">IF($AW445&gt;$AV$7,"",VLOOKUP($AW445,$AY$8:$BE$507,4,FALSE()))</f>
        <v/>
      </c>
      <c r="BJ445" s="108" t="str">
        <f aca="false">IF($AW445&gt;$AV$7,"",VLOOKUP($AW445,$AY$8:$BE$507,5,FALSE()))</f>
        <v/>
      </c>
      <c r="BK445" s="109" t="str">
        <f aca="false">IF($AW445&gt;$AV$7,"",VLOOKUP($AW445,$AY$8:$BE$507,6,FALSE()))</f>
        <v/>
      </c>
      <c r="BL445" s="50"/>
    </row>
    <row r="446" customFormat="false" ht="15.75" hidden="false" customHeight="false" outlineLevel="0" collapsed="false">
      <c r="A446" s="5"/>
      <c r="B446" s="131"/>
      <c r="C446" s="52"/>
      <c r="D446" s="53"/>
      <c r="E446" s="80"/>
      <c r="F446" s="132"/>
      <c r="G446" s="56"/>
      <c r="H446" s="133"/>
      <c r="I446" s="134"/>
      <c r="J446" s="59"/>
      <c r="K446" s="60"/>
      <c r="L446" s="134"/>
      <c r="M446" s="61"/>
      <c r="N446" s="62"/>
      <c r="O446" s="80"/>
      <c r="P446" s="64"/>
      <c r="Q446" s="65" t="str">
        <f aca="false">IF(ISBLANK($C446),"",IF(E446=Constants!$B$2, TRUE(), IF(E446=Constants!$B$3, FALSE(), TRUE())))</f>
        <v/>
      </c>
      <c r="R446" s="65" t="str">
        <f aca="false">IF(ISBLANK($C446),"",IF(F446=Constants!$B$2, TRUE(), IF(F446=Constants!$B$3, FALSE(), TRUE())))</f>
        <v/>
      </c>
      <c r="S446" s="65" t="str">
        <f aca="false">IF(ISBLANK($C446),"",IF(G446=Constants!$B$15,Constants!$B$8,IF(G446=Constants!$B$16,Constants!$B$9,Constants!$B$10)))</f>
        <v/>
      </c>
      <c r="T446" s="65" t="str">
        <f aca="false">IF(ISBLANK($C446),"",IF(H446=Constants!$B$2, TRUE(), IF(H446=Constants!$B$3, FALSE(), TRUE())))</f>
        <v/>
      </c>
      <c r="U446" s="65" t="str">
        <f aca="false">IF(ISBLANK($C446),"",IF(I446=Constants!$B$19,Constants!$B$19,Constants!$B$18))</f>
        <v/>
      </c>
      <c r="V446" s="65" t="str">
        <f aca="false">IF(ISBLANK($C446),"",IF(COUNTA(J446:K446)=0,"",IF(AND(OR(ISBLANK(J446),AND(ISNUMBER(J446),J446&gt;=0)),OR(ISBLANK(K446),AND(ISNUMBER(K446),K446&gt;=0))),60*IF(ISBLANK(J446),0,J446)+IF(ISBLANK(K446),0,K446),"")))</f>
        <v/>
      </c>
      <c r="W446" s="65" t="str">
        <f aca="false">IF(ISBLANK($C446),"",IF(L446=Constants!$B$19,Constants!$B$19,Constants!$B$18))</f>
        <v/>
      </c>
      <c r="X446" s="65" t="str">
        <f aca="false">IF(ISBLANK($C446),"",IF(COUNTA(M446:N446)=0,"",IF(AND(OR(ISBLANK(M446),AND(ISNUMBER(M446),M446&gt;=0)),OR(ISBLANK(N446),AND(ISNUMBER(N446),N446&gt;=0))),60*IF(ISBLANK(M446),0,M446)+IF(ISBLANK(N446),0,N446),"")))</f>
        <v/>
      </c>
      <c r="Y446" s="65" t="str">
        <f aca="false">IF(ISBLANK($C446),"",IF(O446=Constants!$B$2, TRUE(), IF(O446=Constants!$B$3, FALSE(), FALSE())))</f>
        <v/>
      </c>
      <c r="Z446" s="65" t="str">
        <f aca="false">IF(ISBLANK($C446),"",IF(Y446,Constants!$B$4,IF(COUNTA(E446:N446)=0,Constants!$B$5,IF(COUNTA(J446:K446,M446:N446)=0,Constants!$B$6,Constants!$B$7))))</f>
        <v/>
      </c>
      <c r="AA446" s="65" t="str">
        <f aca="false">IF(ISBLANK($C446),"",IF($Z446&lt;&gt;Constants!$B$7,$Z446,IF(OR(NOT(T446),AND(NOT(Q446),COUNTIFS(U446:W446,Constants!$B$18,V446:X446,"&gt;=0")&gt;0),AND(NOT(R446),COUNTIFS(U446:W446,Constants!$B$19,V446:X446,"&gt;=0")&gt;0)),Constants!$B$12,Constants!$B$11)))</f>
        <v/>
      </c>
      <c r="AB446" s="65" t="str">
        <f aca="false">IF($Z446=Constants!$B$7,IF(V446="",Constants!$B$13,V446),"")</f>
        <v/>
      </c>
      <c r="AC446" s="65" t="str">
        <f aca="false">IF($Z446=Constants!$B$7,IF(X446="",Constants!$B$13,X446),"")</f>
        <v/>
      </c>
      <c r="AD446" s="65" t="str">
        <f aca="false">IF($Z446=Constants!$B$7,IF($AB446&gt;=$AC446,1,2),"")</f>
        <v/>
      </c>
      <c r="AE446" s="65" t="str">
        <f aca="false">IF($Z446=Constants!$B$7,LARGE(AB446:AC446,1),"")</f>
        <v/>
      </c>
      <c r="AF446" s="65" t="str">
        <f aca="false">IF(ISBLANK($C446),"",IF($Z446&lt;&gt;Constants!$B$7,$Z446,AE446*S446))</f>
        <v/>
      </c>
      <c r="AG446" s="65" t="str">
        <f aca="false">IF(ISBLANK($C446),"",IF($Z446=Constants!$B$7,IF(ISNUMBER(AF446),RANK(AF446,$AF$8:$AF$507),Constants!$B$14),$Z446))</f>
        <v/>
      </c>
      <c r="AH446" s="65" t="str">
        <f aca="false">IF(ISBLANK($C446),"",IF($Z446=Constants!$B$7,IF(ISNUMBER(AG446),COUNTIFS($AA$8:$AA$507,"&lt;"&amp;$AA446)+COUNTIFS($AA$8:$AA$507,$AA446,$AG$8:$AG$507,"&lt;"&amp;$AG446)+1,Constants!$B$14),$Z446))</f>
        <v/>
      </c>
      <c r="AI446" s="65" t="str">
        <f aca="false">IF(ISBLANK($C446),"",IF($Z446=Constants!$B$7,LARGE(AB446:AC446,2)*S446,""))</f>
        <v/>
      </c>
      <c r="AJ446" s="65" t="str">
        <f aca="false">IF(ISBLANK($C446),"",IF($Z446=Constants!$B$7,RANK(AI446,$AI$8:$AI$507),$Z446))</f>
        <v/>
      </c>
      <c r="AK446" s="65" t="str">
        <f aca="false">IF(ISBLANK($C446),"",IF($Z446=Constants!$B$7,IF(ISNUMBER(AG446),COUNTIFS($AA$8:$AA$507,"&lt;"&amp;$AA446)+COUNTIFS($AA$8:$AA$507,$AA446,$AG$8:$AG$507,"&lt;"&amp;$AG446)+COUNTIFS($AA$8:$AA$507,$AA446,$AG$8:$AG$507,$AG446,$AJ$8:$AJ$507,"&lt;"&amp;$AJ446)+1,Constants!$B$14),$Z446))</f>
        <v/>
      </c>
      <c r="AL446" s="65" t="str">
        <f aca="false">IF(ISBLANK($C446),"",IF($Z446=Constants!$B$7,IF(ISNUMBER(AH446),AH446-AK446,Constants!$B$14),$Z446))</f>
        <v/>
      </c>
      <c r="AM446" s="67"/>
      <c r="AN446" s="68" t="str">
        <f aca="false">IF(ISBLANK($C446),"",IF($Z446&lt;&gt;Constants!$B$7,$Z446,AD446))</f>
        <v/>
      </c>
      <c r="AO446" s="69" t="str">
        <f aca="false">IF(ISBLANK($C446),"",IF($Z446&lt;&gt;Constants!$B$7,$Z446,S446))</f>
        <v/>
      </c>
      <c r="AP446" s="70" t="str">
        <f aca="false">IF(ISBLANK($C446),"",IF($Z446&lt;&gt;Constants!$B$7,$Z446,AF446))</f>
        <v/>
      </c>
      <c r="AQ446" s="71" t="str">
        <f aca="false">IF(ISBLANK($C446),"",IF($Z446&lt;&gt;Constants!$B$7,$Z446,AA446))</f>
        <v/>
      </c>
      <c r="AR446" s="69" t="str">
        <f aca="false">IF(ISBLANK($C446),"",AL446)</f>
        <v/>
      </c>
      <c r="AS446" s="69" t="str">
        <f aca="false">IF(ISBLANK($C446),"",AK446)</f>
        <v/>
      </c>
      <c r="AT446" s="72" t="str">
        <f aca="false">IF(ISBLANK($C446),"",IF(AS446=Constants!$B$4,COUNTA($C$8:$C$507)+2,IF(AS446=Constants!$B$5,COUNTA($C$8:$C$507)+1,IF(AS446=Constants!$B$6,COUNTA($C$8:$C$507),AS446))))</f>
        <v/>
      </c>
      <c r="AU446" s="5"/>
      <c r="AV446" s="73" t="n">
        <f aca="false">IF(OR(ISNUMBER(AS446),AS446=Constants!$B$4,AS446=Constants!$B$6,AS446=Constants!$B$5),1,0)</f>
        <v>0</v>
      </c>
      <c r="AW446" s="73" t="n">
        <v>439</v>
      </c>
      <c r="AX446" s="73" t="str">
        <f aca="false">IF(ISBLANK($C446),"",IF(ISNUMBER(AT446),AT446+ROW($B446)/1000,""))</f>
        <v/>
      </c>
      <c r="AY446" s="73" t="str">
        <f aca="false">IF(ISNUMBER(AX446),RANK(AX446,$AX$8:$AX$507,1),"")</f>
        <v/>
      </c>
      <c r="AZ446" s="73" t="str">
        <f aca="false">IF(ISBLANK($C446),"",$B446)</f>
        <v/>
      </c>
      <c r="BA446" s="73" t="str">
        <f aca="false">IF(ISBLANK($C446),"",$C446)</f>
        <v/>
      </c>
      <c r="BB446" s="73" t="str">
        <f aca="false">IF(ISBLANK($C446),"",$D446)</f>
        <v/>
      </c>
      <c r="BC446" s="74" t="str">
        <f aca="false">AQ446</f>
        <v/>
      </c>
      <c r="BD446" s="75" t="str">
        <f aca="false">AP446</f>
        <v/>
      </c>
      <c r="BE446" s="73" t="str">
        <f aca="false">IF(ISBLANK($C446),"",AS446)</f>
        <v/>
      </c>
      <c r="BF446" s="76" t="str">
        <f aca="false">IF($AW446&gt;$AV$7,"",VLOOKUP($AW446,$AY$8:$BE$507,7,FALSE()))</f>
        <v/>
      </c>
      <c r="BG446" s="77" t="str">
        <f aca="false">IF($AW446&gt;$AV$7,"",VLOOKUP($AW446,$AY$8:$BE$507,2,FALSE()))</f>
        <v/>
      </c>
      <c r="BH446" s="77" t="str">
        <f aca="false">IF($AW446&gt;$AV$7,"",VLOOKUP($AW446,$AY$8:$BE$507,3,FALSE()))</f>
        <v/>
      </c>
      <c r="BI446" s="77" t="str">
        <f aca="false">IF($AW446&gt;$AV$7,"",VLOOKUP($AW446,$AY$8:$BE$507,4,FALSE()))</f>
        <v/>
      </c>
      <c r="BJ446" s="77" t="str">
        <f aca="false">IF($AW446&gt;$AV$7,"",VLOOKUP($AW446,$AY$8:$BE$507,5,FALSE()))</f>
        <v/>
      </c>
      <c r="BK446" s="78" t="str">
        <f aca="false">IF($AW446&gt;$AV$7,"",VLOOKUP($AW446,$AY$8:$BE$507,6,FALSE()))</f>
        <v/>
      </c>
      <c r="BL446" s="50"/>
    </row>
    <row r="447" customFormat="false" ht="15.75" hidden="false" customHeight="false" outlineLevel="0" collapsed="false">
      <c r="A447" s="5"/>
      <c r="B447" s="131"/>
      <c r="C447" s="52"/>
      <c r="D447" s="53"/>
      <c r="E447" s="80"/>
      <c r="F447" s="132"/>
      <c r="G447" s="56"/>
      <c r="H447" s="133"/>
      <c r="I447" s="134"/>
      <c r="J447" s="59"/>
      <c r="K447" s="60"/>
      <c r="L447" s="134"/>
      <c r="M447" s="61"/>
      <c r="N447" s="62"/>
      <c r="O447" s="80"/>
      <c r="P447" s="64"/>
      <c r="Q447" s="65" t="str">
        <f aca="false">IF(ISBLANK($C447),"",IF(E447=Constants!$B$2, TRUE(), IF(E447=Constants!$B$3, FALSE(), TRUE())))</f>
        <v/>
      </c>
      <c r="R447" s="65" t="str">
        <f aca="false">IF(ISBLANK($C447),"",IF(F447=Constants!$B$2, TRUE(), IF(F447=Constants!$B$3, FALSE(), TRUE())))</f>
        <v/>
      </c>
      <c r="S447" s="65" t="str">
        <f aca="false">IF(ISBLANK($C447),"",IF(G447=Constants!$B$15,Constants!$B$8,IF(G447=Constants!$B$16,Constants!$B$9,Constants!$B$10)))</f>
        <v/>
      </c>
      <c r="T447" s="65" t="str">
        <f aca="false">IF(ISBLANK($C447),"",IF(H447=Constants!$B$2, TRUE(), IF(H447=Constants!$B$3, FALSE(), TRUE())))</f>
        <v/>
      </c>
      <c r="U447" s="65" t="str">
        <f aca="false">IF(ISBLANK($C447),"",IF(I447=Constants!$B$19,Constants!$B$19,Constants!$B$18))</f>
        <v/>
      </c>
      <c r="V447" s="65" t="str">
        <f aca="false">IF(ISBLANK($C447),"",IF(COUNTA(J447:K447)=0,"",IF(AND(OR(ISBLANK(J447),AND(ISNUMBER(J447),J447&gt;=0)),OR(ISBLANK(K447),AND(ISNUMBER(K447),K447&gt;=0))),60*IF(ISBLANK(J447),0,J447)+IF(ISBLANK(K447),0,K447),"")))</f>
        <v/>
      </c>
      <c r="W447" s="65" t="str">
        <f aca="false">IF(ISBLANK($C447),"",IF(L447=Constants!$B$19,Constants!$B$19,Constants!$B$18))</f>
        <v/>
      </c>
      <c r="X447" s="65" t="str">
        <f aca="false">IF(ISBLANK($C447),"",IF(COUNTA(M447:N447)=0,"",IF(AND(OR(ISBLANK(M447),AND(ISNUMBER(M447),M447&gt;=0)),OR(ISBLANK(N447),AND(ISNUMBER(N447),N447&gt;=0))),60*IF(ISBLANK(M447),0,M447)+IF(ISBLANK(N447),0,N447),"")))</f>
        <v/>
      </c>
      <c r="Y447" s="65" t="str">
        <f aca="false">IF(ISBLANK($C447),"",IF(O447=Constants!$B$2, TRUE(), IF(O447=Constants!$B$3, FALSE(), FALSE())))</f>
        <v/>
      </c>
      <c r="Z447" s="65" t="str">
        <f aca="false">IF(ISBLANK($C447),"",IF(Y447,Constants!$B$4,IF(COUNTA(E447:N447)=0,Constants!$B$5,IF(COUNTA(J447:K447,M447:N447)=0,Constants!$B$6,Constants!$B$7))))</f>
        <v/>
      </c>
      <c r="AA447" s="65" t="str">
        <f aca="false">IF(ISBLANK($C447),"",IF($Z447&lt;&gt;Constants!$B$7,$Z447,IF(OR(NOT(T447),AND(NOT(Q447),COUNTIFS(U447:W447,Constants!$B$18,V447:X447,"&gt;=0")&gt;0),AND(NOT(R447),COUNTIFS(U447:W447,Constants!$B$19,V447:X447,"&gt;=0")&gt;0)),Constants!$B$12,Constants!$B$11)))</f>
        <v/>
      </c>
      <c r="AB447" s="65" t="str">
        <f aca="false">IF($Z447=Constants!$B$7,IF(V447="",Constants!$B$13,V447),"")</f>
        <v/>
      </c>
      <c r="AC447" s="65" t="str">
        <f aca="false">IF($Z447=Constants!$B$7,IF(X447="",Constants!$B$13,X447),"")</f>
        <v/>
      </c>
      <c r="AD447" s="65" t="str">
        <f aca="false">IF($Z447=Constants!$B$7,IF($AB447&gt;=$AC447,1,2),"")</f>
        <v/>
      </c>
      <c r="AE447" s="65" t="str">
        <f aca="false">IF($Z447=Constants!$B$7,LARGE(AB447:AC447,1),"")</f>
        <v/>
      </c>
      <c r="AF447" s="65" t="str">
        <f aca="false">IF(ISBLANK($C447),"",IF($Z447&lt;&gt;Constants!$B$7,$Z447,AE447*S447))</f>
        <v/>
      </c>
      <c r="AG447" s="65" t="str">
        <f aca="false">IF(ISBLANK($C447),"",IF($Z447=Constants!$B$7,IF(ISNUMBER(AF447),RANK(AF447,$AF$8:$AF$507),Constants!$B$14),$Z447))</f>
        <v/>
      </c>
      <c r="AH447" s="65" t="str">
        <f aca="false">IF(ISBLANK($C447),"",IF($Z447=Constants!$B$7,IF(ISNUMBER(AG447),COUNTIFS($AA$8:$AA$507,"&lt;"&amp;$AA447)+COUNTIFS($AA$8:$AA$507,$AA447,$AG$8:$AG$507,"&lt;"&amp;$AG447)+1,Constants!$B$14),$Z447))</f>
        <v/>
      </c>
      <c r="AI447" s="65" t="str">
        <f aca="false">IF(ISBLANK($C447),"",IF($Z447=Constants!$B$7,LARGE(AB447:AC447,2)*S447,""))</f>
        <v/>
      </c>
      <c r="AJ447" s="65" t="str">
        <f aca="false">IF(ISBLANK($C447),"",IF($Z447=Constants!$B$7,RANK(AI447,$AI$8:$AI$507),$Z447))</f>
        <v/>
      </c>
      <c r="AK447" s="65" t="str">
        <f aca="false">IF(ISBLANK($C447),"",IF($Z447=Constants!$B$7,IF(ISNUMBER(AG447),COUNTIFS($AA$8:$AA$507,"&lt;"&amp;$AA447)+COUNTIFS($AA$8:$AA$507,$AA447,$AG$8:$AG$507,"&lt;"&amp;$AG447)+COUNTIFS($AA$8:$AA$507,$AA447,$AG$8:$AG$507,$AG447,$AJ$8:$AJ$507,"&lt;"&amp;$AJ447)+1,Constants!$B$14),$Z447))</f>
        <v/>
      </c>
      <c r="AL447" s="65" t="str">
        <f aca="false">IF(ISBLANK($C447),"",IF($Z447=Constants!$B$7,IF(ISNUMBER(AH447),AH447-AK447,Constants!$B$14),$Z447))</f>
        <v/>
      </c>
      <c r="AM447" s="67"/>
      <c r="AN447" s="68" t="str">
        <f aca="false">IF(ISBLANK($C447),"",IF($Z447&lt;&gt;Constants!$B$7,$Z447,AD447))</f>
        <v/>
      </c>
      <c r="AO447" s="69" t="str">
        <f aca="false">IF(ISBLANK($C447),"",IF($Z447&lt;&gt;Constants!$B$7,$Z447,S447))</f>
        <v/>
      </c>
      <c r="AP447" s="70" t="str">
        <f aca="false">IF(ISBLANK($C447),"",IF($Z447&lt;&gt;Constants!$B$7,$Z447,AF447))</f>
        <v/>
      </c>
      <c r="AQ447" s="71" t="str">
        <f aca="false">IF(ISBLANK($C447),"",IF($Z447&lt;&gt;Constants!$B$7,$Z447,AA447))</f>
        <v/>
      </c>
      <c r="AR447" s="69" t="str">
        <f aca="false">IF(ISBLANK($C447),"",AL447)</f>
        <v/>
      </c>
      <c r="AS447" s="69" t="str">
        <f aca="false">IF(ISBLANK($C447),"",AK447)</f>
        <v/>
      </c>
      <c r="AT447" s="72" t="str">
        <f aca="false">IF(ISBLANK($C447),"",IF(AS447=Constants!$B$4,COUNTA($C$8:$C$507)+2,IF(AS447=Constants!$B$5,COUNTA($C$8:$C$507)+1,IF(AS447=Constants!$B$6,COUNTA($C$8:$C$507),AS447))))</f>
        <v/>
      </c>
      <c r="AU447" s="5"/>
      <c r="AV447" s="73" t="n">
        <f aca="false">IF(OR(ISNUMBER(AS447),AS447=Constants!$B$4,AS447=Constants!$B$6,AS447=Constants!$B$5),1,0)</f>
        <v>0</v>
      </c>
      <c r="AW447" s="73" t="n">
        <v>440</v>
      </c>
      <c r="AX447" s="73" t="str">
        <f aca="false">IF(ISBLANK($C447),"",IF(ISNUMBER(AT447),AT447+ROW($B447)/1000,""))</f>
        <v/>
      </c>
      <c r="AY447" s="73" t="str">
        <f aca="false">IF(ISNUMBER(AX447),RANK(AX447,$AX$8:$AX$507,1),"")</f>
        <v/>
      </c>
      <c r="AZ447" s="73" t="str">
        <f aca="false">IF(ISBLANK($C447),"",$B447)</f>
        <v/>
      </c>
      <c r="BA447" s="73" t="str">
        <f aca="false">IF(ISBLANK($C447),"",$C447)</f>
        <v/>
      </c>
      <c r="BB447" s="73" t="str">
        <f aca="false">IF(ISBLANK($C447),"",$D447)</f>
        <v/>
      </c>
      <c r="BC447" s="74" t="str">
        <f aca="false">AQ447</f>
        <v/>
      </c>
      <c r="BD447" s="75" t="str">
        <f aca="false">AP447</f>
        <v/>
      </c>
      <c r="BE447" s="73" t="str">
        <f aca="false">IF(ISBLANK($C447),"",AS447)</f>
        <v/>
      </c>
      <c r="BF447" s="76" t="str">
        <f aca="false">IF($AW447&gt;$AV$7,"",VLOOKUP($AW447,$AY$8:$BE$507,7,FALSE()))</f>
        <v/>
      </c>
      <c r="BG447" s="77" t="str">
        <f aca="false">IF($AW447&gt;$AV$7,"",VLOOKUP($AW447,$AY$8:$BE$507,2,FALSE()))</f>
        <v/>
      </c>
      <c r="BH447" s="77" t="str">
        <f aca="false">IF($AW447&gt;$AV$7,"",VLOOKUP($AW447,$AY$8:$BE$507,3,FALSE()))</f>
        <v/>
      </c>
      <c r="BI447" s="77" t="str">
        <f aca="false">IF($AW447&gt;$AV$7,"",VLOOKUP($AW447,$AY$8:$BE$507,4,FALSE()))</f>
        <v/>
      </c>
      <c r="BJ447" s="77" t="str">
        <f aca="false">IF($AW447&gt;$AV$7,"",VLOOKUP($AW447,$AY$8:$BE$507,5,FALSE()))</f>
        <v/>
      </c>
      <c r="BK447" s="78" t="str">
        <f aca="false">IF($AW447&gt;$AV$7,"",VLOOKUP($AW447,$AY$8:$BE$507,6,FALSE()))</f>
        <v/>
      </c>
      <c r="BL447" s="50"/>
    </row>
    <row r="448" customFormat="false" ht="15.75" hidden="false" customHeight="false" outlineLevel="0" collapsed="false">
      <c r="A448" s="5"/>
      <c r="B448" s="131"/>
      <c r="C448" s="52"/>
      <c r="D448" s="53"/>
      <c r="E448" s="80"/>
      <c r="F448" s="132"/>
      <c r="G448" s="56"/>
      <c r="H448" s="133"/>
      <c r="I448" s="134"/>
      <c r="J448" s="59"/>
      <c r="K448" s="60"/>
      <c r="L448" s="134"/>
      <c r="M448" s="61"/>
      <c r="N448" s="62"/>
      <c r="O448" s="80"/>
      <c r="P448" s="64"/>
      <c r="Q448" s="65" t="str">
        <f aca="false">IF(ISBLANK($C448),"",IF(E448=Constants!$B$2, TRUE(), IF(E448=Constants!$B$3, FALSE(), TRUE())))</f>
        <v/>
      </c>
      <c r="R448" s="65" t="str">
        <f aca="false">IF(ISBLANK($C448),"",IF(F448=Constants!$B$2, TRUE(), IF(F448=Constants!$B$3, FALSE(), TRUE())))</f>
        <v/>
      </c>
      <c r="S448" s="65" t="str">
        <f aca="false">IF(ISBLANK($C448),"",IF(G448=Constants!$B$15,Constants!$B$8,IF(G448=Constants!$B$16,Constants!$B$9,Constants!$B$10)))</f>
        <v/>
      </c>
      <c r="T448" s="65" t="str">
        <f aca="false">IF(ISBLANK($C448),"",IF(H448=Constants!$B$2, TRUE(), IF(H448=Constants!$B$3, FALSE(), TRUE())))</f>
        <v/>
      </c>
      <c r="U448" s="65" t="str">
        <f aca="false">IF(ISBLANK($C448),"",IF(I448=Constants!$B$19,Constants!$B$19,Constants!$B$18))</f>
        <v/>
      </c>
      <c r="V448" s="65" t="str">
        <f aca="false">IF(ISBLANK($C448),"",IF(COUNTA(J448:K448)=0,"",IF(AND(OR(ISBLANK(J448),AND(ISNUMBER(J448),J448&gt;=0)),OR(ISBLANK(K448),AND(ISNUMBER(K448),K448&gt;=0))),60*IF(ISBLANK(J448),0,J448)+IF(ISBLANK(K448),0,K448),"")))</f>
        <v/>
      </c>
      <c r="W448" s="65" t="str">
        <f aca="false">IF(ISBLANK($C448),"",IF(L448=Constants!$B$19,Constants!$B$19,Constants!$B$18))</f>
        <v/>
      </c>
      <c r="X448" s="65" t="str">
        <f aca="false">IF(ISBLANK($C448),"",IF(COUNTA(M448:N448)=0,"",IF(AND(OR(ISBLANK(M448),AND(ISNUMBER(M448),M448&gt;=0)),OR(ISBLANK(N448),AND(ISNUMBER(N448),N448&gt;=0))),60*IF(ISBLANK(M448),0,M448)+IF(ISBLANK(N448),0,N448),"")))</f>
        <v/>
      </c>
      <c r="Y448" s="65" t="str">
        <f aca="false">IF(ISBLANK($C448),"",IF(O448=Constants!$B$2, TRUE(), IF(O448=Constants!$B$3, FALSE(), FALSE())))</f>
        <v/>
      </c>
      <c r="Z448" s="65" t="str">
        <f aca="false">IF(ISBLANK($C448),"",IF(Y448,Constants!$B$4,IF(COUNTA(E448:N448)=0,Constants!$B$5,IF(COUNTA(J448:K448,M448:N448)=0,Constants!$B$6,Constants!$B$7))))</f>
        <v/>
      </c>
      <c r="AA448" s="65" t="str">
        <f aca="false">IF(ISBLANK($C448),"",IF($Z448&lt;&gt;Constants!$B$7,$Z448,IF(OR(NOT(T448),AND(NOT(Q448),COUNTIFS(U448:W448,Constants!$B$18,V448:X448,"&gt;=0")&gt;0),AND(NOT(R448),COUNTIFS(U448:W448,Constants!$B$19,V448:X448,"&gt;=0")&gt;0)),Constants!$B$12,Constants!$B$11)))</f>
        <v/>
      </c>
      <c r="AB448" s="65" t="str">
        <f aca="false">IF($Z448=Constants!$B$7,IF(V448="",Constants!$B$13,V448),"")</f>
        <v/>
      </c>
      <c r="AC448" s="65" t="str">
        <f aca="false">IF($Z448=Constants!$B$7,IF(X448="",Constants!$B$13,X448),"")</f>
        <v/>
      </c>
      <c r="AD448" s="65" t="str">
        <f aca="false">IF($Z448=Constants!$B$7,IF($AB448&gt;=$AC448,1,2),"")</f>
        <v/>
      </c>
      <c r="AE448" s="65" t="str">
        <f aca="false">IF($Z448=Constants!$B$7,LARGE(AB448:AC448,1),"")</f>
        <v/>
      </c>
      <c r="AF448" s="65" t="str">
        <f aca="false">IF(ISBLANK($C448),"",IF($Z448&lt;&gt;Constants!$B$7,$Z448,AE448*S448))</f>
        <v/>
      </c>
      <c r="AG448" s="65" t="str">
        <f aca="false">IF(ISBLANK($C448),"",IF($Z448=Constants!$B$7,IF(ISNUMBER(AF448),RANK(AF448,$AF$8:$AF$507),Constants!$B$14),$Z448))</f>
        <v/>
      </c>
      <c r="AH448" s="65" t="str">
        <f aca="false">IF(ISBLANK($C448),"",IF($Z448=Constants!$B$7,IF(ISNUMBER(AG448),COUNTIFS($AA$8:$AA$507,"&lt;"&amp;$AA448)+COUNTIFS($AA$8:$AA$507,$AA448,$AG$8:$AG$507,"&lt;"&amp;$AG448)+1,Constants!$B$14),$Z448))</f>
        <v/>
      </c>
      <c r="AI448" s="65" t="str">
        <f aca="false">IF(ISBLANK($C448),"",IF($Z448=Constants!$B$7,LARGE(AB448:AC448,2)*S448,""))</f>
        <v/>
      </c>
      <c r="AJ448" s="65" t="str">
        <f aca="false">IF(ISBLANK($C448),"",IF($Z448=Constants!$B$7,RANK(AI448,$AI$8:$AI$507),$Z448))</f>
        <v/>
      </c>
      <c r="AK448" s="65" t="str">
        <f aca="false">IF(ISBLANK($C448),"",IF($Z448=Constants!$B$7,IF(ISNUMBER(AG448),COUNTIFS($AA$8:$AA$507,"&lt;"&amp;$AA448)+COUNTIFS($AA$8:$AA$507,$AA448,$AG$8:$AG$507,"&lt;"&amp;$AG448)+COUNTIFS($AA$8:$AA$507,$AA448,$AG$8:$AG$507,$AG448,$AJ$8:$AJ$507,"&lt;"&amp;$AJ448)+1,Constants!$B$14),$Z448))</f>
        <v/>
      </c>
      <c r="AL448" s="65" t="str">
        <f aca="false">IF(ISBLANK($C448),"",IF($Z448=Constants!$B$7,IF(ISNUMBER(AH448),AH448-AK448,Constants!$B$14),$Z448))</f>
        <v/>
      </c>
      <c r="AM448" s="67"/>
      <c r="AN448" s="68" t="str">
        <f aca="false">IF(ISBLANK($C448),"",IF($Z448&lt;&gt;Constants!$B$7,$Z448,AD448))</f>
        <v/>
      </c>
      <c r="AO448" s="69" t="str">
        <f aca="false">IF(ISBLANK($C448),"",IF($Z448&lt;&gt;Constants!$B$7,$Z448,S448))</f>
        <v/>
      </c>
      <c r="AP448" s="70" t="str">
        <f aca="false">IF(ISBLANK($C448),"",IF($Z448&lt;&gt;Constants!$B$7,$Z448,AF448))</f>
        <v/>
      </c>
      <c r="AQ448" s="71" t="str">
        <f aca="false">IF(ISBLANK($C448),"",IF($Z448&lt;&gt;Constants!$B$7,$Z448,AA448))</f>
        <v/>
      </c>
      <c r="AR448" s="69" t="str">
        <f aca="false">IF(ISBLANK($C448),"",AL448)</f>
        <v/>
      </c>
      <c r="AS448" s="69" t="str">
        <f aca="false">IF(ISBLANK($C448),"",AK448)</f>
        <v/>
      </c>
      <c r="AT448" s="72" t="str">
        <f aca="false">IF(ISBLANK($C448),"",IF(AS448=Constants!$B$4,COUNTA($C$8:$C$507)+2,IF(AS448=Constants!$B$5,COUNTA($C$8:$C$507)+1,IF(AS448=Constants!$B$6,COUNTA($C$8:$C$507),AS448))))</f>
        <v/>
      </c>
      <c r="AU448" s="5"/>
      <c r="AV448" s="73" t="n">
        <f aca="false">IF(OR(ISNUMBER(AS448),AS448=Constants!$B$4,AS448=Constants!$B$6,AS448=Constants!$B$5),1,0)</f>
        <v>0</v>
      </c>
      <c r="AW448" s="73" t="n">
        <v>441</v>
      </c>
      <c r="AX448" s="73" t="str">
        <f aca="false">IF(ISBLANK($C448),"",IF(ISNUMBER(AT448),AT448+ROW($B448)/1000,""))</f>
        <v/>
      </c>
      <c r="AY448" s="73" t="str">
        <f aca="false">IF(ISNUMBER(AX448),RANK(AX448,$AX$8:$AX$507,1),"")</f>
        <v/>
      </c>
      <c r="AZ448" s="73" t="str">
        <f aca="false">IF(ISBLANK($C448),"",$B448)</f>
        <v/>
      </c>
      <c r="BA448" s="73" t="str">
        <f aca="false">IF(ISBLANK($C448),"",$C448)</f>
        <v/>
      </c>
      <c r="BB448" s="73" t="str">
        <f aca="false">IF(ISBLANK($C448),"",$D448)</f>
        <v/>
      </c>
      <c r="BC448" s="74" t="str">
        <f aca="false">AQ448</f>
        <v/>
      </c>
      <c r="BD448" s="75" t="str">
        <f aca="false">AP448</f>
        <v/>
      </c>
      <c r="BE448" s="73" t="str">
        <f aca="false">IF(ISBLANK($C448),"",AS448)</f>
        <v/>
      </c>
      <c r="BF448" s="76" t="str">
        <f aca="false">IF($AW448&gt;$AV$7,"",VLOOKUP($AW448,$AY$8:$BE$507,7,FALSE()))</f>
        <v/>
      </c>
      <c r="BG448" s="77" t="str">
        <f aca="false">IF($AW448&gt;$AV$7,"",VLOOKUP($AW448,$AY$8:$BE$507,2,FALSE()))</f>
        <v/>
      </c>
      <c r="BH448" s="77" t="str">
        <f aca="false">IF($AW448&gt;$AV$7,"",VLOOKUP($AW448,$AY$8:$BE$507,3,FALSE()))</f>
        <v/>
      </c>
      <c r="BI448" s="77" t="str">
        <f aca="false">IF($AW448&gt;$AV$7,"",VLOOKUP($AW448,$AY$8:$BE$507,4,FALSE()))</f>
        <v/>
      </c>
      <c r="BJ448" s="77" t="str">
        <f aca="false">IF($AW448&gt;$AV$7,"",VLOOKUP($AW448,$AY$8:$BE$507,5,FALSE()))</f>
        <v/>
      </c>
      <c r="BK448" s="78" t="str">
        <f aca="false">IF($AW448&gt;$AV$7,"",VLOOKUP($AW448,$AY$8:$BE$507,6,FALSE()))</f>
        <v/>
      </c>
      <c r="BL448" s="50"/>
    </row>
    <row r="449" customFormat="false" ht="15.75" hidden="false" customHeight="false" outlineLevel="0" collapsed="false">
      <c r="A449" s="5"/>
      <c r="B449" s="124"/>
      <c r="C449" s="125"/>
      <c r="D449" s="110"/>
      <c r="E449" s="130"/>
      <c r="F449" s="135"/>
      <c r="G449" s="88"/>
      <c r="H449" s="136"/>
      <c r="I449" s="137"/>
      <c r="J449" s="91"/>
      <c r="K449" s="92"/>
      <c r="L449" s="137"/>
      <c r="M449" s="93"/>
      <c r="N449" s="94"/>
      <c r="O449" s="130"/>
      <c r="P449" s="96"/>
      <c r="Q449" s="97" t="str">
        <f aca="false">IF(ISBLANK($C449),"",IF(E449=Constants!$B$2, TRUE(), IF(E449=Constants!$B$3, FALSE(), TRUE())))</f>
        <v/>
      </c>
      <c r="R449" s="97" t="str">
        <f aca="false">IF(ISBLANK($C449),"",IF(F449=Constants!$B$2, TRUE(), IF(F449=Constants!$B$3, FALSE(), TRUE())))</f>
        <v/>
      </c>
      <c r="S449" s="97" t="str">
        <f aca="false">IF(ISBLANK($C449),"",IF(G449=Constants!$B$15,Constants!$B$8,IF(G449=Constants!$B$16,Constants!$B$9,Constants!$B$10)))</f>
        <v/>
      </c>
      <c r="T449" s="97" t="str">
        <f aca="false">IF(ISBLANK($C449),"",IF(H449=Constants!$B$2, TRUE(), IF(H449=Constants!$B$3, FALSE(), TRUE())))</f>
        <v/>
      </c>
      <c r="U449" s="97" t="str">
        <f aca="false">IF(ISBLANK($C449),"",IF(I449=Constants!$B$19,Constants!$B$19,Constants!$B$18))</f>
        <v/>
      </c>
      <c r="V449" s="97" t="str">
        <f aca="false">IF(ISBLANK($C449),"",IF(COUNTA(J449:K449)=0,"",IF(AND(OR(ISBLANK(J449),AND(ISNUMBER(J449),J449&gt;=0)),OR(ISBLANK(K449),AND(ISNUMBER(K449),K449&gt;=0))),60*IF(ISBLANK(J449),0,J449)+IF(ISBLANK(K449),0,K449),"")))</f>
        <v/>
      </c>
      <c r="W449" s="97" t="str">
        <f aca="false">IF(ISBLANK($C449),"",IF(L449=Constants!$B$19,Constants!$B$19,Constants!$B$18))</f>
        <v/>
      </c>
      <c r="X449" s="97" t="str">
        <f aca="false">IF(ISBLANK($C449),"",IF(COUNTA(M449:N449)=0,"",IF(AND(OR(ISBLANK(M449),AND(ISNUMBER(M449),M449&gt;=0)),OR(ISBLANK(N449),AND(ISNUMBER(N449),N449&gt;=0))),60*IF(ISBLANK(M449),0,M449)+IF(ISBLANK(N449),0,N449),"")))</f>
        <v/>
      </c>
      <c r="Y449" s="97" t="str">
        <f aca="false">IF(ISBLANK($C449),"",IF(O449=Constants!$B$2, TRUE(), IF(O449=Constants!$B$3, FALSE(), FALSE())))</f>
        <v/>
      </c>
      <c r="Z449" s="97" t="str">
        <f aca="false">IF(ISBLANK($C449),"",IF(Y449,Constants!$B$4,IF(COUNTA(E449:N449)=0,Constants!$B$5,IF(COUNTA(J449:K449,M449:N449)=0,Constants!$B$6,Constants!$B$7))))</f>
        <v/>
      </c>
      <c r="AA449" s="97" t="str">
        <f aca="false">IF(ISBLANK($C449),"",IF($Z449&lt;&gt;Constants!$B$7,$Z449,IF(OR(NOT(T449),AND(NOT(Q449),COUNTIFS(U449:W449,Constants!$B$18,V449:X449,"&gt;=0")&gt;0),AND(NOT(R449),COUNTIFS(U449:W449,Constants!$B$19,V449:X449,"&gt;=0")&gt;0)),Constants!$B$12,Constants!$B$11)))</f>
        <v/>
      </c>
      <c r="AB449" s="97" t="str">
        <f aca="false">IF($Z449=Constants!$B$7,IF(V449="",Constants!$B$13,V449),"")</f>
        <v/>
      </c>
      <c r="AC449" s="97" t="str">
        <f aca="false">IF($Z449=Constants!$B$7,IF(X449="",Constants!$B$13,X449),"")</f>
        <v/>
      </c>
      <c r="AD449" s="97" t="str">
        <f aca="false">IF($Z449=Constants!$B$7,IF($AB449&gt;=$AC449,1,2),"")</f>
        <v/>
      </c>
      <c r="AE449" s="97" t="str">
        <f aca="false">IF($Z449=Constants!$B$7,LARGE(AB449:AC449,1),"")</f>
        <v/>
      </c>
      <c r="AF449" s="97" t="str">
        <f aca="false">IF(ISBLANK($C449),"",IF($Z449&lt;&gt;Constants!$B$7,$Z449,AE449*S449))</f>
        <v/>
      </c>
      <c r="AG449" s="97" t="str">
        <f aca="false">IF(ISBLANK($C449),"",IF($Z449=Constants!$B$7,IF(ISNUMBER(AF449),RANK(AF449,$AF$8:$AF$507),Constants!$B$14),$Z449))</f>
        <v/>
      </c>
      <c r="AH449" s="97" t="str">
        <f aca="false">IF(ISBLANK($C449),"",IF($Z449=Constants!$B$7,IF(ISNUMBER(AG449),COUNTIFS($AA$8:$AA$507,"&lt;"&amp;$AA449)+COUNTIFS($AA$8:$AA$507,$AA449,$AG$8:$AG$507,"&lt;"&amp;$AG449)+1,Constants!$B$14),$Z449))</f>
        <v/>
      </c>
      <c r="AI449" s="97" t="str">
        <f aca="false">IF(ISBLANK($C449),"",IF($Z449=Constants!$B$7,LARGE(AB449:AC449,2)*S449,""))</f>
        <v/>
      </c>
      <c r="AJ449" s="97" t="str">
        <f aca="false">IF(ISBLANK($C449),"",IF($Z449=Constants!$B$7,RANK(AI449,$AI$8:$AI$507),$Z449))</f>
        <v/>
      </c>
      <c r="AK449" s="97" t="str">
        <f aca="false">IF(ISBLANK($C449),"",IF($Z449=Constants!$B$7,IF(ISNUMBER(AG449),COUNTIFS($AA$8:$AA$507,"&lt;"&amp;$AA449)+COUNTIFS($AA$8:$AA$507,$AA449,$AG$8:$AG$507,"&lt;"&amp;$AG449)+COUNTIFS($AA$8:$AA$507,$AA449,$AG$8:$AG$507,$AG449,$AJ$8:$AJ$507,"&lt;"&amp;$AJ449)+1,Constants!$B$14),$Z449))</f>
        <v/>
      </c>
      <c r="AL449" s="97" t="str">
        <f aca="false">IF(ISBLANK($C449),"",IF($Z449=Constants!$B$7,IF(ISNUMBER(AH449),AH449-AK449,Constants!$B$14),$Z449))</f>
        <v/>
      </c>
      <c r="AM449" s="98"/>
      <c r="AN449" s="99" t="str">
        <f aca="false">IF(ISBLANK($C449),"",IF($Z449&lt;&gt;Constants!$B$7,$Z449,AD449))</f>
        <v/>
      </c>
      <c r="AO449" s="100" t="str">
        <f aca="false">IF(ISBLANK($C449),"",IF($Z449&lt;&gt;Constants!$B$7,$Z449,S449))</f>
        <v/>
      </c>
      <c r="AP449" s="101" t="str">
        <f aca="false">IF(ISBLANK($C449),"",IF($Z449&lt;&gt;Constants!$B$7,$Z449,AF449))</f>
        <v/>
      </c>
      <c r="AQ449" s="102" t="str">
        <f aca="false">IF(ISBLANK($C449),"",IF($Z449&lt;&gt;Constants!$B$7,$Z449,AA449))</f>
        <v/>
      </c>
      <c r="AR449" s="100" t="str">
        <f aca="false">IF(ISBLANK($C449),"",AL449)</f>
        <v/>
      </c>
      <c r="AS449" s="100" t="str">
        <f aca="false">IF(ISBLANK($C449),"",AK449)</f>
        <v/>
      </c>
      <c r="AT449" s="103" t="str">
        <f aca="false">IF(ISBLANK($C449),"",IF(AS449=Constants!$B$4,COUNTA($C$8:$C$507)+2,IF(AS449=Constants!$B$5,COUNTA($C$8:$C$507)+1,IF(AS449=Constants!$B$6,COUNTA($C$8:$C$507),AS449))))</f>
        <v/>
      </c>
      <c r="AU449" s="5"/>
      <c r="AV449" s="104" t="n">
        <f aca="false">IF(OR(ISNUMBER(AS449),AS449=Constants!$B$4,AS449=Constants!$B$6,AS449=Constants!$B$5),1,0)</f>
        <v>0</v>
      </c>
      <c r="AW449" s="104" t="n">
        <v>442</v>
      </c>
      <c r="AX449" s="104" t="str">
        <f aca="false">IF(ISBLANK($C449),"",IF(ISNUMBER(AT449),AT449+ROW($B449)/1000,""))</f>
        <v/>
      </c>
      <c r="AY449" s="104" t="str">
        <f aca="false">IF(ISNUMBER(AX449),RANK(AX449,$AX$8:$AX$507,1),"")</f>
        <v/>
      </c>
      <c r="AZ449" s="104" t="str">
        <f aca="false">IF(ISBLANK($C449),"",$B449)</f>
        <v/>
      </c>
      <c r="BA449" s="104" t="str">
        <f aca="false">IF(ISBLANK($C449),"",$C449)</f>
        <v/>
      </c>
      <c r="BB449" s="104" t="str">
        <f aca="false">IF(ISBLANK($C449),"",$D449)</f>
        <v/>
      </c>
      <c r="BC449" s="105" t="str">
        <f aca="false">AQ449</f>
        <v/>
      </c>
      <c r="BD449" s="106" t="str">
        <f aca="false">AP449</f>
        <v/>
      </c>
      <c r="BE449" s="104" t="str">
        <f aca="false">IF(ISBLANK($C449),"",AS449)</f>
        <v/>
      </c>
      <c r="BF449" s="107" t="str">
        <f aca="false">IF($AW449&gt;$AV$7,"",VLOOKUP($AW449,$AY$8:$BE$507,7,FALSE()))</f>
        <v/>
      </c>
      <c r="BG449" s="108" t="str">
        <f aca="false">IF($AW449&gt;$AV$7,"",VLOOKUP($AW449,$AY$8:$BE$507,2,FALSE()))</f>
        <v/>
      </c>
      <c r="BH449" s="108" t="str">
        <f aca="false">IF($AW449&gt;$AV$7,"",VLOOKUP($AW449,$AY$8:$BE$507,3,FALSE()))</f>
        <v/>
      </c>
      <c r="BI449" s="108" t="str">
        <f aca="false">IF($AW449&gt;$AV$7,"",VLOOKUP($AW449,$AY$8:$BE$507,4,FALSE()))</f>
        <v/>
      </c>
      <c r="BJ449" s="108" t="str">
        <f aca="false">IF($AW449&gt;$AV$7,"",VLOOKUP($AW449,$AY$8:$BE$507,5,FALSE()))</f>
        <v/>
      </c>
      <c r="BK449" s="109" t="str">
        <f aca="false">IF($AW449&gt;$AV$7,"",VLOOKUP($AW449,$AY$8:$BE$507,6,FALSE()))</f>
        <v/>
      </c>
      <c r="BL449" s="50"/>
    </row>
    <row r="450" customFormat="false" ht="15.75" hidden="false" customHeight="false" outlineLevel="0" collapsed="false">
      <c r="A450" s="5"/>
      <c r="B450" s="124"/>
      <c r="C450" s="125"/>
      <c r="D450" s="110"/>
      <c r="E450" s="130"/>
      <c r="F450" s="135"/>
      <c r="G450" s="88"/>
      <c r="H450" s="136"/>
      <c r="I450" s="137"/>
      <c r="J450" s="91"/>
      <c r="K450" s="92"/>
      <c r="L450" s="137"/>
      <c r="M450" s="93"/>
      <c r="N450" s="94"/>
      <c r="O450" s="130"/>
      <c r="P450" s="96"/>
      <c r="Q450" s="97" t="str">
        <f aca="false">IF(ISBLANK($C450),"",IF(E450=Constants!$B$2, TRUE(), IF(E450=Constants!$B$3, FALSE(), TRUE())))</f>
        <v/>
      </c>
      <c r="R450" s="97" t="str">
        <f aca="false">IF(ISBLANK($C450),"",IF(F450=Constants!$B$2, TRUE(), IF(F450=Constants!$B$3, FALSE(), TRUE())))</f>
        <v/>
      </c>
      <c r="S450" s="97" t="str">
        <f aca="false">IF(ISBLANK($C450),"",IF(G450=Constants!$B$15,Constants!$B$8,IF(G450=Constants!$B$16,Constants!$B$9,Constants!$B$10)))</f>
        <v/>
      </c>
      <c r="T450" s="97" t="str">
        <f aca="false">IF(ISBLANK($C450),"",IF(H450=Constants!$B$2, TRUE(), IF(H450=Constants!$B$3, FALSE(), TRUE())))</f>
        <v/>
      </c>
      <c r="U450" s="97" t="str">
        <f aca="false">IF(ISBLANK($C450),"",IF(I450=Constants!$B$19,Constants!$B$19,Constants!$B$18))</f>
        <v/>
      </c>
      <c r="V450" s="97" t="str">
        <f aca="false">IF(ISBLANK($C450),"",IF(COUNTA(J450:K450)=0,"",IF(AND(OR(ISBLANK(J450),AND(ISNUMBER(J450),J450&gt;=0)),OR(ISBLANK(K450),AND(ISNUMBER(K450),K450&gt;=0))),60*IF(ISBLANK(J450),0,J450)+IF(ISBLANK(K450),0,K450),"")))</f>
        <v/>
      </c>
      <c r="W450" s="97" t="str">
        <f aca="false">IF(ISBLANK($C450),"",IF(L450=Constants!$B$19,Constants!$B$19,Constants!$B$18))</f>
        <v/>
      </c>
      <c r="X450" s="97" t="str">
        <f aca="false">IF(ISBLANK($C450),"",IF(COUNTA(M450:N450)=0,"",IF(AND(OR(ISBLANK(M450),AND(ISNUMBER(M450),M450&gt;=0)),OR(ISBLANK(N450),AND(ISNUMBER(N450),N450&gt;=0))),60*IF(ISBLANK(M450),0,M450)+IF(ISBLANK(N450),0,N450),"")))</f>
        <v/>
      </c>
      <c r="Y450" s="97" t="str">
        <f aca="false">IF(ISBLANK($C450),"",IF(O450=Constants!$B$2, TRUE(), IF(O450=Constants!$B$3, FALSE(), FALSE())))</f>
        <v/>
      </c>
      <c r="Z450" s="97" t="str">
        <f aca="false">IF(ISBLANK($C450),"",IF(Y450,Constants!$B$4,IF(COUNTA(E450:N450)=0,Constants!$B$5,IF(COUNTA(J450:K450,M450:N450)=0,Constants!$B$6,Constants!$B$7))))</f>
        <v/>
      </c>
      <c r="AA450" s="97" t="str">
        <f aca="false">IF(ISBLANK($C450),"",IF($Z450&lt;&gt;Constants!$B$7,$Z450,IF(OR(NOT(T450),AND(NOT(Q450),COUNTIFS(U450:W450,Constants!$B$18,V450:X450,"&gt;=0")&gt;0),AND(NOT(R450),COUNTIFS(U450:W450,Constants!$B$19,V450:X450,"&gt;=0")&gt;0)),Constants!$B$12,Constants!$B$11)))</f>
        <v/>
      </c>
      <c r="AB450" s="97" t="str">
        <f aca="false">IF($Z450=Constants!$B$7,IF(V450="",Constants!$B$13,V450),"")</f>
        <v/>
      </c>
      <c r="AC450" s="97" t="str">
        <f aca="false">IF($Z450=Constants!$B$7,IF(X450="",Constants!$B$13,X450),"")</f>
        <v/>
      </c>
      <c r="AD450" s="97" t="str">
        <f aca="false">IF($Z450=Constants!$B$7,IF($AB450&gt;=$AC450,1,2),"")</f>
        <v/>
      </c>
      <c r="AE450" s="97" t="str">
        <f aca="false">IF($Z450=Constants!$B$7,LARGE(AB450:AC450,1),"")</f>
        <v/>
      </c>
      <c r="AF450" s="97" t="str">
        <f aca="false">IF(ISBLANK($C450),"",IF($Z450&lt;&gt;Constants!$B$7,$Z450,AE450*S450))</f>
        <v/>
      </c>
      <c r="AG450" s="97" t="str">
        <f aca="false">IF(ISBLANK($C450),"",IF($Z450=Constants!$B$7,IF(ISNUMBER(AF450),RANK(AF450,$AF$8:$AF$507),Constants!$B$14),$Z450))</f>
        <v/>
      </c>
      <c r="AH450" s="97" t="str">
        <f aca="false">IF(ISBLANK($C450),"",IF($Z450=Constants!$B$7,IF(ISNUMBER(AG450),COUNTIFS($AA$8:$AA$507,"&lt;"&amp;$AA450)+COUNTIFS($AA$8:$AA$507,$AA450,$AG$8:$AG$507,"&lt;"&amp;$AG450)+1,Constants!$B$14),$Z450))</f>
        <v/>
      </c>
      <c r="AI450" s="97" t="str">
        <f aca="false">IF(ISBLANK($C450),"",IF($Z450=Constants!$B$7,LARGE(AB450:AC450,2)*S450,""))</f>
        <v/>
      </c>
      <c r="AJ450" s="97" t="str">
        <f aca="false">IF(ISBLANK($C450),"",IF($Z450=Constants!$B$7,RANK(AI450,$AI$8:$AI$507),$Z450))</f>
        <v/>
      </c>
      <c r="AK450" s="97" t="str">
        <f aca="false">IF(ISBLANK($C450),"",IF($Z450=Constants!$B$7,IF(ISNUMBER(AG450),COUNTIFS($AA$8:$AA$507,"&lt;"&amp;$AA450)+COUNTIFS($AA$8:$AA$507,$AA450,$AG$8:$AG$507,"&lt;"&amp;$AG450)+COUNTIFS($AA$8:$AA$507,$AA450,$AG$8:$AG$507,$AG450,$AJ$8:$AJ$507,"&lt;"&amp;$AJ450)+1,Constants!$B$14),$Z450))</f>
        <v/>
      </c>
      <c r="AL450" s="97" t="str">
        <f aca="false">IF(ISBLANK($C450),"",IF($Z450=Constants!$B$7,IF(ISNUMBER(AH450),AH450-AK450,Constants!$B$14),$Z450))</f>
        <v/>
      </c>
      <c r="AM450" s="98"/>
      <c r="AN450" s="99" t="str">
        <f aca="false">IF(ISBLANK($C450),"",IF($Z450&lt;&gt;Constants!$B$7,$Z450,AD450))</f>
        <v/>
      </c>
      <c r="AO450" s="100" t="str">
        <f aca="false">IF(ISBLANK($C450),"",IF($Z450&lt;&gt;Constants!$B$7,$Z450,S450))</f>
        <v/>
      </c>
      <c r="AP450" s="101" t="str">
        <f aca="false">IF(ISBLANK($C450),"",IF($Z450&lt;&gt;Constants!$B$7,$Z450,AF450))</f>
        <v/>
      </c>
      <c r="AQ450" s="102" t="str">
        <f aca="false">IF(ISBLANK($C450),"",IF($Z450&lt;&gt;Constants!$B$7,$Z450,AA450))</f>
        <v/>
      </c>
      <c r="AR450" s="100" t="str">
        <f aca="false">IF(ISBLANK($C450),"",AL450)</f>
        <v/>
      </c>
      <c r="AS450" s="100" t="str">
        <f aca="false">IF(ISBLANK($C450),"",AK450)</f>
        <v/>
      </c>
      <c r="AT450" s="103" t="str">
        <f aca="false">IF(ISBLANK($C450),"",IF(AS450=Constants!$B$4,COUNTA($C$8:$C$507)+2,IF(AS450=Constants!$B$5,COUNTA($C$8:$C$507)+1,IF(AS450=Constants!$B$6,COUNTA($C$8:$C$507),AS450))))</f>
        <v/>
      </c>
      <c r="AU450" s="5"/>
      <c r="AV450" s="104" t="n">
        <f aca="false">IF(OR(ISNUMBER(AS450),AS450=Constants!$B$4,AS450=Constants!$B$6,AS450=Constants!$B$5),1,0)</f>
        <v>0</v>
      </c>
      <c r="AW450" s="104" t="n">
        <v>443</v>
      </c>
      <c r="AX450" s="104" t="str">
        <f aca="false">IF(ISBLANK($C450),"",IF(ISNUMBER(AT450),AT450+ROW($B450)/1000,""))</f>
        <v/>
      </c>
      <c r="AY450" s="104" t="str">
        <f aca="false">IF(ISNUMBER(AX450),RANK(AX450,$AX$8:$AX$507,1),"")</f>
        <v/>
      </c>
      <c r="AZ450" s="104" t="str">
        <f aca="false">IF(ISBLANK($C450),"",$B450)</f>
        <v/>
      </c>
      <c r="BA450" s="104" t="str">
        <f aca="false">IF(ISBLANK($C450),"",$C450)</f>
        <v/>
      </c>
      <c r="BB450" s="104" t="str">
        <f aca="false">IF(ISBLANK($C450),"",$D450)</f>
        <v/>
      </c>
      <c r="BC450" s="105" t="str">
        <f aca="false">AQ450</f>
        <v/>
      </c>
      <c r="BD450" s="106" t="str">
        <f aca="false">AP450</f>
        <v/>
      </c>
      <c r="BE450" s="104" t="str">
        <f aca="false">IF(ISBLANK($C450),"",AS450)</f>
        <v/>
      </c>
      <c r="BF450" s="107" t="str">
        <f aca="false">IF($AW450&gt;$AV$7,"",VLOOKUP($AW450,$AY$8:$BE$507,7,FALSE()))</f>
        <v/>
      </c>
      <c r="BG450" s="108" t="str">
        <f aca="false">IF($AW450&gt;$AV$7,"",VLOOKUP($AW450,$AY$8:$BE$507,2,FALSE()))</f>
        <v/>
      </c>
      <c r="BH450" s="108" t="str">
        <f aca="false">IF($AW450&gt;$AV$7,"",VLOOKUP($AW450,$AY$8:$BE$507,3,FALSE()))</f>
        <v/>
      </c>
      <c r="BI450" s="108" t="str">
        <f aca="false">IF($AW450&gt;$AV$7,"",VLOOKUP($AW450,$AY$8:$BE$507,4,FALSE()))</f>
        <v/>
      </c>
      <c r="BJ450" s="108" t="str">
        <f aca="false">IF($AW450&gt;$AV$7,"",VLOOKUP($AW450,$AY$8:$BE$507,5,FALSE()))</f>
        <v/>
      </c>
      <c r="BK450" s="109" t="str">
        <f aca="false">IF($AW450&gt;$AV$7,"",VLOOKUP($AW450,$AY$8:$BE$507,6,FALSE()))</f>
        <v/>
      </c>
      <c r="BL450" s="50"/>
    </row>
    <row r="451" customFormat="false" ht="15.75" hidden="false" customHeight="false" outlineLevel="0" collapsed="false">
      <c r="A451" s="5"/>
      <c r="B451" s="124"/>
      <c r="C451" s="125"/>
      <c r="D451" s="110"/>
      <c r="E451" s="130"/>
      <c r="F451" s="135"/>
      <c r="G451" s="88"/>
      <c r="H451" s="136"/>
      <c r="I451" s="137"/>
      <c r="J451" s="91"/>
      <c r="K451" s="92"/>
      <c r="L451" s="137"/>
      <c r="M451" s="93"/>
      <c r="N451" s="94"/>
      <c r="O451" s="130"/>
      <c r="P451" s="96"/>
      <c r="Q451" s="97" t="str">
        <f aca="false">IF(ISBLANK($C451),"",IF(E451=Constants!$B$2, TRUE(), IF(E451=Constants!$B$3, FALSE(), TRUE())))</f>
        <v/>
      </c>
      <c r="R451" s="97" t="str">
        <f aca="false">IF(ISBLANK($C451),"",IF(F451=Constants!$B$2, TRUE(), IF(F451=Constants!$B$3, FALSE(), TRUE())))</f>
        <v/>
      </c>
      <c r="S451" s="97" t="str">
        <f aca="false">IF(ISBLANK($C451),"",IF(G451=Constants!$B$15,Constants!$B$8,IF(G451=Constants!$B$16,Constants!$B$9,Constants!$B$10)))</f>
        <v/>
      </c>
      <c r="T451" s="97" t="str">
        <f aca="false">IF(ISBLANK($C451),"",IF(H451=Constants!$B$2, TRUE(), IF(H451=Constants!$B$3, FALSE(), TRUE())))</f>
        <v/>
      </c>
      <c r="U451" s="97" t="str">
        <f aca="false">IF(ISBLANK($C451),"",IF(I451=Constants!$B$19,Constants!$B$19,Constants!$B$18))</f>
        <v/>
      </c>
      <c r="V451" s="97" t="str">
        <f aca="false">IF(ISBLANK($C451),"",IF(COUNTA(J451:K451)=0,"",IF(AND(OR(ISBLANK(J451),AND(ISNUMBER(J451),J451&gt;=0)),OR(ISBLANK(K451),AND(ISNUMBER(K451),K451&gt;=0))),60*IF(ISBLANK(J451),0,J451)+IF(ISBLANK(K451),0,K451),"")))</f>
        <v/>
      </c>
      <c r="W451" s="97" t="str">
        <f aca="false">IF(ISBLANK($C451),"",IF(L451=Constants!$B$19,Constants!$B$19,Constants!$B$18))</f>
        <v/>
      </c>
      <c r="X451" s="97" t="str">
        <f aca="false">IF(ISBLANK($C451),"",IF(COUNTA(M451:N451)=0,"",IF(AND(OR(ISBLANK(M451),AND(ISNUMBER(M451),M451&gt;=0)),OR(ISBLANK(N451),AND(ISNUMBER(N451),N451&gt;=0))),60*IF(ISBLANK(M451),0,M451)+IF(ISBLANK(N451),0,N451),"")))</f>
        <v/>
      </c>
      <c r="Y451" s="97" t="str">
        <f aca="false">IF(ISBLANK($C451),"",IF(O451=Constants!$B$2, TRUE(), IF(O451=Constants!$B$3, FALSE(), FALSE())))</f>
        <v/>
      </c>
      <c r="Z451" s="97" t="str">
        <f aca="false">IF(ISBLANK($C451),"",IF(Y451,Constants!$B$4,IF(COUNTA(E451:N451)=0,Constants!$B$5,IF(COUNTA(J451:K451,M451:N451)=0,Constants!$B$6,Constants!$B$7))))</f>
        <v/>
      </c>
      <c r="AA451" s="97" t="str">
        <f aca="false">IF(ISBLANK($C451),"",IF($Z451&lt;&gt;Constants!$B$7,$Z451,IF(OR(NOT(T451),AND(NOT(Q451),COUNTIFS(U451:W451,Constants!$B$18,V451:X451,"&gt;=0")&gt;0),AND(NOT(R451),COUNTIFS(U451:W451,Constants!$B$19,V451:X451,"&gt;=0")&gt;0)),Constants!$B$12,Constants!$B$11)))</f>
        <v/>
      </c>
      <c r="AB451" s="97" t="str">
        <f aca="false">IF($Z451=Constants!$B$7,IF(V451="",Constants!$B$13,V451),"")</f>
        <v/>
      </c>
      <c r="AC451" s="97" t="str">
        <f aca="false">IF($Z451=Constants!$B$7,IF(X451="",Constants!$B$13,X451),"")</f>
        <v/>
      </c>
      <c r="AD451" s="97" t="str">
        <f aca="false">IF($Z451=Constants!$B$7,IF($AB451&gt;=$AC451,1,2),"")</f>
        <v/>
      </c>
      <c r="AE451" s="97" t="str">
        <f aca="false">IF($Z451=Constants!$B$7,LARGE(AB451:AC451,1),"")</f>
        <v/>
      </c>
      <c r="AF451" s="97" t="str">
        <f aca="false">IF(ISBLANK($C451),"",IF($Z451&lt;&gt;Constants!$B$7,$Z451,AE451*S451))</f>
        <v/>
      </c>
      <c r="AG451" s="97" t="str">
        <f aca="false">IF(ISBLANK($C451),"",IF($Z451=Constants!$B$7,IF(ISNUMBER(AF451),RANK(AF451,$AF$8:$AF$507),Constants!$B$14),$Z451))</f>
        <v/>
      </c>
      <c r="AH451" s="97" t="str">
        <f aca="false">IF(ISBLANK($C451),"",IF($Z451=Constants!$B$7,IF(ISNUMBER(AG451),COUNTIFS($AA$8:$AA$507,"&lt;"&amp;$AA451)+COUNTIFS($AA$8:$AA$507,$AA451,$AG$8:$AG$507,"&lt;"&amp;$AG451)+1,Constants!$B$14),$Z451))</f>
        <v/>
      </c>
      <c r="AI451" s="97" t="str">
        <f aca="false">IF(ISBLANK($C451),"",IF($Z451=Constants!$B$7,LARGE(AB451:AC451,2)*S451,""))</f>
        <v/>
      </c>
      <c r="AJ451" s="97" t="str">
        <f aca="false">IF(ISBLANK($C451),"",IF($Z451=Constants!$B$7,RANK(AI451,$AI$8:$AI$507),$Z451))</f>
        <v/>
      </c>
      <c r="AK451" s="97" t="str">
        <f aca="false">IF(ISBLANK($C451),"",IF($Z451=Constants!$B$7,IF(ISNUMBER(AG451),COUNTIFS($AA$8:$AA$507,"&lt;"&amp;$AA451)+COUNTIFS($AA$8:$AA$507,$AA451,$AG$8:$AG$507,"&lt;"&amp;$AG451)+COUNTIFS($AA$8:$AA$507,$AA451,$AG$8:$AG$507,$AG451,$AJ$8:$AJ$507,"&lt;"&amp;$AJ451)+1,Constants!$B$14),$Z451))</f>
        <v/>
      </c>
      <c r="AL451" s="97" t="str">
        <f aca="false">IF(ISBLANK($C451),"",IF($Z451=Constants!$B$7,IF(ISNUMBER(AH451),AH451-AK451,Constants!$B$14),$Z451))</f>
        <v/>
      </c>
      <c r="AM451" s="98"/>
      <c r="AN451" s="99" t="str">
        <f aca="false">IF(ISBLANK($C451),"",IF($Z451&lt;&gt;Constants!$B$7,$Z451,AD451))</f>
        <v/>
      </c>
      <c r="AO451" s="100" t="str">
        <f aca="false">IF(ISBLANK($C451),"",IF($Z451&lt;&gt;Constants!$B$7,$Z451,S451))</f>
        <v/>
      </c>
      <c r="AP451" s="101" t="str">
        <f aca="false">IF(ISBLANK($C451),"",IF($Z451&lt;&gt;Constants!$B$7,$Z451,AF451))</f>
        <v/>
      </c>
      <c r="AQ451" s="102" t="str">
        <f aca="false">IF(ISBLANK($C451),"",IF($Z451&lt;&gt;Constants!$B$7,$Z451,AA451))</f>
        <v/>
      </c>
      <c r="AR451" s="100" t="str">
        <f aca="false">IF(ISBLANK($C451),"",AL451)</f>
        <v/>
      </c>
      <c r="AS451" s="100" t="str">
        <f aca="false">IF(ISBLANK($C451),"",AK451)</f>
        <v/>
      </c>
      <c r="AT451" s="103" t="str">
        <f aca="false">IF(ISBLANK($C451),"",IF(AS451=Constants!$B$4,COUNTA($C$8:$C$507)+2,IF(AS451=Constants!$B$5,COUNTA($C$8:$C$507)+1,IF(AS451=Constants!$B$6,COUNTA($C$8:$C$507),AS451))))</f>
        <v/>
      </c>
      <c r="AU451" s="5"/>
      <c r="AV451" s="104" t="n">
        <f aca="false">IF(OR(ISNUMBER(AS451),AS451=Constants!$B$4,AS451=Constants!$B$6,AS451=Constants!$B$5),1,0)</f>
        <v>0</v>
      </c>
      <c r="AW451" s="104" t="n">
        <v>444</v>
      </c>
      <c r="AX451" s="104" t="str">
        <f aca="false">IF(ISBLANK($C451),"",IF(ISNUMBER(AT451),AT451+ROW($B451)/1000,""))</f>
        <v/>
      </c>
      <c r="AY451" s="104" t="str">
        <f aca="false">IF(ISNUMBER(AX451),RANK(AX451,$AX$8:$AX$507,1),"")</f>
        <v/>
      </c>
      <c r="AZ451" s="104" t="str">
        <f aca="false">IF(ISBLANK($C451),"",$B451)</f>
        <v/>
      </c>
      <c r="BA451" s="104" t="str">
        <f aca="false">IF(ISBLANK($C451),"",$C451)</f>
        <v/>
      </c>
      <c r="BB451" s="104" t="str">
        <f aca="false">IF(ISBLANK($C451),"",$D451)</f>
        <v/>
      </c>
      <c r="BC451" s="105" t="str">
        <f aca="false">AQ451</f>
        <v/>
      </c>
      <c r="BD451" s="106" t="str">
        <f aca="false">AP451</f>
        <v/>
      </c>
      <c r="BE451" s="104" t="str">
        <f aca="false">IF(ISBLANK($C451),"",AS451)</f>
        <v/>
      </c>
      <c r="BF451" s="107" t="str">
        <f aca="false">IF($AW451&gt;$AV$7,"",VLOOKUP($AW451,$AY$8:$BE$507,7,FALSE()))</f>
        <v/>
      </c>
      <c r="BG451" s="108" t="str">
        <f aca="false">IF($AW451&gt;$AV$7,"",VLOOKUP($AW451,$AY$8:$BE$507,2,FALSE()))</f>
        <v/>
      </c>
      <c r="BH451" s="108" t="str">
        <f aca="false">IF($AW451&gt;$AV$7,"",VLOOKUP($AW451,$AY$8:$BE$507,3,FALSE()))</f>
        <v/>
      </c>
      <c r="BI451" s="108" t="str">
        <f aca="false">IF($AW451&gt;$AV$7,"",VLOOKUP($AW451,$AY$8:$BE$507,4,FALSE()))</f>
        <v/>
      </c>
      <c r="BJ451" s="108" t="str">
        <f aca="false">IF($AW451&gt;$AV$7,"",VLOOKUP($AW451,$AY$8:$BE$507,5,FALSE()))</f>
        <v/>
      </c>
      <c r="BK451" s="109" t="str">
        <f aca="false">IF($AW451&gt;$AV$7,"",VLOOKUP($AW451,$AY$8:$BE$507,6,FALSE()))</f>
        <v/>
      </c>
      <c r="BL451" s="50"/>
    </row>
    <row r="452" customFormat="false" ht="15.75" hidden="false" customHeight="false" outlineLevel="0" collapsed="false">
      <c r="A452" s="5"/>
      <c r="B452" s="131"/>
      <c r="C452" s="52"/>
      <c r="D452" s="53"/>
      <c r="E452" s="80"/>
      <c r="F452" s="132"/>
      <c r="G452" s="56"/>
      <c r="H452" s="133"/>
      <c r="I452" s="134"/>
      <c r="J452" s="59"/>
      <c r="K452" s="60"/>
      <c r="L452" s="134"/>
      <c r="M452" s="61"/>
      <c r="N452" s="62"/>
      <c r="O452" s="80"/>
      <c r="P452" s="64"/>
      <c r="Q452" s="65" t="str">
        <f aca="false">IF(ISBLANK($C452),"",IF(E452=Constants!$B$2, TRUE(), IF(E452=Constants!$B$3, FALSE(), TRUE())))</f>
        <v/>
      </c>
      <c r="R452" s="65" t="str">
        <f aca="false">IF(ISBLANK($C452),"",IF(F452=Constants!$B$2, TRUE(), IF(F452=Constants!$B$3, FALSE(), TRUE())))</f>
        <v/>
      </c>
      <c r="S452" s="65" t="str">
        <f aca="false">IF(ISBLANK($C452),"",IF(G452=Constants!$B$15,Constants!$B$8,IF(G452=Constants!$B$16,Constants!$B$9,Constants!$B$10)))</f>
        <v/>
      </c>
      <c r="T452" s="65" t="str">
        <f aca="false">IF(ISBLANK($C452),"",IF(H452=Constants!$B$2, TRUE(), IF(H452=Constants!$B$3, FALSE(), TRUE())))</f>
        <v/>
      </c>
      <c r="U452" s="65" t="str">
        <f aca="false">IF(ISBLANK($C452),"",IF(I452=Constants!$B$19,Constants!$B$19,Constants!$B$18))</f>
        <v/>
      </c>
      <c r="V452" s="65" t="str">
        <f aca="false">IF(ISBLANK($C452),"",IF(COUNTA(J452:K452)=0,"",IF(AND(OR(ISBLANK(J452),AND(ISNUMBER(J452),J452&gt;=0)),OR(ISBLANK(K452),AND(ISNUMBER(K452),K452&gt;=0))),60*IF(ISBLANK(J452),0,J452)+IF(ISBLANK(K452),0,K452),"")))</f>
        <v/>
      </c>
      <c r="W452" s="65" t="str">
        <f aca="false">IF(ISBLANK($C452),"",IF(L452=Constants!$B$19,Constants!$B$19,Constants!$B$18))</f>
        <v/>
      </c>
      <c r="X452" s="65" t="str">
        <f aca="false">IF(ISBLANK($C452),"",IF(COUNTA(M452:N452)=0,"",IF(AND(OR(ISBLANK(M452),AND(ISNUMBER(M452),M452&gt;=0)),OR(ISBLANK(N452),AND(ISNUMBER(N452),N452&gt;=0))),60*IF(ISBLANK(M452),0,M452)+IF(ISBLANK(N452),0,N452),"")))</f>
        <v/>
      </c>
      <c r="Y452" s="65" t="str">
        <f aca="false">IF(ISBLANK($C452),"",IF(O452=Constants!$B$2, TRUE(), IF(O452=Constants!$B$3, FALSE(), FALSE())))</f>
        <v/>
      </c>
      <c r="Z452" s="65" t="str">
        <f aca="false">IF(ISBLANK($C452),"",IF(Y452,Constants!$B$4,IF(COUNTA(E452:N452)=0,Constants!$B$5,IF(COUNTA(J452:K452,M452:N452)=0,Constants!$B$6,Constants!$B$7))))</f>
        <v/>
      </c>
      <c r="AA452" s="65" t="str">
        <f aca="false">IF(ISBLANK($C452),"",IF($Z452&lt;&gt;Constants!$B$7,$Z452,IF(OR(NOT(T452),AND(NOT(Q452),COUNTIFS(U452:W452,Constants!$B$18,V452:X452,"&gt;=0")&gt;0),AND(NOT(R452),COUNTIFS(U452:W452,Constants!$B$19,V452:X452,"&gt;=0")&gt;0)),Constants!$B$12,Constants!$B$11)))</f>
        <v/>
      </c>
      <c r="AB452" s="65" t="str">
        <f aca="false">IF($Z452=Constants!$B$7,IF(V452="",Constants!$B$13,V452),"")</f>
        <v/>
      </c>
      <c r="AC452" s="65" t="str">
        <f aca="false">IF($Z452=Constants!$B$7,IF(X452="",Constants!$B$13,X452),"")</f>
        <v/>
      </c>
      <c r="AD452" s="65" t="str">
        <f aca="false">IF($Z452=Constants!$B$7,IF($AB452&gt;=$AC452,1,2),"")</f>
        <v/>
      </c>
      <c r="AE452" s="65" t="str">
        <f aca="false">IF($Z452=Constants!$B$7,LARGE(AB452:AC452,1),"")</f>
        <v/>
      </c>
      <c r="AF452" s="65" t="str">
        <f aca="false">IF(ISBLANK($C452),"",IF($Z452&lt;&gt;Constants!$B$7,$Z452,AE452*S452))</f>
        <v/>
      </c>
      <c r="AG452" s="65" t="str">
        <f aca="false">IF(ISBLANK($C452),"",IF($Z452=Constants!$B$7,IF(ISNUMBER(AF452),RANK(AF452,$AF$8:$AF$507),Constants!$B$14),$Z452))</f>
        <v/>
      </c>
      <c r="AH452" s="65" t="str">
        <f aca="false">IF(ISBLANK($C452),"",IF($Z452=Constants!$B$7,IF(ISNUMBER(AG452),COUNTIFS($AA$8:$AA$507,"&lt;"&amp;$AA452)+COUNTIFS($AA$8:$AA$507,$AA452,$AG$8:$AG$507,"&lt;"&amp;$AG452)+1,Constants!$B$14),$Z452))</f>
        <v/>
      </c>
      <c r="AI452" s="65" t="str">
        <f aca="false">IF(ISBLANK($C452),"",IF($Z452=Constants!$B$7,LARGE(AB452:AC452,2)*S452,""))</f>
        <v/>
      </c>
      <c r="AJ452" s="65" t="str">
        <f aca="false">IF(ISBLANK($C452),"",IF($Z452=Constants!$B$7,RANK(AI452,$AI$8:$AI$507),$Z452))</f>
        <v/>
      </c>
      <c r="AK452" s="65" t="str">
        <f aca="false">IF(ISBLANK($C452),"",IF($Z452=Constants!$B$7,IF(ISNUMBER(AG452),COUNTIFS($AA$8:$AA$507,"&lt;"&amp;$AA452)+COUNTIFS($AA$8:$AA$507,$AA452,$AG$8:$AG$507,"&lt;"&amp;$AG452)+COUNTIFS($AA$8:$AA$507,$AA452,$AG$8:$AG$507,$AG452,$AJ$8:$AJ$507,"&lt;"&amp;$AJ452)+1,Constants!$B$14),$Z452))</f>
        <v/>
      </c>
      <c r="AL452" s="65" t="str">
        <f aca="false">IF(ISBLANK($C452),"",IF($Z452=Constants!$B$7,IF(ISNUMBER(AH452),AH452-AK452,Constants!$B$14),$Z452))</f>
        <v/>
      </c>
      <c r="AM452" s="67"/>
      <c r="AN452" s="68" t="str">
        <f aca="false">IF(ISBLANK($C452),"",IF($Z452&lt;&gt;Constants!$B$7,$Z452,AD452))</f>
        <v/>
      </c>
      <c r="AO452" s="69" t="str">
        <f aca="false">IF(ISBLANK($C452),"",IF($Z452&lt;&gt;Constants!$B$7,$Z452,S452))</f>
        <v/>
      </c>
      <c r="AP452" s="70" t="str">
        <f aca="false">IF(ISBLANK($C452),"",IF($Z452&lt;&gt;Constants!$B$7,$Z452,AF452))</f>
        <v/>
      </c>
      <c r="AQ452" s="71" t="str">
        <f aca="false">IF(ISBLANK($C452),"",IF($Z452&lt;&gt;Constants!$B$7,$Z452,AA452))</f>
        <v/>
      </c>
      <c r="AR452" s="69" t="str">
        <f aca="false">IF(ISBLANK($C452),"",AL452)</f>
        <v/>
      </c>
      <c r="AS452" s="69" t="str">
        <f aca="false">IF(ISBLANK($C452),"",AK452)</f>
        <v/>
      </c>
      <c r="AT452" s="72" t="str">
        <f aca="false">IF(ISBLANK($C452),"",IF(AS452=Constants!$B$4,COUNTA($C$8:$C$507)+2,IF(AS452=Constants!$B$5,COUNTA($C$8:$C$507)+1,IF(AS452=Constants!$B$6,COUNTA($C$8:$C$507),AS452))))</f>
        <v/>
      </c>
      <c r="AU452" s="5"/>
      <c r="AV452" s="73" t="n">
        <f aca="false">IF(OR(ISNUMBER(AS452),AS452=Constants!$B$4,AS452=Constants!$B$6,AS452=Constants!$B$5),1,0)</f>
        <v>0</v>
      </c>
      <c r="AW452" s="73" t="n">
        <v>445</v>
      </c>
      <c r="AX452" s="73" t="str">
        <f aca="false">IF(ISBLANK($C452),"",IF(ISNUMBER(AT452),AT452+ROW($B452)/1000,""))</f>
        <v/>
      </c>
      <c r="AY452" s="73" t="str">
        <f aca="false">IF(ISNUMBER(AX452),RANK(AX452,$AX$8:$AX$507,1),"")</f>
        <v/>
      </c>
      <c r="AZ452" s="73" t="str">
        <f aca="false">IF(ISBLANK($C452),"",$B452)</f>
        <v/>
      </c>
      <c r="BA452" s="73" t="str">
        <f aca="false">IF(ISBLANK($C452),"",$C452)</f>
        <v/>
      </c>
      <c r="BB452" s="73" t="str">
        <f aca="false">IF(ISBLANK($C452),"",$D452)</f>
        <v/>
      </c>
      <c r="BC452" s="74" t="str">
        <f aca="false">AQ452</f>
        <v/>
      </c>
      <c r="BD452" s="75" t="str">
        <f aca="false">AP452</f>
        <v/>
      </c>
      <c r="BE452" s="73" t="str">
        <f aca="false">IF(ISBLANK($C452),"",AS452)</f>
        <v/>
      </c>
      <c r="BF452" s="76" t="str">
        <f aca="false">IF($AW452&gt;$AV$7,"",VLOOKUP($AW452,$AY$8:$BE$507,7,FALSE()))</f>
        <v/>
      </c>
      <c r="BG452" s="77" t="str">
        <f aca="false">IF($AW452&gt;$AV$7,"",VLOOKUP($AW452,$AY$8:$BE$507,2,FALSE()))</f>
        <v/>
      </c>
      <c r="BH452" s="77" t="str">
        <f aca="false">IF($AW452&gt;$AV$7,"",VLOOKUP($AW452,$AY$8:$BE$507,3,FALSE()))</f>
        <v/>
      </c>
      <c r="BI452" s="77" t="str">
        <f aca="false">IF($AW452&gt;$AV$7,"",VLOOKUP($AW452,$AY$8:$BE$507,4,FALSE()))</f>
        <v/>
      </c>
      <c r="BJ452" s="77" t="str">
        <f aca="false">IF($AW452&gt;$AV$7,"",VLOOKUP($AW452,$AY$8:$BE$507,5,FALSE()))</f>
        <v/>
      </c>
      <c r="BK452" s="78" t="str">
        <f aca="false">IF($AW452&gt;$AV$7,"",VLOOKUP($AW452,$AY$8:$BE$507,6,FALSE()))</f>
        <v/>
      </c>
      <c r="BL452" s="50"/>
    </row>
    <row r="453" customFormat="false" ht="15.75" hidden="false" customHeight="false" outlineLevel="0" collapsed="false">
      <c r="A453" s="5"/>
      <c r="B453" s="131"/>
      <c r="C453" s="52"/>
      <c r="D453" s="53"/>
      <c r="E453" s="80"/>
      <c r="F453" s="132"/>
      <c r="G453" s="56"/>
      <c r="H453" s="133"/>
      <c r="I453" s="134"/>
      <c r="J453" s="59"/>
      <c r="K453" s="60"/>
      <c r="L453" s="134"/>
      <c r="M453" s="61"/>
      <c r="N453" s="62"/>
      <c r="O453" s="80"/>
      <c r="P453" s="64"/>
      <c r="Q453" s="65" t="str">
        <f aca="false">IF(ISBLANK($C453),"",IF(E453=Constants!$B$2, TRUE(), IF(E453=Constants!$B$3, FALSE(), TRUE())))</f>
        <v/>
      </c>
      <c r="R453" s="65" t="str">
        <f aca="false">IF(ISBLANK($C453),"",IF(F453=Constants!$B$2, TRUE(), IF(F453=Constants!$B$3, FALSE(), TRUE())))</f>
        <v/>
      </c>
      <c r="S453" s="65" t="str">
        <f aca="false">IF(ISBLANK($C453),"",IF(G453=Constants!$B$15,Constants!$B$8,IF(G453=Constants!$B$16,Constants!$B$9,Constants!$B$10)))</f>
        <v/>
      </c>
      <c r="T453" s="65" t="str">
        <f aca="false">IF(ISBLANK($C453),"",IF(H453=Constants!$B$2, TRUE(), IF(H453=Constants!$B$3, FALSE(), TRUE())))</f>
        <v/>
      </c>
      <c r="U453" s="65" t="str">
        <f aca="false">IF(ISBLANK($C453),"",IF(I453=Constants!$B$19,Constants!$B$19,Constants!$B$18))</f>
        <v/>
      </c>
      <c r="V453" s="65" t="str">
        <f aca="false">IF(ISBLANK($C453),"",IF(COUNTA(J453:K453)=0,"",IF(AND(OR(ISBLANK(J453),AND(ISNUMBER(J453),J453&gt;=0)),OR(ISBLANK(K453),AND(ISNUMBER(K453),K453&gt;=0))),60*IF(ISBLANK(J453),0,J453)+IF(ISBLANK(K453),0,K453),"")))</f>
        <v/>
      </c>
      <c r="W453" s="65" t="str">
        <f aca="false">IF(ISBLANK($C453),"",IF(L453=Constants!$B$19,Constants!$B$19,Constants!$B$18))</f>
        <v/>
      </c>
      <c r="X453" s="65" t="str">
        <f aca="false">IF(ISBLANK($C453),"",IF(COUNTA(M453:N453)=0,"",IF(AND(OR(ISBLANK(M453),AND(ISNUMBER(M453),M453&gt;=0)),OR(ISBLANK(N453),AND(ISNUMBER(N453),N453&gt;=0))),60*IF(ISBLANK(M453),0,M453)+IF(ISBLANK(N453),0,N453),"")))</f>
        <v/>
      </c>
      <c r="Y453" s="65" t="str">
        <f aca="false">IF(ISBLANK($C453),"",IF(O453=Constants!$B$2, TRUE(), IF(O453=Constants!$B$3, FALSE(), FALSE())))</f>
        <v/>
      </c>
      <c r="Z453" s="65" t="str">
        <f aca="false">IF(ISBLANK($C453),"",IF(Y453,Constants!$B$4,IF(COUNTA(E453:N453)=0,Constants!$B$5,IF(COUNTA(J453:K453,M453:N453)=0,Constants!$B$6,Constants!$B$7))))</f>
        <v/>
      </c>
      <c r="AA453" s="65" t="str">
        <f aca="false">IF(ISBLANK($C453),"",IF($Z453&lt;&gt;Constants!$B$7,$Z453,IF(OR(NOT(T453),AND(NOT(Q453),COUNTIFS(U453:W453,Constants!$B$18,V453:X453,"&gt;=0")&gt;0),AND(NOT(R453),COUNTIFS(U453:W453,Constants!$B$19,V453:X453,"&gt;=0")&gt;0)),Constants!$B$12,Constants!$B$11)))</f>
        <v/>
      </c>
      <c r="AB453" s="65" t="str">
        <f aca="false">IF($Z453=Constants!$B$7,IF(V453="",Constants!$B$13,V453),"")</f>
        <v/>
      </c>
      <c r="AC453" s="65" t="str">
        <f aca="false">IF($Z453=Constants!$B$7,IF(X453="",Constants!$B$13,X453),"")</f>
        <v/>
      </c>
      <c r="AD453" s="65" t="str">
        <f aca="false">IF($Z453=Constants!$B$7,IF($AB453&gt;=$AC453,1,2),"")</f>
        <v/>
      </c>
      <c r="AE453" s="65" t="str">
        <f aca="false">IF($Z453=Constants!$B$7,LARGE(AB453:AC453,1),"")</f>
        <v/>
      </c>
      <c r="AF453" s="65" t="str">
        <f aca="false">IF(ISBLANK($C453),"",IF($Z453&lt;&gt;Constants!$B$7,$Z453,AE453*S453))</f>
        <v/>
      </c>
      <c r="AG453" s="65" t="str">
        <f aca="false">IF(ISBLANK($C453),"",IF($Z453=Constants!$B$7,IF(ISNUMBER(AF453),RANK(AF453,$AF$8:$AF$507),Constants!$B$14),$Z453))</f>
        <v/>
      </c>
      <c r="AH453" s="65" t="str">
        <f aca="false">IF(ISBLANK($C453),"",IF($Z453=Constants!$B$7,IF(ISNUMBER(AG453),COUNTIFS($AA$8:$AA$507,"&lt;"&amp;$AA453)+COUNTIFS($AA$8:$AA$507,$AA453,$AG$8:$AG$507,"&lt;"&amp;$AG453)+1,Constants!$B$14),$Z453))</f>
        <v/>
      </c>
      <c r="AI453" s="65" t="str">
        <f aca="false">IF(ISBLANK($C453),"",IF($Z453=Constants!$B$7,LARGE(AB453:AC453,2)*S453,""))</f>
        <v/>
      </c>
      <c r="AJ453" s="65" t="str">
        <f aca="false">IF(ISBLANK($C453),"",IF($Z453=Constants!$B$7,RANK(AI453,$AI$8:$AI$507),$Z453))</f>
        <v/>
      </c>
      <c r="AK453" s="65" t="str">
        <f aca="false">IF(ISBLANK($C453),"",IF($Z453=Constants!$B$7,IF(ISNUMBER(AG453),COUNTIFS($AA$8:$AA$507,"&lt;"&amp;$AA453)+COUNTIFS($AA$8:$AA$507,$AA453,$AG$8:$AG$507,"&lt;"&amp;$AG453)+COUNTIFS($AA$8:$AA$507,$AA453,$AG$8:$AG$507,$AG453,$AJ$8:$AJ$507,"&lt;"&amp;$AJ453)+1,Constants!$B$14),$Z453))</f>
        <v/>
      </c>
      <c r="AL453" s="65" t="str">
        <f aca="false">IF(ISBLANK($C453),"",IF($Z453=Constants!$B$7,IF(ISNUMBER(AH453),AH453-AK453,Constants!$B$14),$Z453))</f>
        <v/>
      </c>
      <c r="AM453" s="67"/>
      <c r="AN453" s="68" t="str">
        <f aca="false">IF(ISBLANK($C453),"",IF($Z453&lt;&gt;Constants!$B$7,$Z453,AD453))</f>
        <v/>
      </c>
      <c r="AO453" s="69" t="str">
        <f aca="false">IF(ISBLANK($C453),"",IF($Z453&lt;&gt;Constants!$B$7,$Z453,S453))</f>
        <v/>
      </c>
      <c r="AP453" s="70" t="str">
        <f aca="false">IF(ISBLANK($C453),"",IF($Z453&lt;&gt;Constants!$B$7,$Z453,AF453))</f>
        <v/>
      </c>
      <c r="AQ453" s="71" t="str">
        <f aca="false">IF(ISBLANK($C453),"",IF($Z453&lt;&gt;Constants!$B$7,$Z453,AA453))</f>
        <v/>
      </c>
      <c r="AR453" s="69" t="str">
        <f aca="false">IF(ISBLANK($C453),"",AL453)</f>
        <v/>
      </c>
      <c r="AS453" s="69" t="str">
        <f aca="false">IF(ISBLANK($C453),"",AK453)</f>
        <v/>
      </c>
      <c r="AT453" s="72" t="str">
        <f aca="false">IF(ISBLANK($C453),"",IF(AS453=Constants!$B$4,COUNTA($C$8:$C$507)+2,IF(AS453=Constants!$B$5,COUNTA($C$8:$C$507)+1,IF(AS453=Constants!$B$6,COUNTA($C$8:$C$507),AS453))))</f>
        <v/>
      </c>
      <c r="AU453" s="5"/>
      <c r="AV453" s="73" t="n">
        <f aca="false">IF(OR(ISNUMBER(AS453),AS453=Constants!$B$4,AS453=Constants!$B$6,AS453=Constants!$B$5),1,0)</f>
        <v>0</v>
      </c>
      <c r="AW453" s="73" t="n">
        <v>446</v>
      </c>
      <c r="AX453" s="73" t="str">
        <f aca="false">IF(ISBLANK($C453),"",IF(ISNUMBER(AT453),AT453+ROW($B453)/1000,""))</f>
        <v/>
      </c>
      <c r="AY453" s="73" t="str">
        <f aca="false">IF(ISNUMBER(AX453),RANK(AX453,$AX$8:$AX$507,1),"")</f>
        <v/>
      </c>
      <c r="AZ453" s="73" t="str">
        <f aca="false">IF(ISBLANK($C453),"",$B453)</f>
        <v/>
      </c>
      <c r="BA453" s="73" t="str">
        <f aca="false">IF(ISBLANK($C453),"",$C453)</f>
        <v/>
      </c>
      <c r="BB453" s="73" t="str">
        <f aca="false">IF(ISBLANK($C453),"",$D453)</f>
        <v/>
      </c>
      <c r="BC453" s="74" t="str">
        <f aca="false">AQ453</f>
        <v/>
      </c>
      <c r="BD453" s="75" t="str">
        <f aca="false">AP453</f>
        <v/>
      </c>
      <c r="BE453" s="73" t="str">
        <f aca="false">IF(ISBLANK($C453),"",AS453)</f>
        <v/>
      </c>
      <c r="BF453" s="76" t="str">
        <f aca="false">IF($AW453&gt;$AV$7,"",VLOOKUP($AW453,$AY$8:$BE$507,7,FALSE()))</f>
        <v/>
      </c>
      <c r="BG453" s="77" t="str">
        <f aca="false">IF($AW453&gt;$AV$7,"",VLOOKUP($AW453,$AY$8:$BE$507,2,FALSE()))</f>
        <v/>
      </c>
      <c r="BH453" s="77" t="str">
        <f aca="false">IF($AW453&gt;$AV$7,"",VLOOKUP($AW453,$AY$8:$BE$507,3,FALSE()))</f>
        <v/>
      </c>
      <c r="BI453" s="77" t="str">
        <f aca="false">IF($AW453&gt;$AV$7,"",VLOOKUP($AW453,$AY$8:$BE$507,4,FALSE()))</f>
        <v/>
      </c>
      <c r="BJ453" s="77" t="str">
        <f aca="false">IF($AW453&gt;$AV$7,"",VLOOKUP($AW453,$AY$8:$BE$507,5,FALSE()))</f>
        <v/>
      </c>
      <c r="BK453" s="78" t="str">
        <f aca="false">IF($AW453&gt;$AV$7,"",VLOOKUP($AW453,$AY$8:$BE$507,6,FALSE()))</f>
        <v/>
      </c>
      <c r="BL453" s="50"/>
    </row>
    <row r="454" customFormat="false" ht="15.75" hidden="false" customHeight="false" outlineLevel="0" collapsed="false">
      <c r="A454" s="5"/>
      <c r="B454" s="131"/>
      <c r="C454" s="52"/>
      <c r="D454" s="53"/>
      <c r="E454" s="80"/>
      <c r="F454" s="132"/>
      <c r="G454" s="56"/>
      <c r="H454" s="133"/>
      <c r="I454" s="134"/>
      <c r="J454" s="59"/>
      <c r="K454" s="60"/>
      <c r="L454" s="134"/>
      <c r="M454" s="61"/>
      <c r="N454" s="62"/>
      <c r="O454" s="80"/>
      <c r="P454" s="64"/>
      <c r="Q454" s="65" t="str">
        <f aca="false">IF(ISBLANK($C454),"",IF(E454=Constants!$B$2, TRUE(), IF(E454=Constants!$B$3, FALSE(), TRUE())))</f>
        <v/>
      </c>
      <c r="R454" s="65" t="str">
        <f aca="false">IF(ISBLANK($C454),"",IF(F454=Constants!$B$2, TRUE(), IF(F454=Constants!$B$3, FALSE(), TRUE())))</f>
        <v/>
      </c>
      <c r="S454" s="65" t="str">
        <f aca="false">IF(ISBLANK($C454),"",IF(G454=Constants!$B$15,Constants!$B$8,IF(G454=Constants!$B$16,Constants!$B$9,Constants!$B$10)))</f>
        <v/>
      </c>
      <c r="T454" s="65" t="str">
        <f aca="false">IF(ISBLANK($C454),"",IF(H454=Constants!$B$2, TRUE(), IF(H454=Constants!$B$3, FALSE(), TRUE())))</f>
        <v/>
      </c>
      <c r="U454" s="65" t="str">
        <f aca="false">IF(ISBLANK($C454),"",IF(I454=Constants!$B$19,Constants!$B$19,Constants!$B$18))</f>
        <v/>
      </c>
      <c r="V454" s="65" t="str">
        <f aca="false">IF(ISBLANK($C454),"",IF(COUNTA(J454:K454)=0,"",IF(AND(OR(ISBLANK(J454),AND(ISNUMBER(J454),J454&gt;=0)),OR(ISBLANK(K454),AND(ISNUMBER(K454),K454&gt;=0))),60*IF(ISBLANK(J454),0,J454)+IF(ISBLANK(K454),0,K454),"")))</f>
        <v/>
      </c>
      <c r="W454" s="65" t="str">
        <f aca="false">IF(ISBLANK($C454),"",IF(L454=Constants!$B$19,Constants!$B$19,Constants!$B$18))</f>
        <v/>
      </c>
      <c r="X454" s="65" t="str">
        <f aca="false">IF(ISBLANK($C454),"",IF(COUNTA(M454:N454)=0,"",IF(AND(OR(ISBLANK(M454),AND(ISNUMBER(M454),M454&gt;=0)),OR(ISBLANK(N454),AND(ISNUMBER(N454),N454&gt;=0))),60*IF(ISBLANK(M454),0,M454)+IF(ISBLANK(N454),0,N454),"")))</f>
        <v/>
      </c>
      <c r="Y454" s="65" t="str">
        <f aca="false">IF(ISBLANK($C454),"",IF(O454=Constants!$B$2, TRUE(), IF(O454=Constants!$B$3, FALSE(), FALSE())))</f>
        <v/>
      </c>
      <c r="Z454" s="65" t="str">
        <f aca="false">IF(ISBLANK($C454),"",IF(Y454,Constants!$B$4,IF(COUNTA(E454:N454)=0,Constants!$B$5,IF(COUNTA(J454:K454,M454:N454)=0,Constants!$B$6,Constants!$B$7))))</f>
        <v/>
      </c>
      <c r="AA454" s="65" t="str">
        <f aca="false">IF(ISBLANK($C454),"",IF($Z454&lt;&gt;Constants!$B$7,$Z454,IF(OR(NOT(T454),AND(NOT(Q454),COUNTIFS(U454:W454,Constants!$B$18,V454:X454,"&gt;=0")&gt;0),AND(NOT(R454),COUNTIFS(U454:W454,Constants!$B$19,V454:X454,"&gt;=0")&gt;0)),Constants!$B$12,Constants!$B$11)))</f>
        <v/>
      </c>
      <c r="AB454" s="65" t="str">
        <f aca="false">IF($Z454=Constants!$B$7,IF(V454="",Constants!$B$13,V454),"")</f>
        <v/>
      </c>
      <c r="AC454" s="65" t="str">
        <f aca="false">IF($Z454=Constants!$B$7,IF(X454="",Constants!$B$13,X454),"")</f>
        <v/>
      </c>
      <c r="AD454" s="65" t="str">
        <f aca="false">IF($Z454=Constants!$B$7,IF($AB454&gt;=$AC454,1,2),"")</f>
        <v/>
      </c>
      <c r="AE454" s="65" t="str">
        <f aca="false">IF($Z454=Constants!$B$7,LARGE(AB454:AC454,1),"")</f>
        <v/>
      </c>
      <c r="AF454" s="65" t="str">
        <f aca="false">IF(ISBLANK($C454),"",IF($Z454&lt;&gt;Constants!$B$7,$Z454,AE454*S454))</f>
        <v/>
      </c>
      <c r="AG454" s="65" t="str">
        <f aca="false">IF(ISBLANK($C454),"",IF($Z454=Constants!$B$7,IF(ISNUMBER(AF454),RANK(AF454,$AF$8:$AF$507),Constants!$B$14),$Z454))</f>
        <v/>
      </c>
      <c r="AH454" s="65" t="str">
        <f aca="false">IF(ISBLANK($C454),"",IF($Z454=Constants!$B$7,IF(ISNUMBER(AG454),COUNTIFS($AA$8:$AA$507,"&lt;"&amp;$AA454)+COUNTIFS($AA$8:$AA$507,$AA454,$AG$8:$AG$507,"&lt;"&amp;$AG454)+1,Constants!$B$14),$Z454))</f>
        <v/>
      </c>
      <c r="AI454" s="65" t="str">
        <f aca="false">IF(ISBLANK($C454),"",IF($Z454=Constants!$B$7,LARGE(AB454:AC454,2)*S454,""))</f>
        <v/>
      </c>
      <c r="AJ454" s="65" t="str">
        <f aca="false">IF(ISBLANK($C454),"",IF($Z454=Constants!$B$7,RANK(AI454,$AI$8:$AI$507),$Z454))</f>
        <v/>
      </c>
      <c r="AK454" s="65" t="str">
        <f aca="false">IF(ISBLANK($C454),"",IF($Z454=Constants!$B$7,IF(ISNUMBER(AG454),COUNTIFS($AA$8:$AA$507,"&lt;"&amp;$AA454)+COUNTIFS($AA$8:$AA$507,$AA454,$AG$8:$AG$507,"&lt;"&amp;$AG454)+COUNTIFS($AA$8:$AA$507,$AA454,$AG$8:$AG$507,$AG454,$AJ$8:$AJ$507,"&lt;"&amp;$AJ454)+1,Constants!$B$14),$Z454))</f>
        <v/>
      </c>
      <c r="AL454" s="65" t="str">
        <f aca="false">IF(ISBLANK($C454),"",IF($Z454=Constants!$B$7,IF(ISNUMBER(AH454),AH454-AK454,Constants!$B$14),$Z454))</f>
        <v/>
      </c>
      <c r="AM454" s="67"/>
      <c r="AN454" s="68" t="str">
        <f aca="false">IF(ISBLANK($C454),"",IF($Z454&lt;&gt;Constants!$B$7,$Z454,AD454))</f>
        <v/>
      </c>
      <c r="AO454" s="69" t="str">
        <f aca="false">IF(ISBLANK($C454),"",IF($Z454&lt;&gt;Constants!$B$7,$Z454,S454))</f>
        <v/>
      </c>
      <c r="AP454" s="70" t="str">
        <f aca="false">IF(ISBLANK($C454),"",IF($Z454&lt;&gt;Constants!$B$7,$Z454,AF454))</f>
        <v/>
      </c>
      <c r="AQ454" s="71" t="str">
        <f aca="false">IF(ISBLANK($C454),"",IF($Z454&lt;&gt;Constants!$B$7,$Z454,AA454))</f>
        <v/>
      </c>
      <c r="AR454" s="69" t="str">
        <f aca="false">IF(ISBLANK($C454),"",AL454)</f>
        <v/>
      </c>
      <c r="AS454" s="69" t="str">
        <f aca="false">IF(ISBLANK($C454),"",AK454)</f>
        <v/>
      </c>
      <c r="AT454" s="72" t="str">
        <f aca="false">IF(ISBLANK($C454),"",IF(AS454=Constants!$B$4,COUNTA($C$8:$C$507)+2,IF(AS454=Constants!$B$5,COUNTA($C$8:$C$507)+1,IF(AS454=Constants!$B$6,COUNTA($C$8:$C$507),AS454))))</f>
        <v/>
      </c>
      <c r="AU454" s="5"/>
      <c r="AV454" s="73" t="n">
        <f aca="false">IF(OR(ISNUMBER(AS454),AS454=Constants!$B$4,AS454=Constants!$B$6,AS454=Constants!$B$5),1,0)</f>
        <v>0</v>
      </c>
      <c r="AW454" s="73" t="n">
        <v>447</v>
      </c>
      <c r="AX454" s="73" t="str">
        <f aca="false">IF(ISBLANK($C454),"",IF(ISNUMBER(AT454),AT454+ROW($B454)/1000,""))</f>
        <v/>
      </c>
      <c r="AY454" s="73" t="str">
        <f aca="false">IF(ISNUMBER(AX454),RANK(AX454,$AX$8:$AX$507,1),"")</f>
        <v/>
      </c>
      <c r="AZ454" s="73" t="str">
        <f aca="false">IF(ISBLANK($C454),"",$B454)</f>
        <v/>
      </c>
      <c r="BA454" s="73" t="str">
        <f aca="false">IF(ISBLANK($C454),"",$C454)</f>
        <v/>
      </c>
      <c r="BB454" s="73" t="str">
        <f aca="false">IF(ISBLANK($C454),"",$D454)</f>
        <v/>
      </c>
      <c r="BC454" s="74" t="str">
        <f aca="false">AQ454</f>
        <v/>
      </c>
      <c r="BD454" s="75" t="str">
        <f aca="false">AP454</f>
        <v/>
      </c>
      <c r="BE454" s="73" t="str">
        <f aca="false">IF(ISBLANK($C454),"",AS454)</f>
        <v/>
      </c>
      <c r="BF454" s="76" t="str">
        <f aca="false">IF($AW454&gt;$AV$7,"",VLOOKUP($AW454,$AY$8:$BE$507,7,FALSE()))</f>
        <v/>
      </c>
      <c r="BG454" s="77" t="str">
        <f aca="false">IF($AW454&gt;$AV$7,"",VLOOKUP($AW454,$AY$8:$BE$507,2,FALSE()))</f>
        <v/>
      </c>
      <c r="BH454" s="77" t="str">
        <f aca="false">IF($AW454&gt;$AV$7,"",VLOOKUP($AW454,$AY$8:$BE$507,3,FALSE()))</f>
        <v/>
      </c>
      <c r="BI454" s="77" t="str">
        <f aca="false">IF($AW454&gt;$AV$7,"",VLOOKUP($AW454,$AY$8:$BE$507,4,FALSE()))</f>
        <v/>
      </c>
      <c r="BJ454" s="77" t="str">
        <f aca="false">IF($AW454&gt;$AV$7,"",VLOOKUP($AW454,$AY$8:$BE$507,5,FALSE()))</f>
        <v/>
      </c>
      <c r="BK454" s="78" t="str">
        <f aca="false">IF($AW454&gt;$AV$7,"",VLOOKUP($AW454,$AY$8:$BE$507,6,FALSE()))</f>
        <v/>
      </c>
      <c r="BL454" s="50"/>
    </row>
    <row r="455" customFormat="false" ht="15.75" hidden="false" customHeight="false" outlineLevel="0" collapsed="false">
      <c r="A455" s="5"/>
      <c r="B455" s="124"/>
      <c r="C455" s="125"/>
      <c r="D455" s="110"/>
      <c r="E455" s="130"/>
      <c r="F455" s="135"/>
      <c r="G455" s="88"/>
      <c r="H455" s="136"/>
      <c r="I455" s="137"/>
      <c r="J455" s="91"/>
      <c r="K455" s="92"/>
      <c r="L455" s="137"/>
      <c r="M455" s="93"/>
      <c r="N455" s="94"/>
      <c r="O455" s="130"/>
      <c r="P455" s="96"/>
      <c r="Q455" s="97" t="str">
        <f aca="false">IF(ISBLANK($C455),"",IF(E455=Constants!$B$2, TRUE(), IF(E455=Constants!$B$3, FALSE(), TRUE())))</f>
        <v/>
      </c>
      <c r="R455" s="97" t="str">
        <f aca="false">IF(ISBLANK($C455),"",IF(F455=Constants!$B$2, TRUE(), IF(F455=Constants!$B$3, FALSE(), TRUE())))</f>
        <v/>
      </c>
      <c r="S455" s="97" t="str">
        <f aca="false">IF(ISBLANK($C455),"",IF(G455=Constants!$B$15,Constants!$B$8,IF(G455=Constants!$B$16,Constants!$B$9,Constants!$B$10)))</f>
        <v/>
      </c>
      <c r="T455" s="97" t="str">
        <f aca="false">IF(ISBLANK($C455),"",IF(H455=Constants!$B$2, TRUE(), IF(H455=Constants!$B$3, FALSE(), TRUE())))</f>
        <v/>
      </c>
      <c r="U455" s="97" t="str">
        <f aca="false">IF(ISBLANK($C455),"",IF(I455=Constants!$B$19,Constants!$B$19,Constants!$B$18))</f>
        <v/>
      </c>
      <c r="V455" s="97" t="str">
        <f aca="false">IF(ISBLANK($C455),"",IF(COUNTA(J455:K455)=0,"",IF(AND(OR(ISBLANK(J455),AND(ISNUMBER(J455),J455&gt;=0)),OR(ISBLANK(K455),AND(ISNUMBER(K455),K455&gt;=0))),60*IF(ISBLANK(J455),0,J455)+IF(ISBLANK(K455),0,K455),"")))</f>
        <v/>
      </c>
      <c r="W455" s="97" t="str">
        <f aca="false">IF(ISBLANK($C455),"",IF(L455=Constants!$B$19,Constants!$B$19,Constants!$B$18))</f>
        <v/>
      </c>
      <c r="X455" s="97" t="str">
        <f aca="false">IF(ISBLANK($C455),"",IF(COUNTA(M455:N455)=0,"",IF(AND(OR(ISBLANK(M455),AND(ISNUMBER(M455),M455&gt;=0)),OR(ISBLANK(N455),AND(ISNUMBER(N455),N455&gt;=0))),60*IF(ISBLANK(M455),0,M455)+IF(ISBLANK(N455),0,N455),"")))</f>
        <v/>
      </c>
      <c r="Y455" s="97" t="str">
        <f aca="false">IF(ISBLANK($C455),"",IF(O455=Constants!$B$2, TRUE(), IF(O455=Constants!$B$3, FALSE(), FALSE())))</f>
        <v/>
      </c>
      <c r="Z455" s="97" t="str">
        <f aca="false">IF(ISBLANK($C455),"",IF(Y455,Constants!$B$4,IF(COUNTA(E455:N455)=0,Constants!$B$5,IF(COUNTA(J455:K455,M455:N455)=0,Constants!$B$6,Constants!$B$7))))</f>
        <v/>
      </c>
      <c r="AA455" s="97" t="str">
        <f aca="false">IF(ISBLANK($C455),"",IF($Z455&lt;&gt;Constants!$B$7,$Z455,IF(OR(NOT(T455),AND(NOT(Q455),COUNTIFS(U455:W455,Constants!$B$18,V455:X455,"&gt;=0")&gt;0),AND(NOT(R455),COUNTIFS(U455:W455,Constants!$B$19,V455:X455,"&gt;=0")&gt;0)),Constants!$B$12,Constants!$B$11)))</f>
        <v/>
      </c>
      <c r="AB455" s="97" t="str">
        <f aca="false">IF($Z455=Constants!$B$7,IF(V455="",Constants!$B$13,V455),"")</f>
        <v/>
      </c>
      <c r="AC455" s="97" t="str">
        <f aca="false">IF($Z455=Constants!$B$7,IF(X455="",Constants!$B$13,X455),"")</f>
        <v/>
      </c>
      <c r="AD455" s="97" t="str">
        <f aca="false">IF($Z455=Constants!$B$7,IF($AB455&gt;=$AC455,1,2),"")</f>
        <v/>
      </c>
      <c r="AE455" s="97" t="str">
        <f aca="false">IF($Z455=Constants!$B$7,LARGE(AB455:AC455,1),"")</f>
        <v/>
      </c>
      <c r="AF455" s="97" t="str">
        <f aca="false">IF(ISBLANK($C455),"",IF($Z455&lt;&gt;Constants!$B$7,$Z455,AE455*S455))</f>
        <v/>
      </c>
      <c r="AG455" s="97" t="str">
        <f aca="false">IF(ISBLANK($C455),"",IF($Z455=Constants!$B$7,IF(ISNUMBER(AF455),RANK(AF455,$AF$8:$AF$507),Constants!$B$14),$Z455))</f>
        <v/>
      </c>
      <c r="AH455" s="97" t="str">
        <f aca="false">IF(ISBLANK($C455),"",IF($Z455=Constants!$B$7,IF(ISNUMBER(AG455),COUNTIFS($AA$8:$AA$507,"&lt;"&amp;$AA455)+COUNTIFS($AA$8:$AA$507,$AA455,$AG$8:$AG$507,"&lt;"&amp;$AG455)+1,Constants!$B$14),$Z455))</f>
        <v/>
      </c>
      <c r="AI455" s="97" t="str">
        <f aca="false">IF(ISBLANK($C455),"",IF($Z455=Constants!$B$7,LARGE(AB455:AC455,2)*S455,""))</f>
        <v/>
      </c>
      <c r="AJ455" s="97" t="str">
        <f aca="false">IF(ISBLANK($C455),"",IF($Z455=Constants!$B$7,RANK(AI455,$AI$8:$AI$507),$Z455))</f>
        <v/>
      </c>
      <c r="AK455" s="97" t="str">
        <f aca="false">IF(ISBLANK($C455),"",IF($Z455=Constants!$B$7,IF(ISNUMBER(AG455),COUNTIFS($AA$8:$AA$507,"&lt;"&amp;$AA455)+COUNTIFS($AA$8:$AA$507,$AA455,$AG$8:$AG$507,"&lt;"&amp;$AG455)+COUNTIFS($AA$8:$AA$507,$AA455,$AG$8:$AG$507,$AG455,$AJ$8:$AJ$507,"&lt;"&amp;$AJ455)+1,Constants!$B$14),$Z455))</f>
        <v/>
      </c>
      <c r="AL455" s="97" t="str">
        <f aca="false">IF(ISBLANK($C455),"",IF($Z455=Constants!$B$7,IF(ISNUMBER(AH455),AH455-AK455,Constants!$B$14),$Z455))</f>
        <v/>
      </c>
      <c r="AM455" s="98"/>
      <c r="AN455" s="99" t="str">
        <f aca="false">IF(ISBLANK($C455),"",IF($Z455&lt;&gt;Constants!$B$7,$Z455,AD455))</f>
        <v/>
      </c>
      <c r="AO455" s="100" t="str">
        <f aca="false">IF(ISBLANK($C455),"",IF($Z455&lt;&gt;Constants!$B$7,$Z455,S455))</f>
        <v/>
      </c>
      <c r="AP455" s="101" t="str">
        <f aca="false">IF(ISBLANK($C455),"",IF($Z455&lt;&gt;Constants!$B$7,$Z455,AF455))</f>
        <v/>
      </c>
      <c r="AQ455" s="102" t="str">
        <f aca="false">IF(ISBLANK($C455),"",IF($Z455&lt;&gt;Constants!$B$7,$Z455,AA455))</f>
        <v/>
      </c>
      <c r="AR455" s="100" t="str">
        <f aca="false">IF(ISBLANK($C455),"",AL455)</f>
        <v/>
      </c>
      <c r="AS455" s="100" t="str">
        <f aca="false">IF(ISBLANK($C455),"",AK455)</f>
        <v/>
      </c>
      <c r="AT455" s="103" t="str">
        <f aca="false">IF(ISBLANK($C455),"",IF(AS455=Constants!$B$4,COUNTA($C$8:$C$507)+2,IF(AS455=Constants!$B$5,COUNTA($C$8:$C$507)+1,IF(AS455=Constants!$B$6,COUNTA($C$8:$C$507),AS455))))</f>
        <v/>
      </c>
      <c r="AU455" s="5"/>
      <c r="AV455" s="104" t="n">
        <f aca="false">IF(OR(ISNUMBER(AS455),AS455=Constants!$B$4,AS455=Constants!$B$6,AS455=Constants!$B$5),1,0)</f>
        <v>0</v>
      </c>
      <c r="AW455" s="104" t="n">
        <v>448</v>
      </c>
      <c r="AX455" s="104" t="str">
        <f aca="false">IF(ISBLANK($C455),"",IF(ISNUMBER(AT455),AT455+ROW($B455)/1000,""))</f>
        <v/>
      </c>
      <c r="AY455" s="104" t="str">
        <f aca="false">IF(ISNUMBER(AX455),RANK(AX455,$AX$8:$AX$507,1),"")</f>
        <v/>
      </c>
      <c r="AZ455" s="104" t="str">
        <f aca="false">IF(ISBLANK($C455),"",$B455)</f>
        <v/>
      </c>
      <c r="BA455" s="104" t="str">
        <f aca="false">IF(ISBLANK($C455),"",$C455)</f>
        <v/>
      </c>
      <c r="BB455" s="104" t="str">
        <f aca="false">IF(ISBLANK($C455),"",$D455)</f>
        <v/>
      </c>
      <c r="BC455" s="105" t="str">
        <f aca="false">AQ455</f>
        <v/>
      </c>
      <c r="BD455" s="106" t="str">
        <f aca="false">AP455</f>
        <v/>
      </c>
      <c r="BE455" s="104" t="str">
        <f aca="false">IF(ISBLANK($C455),"",AS455)</f>
        <v/>
      </c>
      <c r="BF455" s="107" t="str">
        <f aca="false">IF($AW455&gt;$AV$7,"",VLOOKUP($AW455,$AY$8:$BE$507,7,FALSE()))</f>
        <v/>
      </c>
      <c r="BG455" s="108" t="str">
        <f aca="false">IF($AW455&gt;$AV$7,"",VLOOKUP($AW455,$AY$8:$BE$507,2,FALSE()))</f>
        <v/>
      </c>
      <c r="BH455" s="108" t="str">
        <f aca="false">IF($AW455&gt;$AV$7,"",VLOOKUP($AW455,$AY$8:$BE$507,3,FALSE()))</f>
        <v/>
      </c>
      <c r="BI455" s="108" t="str">
        <f aca="false">IF($AW455&gt;$AV$7,"",VLOOKUP($AW455,$AY$8:$BE$507,4,FALSE()))</f>
        <v/>
      </c>
      <c r="BJ455" s="108" t="str">
        <f aca="false">IF($AW455&gt;$AV$7,"",VLOOKUP($AW455,$AY$8:$BE$507,5,FALSE()))</f>
        <v/>
      </c>
      <c r="BK455" s="109" t="str">
        <f aca="false">IF($AW455&gt;$AV$7,"",VLOOKUP($AW455,$AY$8:$BE$507,6,FALSE()))</f>
        <v/>
      </c>
      <c r="BL455" s="50"/>
    </row>
    <row r="456" customFormat="false" ht="15.75" hidden="false" customHeight="false" outlineLevel="0" collapsed="false">
      <c r="A456" s="5"/>
      <c r="B456" s="124"/>
      <c r="C456" s="125"/>
      <c r="D456" s="110"/>
      <c r="E456" s="130"/>
      <c r="F456" s="135"/>
      <c r="G456" s="88"/>
      <c r="H456" s="136"/>
      <c r="I456" s="137"/>
      <c r="J456" s="91"/>
      <c r="K456" s="92"/>
      <c r="L456" s="137"/>
      <c r="M456" s="93"/>
      <c r="N456" s="94"/>
      <c r="O456" s="130"/>
      <c r="P456" s="96"/>
      <c r="Q456" s="97" t="str">
        <f aca="false">IF(ISBLANK($C456),"",IF(E456=Constants!$B$2, TRUE(), IF(E456=Constants!$B$3, FALSE(), TRUE())))</f>
        <v/>
      </c>
      <c r="R456" s="97" t="str">
        <f aca="false">IF(ISBLANK($C456),"",IF(F456=Constants!$B$2, TRUE(), IF(F456=Constants!$B$3, FALSE(), TRUE())))</f>
        <v/>
      </c>
      <c r="S456" s="97" t="str">
        <f aca="false">IF(ISBLANK($C456),"",IF(G456=Constants!$B$15,Constants!$B$8,IF(G456=Constants!$B$16,Constants!$B$9,Constants!$B$10)))</f>
        <v/>
      </c>
      <c r="T456" s="97" t="str">
        <f aca="false">IF(ISBLANK($C456),"",IF(H456=Constants!$B$2, TRUE(), IF(H456=Constants!$B$3, FALSE(), TRUE())))</f>
        <v/>
      </c>
      <c r="U456" s="97" t="str">
        <f aca="false">IF(ISBLANK($C456),"",IF(I456=Constants!$B$19,Constants!$B$19,Constants!$B$18))</f>
        <v/>
      </c>
      <c r="V456" s="97" t="str">
        <f aca="false">IF(ISBLANK($C456),"",IF(COUNTA(J456:K456)=0,"",IF(AND(OR(ISBLANK(J456),AND(ISNUMBER(J456),J456&gt;=0)),OR(ISBLANK(K456),AND(ISNUMBER(K456),K456&gt;=0))),60*IF(ISBLANK(J456),0,J456)+IF(ISBLANK(K456),0,K456),"")))</f>
        <v/>
      </c>
      <c r="W456" s="97" t="str">
        <f aca="false">IF(ISBLANK($C456),"",IF(L456=Constants!$B$19,Constants!$B$19,Constants!$B$18))</f>
        <v/>
      </c>
      <c r="X456" s="97" t="str">
        <f aca="false">IF(ISBLANK($C456),"",IF(COUNTA(M456:N456)=0,"",IF(AND(OR(ISBLANK(M456),AND(ISNUMBER(M456),M456&gt;=0)),OR(ISBLANK(N456),AND(ISNUMBER(N456),N456&gt;=0))),60*IF(ISBLANK(M456),0,M456)+IF(ISBLANK(N456),0,N456),"")))</f>
        <v/>
      </c>
      <c r="Y456" s="97" t="str">
        <f aca="false">IF(ISBLANK($C456),"",IF(O456=Constants!$B$2, TRUE(), IF(O456=Constants!$B$3, FALSE(), FALSE())))</f>
        <v/>
      </c>
      <c r="Z456" s="97" t="str">
        <f aca="false">IF(ISBLANK($C456),"",IF(Y456,Constants!$B$4,IF(COUNTA(E456:N456)=0,Constants!$B$5,IF(COUNTA(J456:K456,M456:N456)=0,Constants!$B$6,Constants!$B$7))))</f>
        <v/>
      </c>
      <c r="AA456" s="97" t="str">
        <f aca="false">IF(ISBLANK($C456),"",IF($Z456&lt;&gt;Constants!$B$7,$Z456,IF(OR(NOT(T456),AND(NOT(Q456),COUNTIFS(U456:W456,Constants!$B$18,V456:X456,"&gt;=0")&gt;0),AND(NOT(R456),COUNTIFS(U456:W456,Constants!$B$19,V456:X456,"&gt;=0")&gt;0)),Constants!$B$12,Constants!$B$11)))</f>
        <v/>
      </c>
      <c r="AB456" s="97" t="str">
        <f aca="false">IF($Z456=Constants!$B$7,IF(V456="",Constants!$B$13,V456),"")</f>
        <v/>
      </c>
      <c r="AC456" s="97" t="str">
        <f aca="false">IF($Z456=Constants!$B$7,IF(X456="",Constants!$B$13,X456),"")</f>
        <v/>
      </c>
      <c r="AD456" s="97" t="str">
        <f aca="false">IF($Z456=Constants!$B$7,IF($AB456&gt;=$AC456,1,2),"")</f>
        <v/>
      </c>
      <c r="AE456" s="97" t="str">
        <f aca="false">IF($Z456=Constants!$B$7,LARGE(AB456:AC456,1),"")</f>
        <v/>
      </c>
      <c r="AF456" s="97" t="str">
        <f aca="false">IF(ISBLANK($C456),"",IF($Z456&lt;&gt;Constants!$B$7,$Z456,AE456*S456))</f>
        <v/>
      </c>
      <c r="AG456" s="97" t="str">
        <f aca="false">IF(ISBLANK($C456),"",IF($Z456=Constants!$B$7,IF(ISNUMBER(AF456),RANK(AF456,$AF$8:$AF$507),Constants!$B$14),$Z456))</f>
        <v/>
      </c>
      <c r="AH456" s="97" t="str">
        <f aca="false">IF(ISBLANK($C456),"",IF($Z456=Constants!$B$7,IF(ISNUMBER(AG456),COUNTIFS($AA$8:$AA$507,"&lt;"&amp;$AA456)+COUNTIFS($AA$8:$AA$507,$AA456,$AG$8:$AG$507,"&lt;"&amp;$AG456)+1,Constants!$B$14),$Z456))</f>
        <v/>
      </c>
      <c r="AI456" s="97" t="str">
        <f aca="false">IF(ISBLANK($C456),"",IF($Z456=Constants!$B$7,LARGE(AB456:AC456,2)*S456,""))</f>
        <v/>
      </c>
      <c r="AJ456" s="97" t="str">
        <f aca="false">IF(ISBLANK($C456),"",IF($Z456=Constants!$B$7,RANK(AI456,$AI$8:$AI$507),$Z456))</f>
        <v/>
      </c>
      <c r="AK456" s="97" t="str">
        <f aca="false">IF(ISBLANK($C456),"",IF($Z456=Constants!$B$7,IF(ISNUMBER(AG456),COUNTIFS($AA$8:$AA$507,"&lt;"&amp;$AA456)+COUNTIFS($AA$8:$AA$507,$AA456,$AG$8:$AG$507,"&lt;"&amp;$AG456)+COUNTIFS($AA$8:$AA$507,$AA456,$AG$8:$AG$507,$AG456,$AJ$8:$AJ$507,"&lt;"&amp;$AJ456)+1,Constants!$B$14),$Z456))</f>
        <v/>
      </c>
      <c r="AL456" s="97" t="str">
        <f aca="false">IF(ISBLANK($C456),"",IF($Z456=Constants!$B$7,IF(ISNUMBER(AH456),AH456-AK456,Constants!$B$14),$Z456))</f>
        <v/>
      </c>
      <c r="AM456" s="98"/>
      <c r="AN456" s="99" t="str">
        <f aca="false">IF(ISBLANK($C456),"",IF($Z456&lt;&gt;Constants!$B$7,$Z456,AD456))</f>
        <v/>
      </c>
      <c r="AO456" s="100" t="str">
        <f aca="false">IF(ISBLANK($C456),"",IF($Z456&lt;&gt;Constants!$B$7,$Z456,S456))</f>
        <v/>
      </c>
      <c r="AP456" s="101" t="str">
        <f aca="false">IF(ISBLANK($C456),"",IF($Z456&lt;&gt;Constants!$B$7,$Z456,AF456))</f>
        <v/>
      </c>
      <c r="AQ456" s="102" t="str">
        <f aca="false">IF(ISBLANK($C456),"",IF($Z456&lt;&gt;Constants!$B$7,$Z456,AA456))</f>
        <v/>
      </c>
      <c r="AR456" s="100" t="str">
        <f aca="false">IF(ISBLANK($C456),"",AL456)</f>
        <v/>
      </c>
      <c r="AS456" s="100" t="str">
        <f aca="false">IF(ISBLANK($C456),"",AK456)</f>
        <v/>
      </c>
      <c r="AT456" s="103" t="str">
        <f aca="false">IF(ISBLANK($C456),"",IF(AS456=Constants!$B$4,COUNTA($C$8:$C$507)+2,IF(AS456=Constants!$B$5,COUNTA($C$8:$C$507)+1,IF(AS456=Constants!$B$6,COUNTA($C$8:$C$507),AS456))))</f>
        <v/>
      </c>
      <c r="AU456" s="5"/>
      <c r="AV456" s="104" t="n">
        <f aca="false">IF(OR(ISNUMBER(AS456),AS456=Constants!$B$4,AS456=Constants!$B$6,AS456=Constants!$B$5),1,0)</f>
        <v>0</v>
      </c>
      <c r="AW456" s="104" t="n">
        <v>449</v>
      </c>
      <c r="AX456" s="104" t="str">
        <f aca="false">IF(ISBLANK($C456),"",IF(ISNUMBER(AT456),AT456+ROW($B456)/1000,""))</f>
        <v/>
      </c>
      <c r="AY456" s="104" t="str">
        <f aca="false">IF(ISNUMBER(AX456),RANK(AX456,$AX$8:$AX$507,1),"")</f>
        <v/>
      </c>
      <c r="AZ456" s="104" t="str">
        <f aca="false">IF(ISBLANK($C456),"",$B456)</f>
        <v/>
      </c>
      <c r="BA456" s="104" t="str">
        <f aca="false">IF(ISBLANK($C456),"",$C456)</f>
        <v/>
      </c>
      <c r="BB456" s="104" t="str">
        <f aca="false">IF(ISBLANK($C456),"",$D456)</f>
        <v/>
      </c>
      <c r="BC456" s="105" t="str">
        <f aca="false">AQ456</f>
        <v/>
      </c>
      <c r="BD456" s="106" t="str">
        <f aca="false">AP456</f>
        <v/>
      </c>
      <c r="BE456" s="104" t="str">
        <f aca="false">IF(ISBLANK($C456),"",AS456)</f>
        <v/>
      </c>
      <c r="BF456" s="107" t="str">
        <f aca="false">IF($AW456&gt;$AV$7,"",VLOOKUP($AW456,$AY$8:$BE$507,7,FALSE()))</f>
        <v/>
      </c>
      <c r="BG456" s="108" t="str">
        <f aca="false">IF($AW456&gt;$AV$7,"",VLOOKUP($AW456,$AY$8:$BE$507,2,FALSE()))</f>
        <v/>
      </c>
      <c r="BH456" s="108" t="str">
        <f aca="false">IF($AW456&gt;$AV$7,"",VLOOKUP($AW456,$AY$8:$BE$507,3,FALSE()))</f>
        <v/>
      </c>
      <c r="BI456" s="108" t="str">
        <f aca="false">IF($AW456&gt;$AV$7,"",VLOOKUP($AW456,$AY$8:$BE$507,4,FALSE()))</f>
        <v/>
      </c>
      <c r="BJ456" s="108" t="str">
        <f aca="false">IF($AW456&gt;$AV$7,"",VLOOKUP($AW456,$AY$8:$BE$507,5,FALSE()))</f>
        <v/>
      </c>
      <c r="BK456" s="109" t="str">
        <f aca="false">IF($AW456&gt;$AV$7,"",VLOOKUP($AW456,$AY$8:$BE$507,6,FALSE()))</f>
        <v/>
      </c>
      <c r="BL456" s="50"/>
    </row>
    <row r="457" customFormat="false" ht="15.75" hidden="false" customHeight="false" outlineLevel="0" collapsed="false">
      <c r="A457" s="5"/>
      <c r="B457" s="124"/>
      <c r="C457" s="125"/>
      <c r="D457" s="110"/>
      <c r="E457" s="130"/>
      <c r="F457" s="135"/>
      <c r="G457" s="88"/>
      <c r="H457" s="136"/>
      <c r="I457" s="137"/>
      <c r="J457" s="91"/>
      <c r="K457" s="92"/>
      <c r="L457" s="137"/>
      <c r="M457" s="93"/>
      <c r="N457" s="94"/>
      <c r="O457" s="130"/>
      <c r="P457" s="96"/>
      <c r="Q457" s="97" t="str">
        <f aca="false">IF(ISBLANK($C457),"",IF(E457=Constants!$B$2, TRUE(), IF(E457=Constants!$B$3, FALSE(), TRUE())))</f>
        <v/>
      </c>
      <c r="R457" s="97" t="str">
        <f aca="false">IF(ISBLANK($C457),"",IF(F457=Constants!$B$2, TRUE(), IF(F457=Constants!$B$3, FALSE(), TRUE())))</f>
        <v/>
      </c>
      <c r="S457" s="97" t="str">
        <f aca="false">IF(ISBLANK($C457),"",IF(G457=Constants!$B$15,Constants!$B$8,IF(G457=Constants!$B$16,Constants!$B$9,Constants!$B$10)))</f>
        <v/>
      </c>
      <c r="T457" s="97" t="str">
        <f aca="false">IF(ISBLANK($C457),"",IF(H457=Constants!$B$2, TRUE(), IF(H457=Constants!$B$3, FALSE(), TRUE())))</f>
        <v/>
      </c>
      <c r="U457" s="97" t="str">
        <f aca="false">IF(ISBLANK($C457),"",IF(I457=Constants!$B$19,Constants!$B$19,Constants!$B$18))</f>
        <v/>
      </c>
      <c r="V457" s="97" t="str">
        <f aca="false">IF(ISBLANK($C457),"",IF(COUNTA(J457:K457)=0,"",IF(AND(OR(ISBLANK(J457),AND(ISNUMBER(J457),J457&gt;=0)),OR(ISBLANK(K457),AND(ISNUMBER(K457),K457&gt;=0))),60*IF(ISBLANK(J457),0,J457)+IF(ISBLANK(K457),0,K457),"")))</f>
        <v/>
      </c>
      <c r="W457" s="97" t="str">
        <f aca="false">IF(ISBLANK($C457),"",IF(L457=Constants!$B$19,Constants!$B$19,Constants!$B$18))</f>
        <v/>
      </c>
      <c r="X457" s="97" t="str">
        <f aca="false">IF(ISBLANK($C457),"",IF(COUNTA(M457:N457)=0,"",IF(AND(OR(ISBLANK(M457),AND(ISNUMBER(M457),M457&gt;=0)),OR(ISBLANK(N457),AND(ISNUMBER(N457),N457&gt;=0))),60*IF(ISBLANK(M457),0,M457)+IF(ISBLANK(N457),0,N457),"")))</f>
        <v/>
      </c>
      <c r="Y457" s="97" t="str">
        <f aca="false">IF(ISBLANK($C457),"",IF(O457=Constants!$B$2, TRUE(), IF(O457=Constants!$B$3, FALSE(), FALSE())))</f>
        <v/>
      </c>
      <c r="Z457" s="97" t="str">
        <f aca="false">IF(ISBLANK($C457),"",IF(Y457,Constants!$B$4,IF(COUNTA(E457:N457)=0,Constants!$B$5,IF(COUNTA(J457:K457,M457:N457)=0,Constants!$B$6,Constants!$B$7))))</f>
        <v/>
      </c>
      <c r="AA457" s="97" t="str">
        <f aca="false">IF(ISBLANK($C457),"",IF($Z457&lt;&gt;Constants!$B$7,$Z457,IF(OR(NOT(T457),AND(NOT(Q457),COUNTIFS(U457:W457,Constants!$B$18,V457:X457,"&gt;=0")&gt;0),AND(NOT(R457),COUNTIFS(U457:W457,Constants!$B$19,V457:X457,"&gt;=0")&gt;0)),Constants!$B$12,Constants!$B$11)))</f>
        <v/>
      </c>
      <c r="AB457" s="97" t="str">
        <f aca="false">IF($Z457=Constants!$B$7,IF(V457="",Constants!$B$13,V457),"")</f>
        <v/>
      </c>
      <c r="AC457" s="97" t="str">
        <f aca="false">IF($Z457=Constants!$B$7,IF(X457="",Constants!$B$13,X457),"")</f>
        <v/>
      </c>
      <c r="AD457" s="97" t="str">
        <f aca="false">IF($Z457=Constants!$B$7,IF($AB457&gt;=$AC457,1,2),"")</f>
        <v/>
      </c>
      <c r="AE457" s="97" t="str">
        <f aca="false">IF($Z457=Constants!$B$7,LARGE(AB457:AC457,1),"")</f>
        <v/>
      </c>
      <c r="AF457" s="97" t="str">
        <f aca="false">IF(ISBLANK($C457),"",IF($Z457&lt;&gt;Constants!$B$7,$Z457,AE457*S457))</f>
        <v/>
      </c>
      <c r="AG457" s="97" t="str">
        <f aca="false">IF(ISBLANK($C457),"",IF($Z457=Constants!$B$7,IF(ISNUMBER(AF457),RANK(AF457,$AF$8:$AF$507),Constants!$B$14),$Z457))</f>
        <v/>
      </c>
      <c r="AH457" s="97" t="str">
        <f aca="false">IF(ISBLANK($C457),"",IF($Z457=Constants!$B$7,IF(ISNUMBER(AG457),COUNTIFS($AA$8:$AA$507,"&lt;"&amp;$AA457)+COUNTIFS($AA$8:$AA$507,$AA457,$AG$8:$AG$507,"&lt;"&amp;$AG457)+1,Constants!$B$14),$Z457))</f>
        <v/>
      </c>
      <c r="AI457" s="97" t="str">
        <f aca="false">IF(ISBLANK($C457),"",IF($Z457=Constants!$B$7,LARGE(AB457:AC457,2)*S457,""))</f>
        <v/>
      </c>
      <c r="AJ457" s="97" t="str">
        <f aca="false">IF(ISBLANK($C457),"",IF($Z457=Constants!$B$7,RANK(AI457,$AI$8:$AI$507),$Z457))</f>
        <v/>
      </c>
      <c r="AK457" s="97" t="str">
        <f aca="false">IF(ISBLANK($C457),"",IF($Z457=Constants!$B$7,IF(ISNUMBER(AG457),COUNTIFS($AA$8:$AA$507,"&lt;"&amp;$AA457)+COUNTIFS($AA$8:$AA$507,$AA457,$AG$8:$AG$507,"&lt;"&amp;$AG457)+COUNTIFS($AA$8:$AA$507,$AA457,$AG$8:$AG$507,$AG457,$AJ$8:$AJ$507,"&lt;"&amp;$AJ457)+1,Constants!$B$14),$Z457))</f>
        <v/>
      </c>
      <c r="AL457" s="97" t="str">
        <f aca="false">IF(ISBLANK($C457),"",IF($Z457=Constants!$B$7,IF(ISNUMBER(AH457),AH457-AK457,Constants!$B$14),$Z457))</f>
        <v/>
      </c>
      <c r="AM457" s="98"/>
      <c r="AN457" s="99" t="str">
        <f aca="false">IF(ISBLANK($C457),"",IF($Z457&lt;&gt;Constants!$B$7,$Z457,AD457))</f>
        <v/>
      </c>
      <c r="AO457" s="100" t="str">
        <f aca="false">IF(ISBLANK($C457),"",IF($Z457&lt;&gt;Constants!$B$7,$Z457,S457))</f>
        <v/>
      </c>
      <c r="AP457" s="101" t="str">
        <f aca="false">IF(ISBLANK($C457),"",IF($Z457&lt;&gt;Constants!$B$7,$Z457,AF457))</f>
        <v/>
      </c>
      <c r="AQ457" s="102" t="str">
        <f aca="false">IF(ISBLANK($C457),"",IF($Z457&lt;&gt;Constants!$B$7,$Z457,AA457))</f>
        <v/>
      </c>
      <c r="AR457" s="100" t="str">
        <f aca="false">IF(ISBLANK($C457),"",AL457)</f>
        <v/>
      </c>
      <c r="AS457" s="100" t="str">
        <f aca="false">IF(ISBLANK($C457),"",AK457)</f>
        <v/>
      </c>
      <c r="AT457" s="103" t="str">
        <f aca="false">IF(ISBLANK($C457),"",IF(AS457=Constants!$B$4,COUNTA($C$8:$C$507)+2,IF(AS457=Constants!$B$5,COUNTA($C$8:$C$507)+1,IF(AS457=Constants!$B$6,COUNTA($C$8:$C$507),AS457))))</f>
        <v/>
      </c>
      <c r="AU457" s="5"/>
      <c r="AV457" s="104" t="n">
        <f aca="false">IF(OR(ISNUMBER(AS457),AS457=Constants!$B$4,AS457=Constants!$B$6,AS457=Constants!$B$5),1,0)</f>
        <v>0</v>
      </c>
      <c r="AW457" s="104" t="n">
        <v>450</v>
      </c>
      <c r="AX457" s="104" t="str">
        <f aca="false">IF(ISBLANK($C457),"",IF(ISNUMBER(AT457),AT457+ROW($B457)/1000,""))</f>
        <v/>
      </c>
      <c r="AY457" s="104" t="str">
        <f aca="false">IF(ISNUMBER(AX457),RANK(AX457,$AX$8:$AX$507,1),"")</f>
        <v/>
      </c>
      <c r="AZ457" s="104" t="str">
        <f aca="false">IF(ISBLANK($C457),"",$B457)</f>
        <v/>
      </c>
      <c r="BA457" s="104" t="str">
        <f aca="false">IF(ISBLANK($C457),"",$C457)</f>
        <v/>
      </c>
      <c r="BB457" s="104" t="str">
        <f aca="false">IF(ISBLANK($C457),"",$D457)</f>
        <v/>
      </c>
      <c r="BC457" s="105" t="str">
        <f aca="false">AQ457</f>
        <v/>
      </c>
      <c r="BD457" s="106" t="str">
        <f aca="false">AP457</f>
        <v/>
      </c>
      <c r="BE457" s="104" t="str">
        <f aca="false">IF(ISBLANK($C457),"",AS457)</f>
        <v/>
      </c>
      <c r="BF457" s="107" t="str">
        <f aca="false">IF($AW457&gt;$AV$7,"",VLOOKUP($AW457,$AY$8:$BE$507,7,FALSE()))</f>
        <v/>
      </c>
      <c r="BG457" s="108" t="str">
        <f aca="false">IF($AW457&gt;$AV$7,"",VLOOKUP($AW457,$AY$8:$BE$507,2,FALSE()))</f>
        <v/>
      </c>
      <c r="BH457" s="108" t="str">
        <f aca="false">IF($AW457&gt;$AV$7,"",VLOOKUP($AW457,$AY$8:$BE$507,3,FALSE()))</f>
        <v/>
      </c>
      <c r="BI457" s="108" t="str">
        <f aca="false">IF($AW457&gt;$AV$7,"",VLOOKUP($AW457,$AY$8:$BE$507,4,FALSE()))</f>
        <v/>
      </c>
      <c r="BJ457" s="108" t="str">
        <f aca="false">IF($AW457&gt;$AV$7,"",VLOOKUP($AW457,$AY$8:$BE$507,5,FALSE()))</f>
        <v/>
      </c>
      <c r="BK457" s="109" t="str">
        <f aca="false">IF($AW457&gt;$AV$7,"",VLOOKUP($AW457,$AY$8:$BE$507,6,FALSE()))</f>
        <v/>
      </c>
      <c r="BL457" s="50"/>
    </row>
    <row r="458" customFormat="false" ht="15.75" hidden="false" customHeight="false" outlineLevel="0" collapsed="false">
      <c r="A458" s="5"/>
      <c r="B458" s="131"/>
      <c r="C458" s="52"/>
      <c r="D458" s="53"/>
      <c r="E458" s="80"/>
      <c r="F458" s="132"/>
      <c r="G458" s="56"/>
      <c r="H458" s="133"/>
      <c r="I458" s="134"/>
      <c r="J458" s="59"/>
      <c r="K458" s="60"/>
      <c r="L458" s="134"/>
      <c r="M458" s="61"/>
      <c r="N458" s="62"/>
      <c r="O458" s="80"/>
      <c r="P458" s="64"/>
      <c r="Q458" s="65" t="str">
        <f aca="false">IF(ISBLANK($C458),"",IF(E458=Constants!$B$2, TRUE(), IF(E458=Constants!$B$3, FALSE(), TRUE())))</f>
        <v/>
      </c>
      <c r="R458" s="65" t="str">
        <f aca="false">IF(ISBLANK($C458),"",IF(F458=Constants!$B$2, TRUE(), IF(F458=Constants!$B$3, FALSE(), TRUE())))</f>
        <v/>
      </c>
      <c r="S458" s="65" t="str">
        <f aca="false">IF(ISBLANK($C458),"",IF(G458=Constants!$B$15,Constants!$B$8,IF(G458=Constants!$B$16,Constants!$B$9,Constants!$B$10)))</f>
        <v/>
      </c>
      <c r="T458" s="65" t="str">
        <f aca="false">IF(ISBLANK($C458),"",IF(H458=Constants!$B$2, TRUE(), IF(H458=Constants!$B$3, FALSE(), TRUE())))</f>
        <v/>
      </c>
      <c r="U458" s="65" t="str">
        <f aca="false">IF(ISBLANK($C458),"",IF(I458=Constants!$B$19,Constants!$B$19,Constants!$B$18))</f>
        <v/>
      </c>
      <c r="V458" s="65" t="str">
        <f aca="false">IF(ISBLANK($C458),"",IF(COUNTA(J458:K458)=0,"",IF(AND(OR(ISBLANK(J458),AND(ISNUMBER(J458),J458&gt;=0)),OR(ISBLANK(K458),AND(ISNUMBER(K458),K458&gt;=0))),60*IF(ISBLANK(J458),0,J458)+IF(ISBLANK(K458),0,K458),"")))</f>
        <v/>
      </c>
      <c r="W458" s="65" t="str">
        <f aca="false">IF(ISBLANK($C458),"",IF(L458=Constants!$B$19,Constants!$B$19,Constants!$B$18))</f>
        <v/>
      </c>
      <c r="X458" s="65" t="str">
        <f aca="false">IF(ISBLANK($C458),"",IF(COUNTA(M458:N458)=0,"",IF(AND(OR(ISBLANK(M458),AND(ISNUMBER(M458),M458&gt;=0)),OR(ISBLANK(N458),AND(ISNUMBER(N458),N458&gt;=0))),60*IF(ISBLANK(M458),0,M458)+IF(ISBLANK(N458),0,N458),"")))</f>
        <v/>
      </c>
      <c r="Y458" s="65" t="str">
        <f aca="false">IF(ISBLANK($C458),"",IF(O458=Constants!$B$2, TRUE(), IF(O458=Constants!$B$3, FALSE(), FALSE())))</f>
        <v/>
      </c>
      <c r="Z458" s="65" t="str">
        <f aca="false">IF(ISBLANK($C458),"",IF(Y458,Constants!$B$4,IF(COUNTA(E458:N458)=0,Constants!$B$5,IF(COUNTA(J458:K458,M458:N458)=0,Constants!$B$6,Constants!$B$7))))</f>
        <v/>
      </c>
      <c r="AA458" s="65" t="str">
        <f aca="false">IF(ISBLANK($C458),"",IF($Z458&lt;&gt;Constants!$B$7,$Z458,IF(OR(NOT(T458),AND(NOT(Q458),COUNTIFS(U458:W458,Constants!$B$18,V458:X458,"&gt;=0")&gt;0),AND(NOT(R458),COUNTIFS(U458:W458,Constants!$B$19,V458:X458,"&gt;=0")&gt;0)),Constants!$B$12,Constants!$B$11)))</f>
        <v/>
      </c>
      <c r="AB458" s="65" t="str">
        <f aca="false">IF($Z458=Constants!$B$7,IF(V458="",Constants!$B$13,V458),"")</f>
        <v/>
      </c>
      <c r="AC458" s="65" t="str">
        <f aca="false">IF($Z458=Constants!$B$7,IF(X458="",Constants!$B$13,X458),"")</f>
        <v/>
      </c>
      <c r="AD458" s="65" t="str">
        <f aca="false">IF($Z458=Constants!$B$7,IF($AB458&gt;=$AC458,1,2),"")</f>
        <v/>
      </c>
      <c r="AE458" s="65" t="str">
        <f aca="false">IF($Z458=Constants!$B$7,LARGE(AB458:AC458,1),"")</f>
        <v/>
      </c>
      <c r="AF458" s="65" t="str">
        <f aca="false">IF(ISBLANK($C458),"",IF($Z458&lt;&gt;Constants!$B$7,$Z458,AE458*S458))</f>
        <v/>
      </c>
      <c r="AG458" s="65" t="str">
        <f aca="false">IF(ISBLANK($C458),"",IF($Z458=Constants!$B$7,IF(ISNUMBER(AF458),RANK(AF458,$AF$8:$AF$507),Constants!$B$14),$Z458))</f>
        <v/>
      </c>
      <c r="AH458" s="65" t="str">
        <f aca="false">IF(ISBLANK($C458),"",IF($Z458=Constants!$B$7,IF(ISNUMBER(AG458),COUNTIFS($AA$8:$AA$507,"&lt;"&amp;$AA458)+COUNTIFS($AA$8:$AA$507,$AA458,$AG$8:$AG$507,"&lt;"&amp;$AG458)+1,Constants!$B$14),$Z458))</f>
        <v/>
      </c>
      <c r="AI458" s="65" t="str">
        <f aca="false">IF(ISBLANK($C458),"",IF($Z458=Constants!$B$7,LARGE(AB458:AC458,2)*S458,""))</f>
        <v/>
      </c>
      <c r="AJ458" s="65" t="str">
        <f aca="false">IF(ISBLANK($C458),"",IF($Z458=Constants!$B$7,RANK(AI458,$AI$8:$AI$507),$Z458))</f>
        <v/>
      </c>
      <c r="AK458" s="65" t="str">
        <f aca="false">IF(ISBLANK($C458),"",IF($Z458=Constants!$B$7,IF(ISNUMBER(AG458),COUNTIFS($AA$8:$AA$507,"&lt;"&amp;$AA458)+COUNTIFS($AA$8:$AA$507,$AA458,$AG$8:$AG$507,"&lt;"&amp;$AG458)+COUNTIFS($AA$8:$AA$507,$AA458,$AG$8:$AG$507,$AG458,$AJ$8:$AJ$507,"&lt;"&amp;$AJ458)+1,Constants!$B$14),$Z458))</f>
        <v/>
      </c>
      <c r="AL458" s="65" t="str">
        <f aca="false">IF(ISBLANK($C458),"",IF($Z458=Constants!$B$7,IF(ISNUMBER(AH458),AH458-AK458,Constants!$B$14),$Z458))</f>
        <v/>
      </c>
      <c r="AM458" s="67"/>
      <c r="AN458" s="68" t="str">
        <f aca="false">IF(ISBLANK($C458),"",IF($Z458&lt;&gt;Constants!$B$7,$Z458,AD458))</f>
        <v/>
      </c>
      <c r="AO458" s="69" t="str">
        <f aca="false">IF(ISBLANK($C458),"",IF($Z458&lt;&gt;Constants!$B$7,$Z458,S458))</f>
        <v/>
      </c>
      <c r="AP458" s="70" t="str">
        <f aca="false">IF(ISBLANK($C458),"",IF($Z458&lt;&gt;Constants!$B$7,$Z458,AF458))</f>
        <v/>
      </c>
      <c r="AQ458" s="71" t="str">
        <f aca="false">IF(ISBLANK($C458),"",IF($Z458&lt;&gt;Constants!$B$7,$Z458,AA458))</f>
        <v/>
      </c>
      <c r="AR458" s="69" t="str">
        <f aca="false">IF(ISBLANK($C458),"",AL458)</f>
        <v/>
      </c>
      <c r="AS458" s="69" t="str">
        <f aca="false">IF(ISBLANK($C458),"",AK458)</f>
        <v/>
      </c>
      <c r="AT458" s="72" t="str">
        <f aca="false">IF(ISBLANK($C458),"",IF(AS458=Constants!$B$4,COUNTA($C$8:$C$507)+2,IF(AS458=Constants!$B$5,COUNTA($C$8:$C$507)+1,IF(AS458=Constants!$B$6,COUNTA($C$8:$C$507),AS458))))</f>
        <v/>
      </c>
      <c r="AU458" s="5"/>
      <c r="AV458" s="73" t="n">
        <f aca="false">IF(OR(ISNUMBER(AS458),AS458=Constants!$B$4,AS458=Constants!$B$6,AS458=Constants!$B$5),1,0)</f>
        <v>0</v>
      </c>
      <c r="AW458" s="73" t="n">
        <v>451</v>
      </c>
      <c r="AX458" s="73" t="str">
        <f aca="false">IF(ISBLANK($C458),"",IF(ISNUMBER(AT458),AT458+ROW($B458)/1000,""))</f>
        <v/>
      </c>
      <c r="AY458" s="73" t="str">
        <f aca="false">IF(ISNUMBER(AX458),RANK(AX458,$AX$8:$AX$507,1),"")</f>
        <v/>
      </c>
      <c r="AZ458" s="73" t="str">
        <f aca="false">IF(ISBLANK($C458),"",$B458)</f>
        <v/>
      </c>
      <c r="BA458" s="73" t="str">
        <f aca="false">IF(ISBLANK($C458),"",$C458)</f>
        <v/>
      </c>
      <c r="BB458" s="73" t="str">
        <f aca="false">IF(ISBLANK($C458),"",$D458)</f>
        <v/>
      </c>
      <c r="BC458" s="74" t="str">
        <f aca="false">AQ458</f>
        <v/>
      </c>
      <c r="BD458" s="75" t="str">
        <f aca="false">AP458</f>
        <v/>
      </c>
      <c r="BE458" s="73" t="str">
        <f aca="false">IF(ISBLANK($C458),"",AS458)</f>
        <v/>
      </c>
      <c r="BF458" s="76" t="str">
        <f aca="false">IF($AW458&gt;$AV$7,"",VLOOKUP($AW458,$AY$8:$BE$507,7,FALSE()))</f>
        <v/>
      </c>
      <c r="BG458" s="77" t="str">
        <f aca="false">IF($AW458&gt;$AV$7,"",VLOOKUP($AW458,$AY$8:$BE$507,2,FALSE()))</f>
        <v/>
      </c>
      <c r="BH458" s="77" t="str">
        <f aca="false">IF($AW458&gt;$AV$7,"",VLOOKUP($AW458,$AY$8:$BE$507,3,FALSE()))</f>
        <v/>
      </c>
      <c r="BI458" s="77" t="str">
        <f aca="false">IF($AW458&gt;$AV$7,"",VLOOKUP($AW458,$AY$8:$BE$507,4,FALSE()))</f>
        <v/>
      </c>
      <c r="BJ458" s="77" t="str">
        <f aca="false">IF($AW458&gt;$AV$7,"",VLOOKUP($AW458,$AY$8:$BE$507,5,FALSE()))</f>
        <v/>
      </c>
      <c r="BK458" s="78" t="str">
        <f aca="false">IF($AW458&gt;$AV$7,"",VLOOKUP($AW458,$AY$8:$BE$507,6,FALSE()))</f>
        <v/>
      </c>
      <c r="BL458" s="50"/>
    </row>
    <row r="459" customFormat="false" ht="15.75" hidden="false" customHeight="false" outlineLevel="0" collapsed="false">
      <c r="A459" s="5"/>
      <c r="B459" s="131"/>
      <c r="C459" s="52"/>
      <c r="D459" s="53"/>
      <c r="E459" s="80"/>
      <c r="F459" s="132"/>
      <c r="G459" s="56"/>
      <c r="H459" s="133"/>
      <c r="I459" s="134"/>
      <c r="J459" s="59"/>
      <c r="K459" s="60"/>
      <c r="L459" s="134"/>
      <c r="M459" s="61"/>
      <c r="N459" s="62"/>
      <c r="O459" s="80"/>
      <c r="P459" s="64"/>
      <c r="Q459" s="65" t="str">
        <f aca="false">IF(ISBLANK($C459),"",IF(E459=Constants!$B$2, TRUE(), IF(E459=Constants!$B$3, FALSE(), TRUE())))</f>
        <v/>
      </c>
      <c r="R459" s="65" t="str">
        <f aca="false">IF(ISBLANK($C459),"",IF(F459=Constants!$B$2, TRUE(), IF(F459=Constants!$B$3, FALSE(), TRUE())))</f>
        <v/>
      </c>
      <c r="S459" s="65" t="str">
        <f aca="false">IF(ISBLANK($C459),"",IF(G459=Constants!$B$15,Constants!$B$8,IF(G459=Constants!$B$16,Constants!$B$9,Constants!$B$10)))</f>
        <v/>
      </c>
      <c r="T459" s="65" t="str">
        <f aca="false">IF(ISBLANK($C459),"",IF(H459=Constants!$B$2, TRUE(), IF(H459=Constants!$B$3, FALSE(), TRUE())))</f>
        <v/>
      </c>
      <c r="U459" s="65" t="str">
        <f aca="false">IF(ISBLANK($C459),"",IF(I459=Constants!$B$19,Constants!$B$19,Constants!$B$18))</f>
        <v/>
      </c>
      <c r="V459" s="65" t="str">
        <f aca="false">IF(ISBLANK($C459),"",IF(COUNTA(J459:K459)=0,"",IF(AND(OR(ISBLANK(J459),AND(ISNUMBER(J459),J459&gt;=0)),OR(ISBLANK(K459),AND(ISNUMBER(K459),K459&gt;=0))),60*IF(ISBLANK(J459),0,J459)+IF(ISBLANK(K459),0,K459),"")))</f>
        <v/>
      </c>
      <c r="W459" s="65" t="str">
        <f aca="false">IF(ISBLANK($C459),"",IF(L459=Constants!$B$19,Constants!$B$19,Constants!$B$18))</f>
        <v/>
      </c>
      <c r="X459" s="65" t="str">
        <f aca="false">IF(ISBLANK($C459),"",IF(COUNTA(M459:N459)=0,"",IF(AND(OR(ISBLANK(M459),AND(ISNUMBER(M459),M459&gt;=0)),OR(ISBLANK(N459),AND(ISNUMBER(N459),N459&gt;=0))),60*IF(ISBLANK(M459),0,M459)+IF(ISBLANK(N459),0,N459),"")))</f>
        <v/>
      </c>
      <c r="Y459" s="65" t="str">
        <f aca="false">IF(ISBLANK($C459),"",IF(O459=Constants!$B$2, TRUE(), IF(O459=Constants!$B$3, FALSE(), FALSE())))</f>
        <v/>
      </c>
      <c r="Z459" s="65" t="str">
        <f aca="false">IF(ISBLANK($C459),"",IF(Y459,Constants!$B$4,IF(COUNTA(E459:N459)=0,Constants!$B$5,IF(COUNTA(J459:K459,M459:N459)=0,Constants!$B$6,Constants!$B$7))))</f>
        <v/>
      </c>
      <c r="AA459" s="65" t="str">
        <f aca="false">IF(ISBLANK($C459),"",IF($Z459&lt;&gt;Constants!$B$7,$Z459,IF(OR(NOT(T459),AND(NOT(Q459),COUNTIFS(U459:W459,Constants!$B$18,V459:X459,"&gt;=0")&gt;0),AND(NOT(R459),COUNTIFS(U459:W459,Constants!$B$19,V459:X459,"&gt;=0")&gt;0)),Constants!$B$12,Constants!$B$11)))</f>
        <v/>
      </c>
      <c r="AB459" s="65" t="str">
        <f aca="false">IF($Z459=Constants!$B$7,IF(V459="",Constants!$B$13,V459),"")</f>
        <v/>
      </c>
      <c r="AC459" s="65" t="str">
        <f aca="false">IF($Z459=Constants!$B$7,IF(X459="",Constants!$B$13,X459),"")</f>
        <v/>
      </c>
      <c r="AD459" s="65" t="str">
        <f aca="false">IF($Z459=Constants!$B$7,IF($AB459&gt;=$AC459,1,2),"")</f>
        <v/>
      </c>
      <c r="AE459" s="65" t="str">
        <f aca="false">IF($Z459=Constants!$B$7,LARGE(AB459:AC459,1),"")</f>
        <v/>
      </c>
      <c r="AF459" s="65" t="str">
        <f aca="false">IF(ISBLANK($C459),"",IF($Z459&lt;&gt;Constants!$B$7,$Z459,AE459*S459))</f>
        <v/>
      </c>
      <c r="AG459" s="65" t="str">
        <f aca="false">IF(ISBLANK($C459),"",IF($Z459=Constants!$B$7,IF(ISNUMBER(AF459),RANK(AF459,$AF$8:$AF$507),Constants!$B$14),$Z459))</f>
        <v/>
      </c>
      <c r="AH459" s="65" t="str">
        <f aca="false">IF(ISBLANK($C459),"",IF($Z459=Constants!$B$7,IF(ISNUMBER(AG459),COUNTIFS($AA$8:$AA$507,"&lt;"&amp;$AA459)+COUNTIFS($AA$8:$AA$507,$AA459,$AG$8:$AG$507,"&lt;"&amp;$AG459)+1,Constants!$B$14),$Z459))</f>
        <v/>
      </c>
      <c r="AI459" s="65" t="str">
        <f aca="false">IF(ISBLANK($C459),"",IF($Z459=Constants!$B$7,LARGE(AB459:AC459,2)*S459,""))</f>
        <v/>
      </c>
      <c r="AJ459" s="65" t="str">
        <f aca="false">IF(ISBLANK($C459),"",IF($Z459=Constants!$B$7,RANK(AI459,$AI$8:$AI$507),$Z459))</f>
        <v/>
      </c>
      <c r="AK459" s="65" t="str">
        <f aca="false">IF(ISBLANK($C459),"",IF($Z459=Constants!$B$7,IF(ISNUMBER(AG459),COUNTIFS($AA$8:$AA$507,"&lt;"&amp;$AA459)+COUNTIFS($AA$8:$AA$507,$AA459,$AG$8:$AG$507,"&lt;"&amp;$AG459)+COUNTIFS($AA$8:$AA$507,$AA459,$AG$8:$AG$507,$AG459,$AJ$8:$AJ$507,"&lt;"&amp;$AJ459)+1,Constants!$B$14),$Z459))</f>
        <v/>
      </c>
      <c r="AL459" s="65" t="str">
        <f aca="false">IF(ISBLANK($C459),"",IF($Z459=Constants!$B$7,IF(ISNUMBER(AH459),AH459-AK459,Constants!$B$14),$Z459))</f>
        <v/>
      </c>
      <c r="AM459" s="67"/>
      <c r="AN459" s="68" t="str">
        <f aca="false">IF(ISBLANK($C459),"",IF($Z459&lt;&gt;Constants!$B$7,$Z459,AD459))</f>
        <v/>
      </c>
      <c r="AO459" s="69" t="str">
        <f aca="false">IF(ISBLANK($C459),"",IF($Z459&lt;&gt;Constants!$B$7,$Z459,S459))</f>
        <v/>
      </c>
      <c r="AP459" s="70" t="str">
        <f aca="false">IF(ISBLANK($C459),"",IF($Z459&lt;&gt;Constants!$B$7,$Z459,AF459))</f>
        <v/>
      </c>
      <c r="AQ459" s="71" t="str">
        <f aca="false">IF(ISBLANK($C459),"",IF($Z459&lt;&gt;Constants!$B$7,$Z459,AA459))</f>
        <v/>
      </c>
      <c r="AR459" s="69" t="str">
        <f aca="false">IF(ISBLANK($C459),"",AL459)</f>
        <v/>
      </c>
      <c r="AS459" s="69" t="str">
        <f aca="false">IF(ISBLANK($C459),"",AK459)</f>
        <v/>
      </c>
      <c r="AT459" s="72" t="str">
        <f aca="false">IF(ISBLANK($C459),"",IF(AS459=Constants!$B$4,COUNTA($C$8:$C$507)+2,IF(AS459=Constants!$B$5,COUNTA($C$8:$C$507)+1,IF(AS459=Constants!$B$6,COUNTA($C$8:$C$507),AS459))))</f>
        <v/>
      </c>
      <c r="AU459" s="5"/>
      <c r="AV459" s="73" t="n">
        <f aca="false">IF(OR(ISNUMBER(AS459),AS459=Constants!$B$4,AS459=Constants!$B$6,AS459=Constants!$B$5),1,0)</f>
        <v>0</v>
      </c>
      <c r="AW459" s="73" t="n">
        <v>452</v>
      </c>
      <c r="AX459" s="73" t="str">
        <f aca="false">IF(ISBLANK($C459),"",IF(ISNUMBER(AT459),AT459+ROW($B459)/1000,""))</f>
        <v/>
      </c>
      <c r="AY459" s="73" t="str">
        <f aca="false">IF(ISNUMBER(AX459),RANK(AX459,$AX$8:$AX$507,1),"")</f>
        <v/>
      </c>
      <c r="AZ459" s="73" t="str">
        <f aca="false">IF(ISBLANK($C459),"",$B459)</f>
        <v/>
      </c>
      <c r="BA459" s="73" t="str">
        <f aca="false">IF(ISBLANK($C459),"",$C459)</f>
        <v/>
      </c>
      <c r="BB459" s="73" t="str">
        <f aca="false">IF(ISBLANK($C459),"",$D459)</f>
        <v/>
      </c>
      <c r="BC459" s="74" t="str">
        <f aca="false">AQ459</f>
        <v/>
      </c>
      <c r="BD459" s="75" t="str">
        <f aca="false">AP459</f>
        <v/>
      </c>
      <c r="BE459" s="73" t="str">
        <f aca="false">IF(ISBLANK($C459),"",AS459)</f>
        <v/>
      </c>
      <c r="BF459" s="76" t="str">
        <f aca="false">IF($AW459&gt;$AV$7,"",VLOOKUP($AW459,$AY$8:$BE$507,7,FALSE()))</f>
        <v/>
      </c>
      <c r="BG459" s="77" t="str">
        <f aca="false">IF($AW459&gt;$AV$7,"",VLOOKUP($AW459,$AY$8:$BE$507,2,FALSE()))</f>
        <v/>
      </c>
      <c r="BH459" s="77" t="str">
        <f aca="false">IF($AW459&gt;$AV$7,"",VLOOKUP($AW459,$AY$8:$BE$507,3,FALSE()))</f>
        <v/>
      </c>
      <c r="BI459" s="77" t="str">
        <f aca="false">IF($AW459&gt;$AV$7,"",VLOOKUP($AW459,$AY$8:$BE$507,4,FALSE()))</f>
        <v/>
      </c>
      <c r="BJ459" s="77" t="str">
        <f aca="false">IF($AW459&gt;$AV$7,"",VLOOKUP($AW459,$AY$8:$BE$507,5,FALSE()))</f>
        <v/>
      </c>
      <c r="BK459" s="78" t="str">
        <f aca="false">IF($AW459&gt;$AV$7,"",VLOOKUP($AW459,$AY$8:$BE$507,6,FALSE()))</f>
        <v/>
      </c>
      <c r="BL459" s="50"/>
    </row>
    <row r="460" customFormat="false" ht="15.75" hidden="false" customHeight="false" outlineLevel="0" collapsed="false">
      <c r="A460" s="5"/>
      <c r="B460" s="131"/>
      <c r="C460" s="52"/>
      <c r="D460" s="53"/>
      <c r="E460" s="80"/>
      <c r="F460" s="132"/>
      <c r="G460" s="56"/>
      <c r="H460" s="133"/>
      <c r="I460" s="134"/>
      <c r="J460" s="59"/>
      <c r="K460" s="60"/>
      <c r="L460" s="134"/>
      <c r="M460" s="61"/>
      <c r="N460" s="62"/>
      <c r="O460" s="80"/>
      <c r="P460" s="64"/>
      <c r="Q460" s="65" t="str">
        <f aca="false">IF(ISBLANK($C460),"",IF(E460=Constants!$B$2, TRUE(), IF(E460=Constants!$B$3, FALSE(), TRUE())))</f>
        <v/>
      </c>
      <c r="R460" s="65" t="str">
        <f aca="false">IF(ISBLANK($C460),"",IF(F460=Constants!$B$2, TRUE(), IF(F460=Constants!$B$3, FALSE(), TRUE())))</f>
        <v/>
      </c>
      <c r="S460" s="65" t="str">
        <f aca="false">IF(ISBLANK($C460),"",IF(G460=Constants!$B$15,Constants!$B$8,IF(G460=Constants!$B$16,Constants!$B$9,Constants!$B$10)))</f>
        <v/>
      </c>
      <c r="T460" s="65" t="str">
        <f aca="false">IF(ISBLANK($C460),"",IF(H460=Constants!$B$2, TRUE(), IF(H460=Constants!$B$3, FALSE(), TRUE())))</f>
        <v/>
      </c>
      <c r="U460" s="65" t="str">
        <f aca="false">IF(ISBLANK($C460),"",IF(I460=Constants!$B$19,Constants!$B$19,Constants!$B$18))</f>
        <v/>
      </c>
      <c r="V460" s="65" t="str">
        <f aca="false">IF(ISBLANK($C460),"",IF(COUNTA(J460:K460)=0,"",IF(AND(OR(ISBLANK(J460),AND(ISNUMBER(J460),J460&gt;=0)),OR(ISBLANK(K460),AND(ISNUMBER(K460),K460&gt;=0))),60*IF(ISBLANK(J460),0,J460)+IF(ISBLANK(K460),0,K460),"")))</f>
        <v/>
      </c>
      <c r="W460" s="65" t="str">
        <f aca="false">IF(ISBLANK($C460),"",IF(L460=Constants!$B$19,Constants!$B$19,Constants!$B$18))</f>
        <v/>
      </c>
      <c r="X460" s="65" t="str">
        <f aca="false">IF(ISBLANK($C460),"",IF(COUNTA(M460:N460)=0,"",IF(AND(OR(ISBLANK(M460),AND(ISNUMBER(M460),M460&gt;=0)),OR(ISBLANK(N460),AND(ISNUMBER(N460),N460&gt;=0))),60*IF(ISBLANK(M460),0,M460)+IF(ISBLANK(N460),0,N460),"")))</f>
        <v/>
      </c>
      <c r="Y460" s="65" t="str">
        <f aca="false">IF(ISBLANK($C460),"",IF(O460=Constants!$B$2, TRUE(), IF(O460=Constants!$B$3, FALSE(), FALSE())))</f>
        <v/>
      </c>
      <c r="Z460" s="65" t="str">
        <f aca="false">IF(ISBLANK($C460),"",IF(Y460,Constants!$B$4,IF(COUNTA(E460:N460)=0,Constants!$B$5,IF(COUNTA(J460:K460,M460:N460)=0,Constants!$B$6,Constants!$B$7))))</f>
        <v/>
      </c>
      <c r="AA460" s="65" t="str">
        <f aca="false">IF(ISBLANK($C460),"",IF($Z460&lt;&gt;Constants!$B$7,$Z460,IF(OR(NOT(T460),AND(NOT(Q460),COUNTIFS(U460:W460,Constants!$B$18,V460:X460,"&gt;=0")&gt;0),AND(NOT(R460),COUNTIFS(U460:W460,Constants!$B$19,V460:X460,"&gt;=0")&gt;0)),Constants!$B$12,Constants!$B$11)))</f>
        <v/>
      </c>
      <c r="AB460" s="65" t="str">
        <f aca="false">IF($Z460=Constants!$B$7,IF(V460="",Constants!$B$13,V460),"")</f>
        <v/>
      </c>
      <c r="AC460" s="65" t="str">
        <f aca="false">IF($Z460=Constants!$B$7,IF(X460="",Constants!$B$13,X460),"")</f>
        <v/>
      </c>
      <c r="AD460" s="65" t="str">
        <f aca="false">IF($Z460=Constants!$B$7,IF($AB460&gt;=$AC460,1,2),"")</f>
        <v/>
      </c>
      <c r="AE460" s="65" t="str">
        <f aca="false">IF($Z460=Constants!$B$7,LARGE(AB460:AC460,1),"")</f>
        <v/>
      </c>
      <c r="AF460" s="65" t="str">
        <f aca="false">IF(ISBLANK($C460),"",IF($Z460&lt;&gt;Constants!$B$7,$Z460,AE460*S460))</f>
        <v/>
      </c>
      <c r="AG460" s="65" t="str">
        <f aca="false">IF(ISBLANK($C460),"",IF($Z460=Constants!$B$7,IF(ISNUMBER(AF460),RANK(AF460,$AF$8:$AF$507),Constants!$B$14),$Z460))</f>
        <v/>
      </c>
      <c r="AH460" s="65" t="str">
        <f aca="false">IF(ISBLANK($C460),"",IF($Z460=Constants!$B$7,IF(ISNUMBER(AG460),COUNTIFS($AA$8:$AA$507,"&lt;"&amp;$AA460)+COUNTIFS($AA$8:$AA$507,$AA460,$AG$8:$AG$507,"&lt;"&amp;$AG460)+1,Constants!$B$14),$Z460))</f>
        <v/>
      </c>
      <c r="AI460" s="65" t="str">
        <f aca="false">IF(ISBLANK($C460),"",IF($Z460=Constants!$B$7,LARGE(AB460:AC460,2)*S460,""))</f>
        <v/>
      </c>
      <c r="AJ460" s="65" t="str">
        <f aca="false">IF(ISBLANK($C460),"",IF($Z460=Constants!$B$7,RANK(AI460,$AI$8:$AI$507),$Z460))</f>
        <v/>
      </c>
      <c r="AK460" s="65" t="str">
        <f aca="false">IF(ISBLANK($C460),"",IF($Z460=Constants!$B$7,IF(ISNUMBER(AG460),COUNTIFS($AA$8:$AA$507,"&lt;"&amp;$AA460)+COUNTIFS($AA$8:$AA$507,$AA460,$AG$8:$AG$507,"&lt;"&amp;$AG460)+COUNTIFS($AA$8:$AA$507,$AA460,$AG$8:$AG$507,$AG460,$AJ$8:$AJ$507,"&lt;"&amp;$AJ460)+1,Constants!$B$14),$Z460))</f>
        <v/>
      </c>
      <c r="AL460" s="65" t="str">
        <f aca="false">IF(ISBLANK($C460),"",IF($Z460=Constants!$B$7,IF(ISNUMBER(AH460),AH460-AK460,Constants!$B$14),$Z460))</f>
        <v/>
      </c>
      <c r="AM460" s="67"/>
      <c r="AN460" s="68" t="str">
        <f aca="false">IF(ISBLANK($C460),"",IF($Z460&lt;&gt;Constants!$B$7,$Z460,AD460))</f>
        <v/>
      </c>
      <c r="AO460" s="69" t="str">
        <f aca="false">IF(ISBLANK($C460),"",IF($Z460&lt;&gt;Constants!$B$7,$Z460,S460))</f>
        <v/>
      </c>
      <c r="AP460" s="70" t="str">
        <f aca="false">IF(ISBLANK($C460),"",IF($Z460&lt;&gt;Constants!$B$7,$Z460,AF460))</f>
        <v/>
      </c>
      <c r="AQ460" s="71" t="str">
        <f aca="false">IF(ISBLANK($C460),"",IF($Z460&lt;&gt;Constants!$B$7,$Z460,AA460))</f>
        <v/>
      </c>
      <c r="AR460" s="69" t="str">
        <f aca="false">IF(ISBLANK($C460),"",AL460)</f>
        <v/>
      </c>
      <c r="AS460" s="69" t="str">
        <f aca="false">IF(ISBLANK($C460),"",AK460)</f>
        <v/>
      </c>
      <c r="AT460" s="72" t="str">
        <f aca="false">IF(ISBLANK($C460),"",IF(AS460=Constants!$B$4,COUNTA($C$8:$C$507)+2,IF(AS460=Constants!$B$5,COUNTA($C$8:$C$507)+1,IF(AS460=Constants!$B$6,COUNTA($C$8:$C$507),AS460))))</f>
        <v/>
      </c>
      <c r="AU460" s="5"/>
      <c r="AV460" s="73" t="n">
        <f aca="false">IF(OR(ISNUMBER(AS460),AS460=Constants!$B$4,AS460=Constants!$B$6,AS460=Constants!$B$5),1,0)</f>
        <v>0</v>
      </c>
      <c r="AW460" s="73" t="n">
        <v>453</v>
      </c>
      <c r="AX460" s="73" t="str">
        <f aca="false">IF(ISBLANK($C460),"",IF(ISNUMBER(AT460),AT460+ROW($B460)/1000,""))</f>
        <v/>
      </c>
      <c r="AY460" s="73" t="str">
        <f aca="false">IF(ISNUMBER(AX460),RANK(AX460,$AX$8:$AX$507,1),"")</f>
        <v/>
      </c>
      <c r="AZ460" s="73" t="str">
        <f aca="false">IF(ISBLANK($C460),"",$B460)</f>
        <v/>
      </c>
      <c r="BA460" s="73" t="str">
        <f aca="false">IF(ISBLANK($C460),"",$C460)</f>
        <v/>
      </c>
      <c r="BB460" s="73" t="str">
        <f aca="false">IF(ISBLANK($C460),"",$D460)</f>
        <v/>
      </c>
      <c r="BC460" s="74" t="str">
        <f aca="false">AQ460</f>
        <v/>
      </c>
      <c r="BD460" s="75" t="str">
        <f aca="false">AP460</f>
        <v/>
      </c>
      <c r="BE460" s="73" t="str">
        <f aca="false">IF(ISBLANK($C460),"",AS460)</f>
        <v/>
      </c>
      <c r="BF460" s="76" t="str">
        <f aca="false">IF($AW460&gt;$AV$7,"",VLOOKUP($AW460,$AY$8:$BE$507,7,FALSE()))</f>
        <v/>
      </c>
      <c r="BG460" s="77" t="str">
        <f aca="false">IF($AW460&gt;$AV$7,"",VLOOKUP($AW460,$AY$8:$BE$507,2,FALSE()))</f>
        <v/>
      </c>
      <c r="BH460" s="77" t="str">
        <f aca="false">IF($AW460&gt;$AV$7,"",VLOOKUP($AW460,$AY$8:$BE$507,3,FALSE()))</f>
        <v/>
      </c>
      <c r="BI460" s="77" t="str">
        <f aca="false">IF($AW460&gt;$AV$7,"",VLOOKUP($AW460,$AY$8:$BE$507,4,FALSE()))</f>
        <v/>
      </c>
      <c r="BJ460" s="77" t="str">
        <f aca="false">IF($AW460&gt;$AV$7,"",VLOOKUP($AW460,$AY$8:$BE$507,5,FALSE()))</f>
        <v/>
      </c>
      <c r="BK460" s="78" t="str">
        <f aca="false">IF($AW460&gt;$AV$7,"",VLOOKUP($AW460,$AY$8:$BE$507,6,FALSE()))</f>
        <v/>
      </c>
      <c r="BL460" s="50"/>
    </row>
    <row r="461" customFormat="false" ht="15.75" hidden="false" customHeight="false" outlineLevel="0" collapsed="false">
      <c r="A461" s="5"/>
      <c r="B461" s="124"/>
      <c r="C461" s="125"/>
      <c r="D461" s="110"/>
      <c r="E461" s="130"/>
      <c r="F461" s="135"/>
      <c r="G461" s="88"/>
      <c r="H461" s="136"/>
      <c r="I461" s="137"/>
      <c r="J461" s="91"/>
      <c r="K461" s="92"/>
      <c r="L461" s="137"/>
      <c r="M461" s="93"/>
      <c r="N461" s="94"/>
      <c r="O461" s="130"/>
      <c r="P461" s="96"/>
      <c r="Q461" s="97" t="str">
        <f aca="false">IF(ISBLANK($C461),"",IF(E461=Constants!$B$2, TRUE(), IF(E461=Constants!$B$3, FALSE(), TRUE())))</f>
        <v/>
      </c>
      <c r="R461" s="97" t="str">
        <f aca="false">IF(ISBLANK($C461),"",IF(F461=Constants!$B$2, TRUE(), IF(F461=Constants!$B$3, FALSE(), TRUE())))</f>
        <v/>
      </c>
      <c r="S461" s="97" t="str">
        <f aca="false">IF(ISBLANK($C461),"",IF(G461=Constants!$B$15,Constants!$B$8,IF(G461=Constants!$B$16,Constants!$B$9,Constants!$B$10)))</f>
        <v/>
      </c>
      <c r="T461" s="97" t="str">
        <f aca="false">IF(ISBLANK($C461),"",IF(H461=Constants!$B$2, TRUE(), IF(H461=Constants!$B$3, FALSE(), TRUE())))</f>
        <v/>
      </c>
      <c r="U461" s="97" t="str">
        <f aca="false">IF(ISBLANK($C461),"",IF(I461=Constants!$B$19,Constants!$B$19,Constants!$B$18))</f>
        <v/>
      </c>
      <c r="V461" s="97" t="str">
        <f aca="false">IF(ISBLANK($C461),"",IF(COUNTA(J461:K461)=0,"",IF(AND(OR(ISBLANK(J461),AND(ISNUMBER(J461),J461&gt;=0)),OR(ISBLANK(K461),AND(ISNUMBER(K461),K461&gt;=0))),60*IF(ISBLANK(J461),0,J461)+IF(ISBLANK(K461),0,K461),"")))</f>
        <v/>
      </c>
      <c r="W461" s="97" t="str">
        <f aca="false">IF(ISBLANK($C461),"",IF(L461=Constants!$B$19,Constants!$B$19,Constants!$B$18))</f>
        <v/>
      </c>
      <c r="X461" s="97" t="str">
        <f aca="false">IF(ISBLANK($C461),"",IF(COUNTA(M461:N461)=0,"",IF(AND(OR(ISBLANK(M461),AND(ISNUMBER(M461),M461&gt;=0)),OR(ISBLANK(N461),AND(ISNUMBER(N461),N461&gt;=0))),60*IF(ISBLANK(M461),0,M461)+IF(ISBLANK(N461),0,N461),"")))</f>
        <v/>
      </c>
      <c r="Y461" s="97" t="str">
        <f aca="false">IF(ISBLANK($C461),"",IF(O461=Constants!$B$2, TRUE(), IF(O461=Constants!$B$3, FALSE(), FALSE())))</f>
        <v/>
      </c>
      <c r="Z461" s="97" t="str">
        <f aca="false">IF(ISBLANK($C461),"",IF(Y461,Constants!$B$4,IF(COUNTA(E461:N461)=0,Constants!$B$5,IF(COUNTA(J461:K461,M461:N461)=0,Constants!$B$6,Constants!$B$7))))</f>
        <v/>
      </c>
      <c r="AA461" s="97" t="str">
        <f aca="false">IF(ISBLANK($C461),"",IF($Z461&lt;&gt;Constants!$B$7,$Z461,IF(OR(NOT(T461),AND(NOT(Q461),COUNTIFS(U461:W461,Constants!$B$18,V461:X461,"&gt;=0")&gt;0),AND(NOT(R461),COUNTIFS(U461:W461,Constants!$B$19,V461:X461,"&gt;=0")&gt;0)),Constants!$B$12,Constants!$B$11)))</f>
        <v/>
      </c>
      <c r="AB461" s="97" t="str">
        <f aca="false">IF($Z461=Constants!$B$7,IF(V461="",Constants!$B$13,V461),"")</f>
        <v/>
      </c>
      <c r="AC461" s="97" t="str">
        <f aca="false">IF($Z461=Constants!$B$7,IF(X461="",Constants!$B$13,X461),"")</f>
        <v/>
      </c>
      <c r="AD461" s="97" t="str">
        <f aca="false">IF($Z461=Constants!$B$7,IF($AB461&gt;=$AC461,1,2),"")</f>
        <v/>
      </c>
      <c r="AE461" s="97" t="str">
        <f aca="false">IF($Z461=Constants!$B$7,LARGE(AB461:AC461,1),"")</f>
        <v/>
      </c>
      <c r="AF461" s="97" t="str">
        <f aca="false">IF(ISBLANK($C461),"",IF($Z461&lt;&gt;Constants!$B$7,$Z461,AE461*S461))</f>
        <v/>
      </c>
      <c r="AG461" s="97" t="str">
        <f aca="false">IF(ISBLANK($C461),"",IF($Z461=Constants!$B$7,IF(ISNUMBER(AF461),RANK(AF461,$AF$8:$AF$507),Constants!$B$14),$Z461))</f>
        <v/>
      </c>
      <c r="AH461" s="97" t="str">
        <f aca="false">IF(ISBLANK($C461),"",IF($Z461=Constants!$B$7,IF(ISNUMBER(AG461),COUNTIFS($AA$8:$AA$507,"&lt;"&amp;$AA461)+COUNTIFS($AA$8:$AA$507,$AA461,$AG$8:$AG$507,"&lt;"&amp;$AG461)+1,Constants!$B$14),$Z461))</f>
        <v/>
      </c>
      <c r="AI461" s="97" t="str">
        <f aca="false">IF(ISBLANK($C461),"",IF($Z461=Constants!$B$7,LARGE(AB461:AC461,2)*S461,""))</f>
        <v/>
      </c>
      <c r="AJ461" s="97" t="str">
        <f aca="false">IF(ISBLANK($C461),"",IF($Z461=Constants!$B$7,RANK(AI461,$AI$8:$AI$507),$Z461))</f>
        <v/>
      </c>
      <c r="AK461" s="97" t="str">
        <f aca="false">IF(ISBLANK($C461),"",IF($Z461=Constants!$B$7,IF(ISNUMBER(AG461),COUNTIFS($AA$8:$AA$507,"&lt;"&amp;$AA461)+COUNTIFS($AA$8:$AA$507,$AA461,$AG$8:$AG$507,"&lt;"&amp;$AG461)+COUNTIFS($AA$8:$AA$507,$AA461,$AG$8:$AG$507,$AG461,$AJ$8:$AJ$507,"&lt;"&amp;$AJ461)+1,Constants!$B$14),$Z461))</f>
        <v/>
      </c>
      <c r="AL461" s="97" t="str">
        <f aca="false">IF(ISBLANK($C461),"",IF($Z461=Constants!$B$7,IF(ISNUMBER(AH461),AH461-AK461,Constants!$B$14),$Z461))</f>
        <v/>
      </c>
      <c r="AM461" s="98"/>
      <c r="AN461" s="99" t="str">
        <f aca="false">IF(ISBLANK($C461),"",IF($Z461&lt;&gt;Constants!$B$7,$Z461,AD461))</f>
        <v/>
      </c>
      <c r="AO461" s="100" t="str">
        <f aca="false">IF(ISBLANK($C461),"",IF($Z461&lt;&gt;Constants!$B$7,$Z461,S461))</f>
        <v/>
      </c>
      <c r="AP461" s="101" t="str">
        <f aca="false">IF(ISBLANK($C461),"",IF($Z461&lt;&gt;Constants!$B$7,$Z461,AF461))</f>
        <v/>
      </c>
      <c r="AQ461" s="102" t="str">
        <f aca="false">IF(ISBLANK($C461),"",IF($Z461&lt;&gt;Constants!$B$7,$Z461,AA461))</f>
        <v/>
      </c>
      <c r="AR461" s="100" t="str">
        <f aca="false">IF(ISBLANK($C461),"",AL461)</f>
        <v/>
      </c>
      <c r="AS461" s="100" t="str">
        <f aca="false">IF(ISBLANK($C461),"",AK461)</f>
        <v/>
      </c>
      <c r="AT461" s="103" t="str">
        <f aca="false">IF(ISBLANK($C461),"",IF(AS461=Constants!$B$4,COUNTA($C$8:$C$507)+2,IF(AS461=Constants!$B$5,COUNTA($C$8:$C$507)+1,IF(AS461=Constants!$B$6,COUNTA($C$8:$C$507),AS461))))</f>
        <v/>
      </c>
      <c r="AU461" s="5"/>
      <c r="AV461" s="104" t="n">
        <f aca="false">IF(OR(ISNUMBER(AS461),AS461=Constants!$B$4,AS461=Constants!$B$6,AS461=Constants!$B$5),1,0)</f>
        <v>0</v>
      </c>
      <c r="AW461" s="104" t="n">
        <v>454</v>
      </c>
      <c r="AX461" s="104" t="str">
        <f aca="false">IF(ISBLANK($C461),"",IF(ISNUMBER(AT461),AT461+ROW($B461)/1000,""))</f>
        <v/>
      </c>
      <c r="AY461" s="104" t="str">
        <f aca="false">IF(ISNUMBER(AX461),RANK(AX461,$AX$8:$AX$507,1),"")</f>
        <v/>
      </c>
      <c r="AZ461" s="104" t="str">
        <f aca="false">IF(ISBLANK($C461),"",$B461)</f>
        <v/>
      </c>
      <c r="BA461" s="104" t="str">
        <f aca="false">IF(ISBLANK($C461),"",$C461)</f>
        <v/>
      </c>
      <c r="BB461" s="104" t="str">
        <f aca="false">IF(ISBLANK($C461),"",$D461)</f>
        <v/>
      </c>
      <c r="BC461" s="105" t="str">
        <f aca="false">AQ461</f>
        <v/>
      </c>
      <c r="BD461" s="106" t="str">
        <f aca="false">AP461</f>
        <v/>
      </c>
      <c r="BE461" s="104" t="str">
        <f aca="false">IF(ISBLANK($C461),"",AS461)</f>
        <v/>
      </c>
      <c r="BF461" s="107" t="str">
        <f aca="false">IF($AW461&gt;$AV$7,"",VLOOKUP($AW461,$AY$8:$BE$507,7,FALSE()))</f>
        <v/>
      </c>
      <c r="BG461" s="108" t="str">
        <f aca="false">IF($AW461&gt;$AV$7,"",VLOOKUP($AW461,$AY$8:$BE$507,2,FALSE()))</f>
        <v/>
      </c>
      <c r="BH461" s="108" t="str">
        <f aca="false">IF($AW461&gt;$AV$7,"",VLOOKUP($AW461,$AY$8:$BE$507,3,FALSE()))</f>
        <v/>
      </c>
      <c r="BI461" s="108" t="str">
        <f aca="false">IF($AW461&gt;$AV$7,"",VLOOKUP($AW461,$AY$8:$BE$507,4,FALSE()))</f>
        <v/>
      </c>
      <c r="BJ461" s="108" t="str">
        <f aca="false">IF($AW461&gt;$AV$7,"",VLOOKUP($AW461,$AY$8:$BE$507,5,FALSE()))</f>
        <v/>
      </c>
      <c r="BK461" s="109" t="str">
        <f aca="false">IF($AW461&gt;$AV$7,"",VLOOKUP($AW461,$AY$8:$BE$507,6,FALSE()))</f>
        <v/>
      </c>
      <c r="BL461" s="50"/>
    </row>
    <row r="462" customFormat="false" ht="15.75" hidden="false" customHeight="false" outlineLevel="0" collapsed="false">
      <c r="A462" s="5"/>
      <c r="B462" s="124"/>
      <c r="C462" s="125"/>
      <c r="D462" s="110"/>
      <c r="E462" s="130"/>
      <c r="F462" s="135"/>
      <c r="G462" s="88"/>
      <c r="H462" s="136"/>
      <c r="I462" s="137"/>
      <c r="J462" s="91"/>
      <c r="K462" s="92"/>
      <c r="L462" s="137"/>
      <c r="M462" s="93"/>
      <c r="N462" s="94"/>
      <c r="O462" s="130"/>
      <c r="P462" s="96"/>
      <c r="Q462" s="97" t="str">
        <f aca="false">IF(ISBLANK($C462),"",IF(E462=Constants!$B$2, TRUE(), IF(E462=Constants!$B$3, FALSE(), TRUE())))</f>
        <v/>
      </c>
      <c r="R462" s="97" t="str">
        <f aca="false">IF(ISBLANK($C462),"",IF(F462=Constants!$B$2, TRUE(), IF(F462=Constants!$B$3, FALSE(), TRUE())))</f>
        <v/>
      </c>
      <c r="S462" s="97" t="str">
        <f aca="false">IF(ISBLANK($C462),"",IF(G462=Constants!$B$15,Constants!$B$8,IF(G462=Constants!$B$16,Constants!$B$9,Constants!$B$10)))</f>
        <v/>
      </c>
      <c r="T462" s="97" t="str">
        <f aca="false">IF(ISBLANK($C462),"",IF(H462=Constants!$B$2, TRUE(), IF(H462=Constants!$B$3, FALSE(), TRUE())))</f>
        <v/>
      </c>
      <c r="U462" s="97" t="str">
        <f aca="false">IF(ISBLANK($C462),"",IF(I462=Constants!$B$19,Constants!$B$19,Constants!$B$18))</f>
        <v/>
      </c>
      <c r="V462" s="97" t="str">
        <f aca="false">IF(ISBLANK($C462),"",IF(COUNTA(J462:K462)=0,"",IF(AND(OR(ISBLANK(J462),AND(ISNUMBER(J462),J462&gt;=0)),OR(ISBLANK(K462),AND(ISNUMBER(K462),K462&gt;=0))),60*IF(ISBLANK(J462),0,J462)+IF(ISBLANK(K462),0,K462),"")))</f>
        <v/>
      </c>
      <c r="W462" s="97" t="str">
        <f aca="false">IF(ISBLANK($C462),"",IF(L462=Constants!$B$19,Constants!$B$19,Constants!$B$18))</f>
        <v/>
      </c>
      <c r="X462" s="97" t="str">
        <f aca="false">IF(ISBLANK($C462),"",IF(COUNTA(M462:N462)=0,"",IF(AND(OR(ISBLANK(M462),AND(ISNUMBER(M462),M462&gt;=0)),OR(ISBLANK(N462),AND(ISNUMBER(N462),N462&gt;=0))),60*IF(ISBLANK(M462),0,M462)+IF(ISBLANK(N462),0,N462),"")))</f>
        <v/>
      </c>
      <c r="Y462" s="97" t="str">
        <f aca="false">IF(ISBLANK($C462),"",IF(O462=Constants!$B$2, TRUE(), IF(O462=Constants!$B$3, FALSE(), FALSE())))</f>
        <v/>
      </c>
      <c r="Z462" s="97" t="str">
        <f aca="false">IF(ISBLANK($C462),"",IF(Y462,Constants!$B$4,IF(COUNTA(E462:N462)=0,Constants!$B$5,IF(COUNTA(J462:K462,M462:N462)=0,Constants!$B$6,Constants!$B$7))))</f>
        <v/>
      </c>
      <c r="AA462" s="97" t="str">
        <f aca="false">IF(ISBLANK($C462),"",IF($Z462&lt;&gt;Constants!$B$7,$Z462,IF(OR(NOT(T462),AND(NOT(Q462),COUNTIFS(U462:W462,Constants!$B$18,V462:X462,"&gt;=0")&gt;0),AND(NOT(R462),COUNTIFS(U462:W462,Constants!$B$19,V462:X462,"&gt;=0")&gt;0)),Constants!$B$12,Constants!$B$11)))</f>
        <v/>
      </c>
      <c r="AB462" s="97" t="str">
        <f aca="false">IF($Z462=Constants!$B$7,IF(V462="",Constants!$B$13,V462),"")</f>
        <v/>
      </c>
      <c r="AC462" s="97" t="str">
        <f aca="false">IF($Z462=Constants!$B$7,IF(X462="",Constants!$B$13,X462),"")</f>
        <v/>
      </c>
      <c r="AD462" s="97" t="str">
        <f aca="false">IF($Z462=Constants!$B$7,IF($AB462&gt;=$AC462,1,2),"")</f>
        <v/>
      </c>
      <c r="AE462" s="97" t="str">
        <f aca="false">IF($Z462=Constants!$B$7,LARGE(AB462:AC462,1),"")</f>
        <v/>
      </c>
      <c r="AF462" s="97" t="str">
        <f aca="false">IF(ISBLANK($C462),"",IF($Z462&lt;&gt;Constants!$B$7,$Z462,AE462*S462))</f>
        <v/>
      </c>
      <c r="AG462" s="97" t="str">
        <f aca="false">IF(ISBLANK($C462),"",IF($Z462=Constants!$B$7,IF(ISNUMBER(AF462),RANK(AF462,$AF$8:$AF$507),Constants!$B$14),$Z462))</f>
        <v/>
      </c>
      <c r="AH462" s="97" t="str">
        <f aca="false">IF(ISBLANK($C462),"",IF($Z462=Constants!$B$7,IF(ISNUMBER(AG462),COUNTIFS($AA$8:$AA$507,"&lt;"&amp;$AA462)+COUNTIFS($AA$8:$AA$507,$AA462,$AG$8:$AG$507,"&lt;"&amp;$AG462)+1,Constants!$B$14),$Z462))</f>
        <v/>
      </c>
      <c r="AI462" s="97" t="str">
        <f aca="false">IF(ISBLANK($C462),"",IF($Z462=Constants!$B$7,LARGE(AB462:AC462,2)*S462,""))</f>
        <v/>
      </c>
      <c r="AJ462" s="97" t="str">
        <f aca="false">IF(ISBLANK($C462),"",IF($Z462=Constants!$B$7,RANK(AI462,$AI$8:$AI$507),$Z462))</f>
        <v/>
      </c>
      <c r="AK462" s="97" t="str">
        <f aca="false">IF(ISBLANK($C462),"",IF($Z462=Constants!$B$7,IF(ISNUMBER(AG462),COUNTIFS($AA$8:$AA$507,"&lt;"&amp;$AA462)+COUNTIFS($AA$8:$AA$507,$AA462,$AG$8:$AG$507,"&lt;"&amp;$AG462)+COUNTIFS($AA$8:$AA$507,$AA462,$AG$8:$AG$507,$AG462,$AJ$8:$AJ$507,"&lt;"&amp;$AJ462)+1,Constants!$B$14),$Z462))</f>
        <v/>
      </c>
      <c r="AL462" s="97" t="str">
        <f aca="false">IF(ISBLANK($C462),"",IF($Z462=Constants!$B$7,IF(ISNUMBER(AH462),AH462-AK462,Constants!$B$14),$Z462))</f>
        <v/>
      </c>
      <c r="AM462" s="98"/>
      <c r="AN462" s="99" t="str">
        <f aca="false">IF(ISBLANK($C462),"",IF($Z462&lt;&gt;Constants!$B$7,$Z462,AD462))</f>
        <v/>
      </c>
      <c r="AO462" s="100" t="str">
        <f aca="false">IF(ISBLANK($C462),"",IF($Z462&lt;&gt;Constants!$B$7,$Z462,S462))</f>
        <v/>
      </c>
      <c r="AP462" s="101" t="str">
        <f aca="false">IF(ISBLANK($C462),"",IF($Z462&lt;&gt;Constants!$B$7,$Z462,AF462))</f>
        <v/>
      </c>
      <c r="AQ462" s="102" t="str">
        <f aca="false">IF(ISBLANK($C462),"",IF($Z462&lt;&gt;Constants!$B$7,$Z462,AA462))</f>
        <v/>
      </c>
      <c r="AR462" s="100" t="str">
        <f aca="false">IF(ISBLANK($C462),"",AL462)</f>
        <v/>
      </c>
      <c r="AS462" s="100" t="str">
        <f aca="false">IF(ISBLANK($C462),"",AK462)</f>
        <v/>
      </c>
      <c r="AT462" s="103" t="str">
        <f aca="false">IF(ISBLANK($C462),"",IF(AS462=Constants!$B$4,COUNTA($C$8:$C$507)+2,IF(AS462=Constants!$B$5,COUNTA($C$8:$C$507)+1,IF(AS462=Constants!$B$6,COUNTA($C$8:$C$507),AS462))))</f>
        <v/>
      </c>
      <c r="AU462" s="5"/>
      <c r="AV462" s="104" t="n">
        <f aca="false">IF(OR(ISNUMBER(AS462),AS462=Constants!$B$4,AS462=Constants!$B$6,AS462=Constants!$B$5),1,0)</f>
        <v>0</v>
      </c>
      <c r="AW462" s="104" t="n">
        <v>455</v>
      </c>
      <c r="AX462" s="104" t="str">
        <f aca="false">IF(ISBLANK($C462),"",IF(ISNUMBER(AT462),AT462+ROW($B462)/1000,""))</f>
        <v/>
      </c>
      <c r="AY462" s="104" t="str">
        <f aca="false">IF(ISNUMBER(AX462),RANK(AX462,$AX$8:$AX$507,1),"")</f>
        <v/>
      </c>
      <c r="AZ462" s="104" t="str">
        <f aca="false">IF(ISBLANK($C462),"",$B462)</f>
        <v/>
      </c>
      <c r="BA462" s="104" t="str">
        <f aca="false">IF(ISBLANK($C462),"",$C462)</f>
        <v/>
      </c>
      <c r="BB462" s="104" t="str">
        <f aca="false">IF(ISBLANK($C462),"",$D462)</f>
        <v/>
      </c>
      <c r="BC462" s="105" t="str">
        <f aca="false">AQ462</f>
        <v/>
      </c>
      <c r="BD462" s="106" t="str">
        <f aca="false">AP462</f>
        <v/>
      </c>
      <c r="BE462" s="104" t="str">
        <f aca="false">IF(ISBLANK($C462),"",AS462)</f>
        <v/>
      </c>
      <c r="BF462" s="107" t="str">
        <f aca="false">IF($AW462&gt;$AV$7,"",VLOOKUP($AW462,$AY$8:$BE$507,7,FALSE()))</f>
        <v/>
      </c>
      <c r="BG462" s="108" t="str">
        <f aca="false">IF($AW462&gt;$AV$7,"",VLOOKUP($AW462,$AY$8:$BE$507,2,FALSE()))</f>
        <v/>
      </c>
      <c r="BH462" s="108" t="str">
        <f aca="false">IF($AW462&gt;$AV$7,"",VLOOKUP($AW462,$AY$8:$BE$507,3,FALSE()))</f>
        <v/>
      </c>
      <c r="BI462" s="108" t="str">
        <f aca="false">IF($AW462&gt;$AV$7,"",VLOOKUP($AW462,$AY$8:$BE$507,4,FALSE()))</f>
        <v/>
      </c>
      <c r="BJ462" s="108" t="str">
        <f aca="false">IF($AW462&gt;$AV$7,"",VLOOKUP($AW462,$AY$8:$BE$507,5,FALSE()))</f>
        <v/>
      </c>
      <c r="BK462" s="109" t="str">
        <f aca="false">IF($AW462&gt;$AV$7,"",VLOOKUP($AW462,$AY$8:$BE$507,6,FALSE()))</f>
        <v/>
      </c>
      <c r="BL462" s="50"/>
    </row>
    <row r="463" customFormat="false" ht="15.75" hidden="false" customHeight="false" outlineLevel="0" collapsed="false">
      <c r="A463" s="5"/>
      <c r="B463" s="124"/>
      <c r="C463" s="125"/>
      <c r="D463" s="110"/>
      <c r="E463" s="130"/>
      <c r="F463" s="135"/>
      <c r="G463" s="88"/>
      <c r="H463" s="136"/>
      <c r="I463" s="137"/>
      <c r="J463" s="91"/>
      <c r="K463" s="92"/>
      <c r="L463" s="137"/>
      <c r="M463" s="93"/>
      <c r="N463" s="94"/>
      <c r="O463" s="130"/>
      <c r="P463" s="96"/>
      <c r="Q463" s="97" t="str">
        <f aca="false">IF(ISBLANK($C463),"",IF(E463=Constants!$B$2, TRUE(), IF(E463=Constants!$B$3, FALSE(), TRUE())))</f>
        <v/>
      </c>
      <c r="R463" s="97" t="str">
        <f aca="false">IF(ISBLANK($C463),"",IF(F463=Constants!$B$2, TRUE(), IF(F463=Constants!$B$3, FALSE(), TRUE())))</f>
        <v/>
      </c>
      <c r="S463" s="97" t="str">
        <f aca="false">IF(ISBLANK($C463),"",IF(G463=Constants!$B$15,Constants!$B$8,IF(G463=Constants!$B$16,Constants!$B$9,Constants!$B$10)))</f>
        <v/>
      </c>
      <c r="T463" s="97" t="str">
        <f aca="false">IF(ISBLANK($C463),"",IF(H463=Constants!$B$2, TRUE(), IF(H463=Constants!$B$3, FALSE(), TRUE())))</f>
        <v/>
      </c>
      <c r="U463" s="97" t="str">
        <f aca="false">IF(ISBLANK($C463),"",IF(I463=Constants!$B$19,Constants!$B$19,Constants!$B$18))</f>
        <v/>
      </c>
      <c r="V463" s="97" t="str">
        <f aca="false">IF(ISBLANK($C463),"",IF(COUNTA(J463:K463)=0,"",IF(AND(OR(ISBLANK(J463),AND(ISNUMBER(J463),J463&gt;=0)),OR(ISBLANK(K463),AND(ISNUMBER(K463),K463&gt;=0))),60*IF(ISBLANK(J463),0,J463)+IF(ISBLANK(K463),0,K463),"")))</f>
        <v/>
      </c>
      <c r="W463" s="97" t="str">
        <f aca="false">IF(ISBLANK($C463),"",IF(L463=Constants!$B$19,Constants!$B$19,Constants!$B$18))</f>
        <v/>
      </c>
      <c r="X463" s="97" t="str">
        <f aca="false">IF(ISBLANK($C463),"",IF(COUNTA(M463:N463)=0,"",IF(AND(OR(ISBLANK(M463),AND(ISNUMBER(M463),M463&gt;=0)),OR(ISBLANK(N463),AND(ISNUMBER(N463),N463&gt;=0))),60*IF(ISBLANK(M463),0,M463)+IF(ISBLANK(N463),0,N463),"")))</f>
        <v/>
      </c>
      <c r="Y463" s="97" t="str">
        <f aca="false">IF(ISBLANK($C463),"",IF(O463=Constants!$B$2, TRUE(), IF(O463=Constants!$B$3, FALSE(), FALSE())))</f>
        <v/>
      </c>
      <c r="Z463" s="97" t="str">
        <f aca="false">IF(ISBLANK($C463),"",IF(Y463,Constants!$B$4,IF(COUNTA(E463:N463)=0,Constants!$B$5,IF(COUNTA(J463:K463,M463:N463)=0,Constants!$B$6,Constants!$B$7))))</f>
        <v/>
      </c>
      <c r="AA463" s="97" t="str">
        <f aca="false">IF(ISBLANK($C463),"",IF($Z463&lt;&gt;Constants!$B$7,$Z463,IF(OR(NOT(T463),AND(NOT(Q463),COUNTIFS(U463:W463,Constants!$B$18,V463:X463,"&gt;=0")&gt;0),AND(NOT(R463),COUNTIFS(U463:W463,Constants!$B$19,V463:X463,"&gt;=0")&gt;0)),Constants!$B$12,Constants!$B$11)))</f>
        <v/>
      </c>
      <c r="AB463" s="97" t="str">
        <f aca="false">IF($Z463=Constants!$B$7,IF(V463="",Constants!$B$13,V463),"")</f>
        <v/>
      </c>
      <c r="AC463" s="97" t="str">
        <f aca="false">IF($Z463=Constants!$B$7,IF(X463="",Constants!$B$13,X463),"")</f>
        <v/>
      </c>
      <c r="AD463" s="97" t="str">
        <f aca="false">IF($Z463=Constants!$B$7,IF($AB463&gt;=$AC463,1,2),"")</f>
        <v/>
      </c>
      <c r="AE463" s="97" t="str">
        <f aca="false">IF($Z463=Constants!$B$7,LARGE(AB463:AC463,1),"")</f>
        <v/>
      </c>
      <c r="AF463" s="97" t="str">
        <f aca="false">IF(ISBLANK($C463),"",IF($Z463&lt;&gt;Constants!$B$7,$Z463,AE463*S463))</f>
        <v/>
      </c>
      <c r="AG463" s="97" t="str">
        <f aca="false">IF(ISBLANK($C463),"",IF($Z463=Constants!$B$7,IF(ISNUMBER(AF463),RANK(AF463,$AF$8:$AF$507),Constants!$B$14),$Z463))</f>
        <v/>
      </c>
      <c r="AH463" s="97" t="str">
        <f aca="false">IF(ISBLANK($C463),"",IF($Z463=Constants!$B$7,IF(ISNUMBER(AG463),COUNTIFS($AA$8:$AA$507,"&lt;"&amp;$AA463)+COUNTIFS($AA$8:$AA$507,$AA463,$AG$8:$AG$507,"&lt;"&amp;$AG463)+1,Constants!$B$14),$Z463))</f>
        <v/>
      </c>
      <c r="AI463" s="97" t="str">
        <f aca="false">IF(ISBLANK($C463),"",IF($Z463=Constants!$B$7,LARGE(AB463:AC463,2)*S463,""))</f>
        <v/>
      </c>
      <c r="AJ463" s="97" t="str">
        <f aca="false">IF(ISBLANK($C463),"",IF($Z463=Constants!$B$7,RANK(AI463,$AI$8:$AI$507),$Z463))</f>
        <v/>
      </c>
      <c r="AK463" s="97" t="str">
        <f aca="false">IF(ISBLANK($C463),"",IF($Z463=Constants!$B$7,IF(ISNUMBER(AG463),COUNTIFS($AA$8:$AA$507,"&lt;"&amp;$AA463)+COUNTIFS($AA$8:$AA$507,$AA463,$AG$8:$AG$507,"&lt;"&amp;$AG463)+COUNTIFS($AA$8:$AA$507,$AA463,$AG$8:$AG$507,$AG463,$AJ$8:$AJ$507,"&lt;"&amp;$AJ463)+1,Constants!$B$14),$Z463))</f>
        <v/>
      </c>
      <c r="AL463" s="97" t="str">
        <f aca="false">IF(ISBLANK($C463),"",IF($Z463=Constants!$B$7,IF(ISNUMBER(AH463),AH463-AK463,Constants!$B$14),$Z463))</f>
        <v/>
      </c>
      <c r="AM463" s="98"/>
      <c r="AN463" s="99" t="str">
        <f aca="false">IF(ISBLANK($C463),"",IF($Z463&lt;&gt;Constants!$B$7,$Z463,AD463))</f>
        <v/>
      </c>
      <c r="AO463" s="100" t="str">
        <f aca="false">IF(ISBLANK($C463),"",IF($Z463&lt;&gt;Constants!$B$7,$Z463,S463))</f>
        <v/>
      </c>
      <c r="AP463" s="101" t="str">
        <f aca="false">IF(ISBLANK($C463),"",IF($Z463&lt;&gt;Constants!$B$7,$Z463,AF463))</f>
        <v/>
      </c>
      <c r="AQ463" s="102" t="str">
        <f aca="false">IF(ISBLANK($C463),"",IF($Z463&lt;&gt;Constants!$B$7,$Z463,AA463))</f>
        <v/>
      </c>
      <c r="AR463" s="100" t="str">
        <f aca="false">IF(ISBLANK($C463),"",AL463)</f>
        <v/>
      </c>
      <c r="AS463" s="100" t="str">
        <f aca="false">IF(ISBLANK($C463),"",AK463)</f>
        <v/>
      </c>
      <c r="AT463" s="103" t="str">
        <f aca="false">IF(ISBLANK($C463),"",IF(AS463=Constants!$B$4,COUNTA($C$8:$C$507)+2,IF(AS463=Constants!$B$5,COUNTA($C$8:$C$507)+1,IF(AS463=Constants!$B$6,COUNTA($C$8:$C$507),AS463))))</f>
        <v/>
      </c>
      <c r="AU463" s="5"/>
      <c r="AV463" s="104" t="n">
        <f aca="false">IF(OR(ISNUMBER(AS463),AS463=Constants!$B$4,AS463=Constants!$B$6,AS463=Constants!$B$5),1,0)</f>
        <v>0</v>
      </c>
      <c r="AW463" s="104" t="n">
        <v>456</v>
      </c>
      <c r="AX463" s="104" t="str">
        <f aca="false">IF(ISBLANK($C463),"",IF(ISNUMBER(AT463),AT463+ROW($B463)/1000,""))</f>
        <v/>
      </c>
      <c r="AY463" s="104" t="str">
        <f aca="false">IF(ISNUMBER(AX463),RANK(AX463,$AX$8:$AX$507,1),"")</f>
        <v/>
      </c>
      <c r="AZ463" s="104" t="str">
        <f aca="false">IF(ISBLANK($C463),"",$B463)</f>
        <v/>
      </c>
      <c r="BA463" s="104" t="str">
        <f aca="false">IF(ISBLANK($C463),"",$C463)</f>
        <v/>
      </c>
      <c r="BB463" s="104" t="str">
        <f aca="false">IF(ISBLANK($C463),"",$D463)</f>
        <v/>
      </c>
      <c r="BC463" s="105" t="str">
        <f aca="false">AQ463</f>
        <v/>
      </c>
      <c r="BD463" s="106" t="str">
        <f aca="false">AP463</f>
        <v/>
      </c>
      <c r="BE463" s="104" t="str">
        <f aca="false">IF(ISBLANK($C463),"",AS463)</f>
        <v/>
      </c>
      <c r="BF463" s="107" t="str">
        <f aca="false">IF($AW463&gt;$AV$7,"",VLOOKUP($AW463,$AY$8:$BE$507,7,FALSE()))</f>
        <v/>
      </c>
      <c r="BG463" s="108" t="str">
        <f aca="false">IF($AW463&gt;$AV$7,"",VLOOKUP($AW463,$AY$8:$BE$507,2,FALSE()))</f>
        <v/>
      </c>
      <c r="BH463" s="108" t="str">
        <f aca="false">IF($AW463&gt;$AV$7,"",VLOOKUP($AW463,$AY$8:$BE$507,3,FALSE()))</f>
        <v/>
      </c>
      <c r="BI463" s="108" t="str">
        <f aca="false">IF($AW463&gt;$AV$7,"",VLOOKUP($AW463,$AY$8:$BE$507,4,FALSE()))</f>
        <v/>
      </c>
      <c r="BJ463" s="108" t="str">
        <f aca="false">IF($AW463&gt;$AV$7,"",VLOOKUP($AW463,$AY$8:$BE$507,5,FALSE()))</f>
        <v/>
      </c>
      <c r="BK463" s="109" t="str">
        <f aca="false">IF($AW463&gt;$AV$7,"",VLOOKUP($AW463,$AY$8:$BE$507,6,FALSE()))</f>
        <v/>
      </c>
      <c r="BL463" s="50"/>
    </row>
    <row r="464" customFormat="false" ht="15.75" hidden="false" customHeight="false" outlineLevel="0" collapsed="false">
      <c r="A464" s="5"/>
      <c r="B464" s="131"/>
      <c r="C464" s="52"/>
      <c r="D464" s="53"/>
      <c r="E464" s="80"/>
      <c r="F464" s="132"/>
      <c r="G464" s="56"/>
      <c r="H464" s="133"/>
      <c r="I464" s="134"/>
      <c r="J464" s="59"/>
      <c r="K464" s="60"/>
      <c r="L464" s="134"/>
      <c r="M464" s="61"/>
      <c r="N464" s="62"/>
      <c r="O464" s="80"/>
      <c r="P464" s="64"/>
      <c r="Q464" s="65" t="str">
        <f aca="false">IF(ISBLANK($C464),"",IF(E464=Constants!$B$2, TRUE(), IF(E464=Constants!$B$3, FALSE(), TRUE())))</f>
        <v/>
      </c>
      <c r="R464" s="65" t="str">
        <f aca="false">IF(ISBLANK($C464),"",IF(F464=Constants!$B$2, TRUE(), IF(F464=Constants!$B$3, FALSE(), TRUE())))</f>
        <v/>
      </c>
      <c r="S464" s="65" t="str">
        <f aca="false">IF(ISBLANK($C464),"",IF(G464=Constants!$B$15,Constants!$B$8,IF(G464=Constants!$B$16,Constants!$B$9,Constants!$B$10)))</f>
        <v/>
      </c>
      <c r="T464" s="65" t="str">
        <f aca="false">IF(ISBLANK($C464),"",IF(H464=Constants!$B$2, TRUE(), IF(H464=Constants!$B$3, FALSE(), TRUE())))</f>
        <v/>
      </c>
      <c r="U464" s="65" t="str">
        <f aca="false">IF(ISBLANK($C464),"",IF(I464=Constants!$B$19,Constants!$B$19,Constants!$B$18))</f>
        <v/>
      </c>
      <c r="V464" s="65" t="str">
        <f aca="false">IF(ISBLANK($C464),"",IF(COUNTA(J464:K464)=0,"",IF(AND(OR(ISBLANK(J464),AND(ISNUMBER(J464),J464&gt;=0)),OR(ISBLANK(K464),AND(ISNUMBER(K464),K464&gt;=0))),60*IF(ISBLANK(J464),0,J464)+IF(ISBLANK(K464),0,K464),"")))</f>
        <v/>
      </c>
      <c r="W464" s="65" t="str">
        <f aca="false">IF(ISBLANK($C464),"",IF(L464=Constants!$B$19,Constants!$B$19,Constants!$B$18))</f>
        <v/>
      </c>
      <c r="X464" s="65" t="str">
        <f aca="false">IF(ISBLANK($C464),"",IF(COUNTA(M464:N464)=0,"",IF(AND(OR(ISBLANK(M464),AND(ISNUMBER(M464),M464&gt;=0)),OR(ISBLANK(N464),AND(ISNUMBER(N464),N464&gt;=0))),60*IF(ISBLANK(M464),0,M464)+IF(ISBLANK(N464),0,N464),"")))</f>
        <v/>
      </c>
      <c r="Y464" s="65" t="str">
        <f aca="false">IF(ISBLANK($C464),"",IF(O464=Constants!$B$2, TRUE(), IF(O464=Constants!$B$3, FALSE(), FALSE())))</f>
        <v/>
      </c>
      <c r="Z464" s="65" t="str">
        <f aca="false">IF(ISBLANK($C464),"",IF(Y464,Constants!$B$4,IF(COUNTA(E464:N464)=0,Constants!$B$5,IF(COUNTA(J464:K464,M464:N464)=0,Constants!$B$6,Constants!$B$7))))</f>
        <v/>
      </c>
      <c r="AA464" s="65" t="str">
        <f aca="false">IF(ISBLANK($C464),"",IF($Z464&lt;&gt;Constants!$B$7,$Z464,IF(OR(NOT(T464),AND(NOT(Q464),COUNTIFS(U464:W464,Constants!$B$18,V464:X464,"&gt;=0")&gt;0),AND(NOT(R464),COUNTIFS(U464:W464,Constants!$B$19,V464:X464,"&gt;=0")&gt;0)),Constants!$B$12,Constants!$B$11)))</f>
        <v/>
      </c>
      <c r="AB464" s="65" t="str">
        <f aca="false">IF($Z464=Constants!$B$7,IF(V464="",Constants!$B$13,V464),"")</f>
        <v/>
      </c>
      <c r="AC464" s="65" t="str">
        <f aca="false">IF($Z464=Constants!$B$7,IF(X464="",Constants!$B$13,X464),"")</f>
        <v/>
      </c>
      <c r="AD464" s="65" t="str">
        <f aca="false">IF($Z464=Constants!$B$7,IF($AB464&gt;=$AC464,1,2),"")</f>
        <v/>
      </c>
      <c r="AE464" s="65" t="str">
        <f aca="false">IF($Z464=Constants!$B$7,LARGE(AB464:AC464,1),"")</f>
        <v/>
      </c>
      <c r="AF464" s="65" t="str">
        <f aca="false">IF(ISBLANK($C464),"",IF($Z464&lt;&gt;Constants!$B$7,$Z464,AE464*S464))</f>
        <v/>
      </c>
      <c r="AG464" s="65" t="str">
        <f aca="false">IF(ISBLANK($C464),"",IF($Z464=Constants!$B$7,IF(ISNUMBER(AF464),RANK(AF464,$AF$8:$AF$507),Constants!$B$14),$Z464))</f>
        <v/>
      </c>
      <c r="AH464" s="65" t="str">
        <f aca="false">IF(ISBLANK($C464),"",IF($Z464=Constants!$B$7,IF(ISNUMBER(AG464),COUNTIFS($AA$8:$AA$507,"&lt;"&amp;$AA464)+COUNTIFS($AA$8:$AA$507,$AA464,$AG$8:$AG$507,"&lt;"&amp;$AG464)+1,Constants!$B$14),$Z464))</f>
        <v/>
      </c>
      <c r="AI464" s="65" t="str">
        <f aca="false">IF(ISBLANK($C464),"",IF($Z464=Constants!$B$7,LARGE(AB464:AC464,2)*S464,""))</f>
        <v/>
      </c>
      <c r="AJ464" s="65" t="str">
        <f aca="false">IF(ISBLANK($C464),"",IF($Z464=Constants!$B$7,RANK(AI464,$AI$8:$AI$507),$Z464))</f>
        <v/>
      </c>
      <c r="AK464" s="65" t="str">
        <f aca="false">IF(ISBLANK($C464),"",IF($Z464=Constants!$B$7,IF(ISNUMBER(AG464),COUNTIFS($AA$8:$AA$507,"&lt;"&amp;$AA464)+COUNTIFS($AA$8:$AA$507,$AA464,$AG$8:$AG$507,"&lt;"&amp;$AG464)+COUNTIFS($AA$8:$AA$507,$AA464,$AG$8:$AG$507,$AG464,$AJ$8:$AJ$507,"&lt;"&amp;$AJ464)+1,Constants!$B$14),$Z464))</f>
        <v/>
      </c>
      <c r="AL464" s="65" t="str">
        <f aca="false">IF(ISBLANK($C464),"",IF($Z464=Constants!$B$7,IF(ISNUMBER(AH464),AH464-AK464,Constants!$B$14),$Z464))</f>
        <v/>
      </c>
      <c r="AM464" s="67"/>
      <c r="AN464" s="68" t="str">
        <f aca="false">IF(ISBLANK($C464),"",IF($Z464&lt;&gt;Constants!$B$7,$Z464,AD464))</f>
        <v/>
      </c>
      <c r="AO464" s="69" t="str">
        <f aca="false">IF(ISBLANK($C464),"",IF($Z464&lt;&gt;Constants!$B$7,$Z464,S464))</f>
        <v/>
      </c>
      <c r="AP464" s="70" t="str">
        <f aca="false">IF(ISBLANK($C464),"",IF($Z464&lt;&gt;Constants!$B$7,$Z464,AF464))</f>
        <v/>
      </c>
      <c r="AQ464" s="71" t="str">
        <f aca="false">IF(ISBLANK($C464),"",IF($Z464&lt;&gt;Constants!$B$7,$Z464,AA464))</f>
        <v/>
      </c>
      <c r="AR464" s="69" t="str">
        <f aca="false">IF(ISBLANK($C464),"",AL464)</f>
        <v/>
      </c>
      <c r="AS464" s="69" t="str">
        <f aca="false">IF(ISBLANK($C464),"",AK464)</f>
        <v/>
      </c>
      <c r="AT464" s="72" t="str">
        <f aca="false">IF(ISBLANK($C464),"",IF(AS464=Constants!$B$4,COUNTA($C$8:$C$507)+2,IF(AS464=Constants!$B$5,COUNTA($C$8:$C$507)+1,IF(AS464=Constants!$B$6,COUNTA($C$8:$C$507),AS464))))</f>
        <v/>
      </c>
      <c r="AU464" s="5"/>
      <c r="AV464" s="73" t="n">
        <f aca="false">IF(OR(ISNUMBER(AS464),AS464=Constants!$B$4,AS464=Constants!$B$6,AS464=Constants!$B$5),1,0)</f>
        <v>0</v>
      </c>
      <c r="AW464" s="73" t="n">
        <v>457</v>
      </c>
      <c r="AX464" s="73" t="str">
        <f aca="false">IF(ISBLANK($C464),"",IF(ISNUMBER(AT464),AT464+ROW($B464)/1000,""))</f>
        <v/>
      </c>
      <c r="AY464" s="73" t="str">
        <f aca="false">IF(ISNUMBER(AX464),RANK(AX464,$AX$8:$AX$507,1),"")</f>
        <v/>
      </c>
      <c r="AZ464" s="73" t="str">
        <f aca="false">IF(ISBLANK($C464),"",$B464)</f>
        <v/>
      </c>
      <c r="BA464" s="73" t="str">
        <f aca="false">IF(ISBLANK($C464),"",$C464)</f>
        <v/>
      </c>
      <c r="BB464" s="73" t="str">
        <f aca="false">IF(ISBLANK($C464),"",$D464)</f>
        <v/>
      </c>
      <c r="BC464" s="74" t="str">
        <f aca="false">AQ464</f>
        <v/>
      </c>
      <c r="BD464" s="75" t="str">
        <f aca="false">AP464</f>
        <v/>
      </c>
      <c r="BE464" s="73" t="str">
        <f aca="false">IF(ISBLANK($C464),"",AS464)</f>
        <v/>
      </c>
      <c r="BF464" s="76" t="str">
        <f aca="false">IF($AW464&gt;$AV$7,"",VLOOKUP($AW464,$AY$8:$BE$507,7,FALSE()))</f>
        <v/>
      </c>
      <c r="BG464" s="77" t="str">
        <f aca="false">IF($AW464&gt;$AV$7,"",VLOOKUP($AW464,$AY$8:$BE$507,2,FALSE()))</f>
        <v/>
      </c>
      <c r="BH464" s="77" t="str">
        <f aca="false">IF($AW464&gt;$AV$7,"",VLOOKUP($AW464,$AY$8:$BE$507,3,FALSE()))</f>
        <v/>
      </c>
      <c r="BI464" s="77" t="str">
        <f aca="false">IF($AW464&gt;$AV$7,"",VLOOKUP($AW464,$AY$8:$BE$507,4,FALSE()))</f>
        <v/>
      </c>
      <c r="BJ464" s="77" t="str">
        <f aca="false">IF($AW464&gt;$AV$7,"",VLOOKUP($AW464,$AY$8:$BE$507,5,FALSE()))</f>
        <v/>
      </c>
      <c r="BK464" s="78" t="str">
        <f aca="false">IF($AW464&gt;$AV$7,"",VLOOKUP($AW464,$AY$8:$BE$507,6,FALSE()))</f>
        <v/>
      </c>
      <c r="BL464" s="50"/>
    </row>
    <row r="465" customFormat="false" ht="15.75" hidden="false" customHeight="false" outlineLevel="0" collapsed="false">
      <c r="A465" s="5"/>
      <c r="B465" s="131"/>
      <c r="C465" s="52"/>
      <c r="D465" s="53"/>
      <c r="E465" s="80"/>
      <c r="F465" s="132"/>
      <c r="G465" s="56"/>
      <c r="H465" s="133"/>
      <c r="I465" s="134"/>
      <c r="J465" s="59"/>
      <c r="K465" s="60"/>
      <c r="L465" s="134"/>
      <c r="M465" s="61"/>
      <c r="N465" s="62"/>
      <c r="O465" s="80"/>
      <c r="P465" s="64"/>
      <c r="Q465" s="65" t="str">
        <f aca="false">IF(ISBLANK($C465),"",IF(E465=Constants!$B$2, TRUE(), IF(E465=Constants!$B$3, FALSE(), TRUE())))</f>
        <v/>
      </c>
      <c r="R465" s="65" t="str">
        <f aca="false">IF(ISBLANK($C465),"",IF(F465=Constants!$B$2, TRUE(), IF(F465=Constants!$B$3, FALSE(), TRUE())))</f>
        <v/>
      </c>
      <c r="S465" s="65" t="str">
        <f aca="false">IF(ISBLANK($C465),"",IF(G465=Constants!$B$15,Constants!$B$8,IF(G465=Constants!$B$16,Constants!$B$9,Constants!$B$10)))</f>
        <v/>
      </c>
      <c r="T465" s="65" t="str">
        <f aca="false">IF(ISBLANK($C465),"",IF(H465=Constants!$B$2, TRUE(), IF(H465=Constants!$B$3, FALSE(), TRUE())))</f>
        <v/>
      </c>
      <c r="U465" s="65" t="str">
        <f aca="false">IF(ISBLANK($C465),"",IF(I465=Constants!$B$19,Constants!$B$19,Constants!$B$18))</f>
        <v/>
      </c>
      <c r="V465" s="65" t="str">
        <f aca="false">IF(ISBLANK($C465),"",IF(COUNTA(J465:K465)=0,"",IF(AND(OR(ISBLANK(J465),AND(ISNUMBER(J465),J465&gt;=0)),OR(ISBLANK(K465),AND(ISNUMBER(K465),K465&gt;=0))),60*IF(ISBLANK(J465),0,J465)+IF(ISBLANK(K465),0,K465),"")))</f>
        <v/>
      </c>
      <c r="W465" s="65" t="str">
        <f aca="false">IF(ISBLANK($C465),"",IF(L465=Constants!$B$19,Constants!$B$19,Constants!$B$18))</f>
        <v/>
      </c>
      <c r="X465" s="65" t="str">
        <f aca="false">IF(ISBLANK($C465),"",IF(COUNTA(M465:N465)=0,"",IF(AND(OR(ISBLANK(M465),AND(ISNUMBER(M465),M465&gt;=0)),OR(ISBLANK(N465),AND(ISNUMBER(N465),N465&gt;=0))),60*IF(ISBLANK(M465),0,M465)+IF(ISBLANK(N465),0,N465),"")))</f>
        <v/>
      </c>
      <c r="Y465" s="65" t="str">
        <f aca="false">IF(ISBLANK($C465),"",IF(O465=Constants!$B$2, TRUE(), IF(O465=Constants!$B$3, FALSE(), FALSE())))</f>
        <v/>
      </c>
      <c r="Z465" s="65" t="str">
        <f aca="false">IF(ISBLANK($C465),"",IF(Y465,Constants!$B$4,IF(COUNTA(E465:N465)=0,Constants!$B$5,IF(COUNTA(J465:K465,M465:N465)=0,Constants!$B$6,Constants!$B$7))))</f>
        <v/>
      </c>
      <c r="AA465" s="65" t="str">
        <f aca="false">IF(ISBLANK($C465),"",IF($Z465&lt;&gt;Constants!$B$7,$Z465,IF(OR(NOT(T465),AND(NOT(Q465),COUNTIFS(U465:W465,Constants!$B$18,V465:X465,"&gt;=0")&gt;0),AND(NOT(R465),COUNTIFS(U465:W465,Constants!$B$19,V465:X465,"&gt;=0")&gt;0)),Constants!$B$12,Constants!$B$11)))</f>
        <v/>
      </c>
      <c r="AB465" s="65" t="str">
        <f aca="false">IF($Z465=Constants!$B$7,IF(V465="",Constants!$B$13,V465),"")</f>
        <v/>
      </c>
      <c r="AC465" s="65" t="str">
        <f aca="false">IF($Z465=Constants!$B$7,IF(X465="",Constants!$B$13,X465),"")</f>
        <v/>
      </c>
      <c r="AD465" s="65" t="str">
        <f aca="false">IF($Z465=Constants!$B$7,IF($AB465&gt;=$AC465,1,2),"")</f>
        <v/>
      </c>
      <c r="AE465" s="65" t="str">
        <f aca="false">IF($Z465=Constants!$B$7,LARGE(AB465:AC465,1),"")</f>
        <v/>
      </c>
      <c r="AF465" s="65" t="str">
        <f aca="false">IF(ISBLANK($C465),"",IF($Z465&lt;&gt;Constants!$B$7,$Z465,AE465*S465))</f>
        <v/>
      </c>
      <c r="AG465" s="65" t="str">
        <f aca="false">IF(ISBLANK($C465),"",IF($Z465=Constants!$B$7,IF(ISNUMBER(AF465),RANK(AF465,$AF$8:$AF$507),Constants!$B$14),$Z465))</f>
        <v/>
      </c>
      <c r="AH465" s="65" t="str">
        <f aca="false">IF(ISBLANK($C465),"",IF($Z465=Constants!$B$7,IF(ISNUMBER(AG465),COUNTIFS($AA$8:$AA$507,"&lt;"&amp;$AA465)+COUNTIFS($AA$8:$AA$507,$AA465,$AG$8:$AG$507,"&lt;"&amp;$AG465)+1,Constants!$B$14),$Z465))</f>
        <v/>
      </c>
      <c r="AI465" s="65" t="str">
        <f aca="false">IF(ISBLANK($C465),"",IF($Z465=Constants!$B$7,LARGE(AB465:AC465,2)*S465,""))</f>
        <v/>
      </c>
      <c r="AJ465" s="65" t="str">
        <f aca="false">IF(ISBLANK($C465),"",IF($Z465=Constants!$B$7,RANK(AI465,$AI$8:$AI$507),$Z465))</f>
        <v/>
      </c>
      <c r="AK465" s="65" t="str">
        <f aca="false">IF(ISBLANK($C465),"",IF($Z465=Constants!$B$7,IF(ISNUMBER(AG465),COUNTIFS($AA$8:$AA$507,"&lt;"&amp;$AA465)+COUNTIFS($AA$8:$AA$507,$AA465,$AG$8:$AG$507,"&lt;"&amp;$AG465)+COUNTIFS($AA$8:$AA$507,$AA465,$AG$8:$AG$507,$AG465,$AJ$8:$AJ$507,"&lt;"&amp;$AJ465)+1,Constants!$B$14),$Z465))</f>
        <v/>
      </c>
      <c r="AL465" s="65" t="str">
        <f aca="false">IF(ISBLANK($C465),"",IF($Z465=Constants!$B$7,IF(ISNUMBER(AH465),AH465-AK465,Constants!$B$14),$Z465))</f>
        <v/>
      </c>
      <c r="AM465" s="67"/>
      <c r="AN465" s="68" t="str">
        <f aca="false">IF(ISBLANK($C465),"",IF($Z465&lt;&gt;Constants!$B$7,$Z465,AD465))</f>
        <v/>
      </c>
      <c r="AO465" s="69" t="str">
        <f aca="false">IF(ISBLANK($C465),"",IF($Z465&lt;&gt;Constants!$B$7,$Z465,S465))</f>
        <v/>
      </c>
      <c r="AP465" s="70" t="str">
        <f aca="false">IF(ISBLANK($C465),"",IF($Z465&lt;&gt;Constants!$B$7,$Z465,AF465))</f>
        <v/>
      </c>
      <c r="AQ465" s="71" t="str">
        <f aca="false">IF(ISBLANK($C465),"",IF($Z465&lt;&gt;Constants!$B$7,$Z465,AA465))</f>
        <v/>
      </c>
      <c r="AR465" s="69" t="str">
        <f aca="false">IF(ISBLANK($C465),"",AL465)</f>
        <v/>
      </c>
      <c r="AS465" s="69" t="str">
        <f aca="false">IF(ISBLANK($C465),"",AK465)</f>
        <v/>
      </c>
      <c r="AT465" s="72" t="str">
        <f aca="false">IF(ISBLANK($C465),"",IF(AS465=Constants!$B$4,COUNTA($C$8:$C$507)+2,IF(AS465=Constants!$B$5,COUNTA($C$8:$C$507)+1,IF(AS465=Constants!$B$6,COUNTA($C$8:$C$507),AS465))))</f>
        <v/>
      </c>
      <c r="AU465" s="5"/>
      <c r="AV465" s="73" t="n">
        <f aca="false">IF(OR(ISNUMBER(AS465),AS465=Constants!$B$4,AS465=Constants!$B$6,AS465=Constants!$B$5),1,0)</f>
        <v>0</v>
      </c>
      <c r="AW465" s="73" t="n">
        <v>458</v>
      </c>
      <c r="AX465" s="73" t="str">
        <f aca="false">IF(ISBLANK($C465),"",IF(ISNUMBER(AT465),AT465+ROW($B465)/1000,""))</f>
        <v/>
      </c>
      <c r="AY465" s="73" t="str">
        <f aca="false">IF(ISNUMBER(AX465),RANK(AX465,$AX$8:$AX$507,1),"")</f>
        <v/>
      </c>
      <c r="AZ465" s="73" t="str">
        <f aca="false">IF(ISBLANK($C465),"",$B465)</f>
        <v/>
      </c>
      <c r="BA465" s="73" t="str">
        <f aca="false">IF(ISBLANK($C465),"",$C465)</f>
        <v/>
      </c>
      <c r="BB465" s="73" t="str">
        <f aca="false">IF(ISBLANK($C465),"",$D465)</f>
        <v/>
      </c>
      <c r="BC465" s="74" t="str">
        <f aca="false">AQ465</f>
        <v/>
      </c>
      <c r="BD465" s="75" t="str">
        <f aca="false">AP465</f>
        <v/>
      </c>
      <c r="BE465" s="73" t="str">
        <f aca="false">IF(ISBLANK($C465),"",AS465)</f>
        <v/>
      </c>
      <c r="BF465" s="76" t="str">
        <f aca="false">IF($AW465&gt;$AV$7,"",VLOOKUP($AW465,$AY$8:$BE$507,7,FALSE()))</f>
        <v/>
      </c>
      <c r="BG465" s="77" t="str">
        <f aca="false">IF($AW465&gt;$AV$7,"",VLOOKUP($AW465,$AY$8:$BE$507,2,FALSE()))</f>
        <v/>
      </c>
      <c r="BH465" s="77" t="str">
        <f aca="false">IF($AW465&gt;$AV$7,"",VLOOKUP($AW465,$AY$8:$BE$507,3,FALSE()))</f>
        <v/>
      </c>
      <c r="BI465" s="77" t="str">
        <f aca="false">IF($AW465&gt;$AV$7,"",VLOOKUP($AW465,$AY$8:$BE$507,4,FALSE()))</f>
        <v/>
      </c>
      <c r="BJ465" s="77" t="str">
        <f aca="false">IF($AW465&gt;$AV$7,"",VLOOKUP($AW465,$AY$8:$BE$507,5,FALSE()))</f>
        <v/>
      </c>
      <c r="BK465" s="78" t="str">
        <f aca="false">IF($AW465&gt;$AV$7,"",VLOOKUP($AW465,$AY$8:$BE$507,6,FALSE()))</f>
        <v/>
      </c>
      <c r="BL465" s="50"/>
    </row>
    <row r="466" customFormat="false" ht="15.75" hidden="false" customHeight="false" outlineLevel="0" collapsed="false">
      <c r="A466" s="5"/>
      <c r="B466" s="131"/>
      <c r="C466" s="52"/>
      <c r="D466" s="53"/>
      <c r="E466" s="80"/>
      <c r="F466" s="132"/>
      <c r="G466" s="56"/>
      <c r="H466" s="133"/>
      <c r="I466" s="134"/>
      <c r="J466" s="59"/>
      <c r="K466" s="60"/>
      <c r="L466" s="134"/>
      <c r="M466" s="61"/>
      <c r="N466" s="62"/>
      <c r="O466" s="80"/>
      <c r="P466" s="64"/>
      <c r="Q466" s="65" t="str">
        <f aca="false">IF(ISBLANK($C466),"",IF(E466=Constants!$B$2, TRUE(), IF(E466=Constants!$B$3, FALSE(), TRUE())))</f>
        <v/>
      </c>
      <c r="R466" s="65" t="str">
        <f aca="false">IF(ISBLANK($C466),"",IF(F466=Constants!$B$2, TRUE(), IF(F466=Constants!$B$3, FALSE(), TRUE())))</f>
        <v/>
      </c>
      <c r="S466" s="65" t="str">
        <f aca="false">IF(ISBLANK($C466),"",IF(G466=Constants!$B$15,Constants!$B$8,IF(G466=Constants!$B$16,Constants!$B$9,Constants!$B$10)))</f>
        <v/>
      </c>
      <c r="T466" s="65" t="str">
        <f aca="false">IF(ISBLANK($C466),"",IF(H466=Constants!$B$2, TRUE(), IF(H466=Constants!$B$3, FALSE(), TRUE())))</f>
        <v/>
      </c>
      <c r="U466" s="65" t="str">
        <f aca="false">IF(ISBLANK($C466),"",IF(I466=Constants!$B$19,Constants!$B$19,Constants!$B$18))</f>
        <v/>
      </c>
      <c r="V466" s="65" t="str">
        <f aca="false">IF(ISBLANK($C466),"",IF(COUNTA(J466:K466)=0,"",IF(AND(OR(ISBLANK(J466),AND(ISNUMBER(J466),J466&gt;=0)),OR(ISBLANK(K466),AND(ISNUMBER(K466),K466&gt;=0))),60*IF(ISBLANK(J466),0,J466)+IF(ISBLANK(K466),0,K466),"")))</f>
        <v/>
      </c>
      <c r="W466" s="65" t="str">
        <f aca="false">IF(ISBLANK($C466),"",IF(L466=Constants!$B$19,Constants!$B$19,Constants!$B$18))</f>
        <v/>
      </c>
      <c r="X466" s="65" t="str">
        <f aca="false">IF(ISBLANK($C466),"",IF(COUNTA(M466:N466)=0,"",IF(AND(OR(ISBLANK(M466),AND(ISNUMBER(M466),M466&gt;=0)),OR(ISBLANK(N466),AND(ISNUMBER(N466),N466&gt;=0))),60*IF(ISBLANK(M466),0,M466)+IF(ISBLANK(N466),0,N466),"")))</f>
        <v/>
      </c>
      <c r="Y466" s="65" t="str">
        <f aca="false">IF(ISBLANK($C466),"",IF(O466=Constants!$B$2, TRUE(), IF(O466=Constants!$B$3, FALSE(), FALSE())))</f>
        <v/>
      </c>
      <c r="Z466" s="65" t="str">
        <f aca="false">IF(ISBLANK($C466),"",IF(Y466,Constants!$B$4,IF(COUNTA(E466:N466)=0,Constants!$B$5,IF(COUNTA(J466:K466,M466:N466)=0,Constants!$B$6,Constants!$B$7))))</f>
        <v/>
      </c>
      <c r="AA466" s="65" t="str">
        <f aca="false">IF(ISBLANK($C466),"",IF($Z466&lt;&gt;Constants!$B$7,$Z466,IF(OR(NOT(T466),AND(NOT(Q466),COUNTIFS(U466:W466,Constants!$B$18,V466:X466,"&gt;=0")&gt;0),AND(NOT(R466),COUNTIFS(U466:W466,Constants!$B$19,V466:X466,"&gt;=0")&gt;0)),Constants!$B$12,Constants!$B$11)))</f>
        <v/>
      </c>
      <c r="AB466" s="65" t="str">
        <f aca="false">IF($Z466=Constants!$B$7,IF(V466="",Constants!$B$13,V466),"")</f>
        <v/>
      </c>
      <c r="AC466" s="65" t="str">
        <f aca="false">IF($Z466=Constants!$B$7,IF(X466="",Constants!$B$13,X466),"")</f>
        <v/>
      </c>
      <c r="AD466" s="65" t="str">
        <f aca="false">IF($Z466=Constants!$B$7,IF($AB466&gt;=$AC466,1,2),"")</f>
        <v/>
      </c>
      <c r="AE466" s="65" t="str">
        <f aca="false">IF($Z466=Constants!$B$7,LARGE(AB466:AC466,1),"")</f>
        <v/>
      </c>
      <c r="AF466" s="65" t="str">
        <f aca="false">IF(ISBLANK($C466),"",IF($Z466&lt;&gt;Constants!$B$7,$Z466,AE466*S466))</f>
        <v/>
      </c>
      <c r="AG466" s="65" t="str">
        <f aca="false">IF(ISBLANK($C466),"",IF($Z466=Constants!$B$7,IF(ISNUMBER(AF466),RANK(AF466,$AF$8:$AF$507),Constants!$B$14),$Z466))</f>
        <v/>
      </c>
      <c r="AH466" s="65" t="str">
        <f aca="false">IF(ISBLANK($C466),"",IF($Z466=Constants!$B$7,IF(ISNUMBER(AG466),COUNTIFS($AA$8:$AA$507,"&lt;"&amp;$AA466)+COUNTIFS($AA$8:$AA$507,$AA466,$AG$8:$AG$507,"&lt;"&amp;$AG466)+1,Constants!$B$14),$Z466))</f>
        <v/>
      </c>
      <c r="AI466" s="65" t="str">
        <f aca="false">IF(ISBLANK($C466),"",IF($Z466=Constants!$B$7,LARGE(AB466:AC466,2)*S466,""))</f>
        <v/>
      </c>
      <c r="AJ466" s="65" t="str">
        <f aca="false">IF(ISBLANK($C466),"",IF($Z466=Constants!$B$7,RANK(AI466,$AI$8:$AI$507),$Z466))</f>
        <v/>
      </c>
      <c r="AK466" s="65" t="str">
        <f aca="false">IF(ISBLANK($C466),"",IF($Z466=Constants!$B$7,IF(ISNUMBER(AG466),COUNTIFS($AA$8:$AA$507,"&lt;"&amp;$AA466)+COUNTIFS($AA$8:$AA$507,$AA466,$AG$8:$AG$507,"&lt;"&amp;$AG466)+COUNTIFS($AA$8:$AA$507,$AA466,$AG$8:$AG$507,$AG466,$AJ$8:$AJ$507,"&lt;"&amp;$AJ466)+1,Constants!$B$14),$Z466))</f>
        <v/>
      </c>
      <c r="AL466" s="65" t="str">
        <f aca="false">IF(ISBLANK($C466),"",IF($Z466=Constants!$B$7,IF(ISNUMBER(AH466),AH466-AK466,Constants!$B$14),$Z466))</f>
        <v/>
      </c>
      <c r="AM466" s="67"/>
      <c r="AN466" s="68" t="str">
        <f aca="false">IF(ISBLANK($C466),"",IF($Z466&lt;&gt;Constants!$B$7,$Z466,AD466))</f>
        <v/>
      </c>
      <c r="AO466" s="69" t="str">
        <f aca="false">IF(ISBLANK($C466),"",IF($Z466&lt;&gt;Constants!$B$7,$Z466,S466))</f>
        <v/>
      </c>
      <c r="AP466" s="70" t="str">
        <f aca="false">IF(ISBLANK($C466),"",IF($Z466&lt;&gt;Constants!$B$7,$Z466,AF466))</f>
        <v/>
      </c>
      <c r="AQ466" s="71" t="str">
        <f aca="false">IF(ISBLANK($C466),"",IF($Z466&lt;&gt;Constants!$B$7,$Z466,AA466))</f>
        <v/>
      </c>
      <c r="AR466" s="69" t="str">
        <f aca="false">IF(ISBLANK($C466),"",AL466)</f>
        <v/>
      </c>
      <c r="AS466" s="69" t="str">
        <f aca="false">IF(ISBLANK($C466),"",AK466)</f>
        <v/>
      </c>
      <c r="AT466" s="72" t="str">
        <f aca="false">IF(ISBLANK($C466),"",IF(AS466=Constants!$B$4,COUNTA($C$8:$C$507)+2,IF(AS466=Constants!$B$5,COUNTA($C$8:$C$507)+1,IF(AS466=Constants!$B$6,COUNTA($C$8:$C$507),AS466))))</f>
        <v/>
      </c>
      <c r="AU466" s="5"/>
      <c r="AV466" s="73" t="n">
        <f aca="false">IF(OR(ISNUMBER(AS466),AS466=Constants!$B$4,AS466=Constants!$B$6,AS466=Constants!$B$5),1,0)</f>
        <v>0</v>
      </c>
      <c r="AW466" s="73" t="n">
        <v>459</v>
      </c>
      <c r="AX466" s="73" t="str">
        <f aca="false">IF(ISBLANK($C466),"",IF(ISNUMBER(AT466),AT466+ROW($B466)/1000,""))</f>
        <v/>
      </c>
      <c r="AY466" s="73" t="str">
        <f aca="false">IF(ISNUMBER(AX466),RANK(AX466,$AX$8:$AX$507,1),"")</f>
        <v/>
      </c>
      <c r="AZ466" s="73" t="str">
        <f aca="false">IF(ISBLANK($C466),"",$B466)</f>
        <v/>
      </c>
      <c r="BA466" s="73" t="str">
        <f aca="false">IF(ISBLANK($C466),"",$C466)</f>
        <v/>
      </c>
      <c r="BB466" s="73" t="str">
        <f aca="false">IF(ISBLANK($C466),"",$D466)</f>
        <v/>
      </c>
      <c r="BC466" s="74" t="str">
        <f aca="false">AQ466</f>
        <v/>
      </c>
      <c r="BD466" s="75" t="str">
        <f aca="false">AP466</f>
        <v/>
      </c>
      <c r="BE466" s="73" t="str">
        <f aca="false">IF(ISBLANK($C466),"",AS466)</f>
        <v/>
      </c>
      <c r="BF466" s="76" t="str">
        <f aca="false">IF($AW466&gt;$AV$7,"",VLOOKUP($AW466,$AY$8:$BE$507,7,FALSE()))</f>
        <v/>
      </c>
      <c r="BG466" s="77" t="str">
        <f aca="false">IF($AW466&gt;$AV$7,"",VLOOKUP($AW466,$AY$8:$BE$507,2,FALSE()))</f>
        <v/>
      </c>
      <c r="BH466" s="77" t="str">
        <f aca="false">IF($AW466&gt;$AV$7,"",VLOOKUP($AW466,$AY$8:$BE$507,3,FALSE()))</f>
        <v/>
      </c>
      <c r="BI466" s="77" t="str">
        <f aca="false">IF($AW466&gt;$AV$7,"",VLOOKUP($AW466,$AY$8:$BE$507,4,FALSE()))</f>
        <v/>
      </c>
      <c r="BJ466" s="77" t="str">
        <f aca="false">IF($AW466&gt;$AV$7,"",VLOOKUP($AW466,$AY$8:$BE$507,5,FALSE()))</f>
        <v/>
      </c>
      <c r="BK466" s="78" t="str">
        <f aca="false">IF($AW466&gt;$AV$7,"",VLOOKUP($AW466,$AY$8:$BE$507,6,FALSE()))</f>
        <v/>
      </c>
      <c r="BL466" s="50"/>
    </row>
    <row r="467" customFormat="false" ht="15.75" hidden="false" customHeight="false" outlineLevel="0" collapsed="false">
      <c r="A467" s="5"/>
      <c r="B467" s="124"/>
      <c r="C467" s="125"/>
      <c r="D467" s="110"/>
      <c r="E467" s="130"/>
      <c r="F467" s="135"/>
      <c r="G467" s="88"/>
      <c r="H467" s="136"/>
      <c r="I467" s="137"/>
      <c r="J467" s="91"/>
      <c r="K467" s="92"/>
      <c r="L467" s="137"/>
      <c r="M467" s="93"/>
      <c r="N467" s="94"/>
      <c r="O467" s="130"/>
      <c r="P467" s="96"/>
      <c r="Q467" s="97" t="str">
        <f aca="false">IF(ISBLANK($C467),"",IF(E467=Constants!$B$2, TRUE(), IF(E467=Constants!$B$3, FALSE(), TRUE())))</f>
        <v/>
      </c>
      <c r="R467" s="97" t="str">
        <f aca="false">IF(ISBLANK($C467),"",IF(F467=Constants!$B$2, TRUE(), IF(F467=Constants!$B$3, FALSE(), TRUE())))</f>
        <v/>
      </c>
      <c r="S467" s="97" t="str">
        <f aca="false">IF(ISBLANK($C467),"",IF(G467=Constants!$B$15,Constants!$B$8,IF(G467=Constants!$B$16,Constants!$B$9,Constants!$B$10)))</f>
        <v/>
      </c>
      <c r="T467" s="97" t="str">
        <f aca="false">IF(ISBLANK($C467),"",IF(H467=Constants!$B$2, TRUE(), IF(H467=Constants!$B$3, FALSE(), TRUE())))</f>
        <v/>
      </c>
      <c r="U467" s="97" t="str">
        <f aca="false">IF(ISBLANK($C467),"",IF(I467=Constants!$B$19,Constants!$B$19,Constants!$B$18))</f>
        <v/>
      </c>
      <c r="V467" s="97" t="str">
        <f aca="false">IF(ISBLANK($C467),"",IF(COUNTA(J467:K467)=0,"",IF(AND(OR(ISBLANK(J467),AND(ISNUMBER(J467),J467&gt;=0)),OR(ISBLANK(K467),AND(ISNUMBER(K467),K467&gt;=0))),60*IF(ISBLANK(J467),0,J467)+IF(ISBLANK(K467),0,K467),"")))</f>
        <v/>
      </c>
      <c r="W467" s="97" t="str">
        <f aca="false">IF(ISBLANK($C467),"",IF(L467=Constants!$B$19,Constants!$B$19,Constants!$B$18))</f>
        <v/>
      </c>
      <c r="X467" s="97" t="str">
        <f aca="false">IF(ISBLANK($C467),"",IF(COUNTA(M467:N467)=0,"",IF(AND(OR(ISBLANK(M467),AND(ISNUMBER(M467),M467&gt;=0)),OR(ISBLANK(N467),AND(ISNUMBER(N467),N467&gt;=0))),60*IF(ISBLANK(M467),0,M467)+IF(ISBLANK(N467),0,N467),"")))</f>
        <v/>
      </c>
      <c r="Y467" s="97" t="str">
        <f aca="false">IF(ISBLANK($C467),"",IF(O467=Constants!$B$2, TRUE(), IF(O467=Constants!$B$3, FALSE(), FALSE())))</f>
        <v/>
      </c>
      <c r="Z467" s="97" t="str">
        <f aca="false">IF(ISBLANK($C467),"",IF(Y467,Constants!$B$4,IF(COUNTA(E467:N467)=0,Constants!$B$5,IF(COUNTA(J467:K467,M467:N467)=0,Constants!$B$6,Constants!$B$7))))</f>
        <v/>
      </c>
      <c r="AA467" s="97" t="str">
        <f aca="false">IF(ISBLANK($C467),"",IF($Z467&lt;&gt;Constants!$B$7,$Z467,IF(OR(NOT(T467),AND(NOT(Q467),COUNTIFS(U467:W467,Constants!$B$18,V467:X467,"&gt;=0")&gt;0),AND(NOT(R467),COUNTIFS(U467:W467,Constants!$B$19,V467:X467,"&gt;=0")&gt;0)),Constants!$B$12,Constants!$B$11)))</f>
        <v/>
      </c>
      <c r="AB467" s="97" t="str">
        <f aca="false">IF($Z467=Constants!$B$7,IF(V467="",Constants!$B$13,V467),"")</f>
        <v/>
      </c>
      <c r="AC467" s="97" t="str">
        <f aca="false">IF($Z467=Constants!$B$7,IF(X467="",Constants!$B$13,X467),"")</f>
        <v/>
      </c>
      <c r="AD467" s="97" t="str">
        <f aca="false">IF($Z467=Constants!$B$7,IF($AB467&gt;=$AC467,1,2),"")</f>
        <v/>
      </c>
      <c r="AE467" s="97" t="str">
        <f aca="false">IF($Z467=Constants!$B$7,LARGE(AB467:AC467,1),"")</f>
        <v/>
      </c>
      <c r="AF467" s="97" t="str">
        <f aca="false">IF(ISBLANK($C467),"",IF($Z467&lt;&gt;Constants!$B$7,$Z467,AE467*S467))</f>
        <v/>
      </c>
      <c r="AG467" s="97" t="str">
        <f aca="false">IF(ISBLANK($C467),"",IF($Z467=Constants!$B$7,IF(ISNUMBER(AF467),RANK(AF467,$AF$8:$AF$507),Constants!$B$14),$Z467))</f>
        <v/>
      </c>
      <c r="AH467" s="97" t="str">
        <f aca="false">IF(ISBLANK($C467),"",IF($Z467=Constants!$B$7,IF(ISNUMBER(AG467),COUNTIFS($AA$8:$AA$507,"&lt;"&amp;$AA467)+COUNTIFS($AA$8:$AA$507,$AA467,$AG$8:$AG$507,"&lt;"&amp;$AG467)+1,Constants!$B$14),$Z467))</f>
        <v/>
      </c>
      <c r="AI467" s="97" t="str">
        <f aca="false">IF(ISBLANK($C467),"",IF($Z467=Constants!$B$7,LARGE(AB467:AC467,2)*S467,""))</f>
        <v/>
      </c>
      <c r="AJ467" s="97" t="str">
        <f aca="false">IF(ISBLANK($C467),"",IF($Z467=Constants!$B$7,RANK(AI467,$AI$8:$AI$507),$Z467))</f>
        <v/>
      </c>
      <c r="AK467" s="97" t="str">
        <f aca="false">IF(ISBLANK($C467),"",IF($Z467=Constants!$B$7,IF(ISNUMBER(AG467),COUNTIFS($AA$8:$AA$507,"&lt;"&amp;$AA467)+COUNTIFS($AA$8:$AA$507,$AA467,$AG$8:$AG$507,"&lt;"&amp;$AG467)+COUNTIFS($AA$8:$AA$507,$AA467,$AG$8:$AG$507,$AG467,$AJ$8:$AJ$507,"&lt;"&amp;$AJ467)+1,Constants!$B$14),$Z467))</f>
        <v/>
      </c>
      <c r="AL467" s="97" t="str">
        <f aca="false">IF(ISBLANK($C467),"",IF($Z467=Constants!$B$7,IF(ISNUMBER(AH467),AH467-AK467,Constants!$B$14),$Z467))</f>
        <v/>
      </c>
      <c r="AM467" s="98"/>
      <c r="AN467" s="99" t="str">
        <f aca="false">IF(ISBLANK($C467),"",IF($Z467&lt;&gt;Constants!$B$7,$Z467,AD467))</f>
        <v/>
      </c>
      <c r="AO467" s="100" t="str">
        <f aca="false">IF(ISBLANK($C467),"",IF($Z467&lt;&gt;Constants!$B$7,$Z467,S467))</f>
        <v/>
      </c>
      <c r="AP467" s="101" t="str">
        <f aca="false">IF(ISBLANK($C467),"",IF($Z467&lt;&gt;Constants!$B$7,$Z467,AF467))</f>
        <v/>
      </c>
      <c r="AQ467" s="102" t="str">
        <f aca="false">IF(ISBLANK($C467),"",IF($Z467&lt;&gt;Constants!$B$7,$Z467,AA467))</f>
        <v/>
      </c>
      <c r="AR467" s="100" t="str">
        <f aca="false">IF(ISBLANK($C467),"",AL467)</f>
        <v/>
      </c>
      <c r="AS467" s="100" t="str">
        <f aca="false">IF(ISBLANK($C467),"",AK467)</f>
        <v/>
      </c>
      <c r="AT467" s="103" t="str">
        <f aca="false">IF(ISBLANK($C467),"",IF(AS467=Constants!$B$4,COUNTA($C$8:$C$507)+2,IF(AS467=Constants!$B$5,COUNTA($C$8:$C$507)+1,IF(AS467=Constants!$B$6,COUNTA($C$8:$C$507),AS467))))</f>
        <v/>
      </c>
      <c r="AU467" s="5"/>
      <c r="AV467" s="104" t="n">
        <f aca="false">IF(OR(ISNUMBER(AS467),AS467=Constants!$B$4,AS467=Constants!$B$6,AS467=Constants!$B$5),1,0)</f>
        <v>0</v>
      </c>
      <c r="AW467" s="104" t="n">
        <v>460</v>
      </c>
      <c r="AX467" s="104" t="str">
        <f aca="false">IF(ISBLANK($C467),"",IF(ISNUMBER(AT467),AT467+ROW($B467)/1000,""))</f>
        <v/>
      </c>
      <c r="AY467" s="104" t="str">
        <f aca="false">IF(ISNUMBER(AX467),RANK(AX467,$AX$8:$AX$507,1),"")</f>
        <v/>
      </c>
      <c r="AZ467" s="104" t="str">
        <f aca="false">IF(ISBLANK($C467),"",$B467)</f>
        <v/>
      </c>
      <c r="BA467" s="104" t="str">
        <f aca="false">IF(ISBLANK($C467),"",$C467)</f>
        <v/>
      </c>
      <c r="BB467" s="104" t="str">
        <f aca="false">IF(ISBLANK($C467),"",$D467)</f>
        <v/>
      </c>
      <c r="BC467" s="105" t="str">
        <f aca="false">AQ467</f>
        <v/>
      </c>
      <c r="BD467" s="106" t="str">
        <f aca="false">AP467</f>
        <v/>
      </c>
      <c r="BE467" s="104" t="str">
        <f aca="false">IF(ISBLANK($C467),"",AS467)</f>
        <v/>
      </c>
      <c r="BF467" s="107" t="str">
        <f aca="false">IF($AW467&gt;$AV$7,"",VLOOKUP($AW467,$AY$8:$BE$507,7,FALSE()))</f>
        <v/>
      </c>
      <c r="BG467" s="108" t="str">
        <f aca="false">IF($AW467&gt;$AV$7,"",VLOOKUP($AW467,$AY$8:$BE$507,2,FALSE()))</f>
        <v/>
      </c>
      <c r="BH467" s="108" t="str">
        <f aca="false">IF($AW467&gt;$AV$7,"",VLOOKUP($AW467,$AY$8:$BE$507,3,FALSE()))</f>
        <v/>
      </c>
      <c r="BI467" s="108" t="str">
        <f aca="false">IF($AW467&gt;$AV$7,"",VLOOKUP($AW467,$AY$8:$BE$507,4,FALSE()))</f>
        <v/>
      </c>
      <c r="BJ467" s="108" t="str">
        <f aca="false">IF($AW467&gt;$AV$7,"",VLOOKUP($AW467,$AY$8:$BE$507,5,FALSE()))</f>
        <v/>
      </c>
      <c r="BK467" s="109" t="str">
        <f aca="false">IF($AW467&gt;$AV$7,"",VLOOKUP($AW467,$AY$8:$BE$507,6,FALSE()))</f>
        <v/>
      </c>
      <c r="BL467" s="50"/>
    </row>
    <row r="468" customFormat="false" ht="15.75" hidden="false" customHeight="false" outlineLevel="0" collapsed="false">
      <c r="A468" s="5"/>
      <c r="B468" s="124"/>
      <c r="C468" s="125"/>
      <c r="D468" s="110"/>
      <c r="E468" s="130"/>
      <c r="F468" s="135"/>
      <c r="G468" s="88"/>
      <c r="H468" s="136"/>
      <c r="I468" s="137"/>
      <c r="J468" s="91"/>
      <c r="K468" s="92"/>
      <c r="L468" s="137"/>
      <c r="M468" s="93"/>
      <c r="N468" s="94"/>
      <c r="O468" s="130"/>
      <c r="P468" s="96"/>
      <c r="Q468" s="97" t="str">
        <f aca="false">IF(ISBLANK($C468),"",IF(E468=Constants!$B$2, TRUE(), IF(E468=Constants!$B$3, FALSE(), TRUE())))</f>
        <v/>
      </c>
      <c r="R468" s="97" t="str">
        <f aca="false">IF(ISBLANK($C468),"",IF(F468=Constants!$B$2, TRUE(), IF(F468=Constants!$B$3, FALSE(), TRUE())))</f>
        <v/>
      </c>
      <c r="S468" s="97" t="str">
        <f aca="false">IF(ISBLANK($C468),"",IF(G468=Constants!$B$15,Constants!$B$8,IF(G468=Constants!$B$16,Constants!$B$9,Constants!$B$10)))</f>
        <v/>
      </c>
      <c r="T468" s="97" t="str">
        <f aca="false">IF(ISBLANK($C468),"",IF(H468=Constants!$B$2, TRUE(), IF(H468=Constants!$B$3, FALSE(), TRUE())))</f>
        <v/>
      </c>
      <c r="U468" s="97" t="str">
        <f aca="false">IF(ISBLANK($C468),"",IF(I468=Constants!$B$19,Constants!$B$19,Constants!$B$18))</f>
        <v/>
      </c>
      <c r="V468" s="97" t="str">
        <f aca="false">IF(ISBLANK($C468),"",IF(COUNTA(J468:K468)=0,"",IF(AND(OR(ISBLANK(J468),AND(ISNUMBER(J468),J468&gt;=0)),OR(ISBLANK(K468),AND(ISNUMBER(K468),K468&gt;=0))),60*IF(ISBLANK(J468),0,J468)+IF(ISBLANK(K468),0,K468),"")))</f>
        <v/>
      </c>
      <c r="W468" s="97" t="str">
        <f aca="false">IF(ISBLANK($C468),"",IF(L468=Constants!$B$19,Constants!$B$19,Constants!$B$18))</f>
        <v/>
      </c>
      <c r="X468" s="97" t="str">
        <f aca="false">IF(ISBLANK($C468),"",IF(COUNTA(M468:N468)=0,"",IF(AND(OR(ISBLANK(M468),AND(ISNUMBER(M468),M468&gt;=0)),OR(ISBLANK(N468),AND(ISNUMBER(N468),N468&gt;=0))),60*IF(ISBLANK(M468),0,M468)+IF(ISBLANK(N468),0,N468),"")))</f>
        <v/>
      </c>
      <c r="Y468" s="97" t="str">
        <f aca="false">IF(ISBLANK($C468),"",IF(O468=Constants!$B$2, TRUE(), IF(O468=Constants!$B$3, FALSE(), FALSE())))</f>
        <v/>
      </c>
      <c r="Z468" s="97" t="str">
        <f aca="false">IF(ISBLANK($C468),"",IF(Y468,Constants!$B$4,IF(COUNTA(E468:N468)=0,Constants!$B$5,IF(COUNTA(J468:K468,M468:N468)=0,Constants!$B$6,Constants!$B$7))))</f>
        <v/>
      </c>
      <c r="AA468" s="97" t="str">
        <f aca="false">IF(ISBLANK($C468),"",IF($Z468&lt;&gt;Constants!$B$7,$Z468,IF(OR(NOT(T468),AND(NOT(Q468),COUNTIFS(U468:W468,Constants!$B$18,V468:X468,"&gt;=0")&gt;0),AND(NOT(R468),COUNTIFS(U468:W468,Constants!$B$19,V468:X468,"&gt;=0")&gt;0)),Constants!$B$12,Constants!$B$11)))</f>
        <v/>
      </c>
      <c r="AB468" s="97" t="str">
        <f aca="false">IF($Z468=Constants!$B$7,IF(V468="",Constants!$B$13,V468),"")</f>
        <v/>
      </c>
      <c r="AC468" s="97" t="str">
        <f aca="false">IF($Z468=Constants!$B$7,IF(X468="",Constants!$B$13,X468),"")</f>
        <v/>
      </c>
      <c r="AD468" s="97" t="str">
        <f aca="false">IF($Z468=Constants!$B$7,IF($AB468&gt;=$AC468,1,2),"")</f>
        <v/>
      </c>
      <c r="AE468" s="97" t="str">
        <f aca="false">IF($Z468=Constants!$B$7,LARGE(AB468:AC468,1),"")</f>
        <v/>
      </c>
      <c r="AF468" s="97" t="str">
        <f aca="false">IF(ISBLANK($C468),"",IF($Z468&lt;&gt;Constants!$B$7,$Z468,AE468*S468))</f>
        <v/>
      </c>
      <c r="AG468" s="97" t="str">
        <f aca="false">IF(ISBLANK($C468),"",IF($Z468=Constants!$B$7,IF(ISNUMBER(AF468),RANK(AF468,$AF$8:$AF$507),Constants!$B$14),$Z468))</f>
        <v/>
      </c>
      <c r="AH468" s="97" t="str">
        <f aca="false">IF(ISBLANK($C468),"",IF($Z468=Constants!$B$7,IF(ISNUMBER(AG468),COUNTIFS($AA$8:$AA$507,"&lt;"&amp;$AA468)+COUNTIFS($AA$8:$AA$507,$AA468,$AG$8:$AG$507,"&lt;"&amp;$AG468)+1,Constants!$B$14),$Z468))</f>
        <v/>
      </c>
      <c r="AI468" s="97" t="str">
        <f aca="false">IF(ISBLANK($C468),"",IF($Z468=Constants!$B$7,LARGE(AB468:AC468,2)*S468,""))</f>
        <v/>
      </c>
      <c r="AJ468" s="97" t="str">
        <f aca="false">IF(ISBLANK($C468),"",IF($Z468=Constants!$B$7,RANK(AI468,$AI$8:$AI$507),$Z468))</f>
        <v/>
      </c>
      <c r="AK468" s="97" t="str">
        <f aca="false">IF(ISBLANK($C468),"",IF($Z468=Constants!$B$7,IF(ISNUMBER(AG468),COUNTIFS($AA$8:$AA$507,"&lt;"&amp;$AA468)+COUNTIFS($AA$8:$AA$507,$AA468,$AG$8:$AG$507,"&lt;"&amp;$AG468)+COUNTIFS($AA$8:$AA$507,$AA468,$AG$8:$AG$507,$AG468,$AJ$8:$AJ$507,"&lt;"&amp;$AJ468)+1,Constants!$B$14),$Z468))</f>
        <v/>
      </c>
      <c r="AL468" s="97" t="str">
        <f aca="false">IF(ISBLANK($C468),"",IF($Z468=Constants!$B$7,IF(ISNUMBER(AH468),AH468-AK468,Constants!$B$14),$Z468))</f>
        <v/>
      </c>
      <c r="AM468" s="98"/>
      <c r="AN468" s="99" t="str">
        <f aca="false">IF(ISBLANK($C468),"",IF($Z468&lt;&gt;Constants!$B$7,$Z468,AD468))</f>
        <v/>
      </c>
      <c r="AO468" s="100" t="str">
        <f aca="false">IF(ISBLANK($C468),"",IF($Z468&lt;&gt;Constants!$B$7,$Z468,S468))</f>
        <v/>
      </c>
      <c r="AP468" s="101" t="str">
        <f aca="false">IF(ISBLANK($C468),"",IF($Z468&lt;&gt;Constants!$B$7,$Z468,AF468))</f>
        <v/>
      </c>
      <c r="AQ468" s="102" t="str">
        <f aca="false">IF(ISBLANK($C468),"",IF($Z468&lt;&gt;Constants!$B$7,$Z468,AA468))</f>
        <v/>
      </c>
      <c r="AR468" s="100" t="str">
        <f aca="false">IF(ISBLANK($C468),"",AL468)</f>
        <v/>
      </c>
      <c r="AS468" s="100" t="str">
        <f aca="false">IF(ISBLANK($C468),"",AK468)</f>
        <v/>
      </c>
      <c r="AT468" s="103" t="str">
        <f aca="false">IF(ISBLANK($C468),"",IF(AS468=Constants!$B$4,COUNTA($C$8:$C$507)+2,IF(AS468=Constants!$B$5,COUNTA($C$8:$C$507)+1,IF(AS468=Constants!$B$6,COUNTA($C$8:$C$507),AS468))))</f>
        <v/>
      </c>
      <c r="AU468" s="5"/>
      <c r="AV468" s="104" t="n">
        <f aca="false">IF(OR(ISNUMBER(AS468),AS468=Constants!$B$4,AS468=Constants!$B$6,AS468=Constants!$B$5),1,0)</f>
        <v>0</v>
      </c>
      <c r="AW468" s="104" t="n">
        <v>461</v>
      </c>
      <c r="AX468" s="104" t="str">
        <f aca="false">IF(ISBLANK($C468),"",IF(ISNUMBER(AT468),AT468+ROW($B468)/1000,""))</f>
        <v/>
      </c>
      <c r="AY468" s="104" t="str">
        <f aca="false">IF(ISNUMBER(AX468),RANK(AX468,$AX$8:$AX$507,1),"")</f>
        <v/>
      </c>
      <c r="AZ468" s="104" t="str">
        <f aca="false">IF(ISBLANK($C468),"",$B468)</f>
        <v/>
      </c>
      <c r="BA468" s="104" t="str">
        <f aca="false">IF(ISBLANK($C468),"",$C468)</f>
        <v/>
      </c>
      <c r="BB468" s="104" t="str">
        <f aca="false">IF(ISBLANK($C468),"",$D468)</f>
        <v/>
      </c>
      <c r="BC468" s="105" t="str">
        <f aca="false">AQ468</f>
        <v/>
      </c>
      <c r="BD468" s="106" t="str">
        <f aca="false">AP468</f>
        <v/>
      </c>
      <c r="BE468" s="104" t="str">
        <f aca="false">IF(ISBLANK($C468),"",AS468)</f>
        <v/>
      </c>
      <c r="BF468" s="107" t="str">
        <f aca="false">IF($AW468&gt;$AV$7,"",VLOOKUP($AW468,$AY$8:$BE$507,7,FALSE()))</f>
        <v/>
      </c>
      <c r="BG468" s="108" t="str">
        <f aca="false">IF($AW468&gt;$AV$7,"",VLOOKUP($AW468,$AY$8:$BE$507,2,FALSE()))</f>
        <v/>
      </c>
      <c r="BH468" s="108" t="str">
        <f aca="false">IF($AW468&gt;$AV$7,"",VLOOKUP($AW468,$AY$8:$BE$507,3,FALSE()))</f>
        <v/>
      </c>
      <c r="BI468" s="108" t="str">
        <f aca="false">IF($AW468&gt;$AV$7,"",VLOOKUP($AW468,$AY$8:$BE$507,4,FALSE()))</f>
        <v/>
      </c>
      <c r="BJ468" s="108" t="str">
        <f aca="false">IF($AW468&gt;$AV$7,"",VLOOKUP($AW468,$AY$8:$BE$507,5,FALSE()))</f>
        <v/>
      </c>
      <c r="BK468" s="109" t="str">
        <f aca="false">IF($AW468&gt;$AV$7,"",VLOOKUP($AW468,$AY$8:$BE$507,6,FALSE()))</f>
        <v/>
      </c>
      <c r="BL468" s="50"/>
    </row>
    <row r="469" customFormat="false" ht="15.75" hidden="false" customHeight="false" outlineLevel="0" collapsed="false">
      <c r="A469" s="5"/>
      <c r="B469" s="124"/>
      <c r="C469" s="125"/>
      <c r="D469" s="110"/>
      <c r="E469" s="130"/>
      <c r="F469" s="135"/>
      <c r="G469" s="88"/>
      <c r="H469" s="136"/>
      <c r="I469" s="137"/>
      <c r="J469" s="91"/>
      <c r="K469" s="92"/>
      <c r="L469" s="137"/>
      <c r="M469" s="93"/>
      <c r="N469" s="94"/>
      <c r="O469" s="130"/>
      <c r="P469" s="96"/>
      <c r="Q469" s="97" t="str">
        <f aca="false">IF(ISBLANK($C469),"",IF(E469=Constants!$B$2, TRUE(), IF(E469=Constants!$B$3, FALSE(), TRUE())))</f>
        <v/>
      </c>
      <c r="R469" s="97" t="str">
        <f aca="false">IF(ISBLANK($C469),"",IF(F469=Constants!$B$2, TRUE(), IF(F469=Constants!$B$3, FALSE(), TRUE())))</f>
        <v/>
      </c>
      <c r="S469" s="97" t="str">
        <f aca="false">IF(ISBLANK($C469),"",IF(G469=Constants!$B$15,Constants!$B$8,IF(G469=Constants!$B$16,Constants!$B$9,Constants!$B$10)))</f>
        <v/>
      </c>
      <c r="T469" s="97" t="str">
        <f aca="false">IF(ISBLANK($C469),"",IF(H469=Constants!$B$2, TRUE(), IF(H469=Constants!$B$3, FALSE(), TRUE())))</f>
        <v/>
      </c>
      <c r="U469" s="97" t="str">
        <f aca="false">IF(ISBLANK($C469),"",IF(I469=Constants!$B$19,Constants!$B$19,Constants!$B$18))</f>
        <v/>
      </c>
      <c r="V469" s="97" t="str">
        <f aca="false">IF(ISBLANK($C469),"",IF(COUNTA(J469:K469)=0,"",IF(AND(OR(ISBLANK(J469),AND(ISNUMBER(J469),J469&gt;=0)),OR(ISBLANK(K469),AND(ISNUMBER(K469),K469&gt;=0))),60*IF(ISBLANK(J469),0,J469)+IF(ISBLANK(K469),0,K469),"")))</f>
        <v/>
      </c>
      <c r="W469" s="97" t="str">
        <f aca="false">IF(ISBLANK($C469),"",IF(L469=Constants!$B$19,Constants!$B$19,Constants!$B$18))</f>
        <v/>
      </c>
      <c r="X469" s="97" t="str">
        <f aca="false">IF(ISBLANK($C469),"",IF(COUNTA(M469:N469)=0,"",IF(AND(OR(ISBLANK(M469),AND(ISNUMBER(M469),M469&gt;=0)),OR(ISBLANK(N469),AND(ISNUMBER(N469),N469&gt;=0))),60*IF(ISBLANK(M469),0,M469)+IF(ISBLANK(N469),0,N469),"")))</f>
        <v/>
      </c>
      <c r="Y469" s="97" t="str">
        <f aca="false">IF(ISBLANK($C469),"",IF(O469=Constants!$B$2, TRUE(), IF(O469=Constants!$B$3, FALSE(), FALSE())))</f>
        <v/>
      </c>
      <c r="Z469" s="97" t="str">
        <f aca="false">IF(ISBLANK($C469),"",IF(Y469,Constants!$B$4,IF(COUNTA(E469:N469)=0,Constants!$B$5,IF(COUNTA(J469:K469,M469:N469)=0,Constants!$B$6,Constants!$B$7))))</f>
        <v/>
      </c>
      <c r="AA469" s="97" t="str">
        <f aca="false">IF(ISBLANK($C469),"",IF($Z469&lt;&gt;Constants!$B$7,$Z469,IF(OR(NOT(T469),AND(NOT(Q469),COUNTIFS(U469:W469,Constants!$B$18,V469:X469,"&gt;=0")&gt;0),AND(NOT(R469),COUNTIFS(U469:W469,Constants!$B$19,V469:X469,"&gt;=0")&gt;0)),Constants!$B$12,Constants!$B$11)))</f>
        <v/>
      </c>
      <c r="AB469" s="97" t="str">
        <f aca="false">IF($Z469=Constants!$B$7,IF(V469="",Constants!$B$13,V469),"")</f>
        <v/>
      </c>
      <c r="AC469" s="97" t="str">
        <f aca="false">IF($Z469=Constants!$B$7,IF(X469="",Constants!$B$13,X469),"")</f>
        <v/>
      </c>
      <c r="AD469" s="97" t="str">
        <f aca="false">IF($Z469=Constants!$B$7,IF($AB469&gt;=$AC469,1,2),"")</f>
        <v/>
      </c>
      <c r="AE469" s="97" t="str">
        <f aca="false">IF($Z469=Constants!$B$7,LARGE(AB469:AC469,1),"")</f>
        <v/>
      </c>
      <c r="AF469" s="97" t="str">
        <f aca="false">IF(ISBLANK($C469),"",IF($Z469&lt;&gt;Constants!$B$7,$Z469,AE469*S469))</f>
        <v/>
      </c>
      <c r="AG469" s="97" t="str">
        <f aca="false">IF(ISBLANK($C469),"",IF($Z469=Constants!$B$7,IF(ISNUMBER(AF469),RANK(AF469,$AF$8:$AF$507),Constants!$B$14),$Z469))</f>
        <v/>
      </c>
      <c r="AH469" s="97" t="str">
        <f aca="false">IF(ISBLANK($C469),"",IF($Z469=Constants!$B$7,IF(ISNUMBER(AG469),COUNTIFS($AA$8:$AA$507,"&lt;"&amp;$AA469)+COUNTIFS($AA$8:$AA$507,$AA469,$AG$8:$AG$507,"&lt;"&amp;$AG469)+1,Constants!$B$14),$Z469))</f>
        <v/>
      </c>
      <c r="AI469" s="97" t="str">
        <f aca="false">IF(ISBLANK($C469),"",IF($Z469=Constants!$B$7,LARGE(AB469:AC469,2)*S469,""))</f>
        <v/>
      </c>
      <c r="AJ469" s="97" t="str">
        <f aca="false">IF(ISBLANK($C469),"",IF($Z469=Constants!$B$7,RANK(AI469,$AI$8:$AI$507),$Z469))</f>
        <v/>
      </c>
      <c r="AK469" s="97" t="str">
        <f aca="false">IF(ISBLANK($C469),"",IF($Z469=Constants!$B$7,IF(ISNUMBER(AG469),COUNTIFS($AA$8:$AA$507,"&lt;"&amp;$AA469)+COUNTIFS($AA$8:$AA$507,$AA469,$AG$8:$AG$507,"&lt;"&amp;$AG469)+COUNTIFS($AA$8:$AA$507,$AA469,$AG$8:$AG$507,$AG469,$AJ$8:$AJ$507,"&lt;"&amp;$AJ469)+1,Constants!$B$14),$Z469))</f>
        <v/>
      </c>
      <c r="AL469" s="97" t="str">
        <f aca="false">IF(ISBLANK($C469),"",IF($Z469=Constants!$B$7,IF(ISNUMBER(AH469),AH469-AK469,Constants!$B$14),$Z469))</f>
        <v/>
      </c>
      <c r="AM469" s="98"/>
      <c r="AN469" s="99" t="str">
        <f aca="false">IF(ISBLANK($C469),"",IF($Z469&lt;&gt;Constants!$B$7,$Z469,AD469))</f>
        <v/>
      </c>
      <c r="AO469" s="100" t="str">
        <f aca="false">IF(ISBLANK($C469),"",IF($Z469&lt;&gt;Constants!$B$7,$Z469,S469))</f>
        <v/>
      </c>
      <c r="AP469" s="101" t="str">
        <f aca="false">IF(ISBLANK($C469),"",IF($Z469&lt;&gt;Constants!$B$7,$Z469,AF469))</f>
        <v/>
      </c>
      <c r="AQ469" s="102" t="str">
        <f aca="false">IF(ISBLANK($C469),"",IF($Z469&lt;&gt;Constants!$B$7,$Z469,AA469))</f>
        <v/>
      </c>
      <c r="AR469" s="100" t="str">
        <f aca="false">IF(ISBLANK($C469),"",AL469)</f>
        <v/>
      </c>
      <c r="AS469" s="100" t="str">
        <f aca="false">IF(ISBLANK($C469),"",AK469)</f>
        <v/>
      </c>
      <c r="AT469" s="103" t="str">
        <f aca="false">IF(ISBLANK($C469),"",IF(AS469=Constants!$B$4,COUNTA($C$8:$C$507)+2,IF(AS469=Constants!$B$5,COUNTA($C$8:$C$507)+1,IF(AS469=Constants!$B$6,COUNTA($C$8:$C$507),AS469))))</f>
        <v/>
      </c>
      <c r="AU469" s="5"/>
      <c r="AV469" s="104" t="n">
        <f aca="false">IF(OR(ISNUMBER(AS469),AS469=Constants!$B$4,AS469=Constants!$B$6,AS469=Constants!$B$5),1,0)</f>
        <v>0</v>
      </c>
      <c r="AW469" s="104" t="n">
        <v>462</v>
      </c>
      <c r="AX469" s="104" t="str">
        <f aca="false">IF(ISBLANK($C469),"",IF(ISNUMBER(AT469),AT469+ROW($B469)/1000,""))</f>
        <v/>
      </c>
      <c r="AY469" s="104" t="str">
        <f aca="false">IF(ISNUMBER(AX469),RANK(AX469,$AX$8:$AX$507,1),"")</f>
        <v/>
      </c>
      <c r="AZ469" s="104" t="str">
        <f aca="false">IF(ISBLANK($C469),"",$B469)</f>
        <v/>
      </c>
      <c r="BA469" s="104" t="str">
        <f aca="false">IF(ISBLANK($C469),"",$C469)</f>
        <v/>
      </c>
      <c r="BB469" s="104" t="str">
        <f aca="false">IF(ISBLANK($C469),"",$D469)</f>
        <v/>
      </c>
      <c r="BC469" s="105" t="str">
        <f aca="false">AQ469</f>
        <v/>
      </c>
      <c r="BD469" s="106" t="str">
        <f aca="false">AP469</f>
        <v/>
      </c>
      <c r="BE469" s="104" t="str">
        <f aca="false">IF(ISBLANK($C469),"",AS469)</f>
        <v/>
      </c>
      <c r="BF469" s="107" t="str">
        <f aca="false">IF($AW469&gt;$AV$7,"",VLOOKUP($AW469,$AY$8:$BE$507,7,FALSE()))</f>
        <v/>
      </c>
      <c r="BG469" s="108" t="str">
        <f aca="false">IF($AW469&gt;$AV$7,"",VLOOKUP($AW469,$AY$8:$BE$507,2,FALSE()))</f>
        <v/>
      </c>
      <c r="BH469" s="108" t="str">
        <f aca="false">IF($AW469&gt;$AV$7,"",VLOOKUP($AW469,$AY$8:$BE$507,3,FALSE()))</f>
        <v/>
      </c>
      <c r="BI469" s="108" t="str">
        <f aca="false">IF($AW469&gt;$AV$7,"",VLOOKUP($AW469,$AY$8:$BE$507,4,FALSE()))</f>
        <v/>
      </c>
      <c r="BJ469" s="108" t="str">
        <f aca="false">IF($AW469&gt;$AV$7,"",VLOOKUP($AW469,$AY$8:$BE$507,5,FALSE()))</f>
        <v/>
      </c>
      <c r="BK469" s="109" t="str">
        <f aca="false">IF($AW469&gt;$AV$7,"",VLOOKUP($AW469,$AY$8:$BE$507,6,FALSE()))</f>
        <v/>
      </c>
      <c r="BL469" s="50"/>
    </row>
    <row r="470" customFormat="false" ht="15.75" hidden="false" customHeight="false" outlineLevel="0" collapsed="false">
      <c r="A470" s="5"/>
      <c r="B470" s="131"/>
      <c r="C470" s="52"/>
      <c r="D470" s="53"/>
      <c r="E470" s="80"/>
      <c r="F470" s="132"/>
      <c r="G470" s="56"/>
      <c r="H470" s="133"/>
      <c r="I470" s="134"/>
      <c r="J470" s="59"/>
      <c r="K470" s="60"/>
      <c r="L470" s="134"/>
      <c r="M470" s="61"/>
      <c r="N470" s="62"/>
      <c r="O470" s="80"/>
      <c r="P470" s="64"/>
      <c r="Q470" s="65" t="str">
        <f aca="false">IF(ISBLANK($C470),"",IF(E470=Constants!$B$2, TRUE(), IF(E470=Constants!$B$3, FALSE(), TRUE())))</f>
        <v/>
      </c>
      <c r="R470" s="65" t="str">
        <f aca="false">IF(ISBLANK($C470),"",IF(F470=Constants!$B$2, TRUE(), IF(F470=Constants!$B$3, FALSE(), TRUE())))</f>
        <v/>
      </c>
      <c r="S470" s="65" t="str">
        <f aca="false">IF(ISBLANK($C470),"",IF(G470=Constants!$B$15,Constants!$B$8,IF(G470=Constants!$B$16,Constants!$B$9,Constants!$B$10)))</f>
        <v/>
      </c>
      <c r="T470" s="65" t="str">
        <f aca="false">IF(ISBLANK($C470),"",IF(H470=Constants!$B$2, TRUE(), IF(H470=Constants!$B$3, FALSE(), TRUE())))</f>
        <v/>
      </c>
      <c r="U470" s="65" t="str">
        <f aca="false">IF(ISBLANK($C470),"",IF(I470=Constants!$B$19,Constants!$B$19,Constants!$B$18))</f>
        <v/>
      </c>
      <c r="V470" s="65" t="str">
        <f aca="false">IF(ISBLANK($C470),"",IF(COUNTA(J470:K470)=0,"",IF(AND(OR(ISBLANK(J470),AND(ISNUMBER(J470),J470&gt;=0)),OR(ISBLANK(K470),AND(ISNUMBER(K470),K470&gt;=0))),60*IF(ISBLANK(J470),0,J470)+IF(ISBLANK(K470),0,K470),"")))</f>
        <v/>
      </c>
      <c r="W470" s="65" t="str">
        <f aca="false">IF(ISBLANK($C470),"",IF(L470=Constants!$B$19,Constants!$B$19,Constants!$B$18))</f>
        <v/>
      </c>
      <c r="X470" s="65" t="str">
        <f aca="false">IF(ISBLANK($C470),"",IF(COUNTA(M470:N470)=0,"",IF(AND(OR(ISBLANK(M470),AND(ISNUMBER(M470),M470&gt;=0)),OR(ISBLANK(N470),AND(ISNUMBER(N470),N470&gt;=0))),60*IF(ISBLANK(M470),0,M470)+IF(ISBLANK(N470),0,N470),"")))</f>
        <v/>
      </c>
      <c r="Y470" s="65" t="str">
        <f aca="false">IF(ISBLANK($C470),"",IF(O470=Constants!$B$2, TRUE(), IF(O470=Constants!$B$3, FALSE(), FALSE())))</f>
        <v/>
      </c>
      <c r="Z470" s="65" t="str">
        <f aca="false">IF(ISBLANK($C470),"",IF(Y470,Constants!$B$4,IF(COUNTA(E470:N470)=0,Constants!$B$5,IF(COUNTA(J470:K470,M470:N470)=0,Constants!$B$6,Constants!$B$7))))</f>
        <v/>
      </c>
      <c r="AA470" s="65" t="str">
        <f aca="false">IF(ISBLANK($C470),"",IF($Z470&lt;&gt;Constants!$B$7,$Z470,IF(OR(NOT(T470),AND(NOT(Q470),COUNTIFS(U470:W470,Constants!$B$18,V470:X470,"&gt;=0")&gt;0),AND(NOT(R470),COUNTIFS(U470:W470,Constants!$B$19,V470:X470,"&gt;=0")&gt;0)),Constants!$B$12,Constants!$B$11)))</f>
        <v/>
      </c>
      <c r="AB470" s="65" t="str">
        <f aca="false">IF($Z470=Constants!$B$7,IF(V470="",Constants!$B$13,V470),"")</f>
        <v/>
      </c>
      <c r="AC470" s="65" t="str">
        <f aca="false">IF($Z470=Constants!$B$7,IF(X470="",Constants!$B$13,X470),"")</f>
        <v/>
      </c>
      <c r="AD470" s="65" t="str">
        <f aca="false">IF($Z470=Constants!$B$7,IF($AB470&gt;=$AC470,1,2),"")</f>
        <v/>
      </c>
      <c r="AE470" s="65" t="str">
        <f aca="false">IF($Z470=Constants!$B$7,LARGE(AB470:AC470,1),"")</f>
        <v/>
      </c>
      <c r="AF470" s="65" t="str">
        <f aca="false">IF(ISBLANK($C470),"",IF($Z470&lt;&gt;Constants!$B$7,$Z470,AE470*S470))</f>
        <v/>
      </c>
      <c r="AG470" s="65" t="str">
        <f aca="false">IF(ISBLANK($C470),"",IF($Z470=Constants!$B$7,IF(ISNUMBER(AF470),RANK(AF470,$AF$8:$AF$507),Constants!$B$14),$Z470))</f>
        <v/>
      </c>
      <c r="AH470" s="65" t="str">
        <f aca="false">IF(ISBLANK($C470),"",IF($Z470=Constants!$B$7,IF(ISNUMBER(AG470),COUNTIFS($AA$8:$AA$507,"&lt;"&amp;$AA470)+COUNTIFS($AA$8:$AA$507,$AA470,$AG$8:$AG$507,"&lt;"&amp;$AG470)+1,Constants!$B$14),$Z470))</f>
        <v/>
      </c>
      <c r="AI470" s="65" t="str">
        <f aca="false">IF(ISBLANK($C470),"",IF($Z470=Constants!$B$7,LARGE(AB470:AC470,2)*S470,""))</f>
        <v/>
      </c>
      <c r="AJ470" s="65" t="str">
        <f aca="false">IF(ISBLANK($C470),"",IF($Z470=Constants!$B$7,RANK(AI470,$AI$8:$AI$507),$Z470))</f>
        <v/>
      </c>
      <c r="AK470" s="65" t="str">
        <f aca="false">IF(ISBLANK($C470),"",IF($Z470=Constants!$B$7,IF(ISNUMBER(AG470),COUNTIFS($AA$8:$AA$507,"&lt;"&amp;$AA470)+COUNTIFS($AA$8:$AA$507,$AA470,$AG$8:$AG$507,"&lt;"&amp;$AG470)+COUNTIFS($AA$8:$AA$507,$AA470,$AG$8:$AG$507,$AG470,$AJ$8:$AJ$507,"&lt;"&amp;$AJ470)+1,Constants!$B$14),$Z470))</f>
        <v/>
      </c>
      <c r="AL470" s="65" t="str">
        <f aca="false">IF(ISBLANK($C470),"",IF($Z470=Constants!$B$7,IF(ISNUMBER(AH470),AH470-AK470,Constants!$B$14),$Z470))</f>
        <v/>
      </c>
      <c r="AM470" s="67"/>
      <c r="AN470" s="68" t="str">
        <f aca="false">IF(ISBLANK($C470),"",IF($Z470&lt;&gt;Constants!$B$7,$Z470,AD470))</f>
        <v/>
      </c>
      <c r="AO470" s="69" t="str">
        <f aca="false">IF(ISBLANK($C470),"",IF($Z470&lt;&gt;Constants!$B$7,$Z470,S470))</f>
        <v/>
      </c>
      <c r="AP470" s="70" t="str">
        <f aca="false">IF(ISBLANK($C470),"",IF($Z470&lt;&gt;Constants!$B$7,$Z470,AF470))</f>
        <v/>
      </c>
      <c r="AQ470" s="71" t="str">
        <f aca="false">IF(ISBLANK($C470),"",IF($Z470&lt;&gt;Constants!$B$7,$Z470,AA470))</f>
        <v/>
      </c>
      <c r="AR470" s="69" t="str">
        <f aca="false">IF(ISBLANK($C470),"",AL470)</f>
        <v/>
      </c>
      <c r="AS470" s="69" t="str">
        <f aca="false">IF(ISBLANK($C470),"",AK470)</f>
        <v/>
      </c>
      <c r="AT470" s="72" t="str">
        <f aca="false">IF(ISBLANK($C470),"",IF(AS470=Constants!$B$4,COUNTA($C$8:$C$507)+2,IF(AS470=Constants!$B$5,COUNTA($C$8:$C$507)+1,IF(AS470=Constants!$B$6,COUNTA($C$8:$C$507),AS470))))</f>
        <v/>
      </c>
      <c r="AU470" s="5"/>
      <c r="AV470" s="73" t="n">
        <f aca="false">IF(OR(ISNUMBER(AS470),AS470=Constants!$B$4,AS470=Constants!$B$6,AS470=Constants!$B$5),1,0)</f>
        <v>0</v>
      </c>
      <c r="AW470" s="73" t="n">
        <v>463</v>
      </c>
      <c r="AX470" s="73" t="str">
        <f aca="false">IF(ISBLANK($C470),"",IF(ISNUMBER(AT470),AT470+ROW($B470)/1000,""))</f>
        <v/>
      </c>
      <c r="AY470" s="73" t="str">
        <f aca="false">IF(ISNUMBER(AX470),RANK(AX470,$AX$8:$AX$507,1),"")</f>
        <v/>
      </c>
      <c r="AZ470" s="73" t="str">
        <f aca="false">IF(ISBLANK($C470),"",$B470)</f>
        <v/>
      </c>
      <c r="BA470" s="73" t="str">
        <f aca="false">IF(ISBLANK($C470),"",$C470)</f>
        <v/>
      </c>
      <c r="BB470" s="73" t="str">
        <f aca="false">IF(ISBLANK($C470),"",$D470)</f>
        <v/>
      </c>
      <c r="BC470" s="74" t="str">
        <f aca="false">AQ470</f>
        <v/>
      </c>
      <c r="BD470" s="75" t="str">
        <f aca="false">AP470</f>
        <v/>
      </c>
      <c r="BE470" s="73" t="str">
        <f aca="false">IF(ISBLANK($C470),"",AS470)</f>
        <v/>
      </c>
      <c r="BF470" s="76" t="str">
        <f aca="false">IF($AW470&gt;$AV$7,"",VLOOKUP($AW470,$AY$8:$BE$507,7,FALSE()))</f>
        <v/>
      </c>
      <c r="BG470" s="77" t="str">
        <f aca="false">IF($AW470&gt;$AV$7,"",VLOOKUP($AW470,$AY$8:$BE$507,2,FALSE()))</f>
        <v/>
      </c>
      <c r="BH470" s="77" t="str">
        <f aca="false">IF($AW470&gt;$AV$7,"",VLOOKUP($AW470,$AY$8:$BE$507,3,FALSE()))</f>
        <v/>
      </c>
      <c r="BI470" s="77" t="str">
        <f aca="false">IF($AW470&gt;$AV$7,"",VLOOKUP($AW470,$AY$8:$BE$507,4,FALSE()))</f>
        <v/>
      </c>
      <c r="BJ470" s="77" t="str">
        <f aca="false">IF($AW470&gt;$AV$7,"",VLOOKUP($AW470,$AY$8:$BE$507,5,FALSE()))</f>
        <v/>
      </c>
      <c r="BK470" s="78" t="str">
        <f aca="false">IF($AW470&gt;$AV$7,"",VLOOKUP($AW470,$AY$8:$BE$507,6,FALSE()))</f>
        <v/>
      </c>
      <c r="BL470" s="50"/>
    </row>
    <row r="471" customFormat="false" ht="15.75" hidden="false" customHeight="false" outlineLevel="0" collapsed="false">
      <c r="A471" s="5"/>
      <c r="B471" s="131"/>
      <c r="C471" s="52"/>
      <c r="D471" s="53"/>
      <c r="E471" s="80"/>
      <c r="F471" s="132"/>
      <c r="G471" s="56"/>
      <c r="H471" s="133"/>
      <c r="I471" s="134"/>
      <c r="J471" s="59"/>
      <c r="K471" s="60"/>
      <c r="L471" s="134"/>
      <c r="M471" s="61"/>
      <c r="N471" s="62"/>
      <c r="O471" s="80"/>
      <c r="P471" s="64"/>
      <c r="Q471" s="65" t="str">
        <f aca="false">IF(ISBLANK($C471),"",IF(E471=Constants!$B$2, TRUE(), IF(E471=Constants!$B$3, FALSE(), TRUE())))</f>
        <v/>
      </c>
      <c r="R471" s="65" t="str">
        <f aca="false">IF(ISBLANK($C471),"",IF(F471=Constants!$B$2, TRUE(), IF(F471=Constants!$B$3, FALSE(), TRUE())))</f>
        <v/>
      </c>
      <c r="S471" s="65" t="str">
        <f aca="false">IF(ISBLANK($C471),"",IF(G471=Constants!$B$15,Constants!$B$8,IF(G471=Constants!$B$16,Constants!$B$9,Constants!$B$10)))</f>
        <v/>
      </c>
      <c r="T471" s="65" t="str">
        <f aca="false">IF(ISBLANK($C471),"",IF(H471=Constants!$B$2, TRUE(), IF(H471=Constants!$B$3, FALSE(), TRUE())))</f>
        <v/>
      </c>
      <c r="U471" s="65" t="str">
        <f aca="false">IF(ISBLANK($C471),"",IF(I471=Constants!$B$19,Constants!$B$19,Constants!$B$18))</f>
        <v/>
      </c>
      <c r="V471" s="65" t="str">
        <f aca="false">IF(ISBLANK($C471),"",IF(COUNTA(J471:K471)=0,"",IF(AND(OR(ISBLANK(J471),AND(ISNUMBER(J471),J471&gt;=0)),OR(ISBLANK(K471),AND(ISNUMBER(K471),K471&gt;=0))),60*IF(ISBLANK(J471),0,J471)+IF(ISBLANK(K471),0,K471),"")))</f>
        <v/>
      </c>
      <c r="W471" s="65" t="str">
        <f aca="false">IF(ISBLANK($C471),"",IF(L471=Constants!$B$19,Constants!$B$19,Constants!$B$18))</f>
        <v/>
      </c>
      <c r="X471" s="65" t="str">
        <f aca="false">IF(ISBLANK($C471),"",IF(COUNTA(M471:N471)=0,"",IF(AND(OR(ISBLANK(M471),AND(ISNUMBER(M471),M471&gt;=0)),OR(ISBLANK(N471),AND(ISNUMBER(N471),N471&gt;=0))),60*IF(ISBLANK(M471),0,M471)+IF(ISBLANK(N471),0,N471),"")))</f>
        <v/>
      </c>
      <c r="Y471" s="65" t="str">
        <f aca="false">IF(ISBLANK($C471),"",IF(O471=Constants!$B$2, TRUE(), IF(O471=Constants!$B$3, FALSE(), FALSE())))</f>
        <v/>
      </c>
      <c r="Z471" s="65" t="str">
        <f aca="false">IF(ISBLANK($C471),"",IF(Y471,Constants!$B$4,IF(COUNTA(E471:N471)=0,Constants!$B$5,IF(COUNTA(J471:K471,M471:N471)=0,Constants!$B$6,Constants!$B$7))))</f>
        <v/>
      </c>
      <c r="AA471" s="65" t="str">
        <f aca="false">IF(ISBLANK($C471),"",IF($Z471&lt;&gt;Constants!$B$7,$Z471,IF(OR(NOT(T471),AND(NOT(Q471),COUNTIFS(U471:W471,Constants!$B$18,V471:X471,"&gt;=0")&gt;0),AND(NOT(R471),COUNTIFS(U471:W471,Constants!$B$19,V471:X471,"&gt;=0")&gt;0)),Constants!$B$12,Constants!$B$11)))</f>
        <v/>
      </c>
      <c r="AB471" s="65" t="str">
        <f aca="false">IF($Z471=Constants!$B$7,IF(V471="",Constants!$B$13,V471),"")</f>
        <v/>
      </c>
      <c r="AC471" s="65" t="str">
        <f aca="false">IF($Z471=Constants!$B$7,IF(X471="",Constants!$B$13,X471),"")</f>
        <v/>
      </c>
      <c r="AD471" s="65" t="str">
        <f aca="false">IF($Z471=Constants!$B$7,IF($AB471&gt;=$AC471,1,2),"")</f>
        <v/>
      </c>
      <c r="AE471" s="65" t="str">
        <f aca="false">IF($Z471=Constants!$B$7,LARGE(AB471:AC471,1),"")</f>
        <v/>
      </c>
      <c r="AF471" s="65" t="str">
        <f aca="false">IF(ISBLANK($C471),"",IF($Z471&lt;&gt;Constants!$B$7,$Z471,AE471*S471))</f>
        <v/>
      </c>
      <c r="AG471" s="65" t="str">
        <f aca="false">IF(ISBLANK($C471),"",IF($Z471=Constants!$B$7,IF(ISNUMBER(AF471),RANK(AF471,$AF$8:$AF$507),Constants!$B$14),$Z471))</f>
        <v/>
      </c>
      <c r="AH471" s="65" t="str">
        <f aca="false">IF(ISBLANK($C471),"",IF($Z471=Constants!$B$7,IF(ISNUMBER(AG471),COUNTIFS($AA$8:$AA$507,"&lt;"&amp;$AA471)+COUNTIFS($AA$8:$AA$507,$AA471,$AG$8:$AG$507,"&lt;"&amp;$AG471)+1,Constants!$B$14),$Z471))</f>
        <v/>
      </c>
      <c r="AI471" s="65" t="str">
        <f aca="false">IF(ISBLANK($C471),"",IF($Z471=Constants!$B$7,LARGE(AB471:AC471,2)*S471,""))</f>
        <v/>
      </c>
      <c r="AJ471" s="65" t="str">
        <f aca="false">IF(ISBLANK($C471),"",IF($Z471=Constants!$B$7,RANK(AI471,$AI$8:$AI$507),$Z471))</f>
        <v/>
      </c>
      <c r="AK471" s="65" t="str">
        <f aca="false">IF(ISBLANK($C471),"",IF($Z471=Constants!$B$7,IF(ISNUMBER(AG471),COUNTIFS($AA$8:$AA$507,"&lt;"&amp;$AA471)+COUNTIFS($AA$8:$AA$507,$AA471,$AG$8:$AG$507,"&lt;"&amp;$AG471)+COUNTIFS($AA$8:$AA$507,$AA471,$AG$8:$AG$507,$AG471,$AJ$8:$AJ$507,"&lt;"&amp;$AJ471)+1,Constants!$B$14),$Z471))</f>
        <v/>
      </c>
      <c r="AL471" s="65" t="str">
        <f aca="false">IF(ISBLANK($C471),"",IF($Z471=Constants!$B$7,IF(ISNUMBER(AH471),AH471-AK471,Constants!$B$14),$Z471))</f>
        <v/>
      </c>
      <c r="AM471" s="67"/>
      <c r="AN471" s="68" t="str">
        <f aca="false">IF(ISBLANK($C471),"",IF($Z471&lt;&gt;Constants!$B$7,$Z471,AD471))</f>
        <v/>
      </c>
      <c r="AO471" s="69" t="str">
        <f aca="false">IF(ISBLANK($C471),"",IF($Z471&lt;&gt;Constants!$B$7,$Z471,S471))</f>
        <v/>
      </c>
      <c r="AP471" s="70" t="str">
        <f aca="false">IF(ISBLANK($C471),"",IF($Z471&lt;&gt;Constants!$B$7,$Z471,AF471))</f>
        <v/>
      </c>
      <c r="AQ471" s="71" t="str">
        <f aca="false">IF(ISBLANK($C471),"",IF($Z471&lt;&gt;Constants!$B$7,$Z471,AA471))</f>
        <v/>
      </c>
      <c r="AR471" s="69" t="str">
        <f aca="false">IF(ISBLANK($C471),"",AL471)</f>
        <v/>
      </c>
      <c r="AS471" s="69" t="str">
        <f aca="false">IF(ISBLANK($C471),"",AK471)</f>
        <v/>
      </c>
      <c r="AT471" s="72" t="str">
        <f aca="false">IF(ISBLANK($C471),"",IF(AS471=Constants!$B$4,COUNTA($C$8:$C$507)+2,IF(AS471=Constants!$B$5,COUNTA($C$8:$C$507)+1,IF(AS471=Constants!$B$6,COUNTA($C$8:$C$507),AS471))))</f>
        <v/>
      </c>
      <c r="AU471" s="5"/>
      <c r="AV471" s="73" t="n">
        <f aca="false">IF(OR(ISNUMBER(AS471),AS471=Constants!$B$4,AS471=Constants!$B$6,AS471=Constants!$B$5),1,0)</f>
        <v>0</v>
      </c>
      <c r="AW471" s="73" t="n">
        <v>464</v>
      </c>
      <c r="AX471" s="73" t="str">
        <f aca="false">IF(ISBLANK($C471),"",IF(ISNUMBER(AT471),AT471+ROW($B471)/1000,""))</f>
        <v/>
      </c>
      <c r="AY471" s="73" t="str">
        <f aca="false">IF(ISNUMBER(AX471),RANK(AX471,$AX$8:$AX$507,1),"")</f>
        <v/>
      </c>
      <c r="AZ471" s="73" t="str">
        <f aca="false">IF(ISBLANK($C471),"",$B471)</f>
        <v/>
      </c>
      <c r="BA471" s="73" t="str">
        <f aca="false">IF(ISBLANK($C471),"",$C471)</f>
        <v/>
      </c>
      <c r="BB471" s="73" t="str">
        <f aca="false">IF(ISBLANK($C471),"",$D471)</f>
        <v/>
      </c>
      <c r="BC471" s="74" t="str">
        <f aca="false">AQ471</f>
        <v/>
      </c>
      <c r="BD471" s="75" t="str">
        <f aca="false">AP471</f>
        <v/>
      </c>
      <c r="BE471" s="73" t="str">
        <f aca="false">IF(ISBLANK($C471),"",AS471)</f>
        <v/>
      </c>
      <c r="BF471" s="76" t="str">
        <f aca="false">IF($AW471&gt;$AV$7,"",VLOOKUP($AW471,$AY$8:$BE$507,7,FALSE()))</f>
        <v/>
      </c>
      <c r="BG471" s="77" t="str">
        <f aca="false">IF($AW471&gt;$AV$7,"",VLOOKUP($AW471,$AY$8:$BE$507,2,FALSE()))</f>
        <v/>
      </c>
      <c r="BH471" s="77" t="str">
        <f aca="false">IF($AW471&gt;$AV$7,"",VLOOKUP($AW471,$AY$8:$BE$507,3,FALSE()))</f>
        <v/>
      </c>
      <c r="BI471" s="77" t="str">
        <f aca="false">IF($AW471&gt;$AV$7,"",VLOOKUP($AW471,$AY$8:$BE$507,4,FALSE()))</f>
        <v/>
      </c>
      <c r="BJ471" s="77" t="str">
        <f aca="false">IF($AW471&gt;$AV$7,"",VLOOKUP($AW471,$AY$8:$BE$507,5,FALSE()))</f>
        <v/>
      </c>
      <c r="BK471" s="78" t="str">
        <f aca="false">IF($AW471&gt;$AV$7,"",VLOOKUP($AW471,$AY$8:$BE$507,6,FALSE()))</f>
        <v/>
      </c>
      <c r="BL471" s="50"/>
    </row>
    <row r="472" customFormat="false" ht="15.75" hidden="false" customHeight="false" outlineLevel="0" collapsed="false">
      <c r="A472" s="5"/>
      <c r="B472" s="131"/>
      <c r="C472" s="52"/>
      <c r="D472" s="53"/>
      <c r="E472" s="80"/>
      <c r="F472" s="132"/>
      <c r="G472" s="56"/>
      <c r="H472" s="133"/>
      <c r="I472" s="134"/>
      <c r="J472" s="59"/>
      <c r="K472" s="60"/>
      <c r="L472" s="134"/>
      <c r="M472" s="61"/>
      <c r="N472" s="62"/>
      <c r="O472" s="80"/>
      <c r="P472" s="64"/>
      <c r="Q472" s="65" t="str">
        <f aca="false">IF(ISBLANK($C472),"",IF(E472=Constants!$B$2, TRUE(), IF(E472=Constants!$B$3, FALSE(), TRUE())))</f>
        <v/>
      </c>
      <c r="R472" s="65" t="str">
        <f aca="false">IF(ISBLANK($C472),"",IF(F472=Constants!$B$2, TRUE(), IF(F472=Constants!$B$3, FALSE(), TRUE())))</f>
        <v/>
      </c>
      <c r="S472" s="65" t="str">
        <f aca="false">IF(ISBLANK($C472),"",IF(G472=Constants!$B$15,Constants!$B$8,IF(G472=Constants!$B$16,Constants!$B$9,Constants!$B$10)))</f>
        <v/>
      </c>
      <c r="T472" s="65" t="str">
        <f aca="false">IF(ISBLANK($C472),"",IF(H472=Constants!$B$2, TRUE(), IF(H472=Constants!$B$3, FALSE(), TRUE())))</f>
        <v/>
      </c>
      <c r="U472" s="65" t="str">
        <f aca="false">IF(ISBLANK($C472),"",IF(I472=Constants!$B$19,Constants!$B$19,Constants!$B$18))</f>
        <v/>
      </c>
      <c r="V472" s="65" t="str">
        <f aca="false">IF(ISBLANK($C472),"",IF(COUNTA(J472:K472)=0,"",IF(AND(OR(ISBLANK(J472),AND(ISNUMBER(J472),J472&gt;=0)),OR(ISBLANK(K472),AND(ISNUMBER(K472),K472&gt;=0))),60*IF(ISBLANK(J472),0,J472)+IF(ISBLANK(K472),0,K472),"")))</f>
        <v/>
      </c>
      <c r="W472" s="65" t="str">
        <f aca="false">IF(ISBLANK($C472),"",IF(L472=Constants!$B$19,Constants!$B$19,Constants!$B$18))</f>
        <v/>
      </c>
      <c r="X472" s="65" t="str">
        <f aca="false">IF(ISBLANK($C472),"",IF(COUNTA(M472:N472)=0,"",IF(AND(OR(ISBLANK(M472),AND(ISNUMBER(M472),M472&gt;=0)),OR(ISBLANK(N472),AND(ISNUMBER(N472),N472&gt;=0))),60*IF(ISBLANK(M472),0,M472)+IF(ISBLANK(N472),0,N472),"")))</f>
        <v/>
      </c>
      <c r="Y472" s="65" t="str">
        <f aca="false">IF(ISBLANK($C472),"",IF(O472=Constants!$B$2, TRUE(), IF(O472=Constants!$B$3, FALSE(), FALSE())))</f>
        <v/>
      </c>
      <c r="Z472" s="65" t="str">
        <f aca="false">IF(ISBLANK($C472),"",IF(Y472,Constants!$B$4,IF(COUNTA(E472:N472)=0,Constants!$B$5,IF(COUNTA(J472:K472,M472:N472)=0,Constants!$B$6,Constants!$B$7))))</f>
        <v/>
      </c>
      <c r="AA472" s="65" t="str">
        <f aca="false">IF(ISBLANK($C472),"",IF($Z472&lt;&gt;Constants!$B$7,$Z472,IF(OR(NOT(T472),AND(NOT(Q472),COUNTIFS(U472:W472,Constants!$B$18,V472:X472,"&gt;=0")&gt;0),AND(NOT(R472),COUNTIFS(U472:W472,Constants!$B$19,V472:X472,"&gt;=0")&gt;0)),Constants!$B$12,Constants!$B$11)))</f>
        <v/>
      </c>
      <c r="AB472" s="65" t="str">
        <f aca="false">IF($Z472=Constants!$B$7,IF(V472="",Constants!$B$13,V472),"")</f>
        <v/>
      </c>
      <c r="AC472" s="65" t="str">
        <f aca="false">IF($Z472=Constants!$B$7,IF(X472="",Constants!$B$13,X472),"")</f>
        <v/>
      </c>
      <c r="AD472" s="65" t="str">
        <f aca="false">IF($Z472=Constants!$B$7,IF($AB472&gt;=$AC472,1,2),"")</f>
        <v/>
      </c>
      <c r="AE472" s="65" t="str">
        <f aca="false">IF($Z472=Constants!$B$7,LARGE(AB472:AC472,1),"")</f>
        <v/>
      </c>
      <c r="AF472" s="65" t="str">
        <f aca="false">IF(ISBLANK($C472),"",IF($Z472&lt;&gt;Constants!$B$7,$Z472,AE472*S472))</f>
        <v/>
      </c>
      <c r="AG472" s="65" t="str">
        <f aca="false">IF(ISBLANK($C472),"",IF($Z472=Constants!$B$7,IF(ISNUMBER(AF472),RANK(AF472,$AF$8:$AF$507),Constants!$B$14),$Z472))</f>
        <v/>
      </c>
      <c r="AH472" s="65" t="str">
        <f aca="false">IF(ISBLANK($C472),"",IF($Z472=Constants!$B$7,IF(ISNUMBER(AG472),COUNTIFS($AA$8:$AA$507,"&lt;"&amp;$AA472)+COUNTIFS($AA$8:$AA$507,$AA472,$AG$8:$AG$507,"&lt;"&amp;$AG472)+1,Constants!$B$14),$Z472))</f>
        <v/>
      </c>
      <c r="AI472" s="65" t="str">
        <f aca="false">IF(ISBLANK($C472),"",IF($Z472=Constants!$B$7,LARGE(AB472:AC472,2)*S472,""))</f>
        <v/>
      </c>
      <c r="AJ472" s="65" t="str">
        <f aca="false">IF(ISBLANK($C472),"",IF($Z472=Constants!$B$7,RANK(AI472,$AI$8:$AI$507),$Z472))</f>
        <v/>
      </c>
      <c r="AK472" s="65" t="str">
        <f aca="false">IF(ISBLANK($C472),"",IF($Z472=Constants!$B$7,IF(ISNUMBER(AG472),COUNTIFS($AA$8:$AA$507,"&lt;"&amp;$AA472)+COUNTIFS($AA$8:$AA$507,$AA472,$AG$8:$AG$507,"&lt;"&amp;$AG472)+COUNTIFS($AA$8:$AA$507,$AA472,$AG$8:$AG$507,$AG472,$AJ$8:$AJ$507,"&lt;"&amp;$AJ472)+1,Constants!$B$14),$Z472))</f>
        <v/>
      </c>
      <c r="AL472" s="65" t="str">
        <f aca="false">IF(ISBLANK($C472),"",IF($Z472=Constants!$B$7,IF(ISNUMBER(AH472),AH472-AK472,Constants!$B$14),$Z472))</f>
        <v/>
      </c>
      <c r="AM472" s="67"/>
      <c r="AN472" s="68" t="str">
        <f aca="false">IF(ISBLANK($C472),"",IF($Z472&lt;&gt;Constants!$B$7,$Z472,AD472))</f>
        <v/>
      </c>
      <c r="AO472" s="69" t="str">
        <f aca="false">IF(ISBLANK($C472),"",IF($Z472&lt;&gt;Constants!$B$7,$Z472,S472))</f>
        <v/>
      </c>
      <c r="AP472" s="70" t="str">
        <f aca="false">IF(ISBLANK($C472),"",IF($Z472&lt;&gt;Constants!$B$7,$Z472,AF472))</f>
        <v/>
      </c>
      <c r="AQ472" s="71" t="str">
        <f aca="false">IF(ISBLANK($C472),"",IF($Z472&lt;&gt;Constants!$B$7,$Z472,AA472))</f>
        <v/>
      </c>
      <c r="AR472" s="69" t="str">
        <f aca="false">IF(ISBLANK($C472),"",AL472)</f>
        <v/>
      </c>
      <c r="AS472" s="69" t="str">
        <f aca="false">IF(ISBLANK($C472),"",AK472)</f>
        <v/>
      </c>
      <c r="AT472" s="72" t="str">
        <f aca="false">IF(ISBLANK($C472),"",IF(AS472=Constants!$B$4,COUNTA($C$8:$C$507)+2,IF(AS472=Constants!$B$5,COUNTA($C$8:$C$507)+1,IF(AS472=Constants!$B$6,COUNTA($C$8:$C$507),AS472))))</f>
        <v/>
      </c>
      <c r="AU472" s="5"/>
      <c r="AV472" s="73" t="n">
        <f aca="false">IF(OR(ISNUMBER(AS472),AS472=Constants!$B$4,AS472=Constants!$B$6,AS472=Constants!$B$5),1,0)</f>
        <v>0</v>
      </c>
      <c r="AW472" s="73" t="n">
        <v>465</v>
      </c>
      <c r="AX472" s="73" t="str">
        <f aca="false">IF(ISBLANK($C472),"",IF(ISNUMBER(AT472),AT472+ROW($B472)/1000,""))</f>
        <v/>
      </c>
      <c r="AY472" s="73" t="str">
        <f aca="false">IF(ISNUMBER(AX472),RANK(AX472,$AX$8:$AX$507,1),"")</f>
        <v/>
      </c>
      <c r="AZ472" s="73" t="str">
        <f aca="false">IF(ISBLANK($C472),"",$B472)</f>
        <v/>
      </c>
      <c r="BA472" s="73" t="str">
        <f aca="false">IF(ISBLANK($C472),"",$C472)</f>
        <v/>
      </c>
      <c r="BB472" s="73" t="str">
        <f aca="false">IF(ISBLANK($C472),"",$D472)</f>
        <v/>
      </c>
      <c r="BC472" s="74" t="str">
        <f aca="false">AQ472</f>
        <v/>
      </c>
      <c r="BD472" s="75" t="str">
        <f aca="false">AP472</f>
        <v/>
      </c>
      <c r="BE472" s="73" t="str">
        <f aca="false">IF(ISBLANK($C472),"",AS472)</f>
        <v/>
      </c>
      <c r="BF472" s="76" t="str">
        <f aca="false">IF($AW472&gt;$AV$7,"",VLOOKUP($AW472,$AY$8:$BE$507,7,FALSE()))</f>
        <v/>
      </c>
      <c r="BG472" s="77" t="str">
        <f aca="false">IF($AW472&gt;$AV$7,"",VLOOKUP($AW472,$AY$8:$BE$507,2,FALSE()))</f>
        <v/>
      </c>
      <c r="BH472" s="77" t="str">
        <f aca="false">IF($AW472&gt;$AV$7,"",VLOOKUP($AW472,$AY$8:$BE$507,3,FALSE()))</f>
        <v/>
      </c>
      <c r="BI472" s="77" t="str">
        <f aca="false">IF($AW472&gt;$AV$7,"",VLOOKUP($AW472,$AY$8:$BE$507,4,FALSE()))</f>
        <v/>
      </c>
      <c r="BJ472" s="77" t="str">
        <f aca="false">IF($AW472&gt;$AV$7,"",VLOOKUP($AW472,$AY$8:$BE$507,5,FALSE()))</f>
        <v/>
      </c>
      <c r="BK472" s="78" t="str">
        <f aca="false">IF($AW472&gt;$AV$7,"",VLOOKUP($AW472,$AY$8:$BE$507,6,FALSE()))</f>
        <v/>
      </c>
      <c r="BL472" s="50"/>
    </row>
    <row r="473" customFormat="false" ht="15.75" hidden="false" customHeight="false" outlineLevel="0" collapsed="false">
      <c r="A473" s="5"/>
      <c r="B473" s="124"/>
      <c r="C473" s="125"/>
      <c r="D473" s="110"/>
      <c r="E473" s="130"/>
      <c r="F473" s="135"/>
      <c r="G473" s="88"/>
      <c r="H473" s="136"/>
      <c r="I473" s="137"/>
      <c r="J473" s="91"/>
      <c r="K473" s="92"/>
      <c r="L473" s="137"/>
      <c r="M473" s="93"/>
      <c r="N473" s="94"/>
      <c r="O473" s="130"/>
      <c r="P473" s="96"/>
      <c r="Q473" s="97" t="str">
        <f aca="false">IF(ISBLANK($C473),"",IF(E473=Constants!$B$2, TRUE(), IF(E473=Constants!$B$3, FALSE(), TRUE())))</f>
        <v/>
      </c>
      <c r="R473" s="97" t="str">
        <f aca="false">IF(ISBLANK($C473),"",IF(F473=Constants!$B$2, TRUE(), IF(F473=Constants!$B$3, FALSE(), TRUE())))</f>
        <v/>
      </c>
      <c r="S473" s="97" t="str">
        <f aca="false">IF(ISBLANK($C473),"",IF(G473=Constants!$B$15,Constants!$B$8,IF(G473=Constants!$B$16,Constants!$B$9,Constants!$B$10)))</f>
        <v/>
      </c>
      <c r="T473" s="97" t="str">
        <f aca="false">IF(ISBLANK($C473),"",IF(H473=Constants!$B$2, TRUE(), IF(H473=Constants!$B$3, FALSE(), TRUE())))</f>
        <v/>
      </c>
      <c r="U473" s="97" t="str">
        <f aca="false">IF(ISBLANK($C473),"",IF(I473=Constants!$B$19,Constants!$B$19,Constants!$B$18))</f>
        <v/>
      </c>
      <c r="V473" s="97" t="str">
        <f aca="false">IF(ISBLANK($C473),"",IF(COUNTA(J473:K473)=0,"",IF(AND(OR(ISBLANK(J473),AND(ISNUMBER(J473),J473&gt;=0)),OR(ISBLANK(K473),AND(ISNUMBER(K473),K473&gt;=0))),60*IF(ISBLANK(J473),0,J473)+IF(ISBLANK(K473),0,K473),"")))</f>
        <v/>
      </c>
      <c r="W473" s="97" t="str">
        <f aca="false">IF(ISBLANK($C473),"",IF(L473=Constants!$B$19,Constants!$B$19,Constants!$B$18))</f>
        <v/>
      </c>
      <c r="X473" s="97" t="str">
        <f aca="false">IF(ISBLANK($C473),"",IF(COUNTA(M473:N473)=0,"",IF(AND(OR(ISBLANK(M473),AND(ISNUMBER(M473),M473&gt;=0)),OR(ISBLANK(N473),AND(ISNUMBER(N473),N473&gt;=0))),60*IF(ISBLANK(M473),0,M473)+IF(ISBLANK(N473),0,N473),"")))</f>
        <v/>
      </c>
      <c r="Y473" s="97" t="str">
        <f aca="false">IF(ISBLANK($C473),"",IF(O473=Constants!$B$2, TRUE(), IF(O473=Constants!$B$3, FALSE(), FALSE())))</f>
        <v/>
      </c>
      <c r="Z473" s="97" t="str">
        <f aca="false">IF(ISBLANK($C473),"",IF(Y473,Constants!$B$4,IF(COUNTA(E473:N473)=0,Constants!$B$5,IF(COUNTA(J473:K473,M473:N473)=0,Constants!$B$6,Constants!$B$7))))</f>
        <v/>
      </c>
      <c r="AA473" s="97" t="str">
        <f aca="false">IF(ISBLANK($C473),"",IF($Z473&lt;&gt;Constants!$B$7,$Z473,IF(OR(NOT(T473),AND(NOT(Q473),COUNTIFS(U473:W473,Constants!$B$18,V473:X473,"&gt;=0")&gt;0),AND(NOT(R473),COUNTIFS(U473:W473,Constants!$B$19,V473:X473,"&gt;=0")&gt;0)),Constants!$B$12,Constants!$B$11)))</f>
        <v/>
      </c>
      <c r="AB473" s="97" t="str">
        <f aca="false">IF($Z473=Constants!$B$7,IF(V473="",Constants!$B$13,V473),"")</f>
        <v/>
      </c>
      <c r="AC473" s="97" t="str">
        <f aca="false">IF($Z473=Constants!$B$7,IF(X473="",Constants!$B$13,X473),"")</f>
        <v/>
      </c>
      <c r="AD473" s="97" t="str">
        <f aca="false">IF($Z473=Constants!$B$7,IF($AB473&gt;=$AC473,1,2),"")</f>
        <v/>
      </c>
      <c r="AE473" s="97" t="str">
        <f aca="false">IF($Z473=Constants!$B$7,LARGE(AB473:AC473,1),"")</f>
        <v/>
      </c>
      <c r="AF473" s="97" t="str">
        <f aca="false">IF(ISBLANK($C473),"",IF($Z473&lt;&gt;Constants!$B$7,$Z473,AE473*S473))</f>
        <v/>
      </c>
      <c r="AG473" s="97" t="str">
        <f aca="false">IF(ISBLANK($C473),"",IF($Z473=Constants!$B$7,IF(ISNUMBER(AF473),RANK(AF473,$AF$8:$AF$507),Constants!$B$14),$Z473))</f>
        <v/>
      </c>
      <c r="AH473" s="97" t="str">
        <f aca="false">IF(ISBLANK($C473),"",IF($Z473=Constants!$B$7,IF(ISNUMBER(AG473),COUNTIFS($AA$8:$AA$507,"&lt;"&amp;$AA473)+COUNTIFS($AA$8:$AA$507,$AA473,$AG$8:$AG$507,"&lt;"&amp;$AG473)+1,Constants!$B$14),$Z473))</f>
        <v/>
      </c>
      <c r="AI473" s="97" t="str">
        <f aca="false">IF(ISBLANK($C473),"",IF($Z473=Constants!$B$7,LARGE(AB473:AC473,2)*S473,""))</f>
        <v/>
      </c>
      <c r="AJ473" s="97" t="str">
        <f aca="false">IF(ISBLANK($C473),"",IF($Z473=Constants!$B$7,RANK(AI473,$AI$8:$AI$507),$Z473))</f>
        <v/>
      </c>
      <c r="AK473" s="97" t="str">
        <f aca="false">IF(ISBLANK($C473),"",IF($Z473=Constants!$B$7,IF(ISNUMBER(AG473),COUNTIFS($AA$8:$AA$507,"&lt;"&amp;$AA473)+COUNTIFS($AA$8:$AA$507,$AA473,$AG$8:$AG$507,"&lt;"&amp;$AG473)+COUNTIFS($AA$8:$AA$507,$AA473,$AG$8:$AG$507,$AG473,$AJ$8:$AJ$507,"&lt;"&amp;$AJ473)+1,Constants!$B$14),$Z473))</f>
        <v/>
      </c>
      <c r="AL473" s="97" t="str">
        <f aca="false">IF(ISBLANK($C473),"",IF($Z473=Constants!$B$7,IF(ISNUMBER(AH473),AH473-AK473,Constants!$B$14),$Z473))</f>
        <v/>
      </c>
      <c r="AM473" s="98"/>
      <c r="AN473" s="99" t="str">
        <f aca="false">IF(ISBLANK($C473),"",IF($Z473&lt;&gt;Constants!$B$7,$Z473,AD473))</f>
        <v/>
      </c>
      <c r="AO473" s="100" t="str">
        <f aca="false">IF(ISBLANK($C473),"",IF($Z473&lt;&gt;Constants!$B$7,$Z473,S473))</f>
        <v/>
      </c>
      <c r="AP473" s="101" t="str">
        <f aca="false">IF(ISBLANK($C473),"",IF($Z473&lt;&gt;Constants!$B$7,$Z473,AF473))</f>
        <v/>
      </c>
      <c r="AQ473" s="102" t="str">
        <f aca="false">IF(ISBLANK($C473),"",IF($Z473&lt;&gt;Constants!$B$7,$Z473,AA473))</f>
        <v/>
      </c>
      <c r="AR473" s="100" t="str">
        <f aca="false">IF(ISBLANK($C473),"",AL473)</f>
        <v/>
      </c>
      <c r="AS473" s="100" t="str">
        <f aca="false">IF(ISBLANK($C473),"",AK473)</f>
        <v/>
      </c>
      <c r="AT473" s="103" t="str">
        <f aca="false">IF(ISBLANK($C473),"",IF(AS473=Constants!$B$4,COUNTA($C$8:$C$507)+2,IF(AS473=Constants!$B$5,COUNTA($C$8:$C$507)+1,IF(AS473=Constants!$B$6,COUNTA($C$8:$C$507),AS473))))</f>
        <v/>
      </c>
      <c r="AU473" s="5"/>
      <c r="AV473" s="104" t="n">
        <f aca="false">IF(OR(ISNUMBER(AS473),AS473=Constants!$B$4,AS473=Constants!$B$6,AS473=Constants!$B$5),1,0)</f>
        <v>0</v>
      </c>
      <c r="AW473" s="104" t="n">
        <v>466</v>
      </c>
      <c r="AX473" s="104" t="str">
        <f aca="false">IF(ISBLANK($C473),"",IF(ISNUMBER(AT473),AT473+ROW($B473)/1000,""))</f>
        <v/>
      </c>
      <c r="AY473" s="104" t="str">
        <f aca="false">IF(ISNUMBER(AX473),RANK(AX473,$AX$8:$AX$507,1),"")</f>
        <v/>
      </c>
      <c r="AZ473" s="104" t="str">
        <f aca="false">IF(ISBLANK($C473),"",$B473)</f>
        <v/>
      </c>
      <c r="BA473" s="104" t="str">
        <f aca="false">IF(ISBLANK($C473),"",$C473)</f>
        <v/>
      </c>
      <c r="BB473" s="104" t="str">
        <f aca="false">IF(ISBLANK($C473),"",$D473)</f>
        <v/>
      </c>
      <c r="BC473" s="105" t="str">
        <f aca="false">AQ473</f>
        <v/>
      </c>
      <c r="BD473" s="106" t="str">
        <f aca="false">AP473</f>
        <v/>
      </c>
      <c r="BE473" s="104" t="str">
        <f aca="false">IF(ISBLANK($C473),"",AS473)</f>
        <v/>
      </c>
      <c r="BF473" s="107" t="str">
        <f aca="false">IF($AW473&gt;$AV$7,"",VLOOKUP($AW473,$AY$8:$BE$507,7,FALSE()))</f>
        <v/>
      </c>
      <c r="BG473" s="108" t="str">
        <f aca="false">IF($AW473&gt;$AV$7,"",VLOOKUP($AW473,$AY$8:$BE$507,2,FALSE()))</f>
        <v/>
      </c>
      <c r="BH473" s="108" t="str">
        <f aca="false">IF($AW473&gt;$AV$7,"",VLOOKUP($AW473,$AY$8:$BE$507,3,FALSE()))</f>
        <v/>
      </c>
      <c r="BI473" s="108" t="str">
        <f aca="false">IF($AW473&gt;$AV$7,"",VLOOKUP($AW473,$AY$8:$BE$507,4,FALSE()))</f>
        <v/>
      </c>
      <c r="BJ473" s="108" t="str">
        <f aca="false">IF($AW473&gt;$AV$7,"",VLOOKUP($AW473,$AY$8:$BE$507,5,FALSE()))</f>
        <v/>
      </c>
      <c r="BK473" s="109" t="str">
        <f aca="false">IF($AW473&gt;$AV$7,"",VLOOKUP($AW473,$AY$8:$BE$507,6,FALSE()))</f>
        <v/>
      </c>
      <c r="BL473" s="50"/>
    </row>
    <row r="474" customFormat="false" ht="15.75" hidden="false" customHeight="false" outlineLevel="0" collapsed="false">
      <c r="A474" s="5"/>
      <c r="B474" s="124"/>
      <c r="C474" s="125"/>
      <c r="D474" s="110"/>
      <c r="E474" s="130"/>
      <c r="F474" s="135"/>
      <c r="G474" s="88"/>
      <c r="H474" s="136"/>
      <c r="I474" s="137"/>
      <c r="J474" s="91"/>
      <c r="K474" s="92"/>
      <c r="L474" s="137"/>
      <c r="M474" s="93"/>
      <c r="N474" s="94"/>
      <c r="O474" s="130"/>
      <c r="P474" s="96"/>
      <c r="Q474" s="97" t="str">
        <f aca="false">IF(ISBLANK($C474),"",IF(E474=Constants!$B$2, TRUE(), IF(E474=Constants!$B$3, FALSE(), TRUE())))</f>
        <v/>
      </c>
      <c r="R474" s="97" t="str">
        <f aca="false">IF(ISBLANK($C474),"",IF(F474=Constants!$B$2, TRUE(), IF(F474=Constants!$B$3, FALSE(), TRUE())))</f>
        <v/>
      </c>
      <c r="S474" s="97" t="str">
        <f aca="false">IF(ISBLANK($C474),"",IF(G474=Constants!$B$15,Constants!$B$8,IF(G474=Constants!$B$16,Constants!$B$9,Constants!$B$10)))</f>
        <v/>
      </c>
      <c r="T474" s="97" t="str">
        <f aca="false">IF(ISBLANK($C474),"",IF(H474=Constants!$B$2, TRUE(), IF(H474=Constants!$B$3, FALSE(), TRUE())))</f>
        <v/>
      </c>
      <c r="U474" s="97" t="str">
        <f aca="false">IF(ISBLANK($C474),"",IF(I474=Constants!$B$19,Constants!$B$19,Constants!$B$18))</f>
        <v/>
      </c>
      <c r="V474" s="97" t="str">
        <f aca="false">IF(ISBLANK($C474),"",IF(COUNTA(J474:K474)=0,"",IF(AND(OR(ISBLANK(J474),AND(ISNUMBER(J474),J474&gt;=0)),OR(ISBLANK(K474),AND(ISNUMBER(K474),K474&gt;=0))),60*IF(ISBLANK(J474),0,J474)+IF(ISBLANK(K474),0,K474),"")))</f>
        <v/>
      </c>
      <c r="W474" s="97" t="str">
        <f aca="false">IF(ISBLANK($C474),"",IF(L474=Constants!$B$19,Constants!$B$19,Constants!$B$18))</f>
        <v/>
      </c>
      <c r="X474" s="97" t="str">
        <f aca="false">IF(ISBLANK($C474),"",IF(COUNTA(M474:N474)=0,"",IF(AND(OR(ISBLANK(M474),AND(ISNUMBER(M474),M474&gt;=0)),OR(ISBLANK(N474),AND(ISNUMBER(N474),N474&gt;=0))),60*IF(ISBLANK(M474),0,M474)+IF(ISBLANK(N474),0,N474),"")))</f>
        <v/>
      </c>
      <c r="Y474" s="97" t="str">
        <f aca="false">IF(ISBLANK($C474),"",IF(O474=Constants!$B$2, TRUE(), IF(O474=Constants!$B$3, FALSE(), FALSE())))</f>
        <v/>
      </c>
      <c r="Z474" s="97" t="str">
        <f aca="false">IF(ISBLANK($C474),"",IF(Y474,Constants!$B$4,IF(COUNTA(E474:N474)=0,Constants!$B$5,IF(COUNTA(J474:K474,M474:N474)=0,Constants!$B$6,Constants!$B$7))))</f>
        <v/>
      </c>
      <c r="AA474" s="97" t="str">
        <f aca="false">IF(ISBLANK($C474),"",IF($Z474&lt;&gt;Constants!$B$7,$Z474,IF(OR(NOT(T474),AND(NOT(Q474),COUNTIFS(U474:W474,Constants!$B$18,V474:X474,"&gt;=0")&gt;0),AND(NOT(R474),COUNTIFS(U474:W474,Constants!$B$19,V474:X474,"&gt;=0")&gt;0)),Constants!$B$12,Constants!$B$11)))</f>
        <v/>
      </c>
      <c r="AB474" s="97" t="str">
        <f aca="false">IF($Z474=Constants!$B$7,IF(V474="",Constants!$B$13,V474),"")</f>
        <v/>
      </c>
      <c r="AC474" s="97" t="str">
        <f aca="false">IF($Z474=Constants!$B$7,IF(X474="",Constants!$B$13,X474),"")</f>
        <v/>
      </c>
      <c r="AD474" s="97" t="str">
        <f aca="false">IF($Z474=Constants!$B$7,IF($AB474&gt;=$AC474,1,2),"")</f>
        <v/>
      </c>
      <c r="AE474" s="97" t="str">
        <f aca="false">IF($Z474=Constants!$B$7,LARGE(AB474:AC474,1),"")</f>
        <v/>
      </c>
      <c r="AF474" s="97" t="str">
        <f aca="false">IF(ISBLANK($C474),"",IF($Z474&lt;&gt;Constants!$B$7,$Z474,AE474*S474))</f>
        <v/>
      </c>
      <c r="AG474" s="97" t="str">
        <f aca="false">IF(ISBLANK($C474),"",IF($Z474=Constants!$B$7,IF(ISNUMBER(AF474),RANK(AF474,$AF$8:$AF$507),Constants!$B$14),$Z474))</f>
        <v/>
      </c>
      <c r="AH474" s="97" t="str">
        <f aca="false">IF(ISBLANK($C474),"",IF($Z474=Constants!$B$7,IF(ISNUMBER(AG474),COUNTIFS($AA$8:$AA$507,"&lt;"&amp;$AA474)+COUNTIFS($AA$8:$AA$507,$AA474,$AG$8:$AG$507,"&lt;"&amp;$AG474)+1,Constants!$B$14),$Z474))</f>
        <v/>
      </c>
      <c r="AI474" s="97" t="str">
        <f aca="false">IF(ISBLANK($C474),"",IF($Z474=Constants!$B$7,LARGE(AB474:AC474,2)*S474,""))</f>
        <v/>
      </c>
      <c r="AJ474" s="97" t="str">
        <f aca="false">IF(ISBLANK($C474),"",IF($Z474=Constants!$B$7,RANK(AI474,$AI$8:$AI$507),$Z474))</f>
        <v/>
      </c>
      <c r="AK474" s="97" t="str">
        <f aca="false">IF(ISBLANK($C474),"",IF($Z474=Constants!$B$7,IF(ISNUMBER(AG474),COUNTIFS($AA$8:$AA$507,"&lt;"&amp;$AA474)+COUNTIFS($AA$8:$AA$507,$AA474,$AG$8:$AG$507,"&lt;"&amp;$AG474)+COUNTIFS($AA$8:$AA$507,$AA474,$AG$8:$AG$507,$AG474,$AJ$8:$AJ$507,"&lt;"&amp;$AJ474)+1,Constants!$B$14),$Z474))</f>
        <v/>
      </c>
      <c r="AL474" s="97" t="str">
        <f aca="false">IF(ISBLANK($C474),"",IF($Z474=Constants!$B$7,IF(ISNUMBER(AH474),AH474-AK474,Constants!$B$14),$Z474))</f>
        <v/>
      </c>
      <c r="AM474" s="98"/>
      <c r="AN474" s="99" t="str">
        <f aca="false">IF(ISBLANK($C474),"",IF($Z474&lt;&gt;Constants!$B$7,$Z474,AD474))</f>
        <v/>
      </c>
      <c r="AO474" s="100" t="str">
        <f aca="false">IF(ISBLANK($C474),"",IF($Z474&lt;&gt;Constants!$B$7,$Z474,S474))</f>
        <v/>
      </c>
      <c r="AP474" s="101" t="str">
        <f aca="false">IF(ISBLANK($C474),"",IF($Z474&lt;&gt;Constants!$B$7,$Z474,AF474))</f>
        <v/>
      </c>
      <c r="AQ474" s="102" t="str">
        <f aca="false">IF(ISBLANK($C474),"",IF($Z474&lt;&gt;Constants!$B$7,$Z474,AA474))</f>
        <v/>
      </c>
      <c r="AR474" s="100" t="str">
        <f aca="false">IF(ISBLANK($C474),"",AL474)</f>
        <v/>
      </c>
      <c r="AS474" s="100" t="str">
        <f aca="false">IF(ISBLANK($C474),"",AK474)</f>
        <v/>
      </c>
      <c r="AT474" s="103" t="str">
        <f aca="false">IF(ISBLANK($C474),"",IF(AS474=Constants!$B$4,COUNTA($C$8:$C$507)+2,IF(AS474=Constants!$B$5,COUNTA($C$8:$C$507)+1,IF(AS474=Constants!$B$6,COUNTA($C$8:$C$507),AS474))))</f>
        <v/>
      </c>
      <c r="AU474" s="5"/>
      <c r="AV474" s="104" t="n">
        <f aca="false">IF(OR(ISNUMBER(AS474),AS474=Constants!$B$4,AS474=Constants!$B$6,AS474=Constants!$B$5),1,0)</f>
        <v>0</v>
      </c>
      <c r="AW474" s="104" t="n">
        <v>467</v>
      </c>
      <c r="AX474" s="104" t="str">
        <f aca="false">IF(ISBLANK($C474),"",IF(ISNUMBER(AT474),AT474+ROW($B474)/1000,""))</f>
        <v/>
      </c>
      <c r="AY474" s="104" t="str">
        <f aca="false">IF(ISNUMBER(AX474),RANK(AX474,$AX$8:$AX$507,1),"")</f>
        <v/>
      </c>
      <c r="AZ474" s="104" t="str">
        <f aca="false">IF(ISBLANK($C474),"",$B474)</f>
        <v/>
      </c>
      <c r="BA474" s="104" t="str">
        <f aca="false">IF(ISBLANK($C474),"",$C474)</f>
        <v/>
      </c>
      <c r="BB474" s="104" t="str">
        <f aca="false">IF(ISBLANK($C474),"",$D474)</f>
        <v/>
      </c>
      <c r="BC474" s="105" t="str">
        <f aca="false">AQ474</f>
        <v/>
      </c>
      <c r="BD474" s="106" t="str">
        <f aca="false">AP474</f>
        <v/>
      </c>
      <c r="BE474" s="104" t="str">
        <f aca="false">IF(ISBLANK($C474),"",AS474)</f>
        <v/>
      </c>
      <c r="BF474" s="107" t="str">
        <f aca="false">IF($AW474&gt;$AV$7,"",VLOOKUP($AW474,$AY$8:$BE$507,7,FALSE()))</f>
        <v/>
      </c>
      <c r="BG474" s="108" t="str">
        <f aca="false">IF($AW474&gt;$AV$7,"",VLOOKUP($AW474,$AY$8:$BE$507,2,FALSE()))</f>
        <v/>
      </c>
      <c r="BH474" s="108" t="str">
        <f aca="false">IF($AW474&gt;$AV$7,"",VLOOKUP($AW474,$AY$8:$BE$507,3,FALSE()))</f>
        <v/>
      </c>
      <c r="BI474" s="108" t="str">
        <f aca="false">IF($AW474&gt;$AV$7,"",VLOOKUP($AW474,$AY$8:$BE$507,4,FALSE()))</f>
        <v/>
      </c>
      <c r="BJ474" s="108" t="str">
        <f aca="false">IF($AW474&gt;$AV$7,"",VLOOKUP($AW474,$AY$8:$BE$507,5,FALSE()))</f>
        <v/>
      </c>
      <c r="BK474" s="109" t="str">
        <f aca="false">IF($AW474&gt;$AV$7,"",VLOOKUP($AW474,$AY$8:$BE$507,6,FALSE()))</f>
        <v/>
      </c>
      <c r="BL474" s="50"/>
    </row>
    <row r="475" customFormat="false" ht="15.75" hidden="false" customHeight="false" outlineLevel="0" collapsed="false">
      <c r="A475" s="5"/>
      <c r="B475" s="124"/>
      <c r="C475" s="125"/>
      <c r="D475" s="110"/>
      <c r="E475" s="130"/>
      <c r="F475" s="135"/>
      <c r="G475" s="88"/>
      <c r="H475" s="136"/>
      <c r="I475" s="137"/>
      <c r="J475" s="91"/>
      <c r="K475" s="92"/>
      <c r="L475" s="137"/>
      <c r="M475" s="93"/>
      <c r="N475" s="94"/>
      <c r="O475" s="130"/>
      <c r="P475" s="96"/>
      <c r="Q475" s="97" t="str">
        <f aca="false">IF(ISBLANK($C475),"",IF(E475=Constants!$B$2, TRUE(), IF(E475=Constants!$B$3, FALSE(), TRUE())))</f>
        <v/>
      </c>
      <c r="R475" s="97" t="str">
        <f aca="false">IF(ISBLANK($C475),"",IF(F475=Constants!$B$2, TRUE(), IF(F475=Constants!$B$3, FALSE(), TRUE())))</f>
        <v/>
      </c>
      <c r="S475" s="97" t="str">
        <f aca="false">IF(ISBLANK($C475),"",IF(G475=Constants!$B$15,Constants!$B$8,IF(G475=Constants!$B$16,Constants!$B$9,Constants!$B$10)))</f>
        <v/>
      </c>
      <c r="T475" s="97" t="str">
        <f aca="false">IF(ISBLANK($C475),"",IF(H475=Constants!$B$2, TRUE(), IF(H475=Constants!$B$3, FALSE(), TRUE())))</f>
        <v/>
      </c>
      <c r="U475" s="97" t="str">
        <f aca="false">IF(ISBLANK($C475),"",IF(I475=Constants!$B$19,Constants!$B$19,Constants!$B$18))</f>
        <v/>
      </c>
      <c r="V475" s="97" t="str">
        <f aca="false">IF(ISBLANK($C475),"",IF(COUNTA(J475:K475)=0,"",IF(AND(OR(ISBLANK(J475),AND(ISNUMBER(J475),J475&gt;=0)),OR(ISBLANK(K475),AND(ISNUMBER(K475),K475&gt;=0))),60*IF(ISBLANK(J475),0,J475)+IF(ISBLANK(K475),0,K475),"")))</f>
        <v/>
      </c>
      <c r="W475" s="97" t="str">
        <f aca="false">IF(ISBLANK($C475),"",IF(L475=Constants!$B$19,Constants!$B$19,Constants!$B$18))</f>
        <v/>
      </c>
      <c r="X475" s="97" t="str">
        <f aca="false">IF(ISBLANK($C475),"",IF(COUNTA(M475:N475)=0,"",IF(AND(OR(ISBLANK(M475),AND(ISNUMBER(M475),M475&gt;=0)),OR(ISBLANK(N475),AND(ISNUMBER(N475),N475&gt;=0))),60*IF(ISBLANK(M475),0,M475)+IF(ISBLANK(N475),0,N475),"")))</f>
        <v/>
      </c>
      <c r="Y475" s="97" t="str">
        <f aca="false">IF(ISBLANK($C475),"",IF(O475=Constants!$B$2, TRUE(), IF(O475=Constants!$B$3, FALSE(), FALSE())))</f>
        <v/>
      </c>
      <c r="Z475" s="97" t="str">
        <f aca="false">IF(ISBLANK($C475),"",IF(Y475,Constants!$B$4,IF(COUNTA(E475:N475)=0,Constants!$B$5,IF(COUNTA(J475:K475,M475:N475)=0,Constants!$B$6,Constants!$B$7))))</f>
        <v/>
      </c>
      <c r="AA475" s="97" t="str">
        <f aca="false">IF(ISBLANK($C475),"",IF($Z475&lt;&gt;Constants!$B$7,$Z475,IF(OR(NOT(T475),AND(NOT(Q475),COUNTIFS(U475:W475,Constants!$B$18,V475:X475,"&gt;=0")&gt;0),AND(NOT(R475),COUNTIFS(U475:W475,Constants!$B$19,V475:X475,"&gt;=0")&gt;0)),Constants!$B$12,Constants!$B$11)))</f>
        <v/>
      </c>
      <c r="AB475" s="97" t="str">
        <f aca="false">IF($Z475=Constants!$B$7,IF(V475="",Constants!$B$13,V475),"")</f>
        <v/>
      </c>
      <c r="AC475" s="97" t="str">
        <f aca="false">IF($Z475=Constants!$B$7,IF(X475="",Constants!$B$13,X475),"")</f>
        <v/>
      </c>
      <c r="AD475" s="97" t="str">
        <f aca="false">IF($Z475=Constants!$B$7,IF($AB475&gt;=$AC475,1,2),"")</f>
        <v/>
      </c>
      <c r="AE475" s="97" t="str">
        <f aca="false">IF($Z475=Constants!$B$7,LARGE(AB475:AC475,1),"")</f>
        <v/>
      </c>
      <c r="AF475" s="97" t="str">
        <f aca="false">IF(ISBLANK($C475),"",IF($Z475&lt;&gt;Constants!$B$7,$Z475,AE475*S475))</f>
        <v/>
      </c>
      <c r="AG475" s="97" t="str">
        <f aca="false">IF(ISBLANK($C475),"",IF($Z475=Constants!$B$7,IF(ISNUMBER(AF475),RANK(AF475,$AF$8:$AF$507),Constants!$B$14),$Z475))</f>
        <v/>
      </c>
      <c r="AH475" s="97" t="str">
        <f aca="false">IF(ISBLANK($C475),"",IF($Z475=Constants!$B$7,IF(ISNUMBER(AG475),COUNTIFS($AA$8:$AA$507,"&lt;"&amp;$AA475)+COUNTIFS($AA$8:$AA$507,$AA475,$AG$8:$AG$507,"&lt;"&amp;$AG475)+1,Constants!$B$14),$Z475))</f>
        <v/>
      </c>
      <c r="AI475" s="97" t="str">
        <f aca="false">IF(ISBLANK($C475),"",IF($Z475=Constants!$B$7,LARGE(AB475:AC475,2)*S475,""))</f>
        <v/>
      </c>
      <c r="AJ475" s="97" t="str">
        <f aca="false">IF(ISBLANK($C475),"",IF($Z475=Constants!$B$7,RANK(AI475,$AI$8:$AI$507),$Z475))</f>
        <v/>
      </c>
      <c r="AK475" s="97" t="str">
        <f aca="false">IF(ISBLANK($C475),"",IF($Z475=Constants!$B$7,IF(ISNUMBER(AG475),COUNTIFS($AA$8:$AA$507,"&lt;"&amp;$AA475)+COUNTIFS($AA$8:$AA$507,$AA475,$AG$8:$AG$507,"&lt;"&amp;$AG475)+COUNTIFS($AA$8:$AA$507,$AA475,$AG$8:$AG$507,$AG475,$AJ$8:$AJ$507,"&lt;"&amp;$AJ475)+1,Constants!$B$14),$Z475))</f>
        <v/>
      </c>
      <c r="AL475" s="97" t="str">
        <f aca="false">IF(ISBLANK($C475),"",IF($Z475=Constants!$B$7,IF(ISNUMBER(AH475),AH475-AK475,Constants!$B$14),$Z475))</f>
        <v/>
      </c>
      <c r="AM475" s="98"/>
      <c r="AN475" s="99" t="str">
        <f aca="false">IF(ISBLANK($C475),"",IF($Z475&lt;&gt;Constants!$B$7,$Z475,AD475))</f>
        <v/>
      </c>
      <c r="AO475" s="100" t="str">
        <f aca="false">IF(ISBLANK($C475),"",IF($Z475&lt;&gt;Constants!$B$7,$Z475,S475))</f>
        <v/>
      </c>
      <c r="AP475" s="101" t="str">
        <f aca="false">IF(ISBLANK($C475),"",IF($Z475&lt;&gt;Constants!$B$7,$Z475,AF475))</f>
        <v/>
      </c>
      <c r="AQ475" s="102" t="str">
        <f aca="false">IF(ISBLANK($C475),"",IF($Z475&lt;&gt;Constants!$B$7,$Z475,AA475))</f>
        <v/>
      </c>
      <c r="AR475" s="100" t="str">
        <f aca="false">IF(ISBLANK($C475),"",AL475)</f>
        <v/>
      </c>
      <c r="AS475" s="100" t="str">
        <f aca="false">IF(ISBLANK($C475),"",AK475)</f>
        <v/>
      </c>
      <c r="AT475" s="103" t="str">
        <f aca="false">IF(ISBLANK($C475),"",IF(AS475=Constants!$B$4,COUNTA($C$8:$C$507)+2,IF(AS475=Constants!$B$5,COUNTA($C$8:$C$507)+1,IF(AS475=Constants!$B$6,COUNTA($C$8:$C$507),AS475))))</f>
        <v/>
      </c>
      <c r="AU475" s="5"/>
      <c r="AV475" s="104" t="n">
        <f aca="false">IF(OR(ISNUMBER(AS475),AS475=Constants!$B$4,AS475=Constants!$B$6,AS475=Constants!$B$5),1,0)</f>
        <v>0</v>
      </c>
      <c r="AW475" s="104" t="n">
        <v>468</v>
      </c>
      <c r="AX475" s="104" t="str">
        <f aca="false">IF(ISBLANK($C475),"",IF(ISNUMBER(AT475),AT475+ROW($B475)/1000,""))</f>
        <v/>
      </c>
      <c r="AY475" s="104" t="str">
        <f aca="false">IF(ISNUMBER(AX475),RANK(AX475,$AX$8:$AX$507,1),"")</f>
        <v/>
      </c>
      <c r="AZ475" s="104" t="str">
        <f aca="false">IF(ISBLANK($C475),"",$B475)</f>
        <v/>
      </c>
      <c r="BA475" s="104" t="str">
        <f aca="false">IF(ISBLANK($C475),"",$C475)</f>
        <v/>
      </c>
      <c r="BB475" s="104" t="str">
        <f aca="false">IF(ISBLANK($C475),"",$D475)</f>
        <v/>
      </c>
      <c r="BC475" s="105" t="str">
        <f aca="false">AQ475</f>
        <v/>
      </c>
      <c r="BD475" s="106" t="str">
        <f aca="false">AP475</f>
        <v/>
      </c>
      <c r="BE475" s="104" t="str">
        <f aca="false">IF(ISBLANK($C475),"",AS475)</f>
        <v/>
      </c>
      <c r="BF475" s="107" t="str">
        <f aca="false">IF($AW475&gt;$AV$7,"",VLOOKUP($AW475,$AY$8:$BE$507,7,FALSE()))</f>
        <v/>
      </c>
      <c r="BG475" s="108" t="str">
        <f aca="false">IF($AW475&gt;$AV$7,"",VLOOKUP($AW475,$AY$8:$BE$507,2,FALSE()))</f>
        <v/>
      </c>
      <c r="BH475" s="108" t="str">
        <f aca="false">IF($AW475&gt;$AV$7,"",VLOOKUP($AW475,$AY$8:$BE$507,3,FALSE()))</f>
        <v/>
      </c>
      <c r="BI475" s="108" t="str">
        <f aca="false">IF($AW475&gt;$AV$7,"",VLOOKUP($AW475,$AY$8:$BE$507,4,FALSE()))</f>
        <v/>
      </c>
      <c r="BJ475" s="108" t="str">
        <f aca="false">IF($AW475&gt;$AV$7,"",VLOOKUP($AW475,$AY$8:$BE$507,5,FALSE()))</f>
        <v/>
      </c>
      <c r="BK475" s="109" t="str">
        <f aca="false">IF($AW475&gt;$AV$7,"",VLOOKUP($AW475,$AY$8:$BE$507,6,FALSE()))</f>
        <v/>
      </c>
      <c r="BL475" s="50"/>
    </row>
    <row r="476" customFormat="false" ht="15.75" hidden="false" customHeight="false" outlineLevel="0" collapsed="false">
      <c r="A476" s="5"/>
      <c r="B476" s="131"/>
      <c r="C476" s="52"/>
      <c r="D476" s="53"/>
      <c r="E476" s="80"/>
      <c r="F476" s="132"/>
      <c r="G476" s="56"/>
      <c r="H476" s="133"/>
      <c r="I476" s="134"/>
      <c r="J476" s="59"/>
      <c r="K476" s="60"/>
      <c r="L476" s="134"/>
      <c r="M476" s="61"/>
      <c r="N476" s="62"/>
      <c r="O476" s="80"/>
      <c r="P476" s="64"/>
      <c r="Q476" s="65" t="str">
        <f aca="false">IF(ISBLANK($C476),"",IF(E476=Constants!$B$2, TRUE(), IF(E476=Constants!$B$3, FALSE(), TRUE())))</f>
        <v/>
      </c>
      <c r="R476" s="65" t="str">
        <f aca="false">IF(ISBLANK($C476),"",IF(F476=Constants!$B$2, TRUE(), IF(F476=Constants!$B$3, FALSE(), TRUE())))</f>
        <v/>
      </c>
      <c r="S476" s="65" t="str">
        <f aca="false">IF(ISBLANK($C476),"",IF(G476=Constants!$B$15,Constants!$B$8,IF(G476=Constants!$B$16,Constants!$B$9,Constants!$B$10)))</f>
        <v/>
      </c>
      <c r="T476" s="65" t="str">
        <f aca="false">IF(ISBLANK($C476),"",IF(H476=Constants!$B$2, TRUE(), IF(H476=Constants!$B$3, FALSE(), TRUE())))</f>
        <v/>
      </c>
      <c r="U476" s="65" t="str">
        <f aca="false">IF(ISBLANK($C476),"",IF(I476=Constants!$B$19,Constants!$B$19,Constants!$B$18))</f>
        <v/>
      </c>
      <c r="V476" s="65" t="str">
        <f aca="false">IF(ISBLANK($C476),"",IF(COUNTA(J476:K476)=0,"",IF(AND(OR(ISBLANK(J476),AND(ISNUMBER(J476),J476&gt;=0)),OR(ISBLANK(K476),AND(ISNUMBER(K476),K476&gt;=0))),60*IF(ISBLANK(J476),0,J476)+IF(ISBLANK(K476),0,K476),"")))</f>
        <v/>
      </c>
      <c r="W476" s="65" t="str">
        <f aca="false">IF(ISBLANK($C476),"",IF(L476=Constants!$B$19,Constants!$B$19,Constants!$B$18))</f>
        <v/>
      </c>
      <c r="X476" s="65" t="str">
        <f aca="false">IF(ISBLANK($C476),"",IF(COUNTA(M476:N476)=0,"",IF(AND(OR(ISBLANK(M476),AND(ISNUMBER(M476),M476&gt;=0)),OR(ISBLANK(N476),AND(ISNUMBER(N476),N476&gt;=0))),60*IF(ISBLANK(M476),0,M476)+IF(ISBLANK(N476),0,N476),"")))</f>
        <v/>
      </c>
      <c r="Y476" s="65" t="str">
        <f aca="false">IF(ISBLANK($C476),"",IF(O476=Constants!$B$2, TRUE(), IF(O476=Constants!$B$3, FALSE(), FALSE())))</f>
        <v/>
      </c>
      <c r="Z476" s="65" t="str">
        <f aca="false">IF(ISBLANK($C476),"",IF(Y476,Constants!$B$4,IF(COUNTA(E476:N476)=0,Constants!$B$5,IF(COUNTA(J476:K476,M476:N476)=0,Constants!$B$6,Constants!$B$7))))</f>
        <v/>
      </c>
      <c r="AA476" s="65" t="str">
        <f aca="false">IF(ISBLANK($C476),"",IF($Z476&lt;&gt;Constants!$B$7,$Z476,IF(OR(NOT(T476),AND(NOT(Q476),COUNTIFS(U476:W476,Constants!$B$18,V476:X476,"&gt;=0")&gt;0),AND(NOT(R476),COUNTIFS(U476:W476,Constants!$B$19,V476:X476,"&gt;=0")&gt;0)),Constants!$B$12,Constants!$B$11)))</f>
        <v/>
      </c>
      <c r="AB476" s="65" t="str">
        <f aca="false">IF($Z476=Constants!$B$7,IF(V476="",Constants!$B$13,V476),"")</f>
        <v/>
      </c>
      <c r="AC476" s="65" t="str">
        <f aca="false">IF($Z476=Constants!$B$7,IF(X476="",Constants!$B$13,X476),"")</f>
        <v/>
      </c>
      <c r="AD476" s="65" t="str">
        <f aca="false">IF($Z476=Constants!$B$7,IF($AB476&gt;=$AC476,1,2),"")</f>
        <v/>
      </c>
      <c r="AE476" s="65" t="str">
        <f aca="false">IF($Z476=Constants!$B$7,LARGE(AB476:AC476,1),"")</f>
        <v/>
      </c>
      <c r="AF476" s="65" t="str">
        <f aca="false">IF(ISBLANK($C476),"",IF($Z476&lt;&gt;Constants!$B$7,$Z476,AE476*S476))</f>
        <v/>
      </c>
      <c r="AG476" s="65" t="str">
        <f aca="false">IF(ISBLANK($C476),"",IF($Z476=Constants!$B$7,IF(ISNUMBER(AF476),RANK(AF476,$AF$8:$AF$507),Constants!$B$14),$Z476))</f>
        <v/>
      </c>
      <c r="AH476" s="65" t="str">
        <f aca="false">IF(ISBLANK($C476),"",IF($Z476=Constants!$B$7,IF(ISNUMBER(AG476),COUNTIFS($AA$8:$AA$507,"&lt;"&amp;$AA476)+COUNTIFS($AA$8:$AA$507,$AA476,$AG$8:$AG$507,"&lt;"&amp;$AG476)+1,Constants!$B$14),$Z476))</f>
        <v/>
      </c>
      <c r="AI476" s="65" t="str">
        <f aca="false">IF(ISBLANK($C476),"",IF($Z476=Constants!$B$7,LARGE(AB476:AC476,2)*S476,""))</f>
        <v/>
      </c>
      <c r="AJ476" s="65" t="str">
        <f aca="false">IF(ISBLANK($C476),"",IF($Z476=Constants!$B$7,RANK(AI476,$AI$8:$AI$507),$Z476))</f>
        <v/>
      </c>
      <c r="AK476" s="65" t="str">
        <f aca="false">IF(ISBLANK($C476),"",IF($Z476=Constants!$B$7,IF(ISNUMBER(AG476),COUNTIFS($AA$8:$AA$507,"&lt;"&amp;$AA476)+COUNTIFS($AA$8:$AA$507,$AA476,$AG$8:$AG$507,"&lt;"&amp;$AG476)+COUNTIFS($AA$8:$AA$507,$AA476,$AG$8:$AG$507,$AG476,$AJ$8:$AJ$507,"&lt;"&amp;$AJ476)+1,Constants!$B$14),$Z476))</f>
        <v/>
      </c>
      <c r="AL476" s="65" t="str">
        <f aca="false">IF(ISBLANK($C476),"",IF($Z476=Constants!$B$7,IF(ISNUMBER(AH476),AH476-AK476,Constants!$B$14),$Z476))</f>
        <v/>
      </c>
      <c r="AM476" s="67"/>
      <c r="AN476" s="68" t="str">
        <f aca="false">IF(ISBLANK($C476),"",IF($Z476&lt;&gt;Constants!$B$7,$Z476,AD476))</f>
        <v/>
      </c>
      <c r="AO476" s="69" t="str">
        <f aca="false">IF(ISBLANK($C476),"",IF($Z476&lt;&gt;Constants!$B$7,$Z476,S476))</f>
        <v/>
      </c>
      <c r="AP476" s="70" t="str">
        <f aca="false">IF(ISBLANK($C476),"",IF($Z476&lt;&gt;Constants!$B$7,$Z476,AF476))</f>
        <v/>
      </c>
      <c r="AQ476" s="71" t="str">
        <f aca="false">IF(ISBLANK($C476),"",IF($Z476&lt;&gt;Constants!$B$7,$Z476,AA476))</f>
        <v/>
      </c>
      <c r="AR476" s="69" t="str">
        <f aca="false">IF(ISBLANK($C476),"",AL476)</f>
        <v/>
      </c>
      <c r="AS476" s="69" t="str">
        <f aca="false">IF(ISBLANK($C476),"",AK476)</f>
        <v/>
      </c>
      <c r="AT476" s="72" t="str">
        <f aca="false">IF(ISBLANK($C476),"",IF(AS476=Constants!$B$4,COUNTA($C$8:$C$507)+2,IF(AS476=Constants!$B$5,COUNTA($C$8:$C$507)+1,IF(AS476=Constants!$B$6,COUNTA($C$8:$C$507),AS476))))</f>
        <v/>
      </c>
      <c r="AU476" s="5"/>
      <c r="AV476" s="73" t="n">
        <f aca="false">IF(OR(ISNUMBER(AS476),AS476=Constants!$B$4,AS476=Constants!$B$6,AS476=Constants!$B$5),1,0)</f>
        <v>0</v>
      </c>
      <c r="AW476" s="73" t="n">
        <v>469</v>
      </c>
      <c r="AX476" s="73" t="str">
        <f aca="false">IF(ISBLANK($C476),"",IF(ISNUMBER(AT476),AT476+ROW($B476)/1000,""))</f>
        <v/>
      </c>
      <c r="AY476" s="73" t="str">
        <f aca="false">IF(ISNUMBER(AX476),RANK(AX476,$AX$8:$AX$507,1),"")</f>
        <v/>
      </c>
      <c r="AZ476" s="73" t="str">
        <f aca="false">IF(ISBLANK($C476),"",$B476)</f>
        <v/>
      </c>
      <c r="BA476" s="73" t="str">
        <f aca="false">IF(ISBLANK($C476),"",$C476)</f>
        <v/>
      </c>
      <c r="BB476" s="73" t="str">
        <f aca="false">IF(ISBLANK($C476),"",$D476)</f>
        <v/>
      </c>
      <c r="BC476" s="74" t="str">
        <f aca="false">AQ476</f>
        <v/>
      </c>
      <c r="BD476" s="75" t="str">
        <f aca="false">AP476</f>
        <v/>
      </c>
      <c r="BE476" s="73" t="str">
        <f aca="false">IF(ISBLANK($C476),"",AS476)</f>
        <v/>
      </c>
      <c r="BF476" s="76" t="str">
        <f aca="false">IF($AW476&gt;$AV$7,"",VLOOKUP($AW476,$AY$8:$BE$507,7,FALSE()))</f>
        <v/>
      </c>
      <c r="BG476" s="77" t="str">
        <f aca="false">IF($AW476&gt;$AV$7,"",VLOOKUP($AW476,$AY$8:$BE$507,2,FALSE()))</f>
        <v/>
      </c>
      <c r="BH476" s="77" t="str">
        <f aca="false">IF($AW476&gt;$AV$7,"",VLOOKUP($AW476,$AY$8:$BE$507,3,FALSE()))</f>
        <v/>
      </c>
      <c r="BI476" s="77" t="str">
        <f aca="false">IF($AW476&gt;$AV$7,"",VLOOKUP($AW476,$AY$8:$BE$507,4,FALSE()))</f>
        <v/>
      </c>
      <c r="BJ476" s="77" t="str">
        <f aca="false">IF($AW476&gt;$AV$7,"",VLOOKUP($AW476,$AY$8:$BE$507,5,FALSE()))</f>
        <v/>
      </c>
      <c r="BK476" s="78" t="str">
        <f aca="false">IF($AW476&gt;$AV$7,"",VLOOKUP($AW476,$AY$8:$BE$507,6,FALSE()))</f>
        <v/>
      </c>
      <c r="BL476" s="50"/>
    </row>
    <row r="477" customFormat="false" ht="15.75" hidden="false" customHeight="false" outlineLevel="0" collapsed="false">
      <c r="A477" s="5"/>
      <c r="B477" s="131"/>
      <c r="C477" s="52"/>
      <c r="D477" s="53"/>
      <c r="E477" s="80"/>
      <c r="F477" s="132"/>
      <c r="G477" s="56"/>
      <c r="H477" s="133"/>
      <c r="I477" s="134"/>
      <c r="J477" s="59"/>
      <c r="K477" s="60"/>
      <c r="L477" s="134"/>
      <c r="M477" s="61"/>
      <c r="N477" s="62"/>
      <c r="O477" s="80"/>
      <c r="P477" s="64"/>
      <c r="Q477" s="65" t="str">
        <f aca="false">IF(ISBLANK($C477),"",IF(E477=Constants!$B$2, TRUE(), IF(E477=Constants!$B$3, FALSE(), TRUE())))</f>
        <v/>
      </c>
      <c r="R477" s="65" t="str">
        <f aca="false">IF(ISBLANK($C477),"",IF(F477=Constants!$B$2, TRUE(), IF(F477=Constants!$B$3, FALSE(), TRUE())))</f>
        <v/>
      </c>
      <c r="S477" s="65" t="str">
        <f aca="false">IF(ISBLANK($C477),"",IF(G477=Constants!$B$15,Constants!$B$8,IF(G477=Constants!$B$16,Constants!$B$9,Constants!$B$10)))</f>
        <v/>
      </c>
      <c r="T477" s="65" t="str">
        <f aca="false">IF(ISBLANK($C477),"",IF(H477=Constants!$B$2, TRUE(), IF(H477=Constants!$B$3, FALSE(), TRUE())))</f>
        <v/>
      </c>
      <c r="U477" s="65" t="str">
        <f aca="false">IF(ISBLANK($C477),"",IF(I477=Constants!$B$19,Constants!$B$19,Constants!$B$18))</f>
        <v/>
      </c>
      <c r="V477" s="65" t="str">
        <f aca="false">IF(ISBLANK($C477),"",IF(COUNTA(J477:K477)=0,"",IF(AND(OR(ISBLANK(J477),AND(ISNUMBER(J477),J477&gt;=0)),OR(ISBLANK(K477),AND(ISNUMBER(K477),K477&gt;=0))),60*IF(ISBLANK(J477),0,J477)+IF(ISBLANK(K477),0,K477),"")))</f>
        <v/>
      </c>
      <c r="W477" s="65" t="str">
        <f aca="false">IF(ISBLANK($C477),"",IF(L477=Constants!$B$19,Constants!$B$19,Constants!$B$18))</f>
        <v/>
      </c>
      <c r="X477" s="65" t="str">
        <f aca="false">IF(ISBLANK($C477),"",IF(COUNTA(M477:N477)=0,"",IF(AND(OR(ISBLANK(M477),AND(ISNUMBER(M477),M477&gt;=0)),OR(ISBLANK(N477),AND(ISNUMBER(N477),N477&gt;=0))),60*IF(ISBLANK(M477),0,M477)+IF(ISBLANK(N477),0,N477),"")))</f>
        <v/>
      </c>
      <c r="Y477" s="65" t="str">
        <f aca="false">IF(ISBLANK($C477),"",IF(O477=Constants!$B$2, TRUE(), IF(O477=Constants!$B$3, FALSE(), FALSE())))</f>
        <v/>
      </c>
      <c r="Z477" s="65" t="str">
        <f aca="false">IF(ISBLANK($C477),"",IF(Y477,Constants!$B$4,IF(COUNTA(E477:N477)=0,Constants!$B$5,IF(COUNTA(J477:K477,M477:N477)=0,Constants!$B$6,Constants!$B$7))))</f>
        <v/>
      </c>
      <c r="AA477" s="65" t="str">
        <f aca="false">IF(ISBLANK($C477),"",IF($Z477&lt;&gt;Constants!$B$7,$Z477,IF(OR(NOT(T477),AND(NOT(Q477),COUNTIFS(U477:W477,Constants!$B$18,V477:X477,"&gt;=0")&gt;0),AND(NOT(R477),COUNTIFS(U477:W477,Constants!$B$19,V477:X477,"&gt;=0")&gt;0)),Constants!$B$12,Constants!$B$11)))</f>
        <v/>
      </c>
      <c r="AB477" s="65" t="str">
        <f aca="false">IF($Z477=Constants!$B$7,IF(V477="",Constants!$B$13,V477),"")</f>
        <v/>
      </c>
      <c r="AC477" s="65" t="str">
        <f aca="false">IF($Z477=Constants!$B$7,IF(X477="",Constants!$B$13,X477),"")</f>
        <v/>
      </c>
      <c r="AD477" s="65" t="str">
        <f aca="false">IF($Z477=Constants!$B$7,IF($AB477&gt;=$AC477,1,2),"")</f>
        <v/>
      </c>
      <c r="AE477" s="65" t="str">
        <f aca="false">IF($Z477=Constants!$B$7,LARGE(AB477:AC477,1),"")</f>
        <v/>
      </c>
      <c r="AF477" s="65" t="str">
        <f aca="false">IF(ISBLANK($C477),"",IF($Z477&lt;&gt;Constants!$B$7,$Z477,AE477*S477))</f>
        <v/>
      </c>
      <c r="AG477" s="65" t="str">
        <f aca="false">IF(ISBLANK($C477),"",IF($Z477=Constants!$B$7,IF(ISNUMBER(AF477),RANK(AF477,$AF$8:$AF$507),Constants!$B$14),$Z477))</f>
        <v/>
      </c>
      <c r="AH477" s="65" t="str">
        <f aca="false">IF(ISBLANK($C477),"",IF($Z477=Constants!$B$7,IF(ISNUMBER(AG477),COUNTIFS($AA$8:$AA$507,"&lt;"&amp;$AA477)+COUNTIFS($AA$8:$AA$507,$AA477,$AG$8:$AG$507,"&lt;"&amp;$AG477)+1,Constants!$B$14),$Z477))</f>
        <v/>
      </c>
      <c r="AI477" s="65" t="str">
        <f aca="false">IF(ISBLANK($C477),"",IF($Z477=Constants!$B$7,LARGE(AB477:AC477,2)*S477,""))</f>
        <v/>
      </c>
      <c r="AJ477" s="65" t="str">
        <f aca="false">IF(ISBLANK($C477),"",IF($Z477=Constants!$B$7,RANK(AI477,$AI$8:$AI$507),$Z477))</f>
        <v/>
      </c>
      <c r="AK477" s="65" t="str">
        <f aca="false">IF(ISBLANK($C477),"",IF($Z477=Constants!$B$7,IF(ISNUMBER(AG477),COUNTIFS($AA$8:$AA$507,"&lt;"&amp;$AA477)+COUNTIFS($AA$8:$AA$507,$AA477,$AG$8:$AG$507,"&lt;"&amp;$AG477)+COUNTIFS($AA$8:$AA$507,$AA477,$AG$8:$AG$507,$AG477,$AJ$8:$AJ$507,"&lt;"&amp;$AJ477)+1,Constants!$B$14),$Z477))</f>
        <v/>
      </c>
      <c r="AL477" s="65" t="str">
        <f aca="false">IF(ISBLANK($C477),"",IF($Z477=Constants!$B$7,IF(ISNUMBER(AH477),AH477-AK477,Constants!$B$14),$Z477))</f>
        <v/>
      </c>
      <c r="AM477" s="67"/>
      <c r="AN477" s="68" t="str">
        <f aca="false">IF(ISBLANK($C477),"",IF($Z477&lt;&gt;Constants!$B$7,$Z477,AD477))</f>
        <v/>
      </c>
      <c r="AO477" s="69" t="str">
        <f aca="false">IF(ISBLANK($C477),"",IF($Z477&lt;&gt;Constants!$B$7,$Z477,S477))</f>
        <v/>
      </c>
      <c r="AP477" s="70" t="str">
        <f aca="false">IF(ISBLANK($C477),"",IF($Z477&lt;&gt;Constants!$B$7,$Z477,AF477))</f>
        <v/>
      </c>
      <c r="AQ477" s="71" t="str">
        <f aca="false">IF(ISBLANK($C477),"",IF($Z477&lt;&gt;Constants!$B$7,$Z477,AA477))</f>
        <v/>
      </c>
      <c r="AR477" s="69" t="str">
        <f aca="false">IF(ISBLANK($C477),"",AL477)</f>
        <v/>
      </c>
      <c r="AS477" s="69" t="str">
        <f aca="false">IF(ISBLANK($C477),"",AK477)</f>
        <v/>
      </c>
      <c r="AT477" s="72" t="str">
        <f aca="false">IF(ISBLANK($C477),"",IF(AS477=Constants!$B$4,COUNTA($C$8:$C$507)+2,IF(AS477=Constants!$B$5,COUNTA($C$8:$C$507)+1,IF(AS477=Constants!$B$6,COUNTA($C$8:$C$507),AS477))))</f>
        <v/>
      </c>
      <c r="AU477" s="5"/>
      <c r="AV477" s="73" t="n">
        <f aca="false">IF(OR(ISNUMBER(AS477),AS477=Constants!$B$4,AS477=Constants!$B$6,AS477=Constants!$B$5),1,0)</f>
        <v>0</v>
      </c>
      <c r="AW477" s="73" t="n">
        <v>470</v>
      </c>
      <c r="AX477" s="73" t="str">
        <f aca="false">IF(ISBLANK($C477),"",IF(ISNUMBER(AT477),AT477+ROW($B477)/1000,""))</f>
        <v/>
      </c>
      <c r="AY477" s="73" t="str">
        <f aca="false">IF(ISNUMBER(AX477),RANK(AX477,$AX$8:$AX$507,1),"")</f>
        <v/>
      </c>
      <c r="AZ477" s="73" t="str">
        <f aca="false">IF(ISBLANK($C477),"",$B477)</f>
        <v/>
      </c>
      <c r="BA477" s="73" t="str">
        <f aca="false">IF(ISBLANK($C477),"",$C477)</f>
        <v/>
      </c>
      <c r="BB477" s="73" t="str">
        <f aca="false">IF(ISBLANK($C477),"",$D477)</f>
        <v/>
      </c>
      <c r="BC477" s="74" t="str">
        <f aca="false">AQ477</f>
        <v/>
      </c>
      <c r="BD477" s="75" t="str">
        <f aca="false">AP477</f>
        <v/>
      </c>
      <c r="BE477" s="73" t="str">
        <f aca="false">IF(ISBLANK($C477),"",AS477)</f>
        <v/>
      </c>
      <c r="BF477" s="76" t="str">
        <f aca="false">IF($AW477&gt;$AV$7,"",VLOOKUP($AW477,$AY$8:$BE$507,7,FALSE()))</f>
        <v/>
      </c>
      <c r="BG477" s="77" t="str">
        <f aca="false">IF($AW477&gt;$AV$7,"",VLOOKUP($AW477,$AY$8:$BE$507,2,FALSE()))</f>
        <v/>
      </c>
      <c r="BH477" s="77" t="str">
        <f aca="false">IF($AW477&gt;$AV$7,"",VLOOKUP($AW477,$AY$8:$BE$507,3,FALSE()))</f>
        <v/>
      </c>
      <c r="BI477" s="77" t="str">
        <f aca="false">IF($AW477&gt;$AV$7,"",VLOOKUP($AW477,$AY$8:$BE$507,4,FALSE()))</f>
        <v/>
      </c>
      <c r="BJ477" s="77" t="str">
        <f aca="false">IF($AW477&gt;$AV$7,"",VLOOKUP($AW477,$AY$8:$BE$507,5,FALSE()))</f>
        <v/>
      </c>
      <c r="BK477" s="78" t="str">
        <f aca="false">IF($AW477&gt;$AV$7,"",VLOOKUP($AW477,$AY$8:$BE$507,6,FALSE()))</f>
        <v/>
      </c>
      <c r="BL477" s="50"/>
    </row>
    <row r="478" customFormat="false" ht="15.75" hidden="false" customHeight="false" outlineLevel="0" collapsed="false">
      <c r="A478" s="5"/>
      <c r="B478" s="131"/>
      <c r="C478" s="52"/>
      <c r="D478" s="53"/>
      <c r="E478" s="80"/>
      <c r="F478" s="132"/>
      <c r="G478" s="56"/>
      <c r="H478" s="133"/>
      <c r="I478" s="134"/>
      <c r="J478" s="59"/>
      <c r="K478" s="60"/>
      <c r="L478" s="134"/>
      <c r="M478" s="61"/>
      <c r="N478" s="62"/>
      <c r="O478" s="80"/>
      <c r="P478" s="64"/>
      <c r="Q478" s="65" t="str">
        <f aca="false">IF(ISBLANK($C478),"",IF(E478=Constants!$B$2, TRUE(), IF(E478=Constants!$B$3, FALSE(), TRUE())))</f>
        <v/>
      </c>
      <c r="R478" s="65" t="str">
        <f aca="false">IF(ISBLANK($C478),"",IF(F478=Constants!$B$2, TRUE(), IF(F478=Constants!$B$3, FALSE(), TRUE())))</f>
        <v/>
      </c>
      <c r="S478" s="65" t="str">
        <f aca="false">IF(ISBLANK($C478),"",IF(G478=Constants!$B$15,Constants!$B$8,IF(G478=Constants!$B$16,Constants!$B$9,Constants!$B$10)))</f>
        <v/>
      </c>
      <c r="T478" s="65" t="str">
        <f aca="false">IF(ISBLANK($C478),"",IF(H478=Constants!$B$2, TRUE(), IF(H478=Constants!$B$3, FALSE(), TRUE())))</f>
        <v/>
      </c>
      <c r="U478" s="65" t="str">
        <f aca="false">IF(ISBLANK($C478),"",IF(I478=Constants!$B$19,Constants!$B$19,Constants!$B$18))</f>
        <v/>
      </c>
      <c r="V478" s="65" t="str">
        <f aca="false">IF(ISBLANK($C478),"",IF(COUNTA(J478:K478)=0,"",IF(AND(OR(ISBLANK(J478),AND(ISNUMBER(J478),J478&gt;=0)),OR(ISBLANK(K478),AND(ISNUMBER(K478),K478&gt;=0))),60*IF(ISBLANK(J478),0,J478)+IF(ISBLANK(K478),0,K478),"")))</f>
        <v/>
      </c>
      <c r="W478" s="65" t="str">
        <f aca="false">IF(ISBLANK($C478),"",IF(L478=Constants!$B$19,Constants!$B$19,Constants!$B$18))</f>
        <v/>
      </c>
      <c r="X478" s="65" t="str">
        <f aca="false">IF(ISBLANK($C478),"",IF(COUNTA(M478:N478)=0,"",IF(AND(OR(ISBLANK(M478),AND(ISNUMBER(M478),M478&gt;=0)),OR(ISBLANK(N478),AND(ISNUMBER(N478),N478&gt;=0))),60*IF(ISBLANK(M478),0,M478)+IF(ISBLANK(N478),0,N478),"")))</f>
        <v/>
      </c>
      <c r="Y478" s="65" t="str">
        <f aca="false">IF(ISBLANK($C478),"",IF(O478=Constants!$B$2, TRUE(), IF(O478=Constants!$B$3, FALSE(), FALSE())))</f>
        <v/>
      </c>
      <c r="Z478" s="65" t="str">
        <f aca="false">IF(ISBLANK($C478),"",IF(Y478,Constants!$B$4,IF(COUNTA(E478:N478)=0,Constants!$B$5,IF(COUNTA(J478:K478,M478:N478)=0,Constants!$B$6,Constants!$B$7))))</f>
        <v/>
      </c>
      <c r="AA478" s="65" t="str">
        <f aca="false">IF(ISBLANK($C478),"",IF($Z478&lt;&gt;Constants!$B$7,$Z478,IF(OR(NOT(T478),AND(NOT(Q478),COUNTIFS(U478:W478,Constants!$B$18,V478:X478,"&gt;=0")&gt;0),AND(NOT(R478),COUNTIFS(U478:W478,Constants!$B$19,V478:X478,"&gt;=0")&gt;0)),Constants!$B$12,Constants!$B$11)))</f>
        <v/>
      </c>
      <c r="AB478" s="65" t="str">
        <f aca="false">IF($Z478=Constants!$B$7,IF(V478="",Constants!$B$13,V478),"")</f>
        <v/>
      </c>
      <c r="AC478" s="65" t="str">
        <f aca="false">IF($Z478=Constants!$B$7,IF(X478="",Constants!$B$13,X478),"")</f>
        <v/>
      </c>
      <c r="AD478" s="65" t="str">
        <f aca="false">IF($Z478=Constants!$B$7,IF($AB478&gt;=$AC478,1,2),"")</f>
        <v/>
      </c>
      <c r="AE478" s="65" t="str">
        <f aca="false">IF($Z478=Constants!$B$7,LARGE(AB478:AC478,1),"")</f>
        <v/>
      </c>
      <c r="AF478" s="65" t="str">
        <f aca="false">IF(ISBLANK($C478),"",IF($Z478&lt;&gt;Constants!$B$7,$Z478,AE478*S478))</f>
        <v/>
      </c>
      <c r="AG478" s="65" t="str">
        <f aca="false">IF(ISBLANK($C478),"",IF($Z478=Constants!$B$7,IF(ISNUMBER(AF478),RANK(AF478,$AF$8:$AF$507),Constants!$B$14),$Z478))</f>
        <v/>
      </c>
      <c r="AH478" s="65" t="str">
        <f aca="false">IF(ISBLANK($C478),"",IF($Z478=Constants!$B$7,IF(ISNUMBER(AG478),COUNTIFS($AA$8:$AA$507,"&lt;"&amp;$AA478)+COUNTIFS($AA$8:$AA$507,$AA478,$AG$8:$AG$507,"&lt;"&amp;$AG478)+1,Constants!$B$14),$Z478))</f>
        <v/>
      </c>
      <c r="AI478" s="65" t="str">
        <f aca="false">IF(ISBLANK($C478),"",IF($Z478=Constants!$B$7,LARGE(AB478:AC478,2)*S478,""))</f>
        <v/>
      </c>
      <c r="AJ478" s="65" t="str">
        <f aca="false">IF(ISBLANK($C478),"",IF($Z478=Constants!$B$7,RANK(AI478,$AI$8:$AI$507),$Z478))</f>
        <v/>
      </c>
      <c r="AK478" s="65" t="str">
        <f aca="false">IF(ISBLANK($C478),"",IF($Z478=Constants!$B$7,IF(ISNUMBER(AG478),COUNTIFS($AA$8:$AA$507,"&lt;"&amp;$AA478)+COUNTIFS($AA$8:$AA$507,$AA478,$AG$8:$AG$507,"&lt;"&amp;$AG478)+COUNTIFS($AA$8:$AA$507,$AA478,$AG$8:$AG$507,$AG478,$AJ$8:$AJ$507,"&lt;"&amp;$AJ478)+1,Constants!$B$14),$Z478))</f>
        <v/>
      </c>
      <c r="AL478" s="65" t="str">
        <f aca="false">IF(ISBLANK($C478),"",IF($Z478=Constants!$B$7,IF(ISNUMBER(AH478),AH478-AK478,Constants!$B$14),$Z478))</f>
        <v/>
      </c>
      <c r="AM478" s="67"/>
      <c r="AN478" s="68" t="str">
        <f aca="false">IF(ISBLANK($C478),"",IF($Z478&lt;&gt;Constants!$B$7,$Z478,AD478))</f>
        <v/>
      </c>
      <c r="AO478" s="69" t="str">
        <f aca="false">IF(ISBLANK($C478),"",IF($Z478&lt;&gt;Constants!$B$7,$Z478,S478))</f>
        <v/>
      </c>
      <c r="AP478" s="70" t="str">
        <f aca="false">IF(ISBLANK($C478),"",IF($Z478&lt;&gt;Constants!$B$7,$Z478,AF478))</f>
        <v/>
      </c>
      <c r="AQ478" s="71" t="str">
        <f aca="false">IF(ISBLANK($C478),"",IF($Z478&lt;&gt;Constants!$B$7,$Z478,AA478))</f>
        <v/>
      </c>
      <c r="AR478" s="69" t="str">
        <f aca="false">IF(ISBLANK($C478),"",AL478)</f>
        <v/>
      </c>
      <c r="AS478" s="69" t="str">
        <f aca="false">IF(ISBLANK($C478),"",AK478)</f>
        <v/>
      </c>
      <c r="AT478" s="72" t="str">
        <f aca="false">IF(ISBLANK($C478),"",IF(AS478=Constants!$B$4,COUNTA($C$8:$C$507)+2,IF(AS478=Constants!$B$5,COUNTA($C$8:$C$507)+1,IF(AS478=Constants!$B$6,COUNTA($C$8:$C$507),AS478))))</f>
        <v/>
      </c>
      <c r="AU478" s="5"/>
      <c r="AV478" s="73" t="n">
        <f aca="false">IF(OR(ISNUMBER(AS478),AS478=Constants!$B$4,AS478=Constants!$B$6,AS478=Constants!$B$5),1,0)</f>
        <v>0</v>
      </c>
      <c r="AW478" s="73" t="n">
        <v>471</v>
      </c>
      <c r="AX478" s="73" t="str">
        <f aca="false">IF(ISBLANK($C478),"",IF(ISNUMBER(AT478),AT478+ROW($B478)/1000,""))</f>
        <v/>
      </c>
      <c r="AY478" s="73" t="str">
        <f aca="false">IF(ISNUMBER(AX478),RANK(AX478,$AX$8:$AX$507,1),"")</f>
        <v/>
      </c>
      <c r="AZ478" s="73" t="str">
        <f aca="false">IF(ISBLANK($C478),"",$B478)</f>
        <v/>
      </c>
      <c r="BA478" s="73" t="str">
        <f aca="false">IF(ISBLANK($C478),"",$C478)</f>
        <v/>
      </c>
      <c r="BB478" s="73" t="str">
        <f aca="false">IF(ISBLANK($C478),"",$D478)</f>
        <v/>
      </c>
      <c r="BC478" s="74" t="str">
        <f aca="false">AQ478</f>
        <v/>
      </c>
      <c r="BD478" s="75" t="str">
        <f aca="false">AP478</f>
        <v/>
      </c>
      <c r="BE478" s="73" t="str">
        <f aca="false">IF(ISBLANK($C478),"",AS478)</f>
        <v/>
      </c>
      <c r="BF478" s="76" t="str">
        <f aca="false">IF($AW478&gt;$AV$7,"",VLOOKUP($AW478,$AY$8:$BE$507,7,FALSE()))</f>
        <v/>
      </c>
      <c r="BG478" s="77" t="str">
        <f aca="false">IF($AW478&gt;$AV$7,"",VLOOKUP($AW478,$AY$8:$BE$507,2,FALSE()))</f>
        <v/>
      </c>
      <c r="BH478" s="77" t="str">
        <f aca="false">IF($AW478&gt;$AV$7,"",VLOOKUP($AW478,$AY$8:$BE$507,3,FALSE()))</f>
        <v/>
      </c>
      <c r="BI478" s="77" t="str">
        <f aca="false">IF($AW478&gt;$AV$7,"",VLOOKUP($AW478,$AY$8:$BE$507,4,FALSE()))</f>
        <v/>
      </c>
      <c r="BJ478" s="77" t="str">
        <f aca="false">IF($AW478&gt;$AV$7,"",VLOOKUP($AW478,$AY$8:$BE$507,5,FALSE()))</f>
        <v/>
      </c>
      <c r="BK478" s="78" t="str">
        <f aca="false">IF($AW478&gt;$AV$7,"",VLOOKUP($AW478,$AY$8:$BE$507,6,FALSE()))</f>
        <v/>
      </c>
      <c r="BL478" s="50"/>
    </row>
    <row r="479" customFormat="false" ht="15.75" hidden="false" customHeight="false" outlineLevel="0" collapsed="false">
      <c r="A479" s="5"/>
      <c r="B479" s="124"/>
      <c r="C479" s="125"/>
      <c r="D479" s="110"/>
      <c r="E479" s="130"/>
      <c r="F479" s="135"/>
      <c r="G479" s="88"/>
      <c r="H479" s="136"/>
      <c r="I479" s="137"/>
      <c r="J479" s="91"/>
      <c r="K479" s="92"/>
      <c r="L479" s="137"/>
      <c r="M479" s="93"/>
      <c r="N479" s="94"/>
      <c r="O479" s="130"/>
      <c r="P479" s="96"/>
      <c r="Q479" s="97" t="str">
        <f aca="false">IF(ISBLANK($C479),"",IF(E479=Constants!$B$2, TRUE(), IF(E479=Constants!$B$3, FALSE(), TRUE())))</f>
        <v/>
      </c>
      <c r="R479" s="97" t="str">
        <f aca="false">IF(ISBLANK($C479),"",IF(F479=Constants!$B$2, TRUE(), IF(F479=Constants!$B$3, FALSE(), TRUE())))</f>
        <v/>
      </c>
      <c r="S479" s="97" t="str">
        <f aca="false">IF(ISBLANK($C479),"",IF(G479=Constants!$B$15,Constants!$B$8,IF(G479=Constants!$B$16,Constants!$B$9,Constants!$B$10)))</f>
        <v/>
      </c>
      <c r="T479" s="97" t="str">
        <f aca="false">IF(ISBLANK($C479),"",IF(H479=Constants!$B$2, TRUE(), IF(H479=Constants!$B$3, FALSE(), TRUE())))</f>
        <v/>
      </c>
      <c r="U479" s="97" t="str">
        <f aca="false">IF(ISBLANK($C479),"",IF(I479=Constants!$B$19,Constants!$B$19,Constants!$B$18))</f>
        <v/>
      </c>
      <c r="V479" s="97" t="str">
        <f aca="false">IF(ISBLANK($C479),"",IF(COUNTA(J479:K479)=0,"",IF(AND(OR(ISBLANK(J479),AND(ISNUMBER(J479),J479&gt;=0)),OR(ISBLANK(K479),AND(ISNUMBER(K479),K479&gt;=0))),60*IF(ISBLANK(J479),0,J479)+IF(ISBLANK(K479),0,K479),"")))</f>
        <v/>
      </c>
      <c r="W479" s="97" t="str">
        <f aca="false">IF(ISBLANK($C479),"",IF(L479=Constants!$B$19,Constants!$B$19,Constants!$B$18))</f>
        <v/>
      </c>
      <c r="X479" s="97" t="str">
        <f aca="false">IF(ISBLANK($C479),"",IF(COUNTA(M479:N479)=0,"",IF(AND(OR(ISBLANK(M479),AND(ISNUMBER(M479),M479&gt;=0)),OR(ISBLANK(N479),AND(ISNUMBER(N479),N479&gt;=0))),60*IF(ISBLANK(M479),0,M479)+IF(ISBLANK(N479),0,N479),"")))</f>
        <v/>
      </c>
      <c r="Y479" s="97" t="str">
        <f aca="false">IF(ISBLANK($C479),"",IF(O479=Constants!$B$2, TRUE(), IF(O479=Constants!$B$3, FALSE(), FALSE())))</f>
        <v/>
      </c>
      <c r="Z479" s="97" t="str">
        <f aca="false">IF(ISBLANK($C479),"",IF(Y479,Constants!$B$4,IF(COUNTA(E479:N479)=0,Constants!$B$5,IF(COUNTA(J479:K479,M479:N479)=0,Constants!$B$6,Constants!$B$7))))</f>
        <v/>
      </c>
      <c r="AA479" s="97" t="str">
        <f aca="false">IF(ISBLANK($C479),"",IF($Z479&lt;&gt;Constants!$B$7,$Z479,IF(OR(NOT(T479),AND(NOT(Q479),COUNTIFS(U479:W479,Constants!$B$18,V479:X479,"&gt;=0")&gt;0),AND(NOT(R479),COUNTIFS(U479:W479,Constants!$B$19,V479:X479,"&gt;=0")&gt;0)),Constants!$B$12,Constants!$B$11)))</f>
        <v/>
      </c>
      <c r="AB479" s="97" t="str">
        <f aca="false">IF($Z479=Constants!$B$7,IF(V479="",Constants!$B$13,V479),"")</f>
        <v/>
      </c>
      <c r="AC479" s="97" t="str">
        <f aca="false">IF($Z479=Constants!$B$7,IF(X479="",Constants!$B$13,X479),"")</f>
        <v/>
      </c>
      <c r="AD479" s="97" t="str">
        <f aca="false">IF($Z479=Constants!$B$7,IF($AB479&gt;=$AC479,1,2),"")</f>
        <v/>
      </c>
      <c r="AE479" s="97" t="str">
        <f aca="false">IF($Z479=Constants!$B$7,LARGE(AB479:AC479,1),"")</f>
        <v/>
      </c>
      <c r="AF479" s="97" t="str">
        <f aca="false">IF(ISBLANK($C479),"",IF($Z479&lt;&gt;Constants!$B$7,$Z479,AE479*S479))</f>
        <v/>
      </c>
      <c r="AG479" s="97" t="str">
        <f aca="false">IF(ISBLANK($C479),"",IF($Z479=Constants!$B$7,IF(ISNUMBER(AF479),RANK(AF479,$AF$8:$AF$507),Constants!$B$14),$Z479))</f>
        <v/>
      </c>
      <c r="AH479" s="97" t="str">
        <f aca="false">IF(ISBLANK($C479),"",IF($Z479=Constants!$B$7,IF(ISNUMBER(AG479),COUNTIFS($AA$8:$AA$507,"&lt;"&amp;$AA479)+COUNTIFS($AA$8:$AA$507,$AA479,$AG$8:$AG$507,"&lt;"&amp;$AG479)+1,Constants!$B$14),$Z479))</f>
        <v/>
      </c>
      <c r="AI479" s="97" t="str">
        <f aca="false">IF(ISBLANK($C479),"",IF($Z479=Constants!$B$7,LARGE(AB479:AC479,2)*S479,""))</f>
        <v/>
      </c>
      <c r="AJ479" s="97" t="str">
        <f aca="false">IF(ISBLANK($C479),"",IF($Z479=Constants!$B$7,RANK(AI479,$AI$8:$AI$507),$Z479))</f>
        <v/>
      </c>
      <c r="AK479" s="97" t="str">
        <f aca="false">IF(ISBLANK($C479),"",IF($Z479=Constants!$B$7,IF(ISNUMBER(AG479),COUNTIFS($AA$8:$AA$507,"&lt;"&amp;$AA479)+COUNTIFS($AA$8:$AA$507,$AA479,$AG$8:$AG$507,"&lt;"&amp;$AG479)+COUNTIFS($AA$8:$AA$507,$AA479,$AG$8:$AG$507,$AG479,$AJ$8:$AJ$507,"&lt;"&amp;$AJ479)+1,Constants!$B$14),$Z479))</f>
        <v/>
      </c>
      <c r="AL479" s="97" t="str">
        <f aca="false">IF(ISBLANK($C479),"",IF($Z479=Constants!$B$7,IF(ISNUMBER(AH479),AH479-AK479,Constants!$B$14),$Z479))</f>
        <v/>
      </c>
      <c r="AM479" s="98"/>
      <c r="AN479" s="99" t="str">
        <f aca="false">IF(ISBLANK($C479),"",IF($Z479&lt;&gt;Constants!$B$7,$Z479,AD479))</f>
        <v/>
      </c>
      <c r="AO479" s="100" t="str">
        <f aca="false">IF(ISBLANK($C479),"",IF($Z479&lt;&gt;Constants!$B$7,$Z479,S479))</f>
        <v/>
      </c>
      <c r="AP479" s="101" t="str">
        <f aca="false">IF(ISBLANK($C479),"",IF($Z479&lt;&gt;Constants!$B$7,$Z479,AF479))</f>
        <v/>
      </c>
      <c r="AQ479" s="102" t="str">
        <f aca="false">IF(ISBLANK($C479),"",IF($Z479&lt;&gt;Constants!$B$7,$Z479,AA479))</f>
        <v/>
      </c>
      <c r="AR479" s="100" t="str">
        <f aca="false">IF(ISBLANK($C479),"",AL479)</f>
        <v/>
      </c>
      <c r="AS479" s="100" t="str">
        <f aca="false">IF(ISBLANK($C479),"",AK479)</f>
        <v/>
      </c>
      <c r="AT479" s="103" t="str">
        <f aca="false">IF(ISBLANK($C479),"",IF(AS479=Constants!$B$4,COUNTA($C$8:$C$507)+2,IF(AS479=Constants!$B$5,COUNTA($C$8:$C$507)+1,IF(AS479=Constants!$B$6,COUNTA($C$8:$C$507),AS479))))</f>
        <v/>
      </c>
      <c r="AU479" s="5"/>
      <c r="AV479" s="104" t="n">
        <f aca="false">IF(OR(ISNUMBER(AS479),AS479=Constants!$B$4,AS479=Constants!$B$6,AS479=Constants!$B$5),1,0)</f>
        <v>0</v>
      </c>
      <c r="AW479" s="104" t="n">
        <v>472</v>
      </c>
      <c r="AX479" s="104" t="str">
        <f aca="false">IF(ISBLANK($C479),"",IF(ISNUMBER(AT479),AT479+ROW($B479)/1000,""))</f>
        <v/>
      </c>
      <c r="AY479" s="104" t="str">
        <f aca="false">IF(ISNUMBER(AX479),RANK(AX479,$AX$8:$AX$507,1),"")</f>
        <v/>
      </c>
      <c r="AZ479" s="104" t="str">
        <f aca="false">IF(ISBLANK($C479),"",$B479)</f>
        <v/>
      </c>
      <c r="BA479" s="104" t="str">
        <f aca="false">IF(ISBLANK($C479),"",$C479)</f>
        <v/>
      </c>
      <c r="BB479" s="104" t="str">
        <f aca="false">IF(ISBLANK($C479),"",$D479)</f>
        <v/>
      </c>
      <c r="BC479" s="105" t="str">
        <f aca="false">AQ479</f>
        <v/>
      </c>
      <c r="BD479" s="106" t="str">
        <f aca="false">AP479</f>
        <v/>
      </c>
      <c r="BE479" s="104" t="str">
        <f aca="false">IF(ISBLANK($C479),"",AS479)</f>
        <v/>
      </c>
      <c r="BF479" s="107" t="str">
        <f aca="false">IF($AW479&gt;$AV$7,"",VLOOKUP($AW479,$AY$8:$BE$507,7,FALSE()))</f>
        <v/>
      </c>
      <c r="BG479" s="108" t="str">
        <f aca="false">IF($AW479&gt;$AV$7,"",VLOOKUP($AW479,$AY$8:$BE$507,2,FALSE()))</f>
        <v/>
      </c>
      <c r="BH479" s="108" t="str">
        <f aca="false">IF($AW479&gt;$AV$7,"",VLOOKUP($AW479,$AY$8:$BE$507,3,FALSE()))</f>
        <v/>
      </c>
      <c r="BI479" s="108" t="str">
        <f aca="false">IF($AW479&gt;$AV$7,"",VLOOKUP($AW479,$AY$8:$BE$507,4,FALSE()))</f>
        <v/>
      </c>
      <c r="BJ479" s="108" t="str">
        <f aca="false">IF($AW479&gt;$AV$7,"",VLOOKUP($AW479,$AY$8:$BE$507,5,FALSE()))</f>
        <v/>
      </c>
      <c r="BK479" s="109" t="str">
        <f aca="false">IF($AW479&gt;$AV$7,"",VLOOKUP($AW479,$AY$8:$BE$507,6,FALSE()))</f>
        <v/>
      </c>
      <c r="BL479" s="50"/>
    </row>
    <row r="480" customFormat="false" ht="15.75" hidden="false" customHeight="false" outlineLevel="0" collapsed="false">
      <c r="A480" s="5"/>
      <c r="B480" s="124"/>
      <c r="C480" s="125"/>
      <c r="D480" s="110"/>
      <c r="E480" s="130"/>
      <c r="F480" s="135"/>
      <c r="G480" s="88"/>
      <c r="H480" s="136"/>
      <c r="I480" s="137"/>
      <c r="J480" s="91"/>
      <c r="K480" s="92"/>
      <c r="L480" s="137"/>
      <c r="M480" s="93"/>
      <c r="N480" s="94"/>
      <c r="O480" s="130"/>
      <c r="P480" s="96"/>
      <c r="Q480" s="97" t="str">
        <f aca="false">IF(ISBLANK($C480),"",IF(E480=Constants!$B$2, TRUE(), IF(E480=Constants!$B$3, FALSE(), TRUE())))</f>
        <v/>
      </c>
      <c r="R480" s="97" t="str">
        <f aca="false">IF(ISBLANK($C480),"",IF(F480=Constants!$B$2, TRUE(), IF(F480=Constants!$B$3, FALSE(), TRUE())))</f>
        <v/>
      </c>
      <c r="S480" s="97" t="str">
        <f aca="false">IF(ISBLANK($C480),"",IF(G480=Constants!$B$15,Constants!$B$8,IF(G480=Constants!$B$16,Constants!$B$9,Constants!$B$10)))</f>
        <v/>
      </c>
      <c r="T480" s="97" t="str">
        <f aca="false">IF(ISBLANK($C480),"",IF(H480=Constants!$B$2, TRUE(), IF(H480=Constants!$B$3, FALSE(), TRUE())))</f>
        <v/>
      </c>
      <c r="U480" s="97" t="str">
        <f aca="false">IF(ISBLANK($C480),"",IF(I480=Constants!$B$19,Constants!$B$19,Constants!$B$18))</f>
        <v/>
      </c>
      <c r="V480" s="97" t="str">
        <f aca="false">IF(ISBLANK($C480),"",IF(COUNTA(J480:K480)=0,"",IF(AND(OR(ISBLANK(J480),AND(ISNUMBER(J480),J480&gt;=0)),OR(ISBLANK(K480),AND(ISNUMBER(K480),K480&gt;=0))),60*IF(ISBLANK(J480),0,J480)+IF(ISBLANK(K480),0,K480),"")))</f>
        <v/>
      </c>
      <c r="W480" s="97" t="str">
        <f aca="false">IF(ISBLANK($C480),"",IF(L480=Constants!$B$19,Constants!$B$19,Constants!$B$18))</f>
        <v/>
      </c>
      <c r="X480" s="97" t="str">
        <f aca="false">IF(ISBLANK($C480),"",IF(COUNTA(M480:N480)=0,"",IF(AND(OR(ISBLANK(M480),AND(ISNUMBER(M480),M480&gt;=0)),OR(ISBLANK(N480),AND(ISNUMBER(N480),N480&gt;=0))),60*IF(ISBLANK(M480),0,M480)+IF(ISBLANK(N480),0,N480),"")))</f>
        <v/>
      </c>
      <c r="Y480" s="97" t="str">
        <f aca="false">IF(ISBLANK($C480),"",IF(O480=Constants!$B$2, TRUE(), IF(O480=Constants!$B$3, FALSE(), FALSE())))</f>
        <v/>
      </c>
      <c r="Z480" s="97" t="str">
        <f aca="false">IF(ISBLANK($C480),"",IF(Y480,Constants!$B$4,IF(COUNTA(E480:N480)=0,Constants!$B$5,IF(COUNTA(J480:K480,M480:N480)=0,Constants!$B$6,Constants!$B$7))))</f>
        <v/>
      </c>
      <c r="AA480" s="97" t="str">
        <f aca="false">IF(ISBLANK($C480),"",IF($Z480&lt;&gt;Constants!$B$7,$Z480,IF(OR(NOT(T480),AND(NOT(Q480),COUNTIFS(U480:W480,Constants!$B$18,V480:X480,"&gt;=0")&gt;0),AND(NOT(R480),COUNTIFS(U480:W480,Constants!$B$19,V480:X480,"&gt;=0")&gt;0)),Constants!$B$12,Constants!$B$11)))</f>
        <v/>
      </c>
      <c r="AB480" s="97" t="str">
        <f aca="false">IF($Z480=Constants!$B$7,IF(V480="",Constants!$B$13,V480),"")</f>
        <v/>
      </c>
      <c r="AC480" s="97" t="str">
        <f aca="false">IF($Z480=Constants!$B$7,IF(X480="",Constants!$B$13,X480),"")</f>
        <v/>
      </c>
      <c r="AD480" s="97" t="str">
        <f aca="false">IF($Z480=Constants!$B$7,IF($AB480&gt;=$AC480,1,2),"")</f>
        <v/>
      </c>
      <c r="AE480" s="97" t="str">
        <f aca="false">IF($Z480=Constants!$B$7,LARGE(AB480:AC480,1),"")</f>
        <v/>
      </c>
      <c r="AF480" s="97" t="str">
        <f aca="false">IF(ISBLANK($C480),"",IF($Z480&lt;&gt;Constants!$B$7,$Z480,AE480*S480))</f>
        <v/>
      </c>
      <c r="AG480" s="97" t="str">
        <f aca="false">IF(ISBLANK($C480),"",IF($Z480=Constants!$B$7,IF(ISNUMBER(AF480),RANK(AF480,$AF$8:$AF$507),Constants!$B$14),$Z480))</f>
        <v/>
      </c>
      <c r="AH480" s="97" t="str">
        <f aca="false">IF(ISBLANK($C480),"",IF($Z480=Constants!$B$7,IF(ISNUMBER(AG480),COUNTIFS($AA$8:$AA$507,"&lt;"&amp;$AA480)+COUNTIFS($AA$8:$AA$507,$AA480,$AG$8:$AG$507,"&lt;"&amp;$AG480)+1,Constants!$B$14),$Z480))</f>
        <v/>
      </c>
      <c r="AI480" s="97" t="str">
        <f aca="false">IF(ISBLANK($C480),"",IF($Z480=Constants!$B$7,LARGE(AB480:AC480,2)*S480,""))</f>
        <v/>
      </c>
      <c r="AJ480" s="97" t="str">
        <f aca="false">IF(ISBLANK($C480),"",IF($Z480=Constants!$B$7,RANK(AI480,$AI$8:$AI$507),$Z480))</f>
        <v/>
      </c>
      <c r="AK480" s="97" t="str">
        <f aca="false">IF(ISBLANK($C480),"",IF($Z480=Constants!$B$7,IF(ISNUMBER(AG480),COUNTIFS($AA$8:$AA$507,"&lt;"&amp;$AA480)+COUNTIFS($AA$8:$AA$507,$AA480,$AG$8:$AG$507,"&lt;"&amp;$AG480)+COUNTIFS($AA$8:$AA$507,$AA480,$AG$8:$AG$507,$AG480,$AJ$8:$AJ$507,"&lt;"&amp;$AJ480)+1,Constants!$B$14),$Z480))</f>
        <v/>
      </c>
      <c r="AL480" s="97" t="str">
        <f aca="false">IF(ISBLANK($C480),"",IF($Z480=Constants!$B$7,IF(ISNUMBER(AH480),AH480-AK480,Constants!$B$14),$Z480))</f>
        <v/>
      </c>
      <c r="AM480" s="98"/>
      <c r="AN480" s="99" t="str">
        <f aca="false">IF(ISBLANK($C480),"",IF($Z480&lt;&gt;Constants!$B$7,$Z480,AD480))</f>
        <v/>
      </c>
      <c r="AO480" s="100" t="str">
        <f aca="false">IF(ISBLANK($C480),"",IF($Z480&lt;&gt;Constants!$B$7,$Z480,S480))</f>
        <v/>
      </c>
      <c r="AP480" s="101" t="str">
        <f aca="false">IF(ISBLANK($C480),"",IF($Z480&lt;&gt;Constants!$B$7,$Z480,AF480))</f>
        <v/>
      </c>
      <c r="AQ480" s="102" t="str">
        <f aca="false">IF(ISBLANK($C480),"",IF($Z480&lt;&gt;Constants!$B$7,$Z480,AA480))</f>
        <v/>
      </c>
      <c r="AR480" s="100" t="str">
        <f aca="false">IF(ISBLANK($C480),"",AL480)</f>
        <v/>
      </c>
      <c r="AS480" s="100" t="str">
        <f aca="false">IF(ISBLANK($C480),"",AK480)</f>
        <v/>
      </c>
      <c r="AT480" s="103" t="str">
        <f aca="false">IF(ISBLANK($C480),"",IF(AS480=Constants!$B$4,COUNTA($C$8:$C$507)+2,IF(AS480=Constants!$B$5,COUNTA($C$8:$C$507)+1,IF(AS480=Constants!$B$6,COUNTA($C$8:$C$507),AS480))))</f>
        <v/>
      </c>
      <c r="AU480" s="5"/>
      <c r="AV480" s="104" t="n">
        <f aca="false">IF(OR(ISNUMBER(AS480),AS480=Constants!$B$4,AS480=Constants!$B$6,AS480=Constants!$B$5),1,0)</f>
        <v>0</v>
      </c>
      <c r="AW480" s="104" t="n">
        <v>473</v>
      </c>
      <c r="AX480" s="104" t="str">
        <f aca="false">IF(ISBLANK($C480),"",IF(ISNUMBER(AT480),AT480+ROW($B480)/1000,""))</f>
        <v/>
      </c>
      <c r="AY480" s="104" t="str">
        <f aca="false">IF(ISNUMBER(AX480),RANK(AX480,$AX$8:$AX$507,1),"")</f>
        <v/>
      </c>
      <c r="AZ480" s="104" t="str">
        <f aca="false">IF(ISBLANK($C480),"",$B480)</f>
        <v/>
      </c>
      <c r="BA480" s="104" t="str">
        <f aca="false">IF(ISBLANK($C480),"",$C480)</f>
        <v/>
      </c>
      <c r="BB480" s="104" t="str">
        <f aca="false">IF(ISBLANK($C480),"",$D480)</f>
        <v/>
      </c>
      <c r="BC480" s="105" t="str">
        <f aca="false">AQ480</f>
        <v/>
      </c>
      <c r="BD480" s="106" t="str">
        <f aca="false">AP480</f>
        <v/>
      </c>
      <c r="BE480" s="104" t="str">
        <f aca="false">IF(ISBLANK($C480),"",AS480)</f>
        <v/>
      </c>
      <c r="BF480" s="107" t="str">
        <f aca="false">IF($AW480&gt;$AV$7,"",VLOOKUP($AW480,$AY$8:$BE$507,7,FALSE()))</f>
        <v/>
      </c>
      <c r="BG480" s="108" t="str">
        <f aca="false">IF($AW480&gt;$AV$7,"",VLOOKUP($AW480,$AY$8:$BE$507,2,FALSE()))</f>
        <v/>
      </c>
      <c r="BH480" s="108" t="str">
        <f aca="false">IF($AW480&gt;$AV$7,"",VLOOKUP($AW480,$AY$8:$BE$507,3,FALSE()))</f>
        <v/>
      </c>
      <c r="BI480" s="108" t="str">
        <f aca="false">IF($AW480&gt;$AV$7,"",VLOOKUP($AW480,$AY$8:$BE$507,4,FALSE()))</f>
        <v/>
      </c>
      <c r="BJ480" s="108" t="str">
        <f aca="false">IF($AW480&gt;$AV$7,"",VLOOKUP($AW480,$AY$8:$BE$507,5,FALSE()))</f>
        <v/>
      </c>
      <c r="BK480" s="109" t="str">
        <f aca="false">IF($AW480&gt;$AV$7,"",VLOOKUP($AW480,$AY$8:$BE$507,6,FALSE()))</f>
        <v/>
      </c>
      <c r="BL480" s="50"/>
    </row>
    <row r="481" customFormat="false" ht="15.75" hidden="false" customHeight="false" outlineLevel="0" collapsed="false">
      <c r="A481" s="5"/>
      <c r="B481" s="124"/>
      <c r="C481" s="125"/>
      <c r="D481" s="110"/>
      <c r="E481" s="130"/>
      <c r="F481" s="135"/>
      <c r="G481" s="88"/>
      <c r="H481" s="136"/>
      <c r="I481" s="137"/>
      <c r="J481" s="91"/>
      <c r="K481" s="92"/>
      <c r="L481" s="137"/>
      <c r="M481" s="93"/>
      <c r="N481" s="94"/>
      <c r="O481" s="130"/>
      <c r="P481" s="96"/>
      <c r="Q481" s="97" t="str">
        <f aca="false">IF(ISBLANK($C481),"",IF(E481=Constants!$B$2, TRUE(), IF(E481=Constants!$B$3, FALSE(), TRUE())))</f>
        <v/>
      </c>
      <c r="R481" s="97" t="str">
        <f aca="false">IF(ISBLANK($C481),"",IF(F481=Constants!$B$2, TRUE(), IF(F481=Constants!$B$3, FALSE(), TRUE())))</f>
        <v/>
      </c>
      <c r="S481" s="97" t="str">
        <f aca="false">IF(ISBLANK($C481),"",IF(G481=Constants!$B$15,Constants!$B$8,IF(G481=Constants!$B$16,Constants!$B$9,Constants!$B$10)))</f>
        <v/>
      </c>
      <c r="T481" s="97" t="str">
        <f aca="false">IF(ISBLANK($C481),"",IF(H481=Constants!$B$2, TRUE(), IF(H481=Constants!$B$3, FALSE(), TRUE())))</f>
        <v/>
      </c>
      <c r="U481" s="97" t="str">
        <f aca="false">IF(ISBLANK($C481),"",IF(I481=Constants!$B$19,Constants!$B$19,Constants!$B$18))</f>
        <v/>
      </c>
      <c r="V481" s="97" t="str">
        <f aca="false">IF(ISBLANK($C481),"",IF(COUNTA(J481:K481)=0,"",IF(AND(OR(ISBLANK(J481),AND(ISNUMBER(J481),J481&gt;=0)),OR(ISBLANK(K481),AND(ISNUMBER(K481),K481&gt;=0))),60*IF(ISBLANK(J481),0,J481)+IF(ISBLANK(K481),0,K481),"")))</f>
        <v/>
      </c>
      <c r="W481" s="97" t="str">
        <f aca="false">IF(ISBLANK($C481),"",IF(L481=Constants!$B$19,Constants!$B$19,Constants!$B$18))</f>
        <v/>
      </c>
      <c r="X481" s="97" t="str">
        <f aca="false">IF(ISBLANK($C481),"",IF(COUNTA(M481:N481)=0,"",IF(AND(OR(ISBLANK(M481),AND(ISNUMBER(M481),M481&gt;=0)),OR(ISBLANK(N481),AND(ISNUMBER(N481),N481&gt;=0))),60*IF(ISBLANK(M481),0,M481)+IF(ISBLANK(N481),0,N481),"")))</f>
        <v/>
      </c>
      <c r="Y481" s="97" t="str">
        <f aca="false">IF(ISBLANK($C481),"",IF(O481=Constants!$B$2, TRUE(), IF(O481=Constants!$B$3, FALSE(), FALSE())))</f>
        <v/>
      </c>
      <c r="Z481" s="97" t="str">
        <f aca="false">IF(ISBLANK($C481),"",IF(Y481,Constants!$B$4,IF(COUNTA(E481:N481)=0,Constants!$B$5,IF(COUNTA(J481:K481,M481:N481)=0,Constants!$B$6,Constants!$B$7))))</f>
        <v/>
      </c>
      <c r="AA481" s="97" t="str">
        <f aca="false">IF(ISBLANK($C481),"",IF($Z481&lt;&gt;Constants!$B$7,$Z481,IF(OR(NOT(T481),AND(NOT(Q481),COUNTIFS(U481:W481,Constants!$B$18,V481:X481,"&gt;=0")&gt;0),AND(NOT(R481),COUNTIFS(U481:W481,Constants!$B$19,V481:X481,"&gt;=0")&gt;0)),Constants!$B$12,Constants!$B$11)))</f>
        <v/>
      </c>
      <c r="AB481" s="97" t="str">
        <f aca="false">IF($Z481=Constants!$B$7,IF(V481="",Constants!$B$13,V481),"")</f>
        <v/>
      </c>
      <c r="AC481" s="97" t="str">
        <f aca="false">IF($Z481=Constants!$B$7,IF(X481="",Constants!$B$13,X481),"")</f>
        <v/>
      </c>
      <c r="AD481" s="97" t="str">
        <f aca="false">IF($Z481=Constants!$B$7,IF($AB481&gt;=$AC481,1,2),"")</f>
        <v/>
      </c>
      <c r="AE481" s="97" t="str">
        <f aca="false">IF($Z481=Constants!$B$7,LARGE(AB481:AC481,1),"")</f>
        <v/>
      </c>
      <c r="AF481" s="97" t="str">
        <f aca="false">IF(ISBLANK($C481),"",IF($Z481&lt;&gt;Constants!$B$7,$Z481,AE481*S481))</f>
        <v/>
      </c>
      <c r="AG481" s="97" t="str">
        <f aca="false">IF(ISBLANK($C481),"",IF($Z481=Constants!$B$7,IF(ISNUMBER(AF481),RANK(AF481,$AF$8:$AF$507),Constants!$B$14),$Z481))</f>
        <v/>
      </c>
      <c r="AH481" s="97" t="str">
        <f aca="false">IF(ISBLANK($C481),"",IF($Z481=Constants!$B$7,IF(ISNUMBER(AG481),COUNTIFS($AA$8:$AA$507,"&lt;"&amp;$AA481)+COUNTIFS($AA$8:$AA$507,$AA481,$AG$8:$AG$507,"&lt;"&amp;$AG481)+1,Constants!$B$14),$Z481))</f>
        <v/>
      </c>
      <c r="AI481" s="97" t="str">
        <f aca="false">IF(ISBLANK($C481),"",IF($Z481=Constants!$B$7,LARGE(AB481:AC481,2)*S481,""))</f>
        <v/>
      </c>
      <c r="AJ481" s="97" t="str">
        <f aca="false">IF(ISBLANK($C481),"",IF($Z481=Constants!$B$7,RANK(AI481,$AI$8:$AI$507),$Z481))</f>
        <v/>
      </c>
      <c r="AK481" s="97" t="str">
        <f aca="false">IF(ISBLANK($C481),"",IF($Z481=Constants!$B$7,IF(ISNUMBER(AG481),COUNTIFS($AA$8:$AA$507,"&lt;"&amp;$AA481)+COUNTIFS($AA$8:$AA$507,$AA481,$AG$8:$AG$507,"&lt;"&amp;$AG481)+COUNTIFS($AA$8:$AA$507,$AA481,$AG$8:$AG$507,$AG481,$AJ$8:$AJ$507,"&lt;"&amp;$AJ481)+1,Constants!$B$14),$Z481))</f>
        <v/>
      </c>
      <c r="AL481" s="97" t="str">
        <f aca="false">IF(ISBLANK($C481),"",IF($Z481=Constants!$B$7,IF(ISNUMBER(AH481),AH481-AK481,Constants!$B$14),$Z481))</f>
        <v/>
      </c>
      <c r="AM481" s="98"/>
      <c r="AN481" s="99" t="str">
        <f aca="false">IF(ISBLANK($C481),"",IF($Z481&lt;&gt;Constants!$B$7,$Z481,AD481))</f>
        <v/>
      </c>
      <c r="AO481" s="100" t="str">
        <f aca="false">IF(ISBLANK($C481),"",IF($Z481&lt;&gt;Constants!$B$7,$Z481,S481))</f>
        <v/>
      </c>
      <c r="AP481" s="101" t="str">
        <f aca="false">IF(ISBLANK($C481),"",IF($Z481&lt;&gt;Constants!$B$7,$Z481,AF481))</f>
        <v/>
      </c>
      <c r="AQ481" s="102" t="str">
        <f aca="false">IF(ISBLANK($C481),"",IF($Z481&lt;&gt;Constants!$B$7,$Z481,AA481))</f>
        <v/>
      </c>
      <c r="AR481" s="100" t="str">
        <f aca="false">IF(ISBLANK($C481),"",AL481)</f>
        <v/>
      </c>
      <c r="AS481" s="100" t="str">
        <f aca="false">IF(ISBLANK($C481),"",AK481)</f>
        <v/>
      </c>
      <c r="AT481" s="103" t="str">
        <f aca="false">IF(ISBLANK($C481),"",IF(AS481=Constants!$B$4,COUNTA($C$8:$C$507)+2,IF(AS481=Constants!$B$5,COUNTA($C$8:$C$507)+1,IF(AS481=Constants!$B$6,COUNTA($C$8:$C$507),AS481))))</f>
        <v/>
      </c>
      <c r="AU481" s="5"/>
      <c r="AV481" s="104" t="n">
        <f aca="false">IF(OR(ISNUMBER(AS481),AS481=Constants!$B$4,AS481=Constants!$B$6,AS481=Constants!$B$5),1,0)</f>
        <v>0</v>
      </c>
      <c r="AW481" s="104" t="n">
        <v>474</v>
      </c>
      <c r="AX481" s="104" t="str">
        <f aca="false">IF(ISBLANK($C481),"",IF(ISNUMBER(AT481),AT481+ROW($B481)/1000,""))</f>
        <v/>
      </c>
      <c r="AY481" s="104" t="str">
        <f aca="false">IF(ISNUMBER(AX481),RANK(AX481,$AX$8:$AX$507,1),"")</f>
        <v/>
      </c>
      <c r="AZ481" s="104" t="str">
        <f aca="false">IF(ISBLANK($C481),"",$B481)</f>
        <v/>
      </c>
      <c r="BA481" s="104" t="str">
        <f aca="false">IF(ISBLANK($C481),"",$C481)</f>
        <v/>
      </c>
      <c r="BB481" s="104" t="str">
        <f aca="false">IF(ISBLANK($C481),"",$D481)</f>
        <v/>
      </c>
      <c r="BC481" s="105" t="str">
        <f aca="false">AQ481</f>
        <v/>
      </c>
      <c r="BD481" s="106" t="str">
        <f aca="false">AP481</f>
        <v/>
      </c>
      <c r="BE481" s="104" t="str">
        <f aca="false">IF(ISBLANK($C481),"",AS481)</f>
        <v/>
      </c>
      <c r="BF481" s="107" t="str">
        <f aca="false">IF($AW481&gt;$AV$7,"",VLOOKUP($AW481,$AY$8:$BE$507,7,FALSE()))</f>
        <v/>
      </c>
      <c r="BG481" s="108" t="str">
        <f aca="false">IF($AW481&gt;$AV$7,"",VLOOKUP($AW481,$AY$8:$BE$507,2,FALSE()))</f>
        <v/>
      </c>
      <c r="BH481" s="108" t="str">
        <f aca="false">IF($AW481&gt;$AV$7,"",VLOOKUP($AW481,$AY$8:$BE$507,3,FALSE()))</f>
        <v/>
      </c>
      <c r="BI481" s="108" t="str">
        <f aca="false">IF($AW481&gt;$AV$7,"",VLOOKUP($AW481,$AY$8:$BE$507,4,FALSE()))</f>
        <v/>
      </c>
      <c r="BJ481" s="108" t="str">
        <f aca="false">IF($AW481&gt;$AV$7,"",VLOOKUP($AW481,$AY$8:$BE$507,5,FALSE()))</f>
        <v/>
      </c>
      <c r="BK481" s="109" t="str">
        <f aca="false">IF($AW481&gt;$AV$7,"",VLOOKUP($AW481,$AY$8:$BE$507,6,FALSE()))</f>
        <v/>
      </c>
      <c r="BL481" s="50"/>
    </row>
    <row r="482" customFormat="false" ht="15.75" hidden="false" customHeight="false" outlineLevel="0" collapsed="false">
      <c r="A482" s="5"/>
      <c r="B482" s="131"/>
      <c r="C482" s="52"/>
      <c r="D482" s="53"/>
      <c r="E482" s="80"/>
      <c r="F482" s="132"/>
      <c r="G482" s="56"/>
      <c r="H482" s="133"/>
      <c r="I482" s="134"/>
      <c r="J482" s="59"/>
      <c r="K482" s="60"/>
      <c r="L482" s="134"/>
      <c r="M482" s="61"/>
      <c r="N482" s="62"/>
      <c r="O482" s="80"/>
      <c r="P482" s="64"/>
      <c r="Q482" s="65" t="str">
        <f aca="false">IF(ISBLANK($C482),"",IF(E482=Constants!$B$2, TRUE(), IF(E482=Constants!$B$3, FALSE(), TRUE())))</f>
        <v/>
      </c>
      <c r="R482" s="65" t="str">
        <f aca="false">IF(ISBLANK($C482),"",IF(F482=Constants!$B$2, TRUE(), IF(F482=Constants!$B$3, FALSE(), TRUE())))</f>
        <v/>
      </c>
      <c r="S482" s="65" t="str">
        <f aca="false">IF(ISBLANK($C482),"",IF(G482=Constants!$B$15,Constants!$B$8,IF(G482=Constants!$B$16,Constants!$B$9,Constants!$B$10)))</f>
        <v/>
      </c>
      <c r="T482" s="65" t="str">
        <f aca="false">IF(ISBLANK($C482),"",IF(H482=Constants!$B$2, TRUE(), IF(H482=Constants!$B$3, FALSE(), TRUE())))</f>
        <v/>
      </c>
      <c r="U482" s="65" t="str">
        <f aca="false">IF(ISBLANK($C482),"",IF(I482=Constants!$B$19,Constants!$B$19,Constants!$B$18))</f>
        <v/>
      </c>
      <c r="V482" s="65" t="str">
        <f aca="false">IF(ISBLANK($C482),"",IF(COUNTA(J482:K482)=0,"",IF(AND(OR(ISBLANK(J482),AND(ISNUMBER(J482),J482&gt;=0)),OR(ISBLANK(K482),AND(ISNUMBER(K482),K482&gt;=0))),60*IF(ISBLANK(J482),0,J482)+IF(ISBLANK(K482),0,K482),"")))</f>
        <v/>
      </c>
      <c r="W482" s="65" t="str">
        <f aca="false">IF(ISBLANK($C482),"",IF(L482=Constants!$B$19,Constants!$B$19,Constants!$B$18))</f>
        <v/>
      </c>
      <c r="X482" s="65" t="str">
        <f aca="false">IF(ISBLANK($C482),"",IF(COUNTA(M482:N482)=0,"",IF(AND(OR(ISBLANK(M482),AND(ISNUMBER(M482),M482&gt;=0)),OR(ISBLANK(N482),AND(ISNUMBER(N482),N482&gt;=0))),60*IF(ISBLANK(M482),0,M482)+IF(ISBLANK(N482),0,N482),"")))</f>
        <v/>
      </c>
      <c r="Y482" s="65" t="str">
        <f aca="false">IF(ISBLANK($C482),"",IF(O482=Constants!$B$2, TRUE(), IF(O482=Constants!$B$3, FALSE(), FALSE())))</f>
        <v/>
      </c>
      <c r="Z482" s="65" t="str">
        <f aca="false">IF(ISBLANK($C482),"",IF(Y482,Constants!$B$4,IF(COUNTA(E482:N482)=0,Constants!$B$5,IF(COUNTA(J482:K482,M482:N482)=0,Constants!$B$6,Constants!$B$7))))</f>
        <v/>
      </c>
      <c r="AA482" s="65" t="str">
        <f aca="false">IF(ISBLANK($C482),"",IF($Z482&lt;&gt;Constants!$B$7,$Z482,IF(OR(NOT(T482),AND(NOT(Q482),COUNTIFS(U482:W482,Constants!$B$18,V482:X482,"&gt;=0")&gt;0),AND(NOT(R482),COUNTIFS(U482:W482,Constants!$B$19,V482:X482,"&gt;=0")&gt;0)),Constants!$B$12,Constants!$B$11)))</f>
        <v/>
      </c>
      <c r="AB482" s="65" t="str">
        <f aca="false">IF($Z482=Constants!$B$7,IF(V482="",Constants!$B$13,V482),"")</f>
        <v/>
      </c>
      <c r="AC482" s="65" t="str">
        <f aca="false">IF($Z482=Constants!$B$7,IF(X482="",Constants!$B$13,X482),"")</f>
        <v/>
      </c>
      <c r="AD482" s="65" t="str">
        <f aca="false">IF($Z482=Constants!$B$7,IF($AB482&gt;=$AC482,1,2),"")</f>
        <v/>
      </c>
      <c r="AE482" s="65" t="str">
        <f aca="false">IF($Z482=Constants!$B$7,LARGE(AB482:AC482,1),"")</f>
        <v/>
      </c>
      <c r="AF482" s="65" t="str">
        <f aca="false">IF(ISBLANK($C482),"",IF($Z482&lt;&gt;Constants!$B$7,$Z482,AE482*S482))</f>
        <v/>
      </c>
      <c r="AG482" s="65" t="str">
        <f aca="false">IF(ISBLANK($C482),"",IF($Z482=Constants!$B$7,IF(ISNUMBER(AF482),RANK(AF482,$AF$8:$AF$507),Constants!$B$14),$Z482))</f>
        <v/>
      </c>
      <c r="AH482" s="65" t="str">
        <f aca="false">IF(ISBLANK($C482),"",IF($Z482=Constants!$B$7,IF(ISNUMBER(AG482),COUNTIFS($AA$8:$AA$507,"&lt;"&amp;$AA482)+COUNTIFS($AA$8:$AA$507,$AA482,$AG$8:$AG$507,"&lt;"&amp;$AG482)+1,Constants!$B$14),$Z482))</f>
        <v/>
      </c>
      <c r="AI482" s="65" t="str">
        <f aca="false">IF(ISBLANK($C482),"",IF($Z482=Constants!$B$7,LARGE(AB482:AC482,2)*S482,""))</f>
        <v/>
      </c>
      <c r="AJ482" s="65" t="str">
        <f aca="false">IF(ISBLANK($C482),"",IF($Z482=Constants!$B$7,RANK(AI482,$AI$8:$AI$507),$Z482))</f>
        <v/>
      </c>
      <c r="AK482" s="65" t="str">
        <f aca="false">IF(ISBLANK($C482),"",IF($Z482=Constants!$B$7,IF(ISNUMBER(AG482),COUNTIFS($AA$8:$AA$507,"&lt;"&amp;$AA482)+COUNTIFS($AA$8:$AA$507,$AA482,$AG$8:$AG$507,"&lt;"&amp;$AG482)+COUNTIFS($AA$8:$AA$507,$AA482,$AG$8:$AG$507,$AG482,$AJ$8:$AJ$507,"&lt;"&amp;$AJ482)+1,Constants!$B$14),$Z482))</f>
        <v/>
      </c>
      <c r="AL482" s="65" t="str">
        <f aca="false">IF(ISBLANK($C482),"",IF($Z482=Constants!$B$7,IF(ISNUMBER(AH482),AH482-AK482,Constants!$B$14),$Z482))</f>
        <v/>
      </c>
      <c r="AM482" s="67"/>
      <c r="AN482" s="68" t="str">
        <f aca="false">IF(ISBLANK($C482),"",IF($Z482&lt;&gt;Constants!$B$7,$Z482,AD482))</f>
        <v/>
      </c>
      <c r="AO482" s="69" t="str">
        <f aca="false">IF(ISBLANK($C482),"",IF($Z482&lt;&gt;Constants!$B$7,$Z482,S482))</f>
        <v/>
      </c>
      <c r="AP482" s="70" t="str">
        <f aca="false">IF(ISBLANK($C482),"",IF($Z482&lt;&gt;Constants!$B$7,$Z482,AF482))</f>
        <v/>
      </c>
      <c r="AQ482" s="71" t="str">
        <f aca="false">IF(ISBLANK($C482),"",IF($Z482&lt;&gt;Constants!$B$7,$Z482,AA482))</f>
        <v/>
      </c>
      <c r="AR482" s="69" t="str">
        <f aca="false">IF(ISBLANK($C482),"",AL482)</f>
        <v/>
      </c>
      <c r="AS482" s="69" t="str">
        <f aca="false">IF(ISBLANK($C482),"",AK482)</f>
        <v/>
      </c>
      <c r="AT482" s="72" t="str">
        <f aca="false">IF(ISBLANK($C482),"",IF(AS482=Constants!$B$4,COUNTA($C$8:$C$507)+2,IF(AS482=Constants!$B$5,COUNTA($C$8:$C$507)+1,IF(AS482=Constants!$B$6,COUNTA($C$8:$C$507),AS482))))</f>
        <v/>
      </c>
      <c r="AU482" s="5"/>
      <c r="AV482" s="73" t="n">
        <f aca="false">IF(OR(ISNUMBER(AS482),AS482=Constants!$B$4,AS482=Constants!$B$6,AS482=Constants!$B$5),1,0)</f>
        <v>0</v>
      </c>
      <c r="AW482" s="73" t="n">
        <v>475</v>
      </c>
      <c r="AX482" s="73" t="str">
        <f aca="false">IF(ISBLANK($C482),"",IF(ISNUMBER(AT482),AT482+ROW($B482)/1000,""))</f>
        <v/>
      </c>
      <c r="AY482" s="73" t="str">
        <f aca="false">IF(ISNUMBER(AX482),RANK(AX482,$AX$8:$AX$507,1),"")</f>
        <v/>
      </c>
      <c r="AZ482" s="73" t="str">
        <f aca="false">IF(ISBLANK($C482),"",$B482)</f>
        <v/>
      </c>
      <c r="BA482" s="73" t="str">
        <f aca="false">IF(ISBLANK($C482),"",$C482)</f>
        <v/>
      </c>
      <c r="BB482" s="73" t="str">
        <f aca="false">IF(ISBLANK($C482),"",$D482)</f>
        <v/>
      </c>
      <c r="BC482" s="74" t="str">
        <f aca="false">AQ482</f>
        <v/>
      </c>
      <c r="BD482" s="75" t="str">
        <f aca="false">AP482</f>
        <v/>
      </c>
      <c r="BE482" s="73" t="str">
        <f aca="false">IF(ISBLANK($C482),"",AS482)</f>
        <v/>
      </c>
      <c r="BF482" s="76" t="str">
        <f aca="false">IF($AW482&gt;$AV$7,"",VLOOKUP($AW482,$AY$8:$BE$507,7,FALSE()))</f>
        <v/>
      </c>
      <c r="BG482" s="77" t="str">
        <f aca="false">IF($AW482&gt;$AV$7,"",VLOOKUP($AW482,$AY$8:$BE$507,2,FALSE()))</f>
        <v/>
      </c>
      <c r="BH482" s="77" t="str">
        <f aca="false">IF($AW482&gt;$AV$7,"",VLOOKUP($AW482,$AY$8:$BE$507,3,FALSE()))</f>
        <v/>
      </c>
      <c r="BI482" s="77" t="str">
        <f aca="false">IF($AW482&gt;$AV$7,"",VLOOKUP($AW482,$AY$8:$BE$507,4,FALSE()))</f>
        <v/>
      </c>
      <c r="BJ482" s="77" t="str">
        <f aca="false">IF($AW482&gt;$AV$7,"",VLOOKUP($AW482,$AY$8:$BE$507,5,FALSE()))</f>
        <v/>
      </c>
      <c r="BK482" s="78" t="str">
        <f aca="false">IF($AW482&gt;$AV$7,"",VLOOKUP($AW482,$AY$8:$BE$507,6,FALSE()))</f>
        <v/>
      </c>
      <c r="BL482" s="50"/>
    </row>
    <row r="483" customFormat="false" ht="15.75" hidden="false" customHeight="false" outlineLevel="0" collapsed="false">
      <c r="A483" s="5"/>
      <c r="B483" s="131"/>
      <c r="C483" s="52"/>
      <c r="D483" s="53"/>
      <c r="E483" s="80"/>
      <c r="F483" s="132"/>
      <c r="G483" s="56"/>
      <c r="H483" s="133"/>
      <c r="I483" s="134"/>
      <c r="J483" s="59"/>
      <c r="K483" s="60"/>
      <c r="L483" s="134"/>
      <c r="M483" s="61"/>
      <c r="N483" s="62"/>
      <c r="O483" s="80"/>
      <c r="P483" s="64"/>
      <c r="Q483" s="65" t="str">
        <f aca="false">IF(ISBLANK($C483),"",IF(E483=Constants!$B$2, TRUE(), IF(E483=Constants!$B$3, FALSE(), TRUE())))</f>
        <v/>
      </c>
      <c r="R483" s="65" t="str">
        <f aca="false">IF(ISBLANK($C483),"",IF(F483=Constants!$B$2, TRUE(), IF(F483=Constants!$B$3, FALSE(), TRUE())))</f>
        <v/>
      </c>
      <c r="S483" s="65" t="str">
        <f aca="false">IF(ISBLANK($C483),"",IF(G483=Constants!$B$15,Constants!$B$8,IF(G483=Constants!$B$16,Constants!$B$9,Constants!$B$10)))</f>
        <v/>
      </c>
      <c r="T483" s="65" t="str">
        <f aca="false">IF(ISBLANK($C483),"",IF(H483=Constants!$B$2, TRUE(), IF(H483=Constants!$B$3, FALSE(), TRUE())))</f>
        <v/>
      </c>
      <c r="U483" s="65" t="str">
        <f aca="false">IF(ISBLANK($C483),"",IF(I483=Constants!$B$19,Constants!$B$19,Constants!$B$18))</f>
        <v/>
      </c>
      <c r="V483" s="65" t="str">
        <f aca="false">IF(ISBLANK($C483),"",IF(COUNTA(J483:K483)=0,"",IF(AND(OR(ISBLANK(J483),AND(ISNUMBER(J483),J483&gt;=0)),OR(ISBLANK(K483),AND(ISNUMBER(K483),K483&gt;=0))),60*IF(ISBLANK(J483),0,J483)+IF(ISBLANK(K483),0,K483),"")))</f>
        <v/>
      </c>
      <c r="W483" s="65" t="str">
        <f aca="false">IF(ISBLANK($C483),"",IF(L483=Constants!$B$19,Constants!$B$19,Constants!$B$18))</f>
        <v/>
      </c>
      <c r="X483" s="65" t="str">
        <f aca="false">IF(ISBLANK($C483),"",IF(COUNTA(M483:N483)=0,"",IF(AND(OR(ISBLANK(M483),AND(ISNUMBER(M483),M483&gt;=0)),OR(ISBLANK(N483),AND(ISNUMBER(N483),N483&gt;=0))),60*IF(ISBLANK(M483),0,M483)+IF(ISBLANK(N483),0,N483),"")))</f>
        <v/>
      </c>
      <c r="Y483" s="65" t="str">
        <f aca="false">IF(ISBLANK($C483),"",IF(O483=Constants!$B$2, TRUE(), IF(O483=Constants!$B$3, FALSE(), FALSE())))</f>
        <v/>
      </c>
      <c r="Z483" s="65" t="str">
        <f aca="false">IF(ISBLANK($C483),"",IF(Y483,Constants!$B$4,IF(COUNTA(E483:N483)=0,Constants!$B$5,IF(COUNTA(J483:K483,M483:N483)=0,Constants!$B$6,Constants!$B$7))))</f>
        <v/>
      </c>
      <c r="AA483" s="65" t="str">
        <f aca="false">IF(ISBLANK($C483),"",IF($Z483&lt;&gt;Constants!$B$7,$Z483,IF(OR(NOT(T483),AND(NOT(Q483),COUNTIFS(U483:W483,Constants!$B$18,V483:X483,"&gt;=0")&gt;0),AND(NOT(R483),COUNTIFS(U483:W483,Constants!$B$19,V483:X483,"&gt;=0")&gt;0)),Constants!$B$12,Constants!$B$11)))</f>
        <v/>
      </c>
      <c r="AB483" s="65" t="str">
        <f aca="false">IF($Z483=Constants!$B$7,IF(V483="",Constants!$B$13,V483),"")</f>
        <v/>
      </c>
      <c r="AC483" s="65" t="str">
        <f aca="false">IF($Z483=Constants!$B$7,IF(X483="",Constants!$B$13,X483),"")</f>
        <v/>
      </c>
      <c r="AD483" s="65" t="str">
        <f aca="false">IF($Z483=Constants!$B$7,IF($AB483&gt;=$AC483,1,2),"")</f>
        <v/>
      </c>
      <c r="AE483" s="65" t="str">
        <f aca="false">IF($Z483=Constants!$B$7,LARGE(AB483:AC483,1),"")</f>
        <v/>
      </c>
      <c r="AF483" s="65" t="str">
        <f aca="false">IF(ISBLANK($C483),"",IF($Z483&lt;&gt;Constants!$B$7,$Z483,AE483*S483))</f>
        <v/>
      </c>
      <c r="AG483" s="65" t="str">
        <f aca="false">IF(ISBLANK($C483),"",IF($Z483=Constants!$B$7,IF(ISNUMBER(AF483),RANK(AF483,$AF$8:$AF$507),Constants!$B$14),$Z483))</f>
        <v/>
      </c>
      <c r="AH483" s="65" t="str">
        <f aca="false">IF(ISBLANK($C483),"",IF($Z483=Constants!$B$7,IF(ISNUMBER(AG483),COUNTIFS($AA$8:$AA$507,"&lt;"&amp;$AA483)+COUNTIFS($AA$8:$AA$507,$AA483,$AG$8:$AG$507,"&lt;"&amp;$AG483)+1,Constants!$B$14),$Z483))</f>
        <v/>
      </c>
      <c r="AI483" s="65" t="str">
        <f aca="false">IF(ISBLANK($C483),"",IF($Z483=Constants!$B$7,LARGE(AB483:AC483,2)*S483,""))</f>
        <v/>
      </c>
      <c r="AJ483" s="65" t="str">
        <f aca="false">IF(ISBLANK($C483),"",IF($Z483=Constants!$B$7,RANK(AI483,$AI$8:$AI$507),$Z483))</f>
        <v/>
      </c>
      <c r="AK483" s="65" t="str">
        <f aca="false">IF(ISBLANK($C483),"",IF($Z483=Constants!$B$7,IF(ISNUMBER(AG483),COUNTIFS($AA$8:$AA$507,"&lt;"&amp;$AA483)+COUNTIFS($AA$8:$AA$507,$AA483,$AG$8:$AG$507,"&lt;"&amp;$AG483)+COUNTIFS($AA$8:$AA$507,$AA483,$AG$8:$AG$507,$AG483,$AJ$8:$AJ$507,"&lt;"&amp;$AJ483)+1,Constants!$B$14),$Z483))</f>
        <v/>
      </c>
      <c r="AL483" s="65" t="str">
        <f aca="false">IF(ISBLANK($C483),"",IF($Z483=Constants!$B$7,IF(ISNUMBER(AH483),AH483-AK483,Constants!$B$14),$Z483))</f>
        <v/>
      </c>
      <c r="AM483" s="67"/>
      <c r="AN483" s="68" t="str">
        <f aca="false">IF(ISBLANK($C483),"",IF($Z483&lt;&gt;Constants!$B$7,$Z483,AD483))</f>
        <v/>
      </c>
      <c r="AO483" s="69" t="str">
        <f aca="false">IF(ISBLANK($C483),"",IF($Z483&lt;&gt;Constants!$B$7,$Z483,S483))</f>
        <v/>
      </c>
      <c r="AP483" s="70" t="str">
        <f aca="false">IF(ISBLANK($C483),"",IF($Z483&lt;&gt;Constants!$B$7,$Z483,AF483))</f>
        <v/>
      </c>
      <c r="AQ483" s="71" t="str">
        <f aca="false">IF(ISBLANK($C483),"",IF($Z483&lt;&gt;Constants!$B$7,$Z483,AA483))</f>
        <v/>
      </c>
      <c r="AR483" s="69" t="str">
        <f aca="false">IF(ISBLANK($C483),"",AL483)</f>
        <v/>
      </c>
      <c r="AS483" s="69" t="str">
        <f aca="false">IF(ISBLANK($C483),"",AK483)</f>
        <v/>
      </c>
      <c r="AT483" s="72" t="str">
        <f aca="false">IF(ISBLANK($C483),"",IF(AS483=Constants!$B$4,COUNTA($C$8:$C$507)+2,IF(AS483=Constants!$B$5,COUNTA($C$8:$C$507)+1,IF(AS483=Constants!$B$6,COUNTA($C$8:$C$507),AS483))))</f>
        <v/>
      </c>
      <c r="AU483" s="5"/>
      <c r="AV483" s="73" t="n">
        <f aca="false">IF(OR(ISNUMBER(AS483),AS483=Constants!$B$4,AS483=Constants!$B$6,AS483=Constants!$B$5),1,0)</f>
        <v>0</v>
      </c>
      <c r="AW483" s="73" t="n">
        <v>476</v>
      </c>
      <c r="AX483" s="73" t="str">
        <f aca="false">IF(ISBLANK($C483),"",IF(ISNUMBER(AT483),AT483+ROW($B483)/1000,""))</f>
        <v/>
      </c>
      <c r="AY483" s="73" t="str">
        <f aca="false">IF(ISNUMBER(AX483),RANK(AX483,$AX$8:$AX$507,1),"")</f>
        <v/>
      </c>
      <c r="AZ483" s="73" t="str">
        <f aca="false">IF(ISBLANK($C483),"",$B483)</f>
        <v/>
      </c>
      <c r="BA483" s="73" t="str">
        <f aca="false">IF(ISBLANK($C483),"",$C483)</f>
        <v/>
      </c>
      <c r="BB483" s="73" t="str">
        <f aca="false">IF(ISBLANK($C483),"",$D483)</f>
        <v/>
      </c>
      <c r="BC483" s="74" t="str">
        <f aca="false">AQ483</f>
        <v/>
      </c>
      <c r="BD483" s="75" t="str">
        <f aca="false">AP483</f>
        <v/>
      </c>
      <c r="BE483" s="73" t="str">
        <f aca="false">IF(ISBLANK($C483),"",AS483)</f>
        <v/>
      </c>
      <c r="BF483" s="76" t="str">
        <f aca="false">IF($AW483&gt;$AV$7,"",VLOOKUP($AW483,$AY$8:$BE$507,7,FALSE()))</f>
        <v/>
      </c>
      <c r="BG483" s="77" t="str">
        <f aca="false">IF($AW483&gt;$AV$7,"",VLOOKUP($AW483,$AY$8:$BE$507,2,FALSE()))</f>
        <v/>
      </c>
      <c r="BH483" s="77" t="str">
        <f aca="false">IF($AW483&gt;$AV$7,"",VLOOKUP($AW483,$AY$8:$BE$507,3,FALSE()))</f>
        <v/>
      </c>
      <c r="BI483" s="77" t="str">
        <f aca="false">IF($AW483&gt;$AV$7,"",VLOOKUP($AW483,$AY$8:$BE$507,4,FALSE()))</f>
        <v/>
      </c>
      <c r="BJ483" s="77" t="str">
        <f aca="false">IF($AW483&gt;$AV$7,"",VLOOKUP($AW483,$AY$8:$BE$507,5,FALSE()))</f>
        <v/>
      </c>
      <c r="BK483" s="78" t="str">
        <f aca="false">IF($AW483&gt;$AV$7,"",VLOOKUP($AW483,$AY$8:$BE$507,6,FALSE()))</f>
        <v/>
      </c>
      <c r="BL483" s="50"/>
    </row>
    <row r="484" customFormat="false" ht="15.75" hidden="false" customHeight="false" outlineLevel="0" collapsed="false">
      <c r="A484" s="5"/>
      <c r="B484" s="131"/>
      <c r="C484" s="52"/>
      <c r="D484" s="53"/>
      <c r="E484" s="80"/>
      <c r="F484" s="132"/>
      <c r="G484" s="56"/>
      <c r="H484" s="133"/>
      <c r="I484" s="134"/>
      <c r="J484" s="59"/>
      <c r="K484" s="60"/>
      <c r="L484" s="134"/>
      <c r="M484" s="61"/>
      <c r="N484" s="62"/>
      <c r="O484" s="80"/>
      <c r="P484" s="64"/>
      <c r="Q484" s="65" t="str">
        <f aca="false">IF(ISBLANK($C484),"",IF(E484=Constants!$B$2, TRUE(), IF(E484=Constants!$B$3, FALSE(), TRUE())))</f>
        <v/>
      </c>
      <c r="R484" s="65" t="str">
        <f aca="false">IF(ISBLANK($C484),"",IF(F484=Constants!$B$2, TRUE(), IF(F484=Constants!$B$3, FALSE(), TRUE())))</f>
        <v/>
      </c>
      <c r="S484" s="65" t="str">
        <f aca="false">IF(ISBLANK($C484),"",IF(G484=Constants!$B$15,Constants!$B$8,IF(G484=Constants!$B$16,Constants!$B$9,Constants!$B$10)))</f>
        <v/>
      </c>
      <c r="T484" s="65" t="str">
        <f aca="false">IF(ISBLANK($C484),"",IF(H484=Constants!$B$2, TRUE(), IF(H484=Constants!$B$3, FALSE(), TRUE())))</f>
        <v/>
      </c>
      <c r="U484" s="65" t="str">
        <f aca="false">IF(ISBLANK($C484),"",IF(I484=Constants!$B$19,Constants!$B$19,Constants!$B$18))</f>
        <v/>
      </c>
      <c r="V484" s="65" t="str">
        <f aca="false">IF(ISBLANK($C484),"",IF(COUNTA(J484:K484)=0,"",IF(AND(OR(ISBLANK(J484),AND(ISNUMBER(J484),J484&gt;=0)),OR(ISBLANK(K484),AND(ISNUMBER(K484),K484&gt;=0))),60*IF(ISBLANK(J484),0,J484)+IF(ISBLANK(K484),0,K484),"")))</f>
        <v/>
      </c>
      <c r="W484" s="65" t="str">
        <f aca="false">IF(ISBLANK($C484),"",IF(L484=Constants!$B$19,Constants!$B$19,Constants!$B$18))</f>
        <v/>
      </c>
      <c r="X484" s="65" t="str">
        <f aca="false">IF(ISBLANK($C484),"",IF(COUNTA(M484:N484)=0,"",IF(AND(OR(ISBLANK(M484),AND(ISNUMBER(M484),M484&gt;=0)),OR(ISBLANK(N484),AND(ISNUMBER(N484),N484&gt;=0))),60*IF(ISBLANK(M484),0,M484)+IF(ISBLANK(N484),0,N484),"")))</f>
        <v/>
      </c>
      <c r="Y484" s="65" t="str">
        <f aca="false">IF(ISBLANK($C484),"",IF(O484=Constants!$B$2, TRUE(), IF(O484=Constants!$B$3, FALSE(), FALSE())))</f>
        <v/>
      </c>
      <c r="Z484" s="65" t="str">
        <f aca="false">IF(ISBLANK($C484),"",IF(Y484,Constants!$B$4,IF(COUNTA(E484:N484)=0,Constants!$B$5,IF(COUNTA(J484:K484,M484:N484)=0,Constants!$B$6,Constants!$B$7))))</f>
        <v/>
      </c>
      <c r="AA484" s="65" t="str">
        <f aca="false">IF(ISBLANK($C484),"",IF($Z484&lt;&gt;Constants!$B$7,$Z484,IF(OR(NOT(T484),AND(NOT(Q484),COUNTIFS(U484:W484,Constants!$B$18,V484:X484,"&gt;=0")&gt;0),AND(NOT(R484),COUNTIFS(U484:W484,Constants!$B$19,V484:X484,"&gt;=0")&gt;0)),Constants!$B$12,Constants!$B$11)))</f>
        <v/>
      </c>
      <c r="AB484" s="65" t="str">
        <f aca="false">IF($Z484=Constants!$B$7,IF(V484="",Constants!$B$13,V484),"")</f>
        <v/>
      </c>
      <c r="AC484" s="65" t="str">
        <f aca="false">IF($Z484=Constants!$B$7,IF(X484="",Constants!$B$13,X484),"")</f>
        <v/>
      </c>
      <c r="AD484" s="65" t="str">
        <f aca="false">IF($Z484=Constants!$B$7,IF($AB484&gt;=$AC484,1,2),"")</f>
        <v/>
      </c>
      <c r="AE484" s="65" t="str">
        <f aca="false">IF($Z484=Constants!$B$7,LARGE(AB484:AC484,1),"")</f>
        <v/>
      </c>
      <c r="AF484" s="65" t="str">
        <f aca="false">IF(ISBLANK($C484),"",IF($Z484&lt;&gt;Constants!$B$7,$Z484,AE484*S484))</f>
        <v/>
      </c>
      <c r="AG484" s="65" t="str">
        <f aca="false">IF(ISBLANK($C484),"",IF($Z484=Constants!$B$7,IF(ISNUMBER(AF484),RANK(AF484,$AF$8:$AF$507),Constants!$B$14),$Z484))</f>
        <v/>
      </c>
      <c r="AH484" s="65" t="str">
        <f aca="false">IF(ISBLANK($C484),"",IF($Z484=Constants!$B$7,IF(ISNUMBER(AG484),COUNTIFS($AA$8:$AA$507,"&lt;"&amp;$AA484)+COUNTIFS($AA$8:$AA$507,$AA484,$AG$8:$AG$507,"&lt;"&amp;$AG484)+1,Constants!$B$14),$Z484))</f>
        <v/>
      </c>
      <c r="AI484" s="65" t="str">
        <f aca="false">IF(ISBLANK($C484),"",IF($Z484=Constants!$B$7,LARGE(AB484:AC484,2)*S484,""))</f>
        <v/>
      </c>
      <c r="AJ484" s="65" t="str">
        <f aca="false">IF(ISBLANK($C484),"",IF($Z484=Constants!$B$7,RANK(AI484,$AI$8:$AI$507),$Z484))</f>
        <v/>
      </c>
      <c r="AK484" s="65" t="str">
        <f aca="false">IF(ISBLANK($C484),"",IF($Z484=Constants!$B$7,IF(ISNUMBER(AG484),COUNTIFS($AA$8:$AA$507,"&lt;"&amp;$AA484)+COUNTIFS($AA$8:$AA$507,$AA484,$AG$8:$AG$507,"&lt;"&amp;$AG484)+COUNTIFS($AA$8:$AA$507,$AA484,$AG$8:$AG$507,$AG484,$AJ$8:$AJ$507,"&lt;"&amp;$AJ484)+1,Constants!$B$14),$Z484))</f>
        <v/>
      </c>
      <c r="AL484" s="65" t="str">
        <f aca="false">IF(ISBLANK($C484),"",IF($Z484=Constants!$B$7,IF(ISNUMBER(AH484),AH484-AK484,Constants!$B$14),$Z484))</f>
        <v/>
      </c>
      <c r="AM484" s="67"/>
      <c r="AN484" s="68" t="str">
        <f aca="false">IF(ISBLANK($C484),"",IF($Z484&lt;&gt;Constants!$B$7,$Z484,AD484))</f>
        <v/>
      </c>
      <c r="AO484" s="69" t="str">
        <f aca="false">IF(ISBLANK($C484),"",IF($Z484&lt;&gt;Constants!$B$7,$Z484,S484))</f>
        <v/>
      </c>
      <c r="AP484" s="70" t="str">
        <f aca="false">IF(ISBLANK($C484),"",IF($Z484&lt;&gt;Constants!$B$7,$Z484,AF484))</f>
        <v/>
      </c>
      <c r="AQ484" s="71" t="str">
        <f aca="false">IF(ISBLANK($C484),"",IF($Z484&lt;&gt;Constants!$B$7,$Z484,AA484))</f>
        <v/>
      </c>
      <c r="AR484" s="69" t="str">
        <f aca="false">IF(ISBLANK($C484),"",AL484)</f>
        <v/>
      </c>
      <c r="AS484" s="69" t="str">
        <f aca="false">IF(ISBLANK($C484),"",AK484)</f>
        <v/>
      </c>
      <c r="AT484" s="72" t="str">
        <f aca="false">IF(ISBLANK($C484),"",IF(AS484=Constants!$B$4,COUNTA($C$8:$C$507)+2,IF(AS484=Constants!$B$5,COUNTA($C$8:$C$507)+1,IF(AS484=Constants!$B$6,COUNTA($C$8:$C$507),AS484))))</f>
        <v/>
      </c>
      <c r="AU484" s="5"/>
      <c r="AV484" s="73" t="n">
        <f aca="false">IF(OR(ISNUMBER(AS484),AS484=Constants!$B$4,AS484=Constants!$B$6,AS484=Constants!$B$5),1,0)</f>
        <v>0</v>
      </c>
      <c r="AW484" s="73" t="n">
        <v>477</v>
      </c>
      <c r="AX484" s="73" t="str">
        <f aca="false">IF(ISBLANK($C484),"",IF(ISNUMBER(AT484),AT484+ROW($B484)/1000,""))</f>
        <v/>
      </c>
      <c r="AY484" s="73" t="str">
        <f aca="false">IF(ISNUMBER(AX484),RANK(AX484,$AX$8:$AX$507,1),"")</f>
        <v/>
      </c>
      <c r="AZ484" s="73" t="str">
        <f aca="false">IF(ISBLANK($C484),"",$B484)</f>
        <v/>
      </c>
      <c r="BA484" s="73" t="str">
        <f aca="false">IF(ISBLANK($C484),"",$C484)</f>
        <v/>
      </c>
      <c r="BB484" s="73" t="str">
        <f aca="false">IF(ISBLANK($C484),"",$D484)</f>
        <v/>
      </c>
      <c r="BC484" s="74" t="str">
        <f aca="false">AQ484</f>
        <v/>
      </c>
      <c r="BD484" s="75" t="str">
        <f aca="false">AP484</f>
        <v/>
      </c>
      <c r="BE484" s="73" t="str">
        <f aca="false">IF(ISBLANK($C484),"",AS484)</f>
        <v/>
      </c>
      <c r="BF484" s="76" t="str">
        <f aca="false">IF($AW484&gt;$AV$7,"",VLOOKUP($AW484,$AY$8:$BE$507,7,FALSE()))</f>
        <v/>
      </c>
      <c r="BG484" s="77" t="str">
        <f aca="false">IF($AW484&gt;$AV$7,"",VLOOKUP($AW484,$AY$8:$BE$507,2,FALSE()))</f>
        <v/>
      </c>
      <c r="BH484" s="77" t="str">
        <f aca="false">IF($AW484&gt;$AV$7,"",VLOOKUP($AW484,$AY$8:$BE$507,3,FALSE()))</f>
        <v/>
      </c>
      <c r="BI484" s="77" t="str">
        <f aca="false">IF($AW484&gt;$AV$7,"",VLOOKUP($AW484,$AY$8:$BE$507,4,FALSE()))</f>
        <v/>
      </c>
      <c r="BJ484" s="77" t="str">
        <f aca="false">IF($AW484&gt;$AV$7,"",VLOOKUP($AW484,$AY$8:$BE$507,5,FALSE()))</f>
        <v/>
      </c>
      <c r="BK484" s="78" t="str">
        <f aca="false">IF($AW484&gt;$AV$7,"",VLOOKUP($AW484,$AY$8:$BE$507,6,FALSE()))</f>
        <v/>
      </c>
      <c r="BL484" s="50"/>
    </row>
    <row r="485" customFormat="false" ht="15.75" hidden="false" customHeight="false" outlineLevel="0" collapsed="false">
      <c r="A485" s="5"/>
      <c r="B485" s="124"/>
      <c r="C485" s="125"/>
      <c r="D485" s="110"/>
      <c r="E485" s="130"/>
      <c r="F485" s="135"/>
      <c r="G485" s="88"/>
      <c r="H485" s="136"/>
      <c r="I485" s="137"/>
      <c r="J485" s="91"/>
      <c r="K485" s="92"/>
      <c r="L485" s="137"/>
      <c r="M485" s="93"/>
      <c r="N485" s="94"/>
      <c r="O485" s="130"/>
      <c r="P485" s="96"/>
      <c r="Q485" s="97" t="str">
        <f aca="false">IF(ISBLANK($C485),"",IF(E485=Constants!$B$2, TRUE(), IF(E485=Constants!$B$3, FALSE(), TRUE())))</f>
        <v/>
      </c>
      <c r="R485" s="97" t="str">
        <f aca="false">IF(ISBLANK($C485),"",IF(F485=Constants!$B$2, TRUE(), IF(F485=Constants!$B$3, FALSE(), TRUE())))</f>
        <v/>
      </c>
      <c r="S485" s="97" t="str">
        <f aca="false">IF(ISBLANK($C485),"",IF(G485=Constants!$B$15,Constants!$B$8,IF(G485=Constants!$B$16,Constants!$B$9,Constants!$B$10)))</f>
        <v/>
      </c>
      <c r="T485" s="97" t="str">
        <f aca="false">IF(ISBLANK($C485),"",IF(H485=Constants!$B$2, TRUE(), IF(H485=Constants!$B$3, FALSE(), TRUE())))</f>
        <v/>
      </c>
      <c r="U485" s="97" t="str">
        <f aca="false">IF(ISBLANK($C485),"",IF(I485=Constants!$B$19,Constants!$B$19,Constants!$B$18))</f>
        <v/>
      </c>
      <c r="V485" s="97" t="str">
        <f aca="false">IF(ISBLANK($C485),"",IF(COUNTA(J485:K485)=0,"",IF(AND(OR(ISBLANK(J485),AND(ISNUMBER(J485),J485&gt;=0)),OR(ISBLANK(K485),AND(ISNUMBER(K485),K485&gt;=0))),60*IF(ISBLANK(J485),0,J485)+IF(ISBLANK(K485),0,K485),"")))</f>
        <v/>
      </c>
      <c r="W485" s="97" t="str">
        <f aca="false">IF(ISBLANK($C485),"",IF(L485=Constants!$B$19,Constants!$B$19,Constants!$B$18))</f>
        <v/>
      </c>
      <c r="X485" s="97" t="str">
        <f aca="false">IF(ISBLANK($C485),"",IF(COUNTA(M485:N485)=0,"",IF(AND(OR(ISBLANK(M485),AND(ISNUMBER(M485),M485&gt;=0)),OR(ISBLANK(N485),AND(ISNUMBER(N485),N485&gt;=0))),60*IF(ISBLANK(M485),0,M485)+IF(ISBLANK(N485),0,N485),"")))</f>
        <v/>
      </c>
      <c r="Y485" s="97" t="str">
        <f aca="false">IF(ISBLANK($C485),"",IF(O485=Constants!$B$2, TRUE(), IF(O485=Constants!$B$3, FALSE(), FALSE())))</f>
        <v/>
      </c>
      <c r="Z485" s="97" t="str">
        <f aca="false">IF(ISBLANK($C485),"",IF(Y485,Constants!$B$4,IF(COUNTA(E485:N485)=0,Constants!$B$5,IF(COUNTA(J485:K485,M485:N485)=0,Constants!$B$6,Constants!$B$7))))</f>
        <v/>
      </c>
      <c r="AA485" s="97" t="str">
        <f aca="false">IF(ISBLANK($C485),"",IF($Z485&lt;&gt;Constants!$B$7,$Z485,IF(OR(NOT(T485),AND(NOT(Q485),COUNTIFS(U485:W485,Constants!$B$18,V485:X485,"&gt;=0")&gt;0),AND(NOT(R485),COUNTIFS(U485:W485,Constants!$B$19,V485:X485,"&gt;=0")&gt;0)),Constants!$B$12,Constants!$B$11)))</f>
        <v/>
      </c>
      <c r="AB485" s="97" t="str">
        <f aca="false">IF($Z485=Constants!$B$7,IF(V485="",Constants!$B$13,V485),"")</f>
        <v/>
      </c>
      <c r="AC485" s="97" t="str">
        <f aca="false">IF($Z485=Constants!$B$7,IF(X485="",Constants!$B$13,X485),"")</f>
        <v/>
      </c>
      <c r="AD485" s="97" t="str">
        <f aca="false">IF($Z485=Constants!$B$7,IF($AB485&gt;=$AC485,1,2),"")</f>
        <v/>
      </c>
      <c r="AE485" s="97" t="str">
        <f aca="false">IF($Z485=Constants!$B$7,LARGE(AB485:AC485,1),"")</f>
        <v/>
      </c>
      <c r="AF485" s="97" t="str">
        <f aca="false">IF(ISBLANK($C485),"",IF($Z485&lt;&gt;Constants!$B$7,$Z485,AE485*S485))</f>
        <v/>
      </c>
      <c r="AG485" s="97" t="str">
        <f aca="false">IF(ISBLANK($C485),"",IF($Z485=Constants!$B$7,IF(ISNUMBER(AF485),RANK(AF485,$AF$8:$AF$507),Constants!$B$14),$Z485))</f>
        <v/>
      </c>
      <c r="AH485" s="97" t="str">
        <f aca="false">IF(ISBLANK($C485),"",IF($Z485=Constants!$B$7,IF(ISNUMBER(AG485),COUNTIFS($AA$8:$AA$507,"&lt;"&amp;$AA485)+COUNTIFS($AA$8:$AA$507,$AA485,$AG$8:$AG$507,"&lt;"&amp;$AG485)+1,Constants!$B$14),$Z485))</f>
        <v/>
      </c>
      <c r="AI485" s="97" t="str">
        <f aca="false">IF(ISBLANK($C485),"",IF($Z485=Constants!$B$7,LARGE(AB485:AC485,2)*S485,""))</f>
        <v/>
      </c>
      <c r="AJ485" s="97" t="str">
        <f aca="false">IF(ISBLANK($C485),"",IF($Z485=Constants!$B$7,RANK(AI485,$AI$8:$AI$507),$Z485))</f>
        <v/>
      </c>
      <c r="AK485" s="97" t="str">
        <f aca="false">IF(ISBLANK($C485),"",IF($Z485=Constants!$B$7,IF(ISNUMBER(AG485),COUNTIFS($AA$8:$AA$507,"&lt;"&amp;$AA485)+COUNTIFS($AA$8:$AA$507,$AA485,$AG$8:$AG$507,"&lt;"&amp;$AG485)+COUNTIFS($AA$8:$AA$507,$AA485,$AG$8:$AG$507,$AG485,$AJ$8:$AJ$507,"&lt;"&amp;$AJ485)+1,Constants!$B$14),$Z485))</f>
        <v/>
      </c>
      <c r="AL485" s="97" t="str">
        <f aca="false">IF(ISBLANK($C485),"",IF($Z485=Constants!$B$7,IF(ISNUMBER(AH485),AH485-AK485,Constants!$B$14),$Z485))</f>
        <v/>
      </c>
      <c r="AM485" s="98"/>
      <c r="AN485" s="99" t="str">
        <f aca="false">IF(ISBLANK($C485),"",IF($Z485&lt;&gt;Constants!$B$7,$Z485,AD485))</f>
        <v/>
      </c>
      <c r="AO485" s="100" t="str">
        <f aca="false">IF(ISBLANK($C485),"",IF($Z485&lt;&gt;Constants!$B$7,$Z485,S485))</f>
        <v/>
      </c>
      <c r="AP485" s="101" t="str">
        <f aca="false">IF(ISBLANK($C485),"",IF($Z485&lt;&gt;Constants!$B$7,$Z485,AF485))</f>
        <v/>
      </c>
      <c r="AQ485" s="102" t="str">
        <f aca="false">IF(ISBLANK($C485),"",IF($Z485&lt;&gt;Constants!$B$7,$Z485,AA485))</f>
        <v/>
      </c>
      <c r="AR485" s="100" t="str">
        <f aca="false">IF(ISBLANK($C485),"",AL485)</f>
        <v/>
      </c>
      <c r="AS485" s="100" t="str">
        <f aca="false">IF(ISBLANK($C485),"",AK485)</f>
        <v/>
      </c>
      <c r="AT485" s="103" t="str">
        <f aca="false">IF(ISBLANK($C485),"",IF(AS485=Constants!$B$4,COUNTA($C$8:$C$507)+2,IF(AS485=Constants!$B$5,COUNTA($C$8:$C$507)+1,IF(AS485=Constants!$B$6,COUNTA($C$8:$C$507),AS485))))</f>
        <v/>
      </c>
      <c r="AU485" s="5"/>
      <c r="AV485" s="104" t="n">
        <f aca="false">IF(OR(ISNUMBER(AS485),AS485=Constants!$B$4,AS485=Constants!$B$6,AS485=Constants!$B$5),1,0)</f>
        <v>0</v>
      </c>
      <c r="AW485" s="104" t="n">
        <v>478</v>
      </c>
      <c r="AX485" s="104" t="str">
        <f aca="false">IF(ISBLANK($C485),"",IF(ISNUMBER(AT485),AT485+ROW($B485)/1000,""))</f>
        <v/>
      </c>
      <c r="AY485" s="104" t="str">
        <f aca="false">IF(ISNUMBER(AX485),RANK(AX485,$AX$8:$AX$507,1),"")</f>
        <v/>
      </c>
      <c r="AZ485" s="104" t="str">
        <f aca="false">IF(ISBLANK($C485),"",$B485)</f>
        <v/>
      </c>
      <c r="BA485" s="104" t="str">
        <f aca="false">IF(ISBLANK($C485),"",$C485)</f>
        <v/>
      </c>
      <c r="BB485" s="104" t="str">
        <f aca="false">IF(ISBLANK($C485),"",$D485)</f>
        <v/>
      </c>
      <c r="BC485" s="105" t="str">
        <f aca="false">AQ485</f>
        <v/>
      </c>
      <c r="BD485" s="106" t="str">
        <f aca="false">AP485</f>
        <v/>
      </c>
      <c r="BE485" s="104" t="str">
        <f aca="false">IF(ISBLANK($C485),"",AS485)</f>
        <v/>
      </c>
      <c r="BF485" s="107" t="str">
        <f aca="false">IF($AW485&gt;$AV$7,"",VLOOKUP($AW485,$AY$8:$BE$507,7,FALSE()))</f>
        <v/>
      </c>
      <c r="BG485" s="108" t="str">
        <f aca="false">IF($AW485&gt;$AV$7,"",VLOOKUP($AW485,$AY$8:$BE$507,2,FALSE()))</f>
        <v/>
      </c>
      <c r="BH485" s="108" t="str">
        <f aca="false">IF($AW485&gt;$AV$7,"",VLOOKUP($AW485,$AY$8:$BE$507,3,FALSE()))</f>
        <v/>
      </c>
      <c r="BI485" s="108" t="str">
        <f aca="false">IF($AW485&gt;$AV$7,"",VLOOKUP($AW485,$AY$8:$BE$507,4,FALSE()))</f>
        <v/>
      </c>
      <c r="BJ485" s="108" t="str">
        <f aca="false">IF($AW485&gt;$AV$7,"",VLOOKUP($AW485,$AY$8:$BE$507,5,FALSE()))</f>
        <v/>
      </c>
      <c r="BK485" s="109" t="str">
        <f aca="false">IF($AW485&gt;$AV$7,"",VLOOKUP($AW485,$AY$8:$BE$507,6,FALSE()))</f>
        <v/>
      </c>
      <c r="BL485" s="50"/>
    </row>
    <row r="486" customFormat="false" ht="15.75" hidden="false" customHeight="false" outlineLevel="0" collapsed="false">
      <c r="A486" s="5"/>
      <c r="B486" s="124"/>
      <c r="C486" s="125"/>
      <c r="D486" s="110"/>
      <c r="E486" s="130"/>
      <c r="F486" s="135"/>
      <c r="G486" s="88"/>
      <c r="H486" s="136"/>
      <c r="I486" s="137"/>
      <c r="J486" s="91"/>
      <c r="K486" s="92"/>
      <c r="L486" s="137"/>
      <c r="M486" s="93"/>
      <c r="N486" s="94"/>
      <c r="O486" s="130"/>
      <c r="P486" s="96"/>
      <c r="Q486" s="97" t="str">
        <f aca="false">IF(ISBLANK($C486),"",IF(E486=Constants!$B$2, TRUE(), IF(E486=Constants!$B$3, FALSE(), TRUE())))</f>
        <v/>
      </c>
      <c r="R486" s="97" t="str">
        <f aca="false">IF(ISBLANK($C486),"",IF(F486=Constants!$B$2, TRUE(), IF(F486=Constants!$B$3, FALSE(), TRUE())))</f>
        <v/>
      </c>
      <c r="S486" s="97" t="str">
        <f aca="false">IF(ISBLANK($C486),"",IF(G486=Constants!$B$15,Constants!$B$8,IF(G486=Constants!$B$16,Constants!$B$9,Constants!$B$10)))</f>
        <v/>
      </c>
      <c r="T486" s="97" t="str">
        <f aca="false">IF(ISBLANK($C486),"",IF(H486=Constants!$B$2, TRUE(), IF(H486=Constants!$B$3, FALSE(), TRUE())))</f>
        <v/>
      </c>
      <c r="U486" s="97" t="str">
        <f aca="false">IF(ISBLANK($C486),"",IF(I486=Constants!$B$19,Constants!$B$19,Constants!$B$18))</f>
        <v/>
      </c>
      <c r="V486" s="97" t="str">
        <f aca="false">IF(ISBLANK($C486),"",IF(COUNTA(J486:K486)=0,"",IF(AND(OR(ISBLANK(J486),AND(ISNUMBER(J486),J486&gt;=0)),OR(ISBLANK(K486),AND(ISNUMBER(K486),K486&gt;=0))),60*IF(ISBLANK(J486),0,J486)+IF(ISBLANK(K486),0,K486),"")))</f>
        <v/>
      </c>
      <c r="W486" s="97" t="str">
        <f aca="false">IF(ISBLANK($C486),"",IF(L486=Constants!$B$19,Constants!$B$19,Constants!$B$18))</f>
        <v/>
      </c>
      <c r="X486" s="97" t="str">
        <f aca="false">IF(ISBLANK($C486),"",IF(COUNTA(M486:N486)=0,"",IF(AND(OR(ISBLANK(M486),AND(ISNUMBER(M486),M486&gt;=0)),OR(ISBLANK(N486),AND(ISNUMBER(N486),N486&gt;=0))),60*IF(ISBLANK(M486),0,M486)+IF(ISBLANK(N486),0,N486),"")))</f>
        <v/>
      </c>
      <c r="Y486" s="97" t="str">
        <f aca="false">IF(ISBLANK($C486),"",IF(O486=Constants!$B$2, TRUE(), IF(O486=Constants!$B$3, FALSE(), FALSE())))</f>
        <v/>
      </c>
      <c r="Z486" s="97" t="str">
        <f aca="false">IF(ISBLANK($C486),"",IF(Y486,Constants!$B$4,IF(COUNTA(E486:N486)=0,Constants!$B$5,IF(COUNTA(J486:K486,M486:N486)=0,Constants!$B$6,Constants!$B$7))))</f>
        <v/>
      </c>
      <c r="AA486" s="97" t="str">
        <f aca="false">IF(ISBLANK($C486),"",IF($Z486&lt;&gt;Constants!$B$7,$Z486,IF(OR(NOT(T486),AND(NOT(Q486),COUNTIFS(U486:W486,Constants!$B$18,V486:X486,"&gt;=0")&gt;0),AND(NOT(R486),COUNTIFS(U486:W486,Constants!$B$19,V486:X486,"&gt;=0")&gt;0)),Constants!$B$12,Constants!$B$11)))</f>
        <v/>
      </c>
      <c r="AB486" s="97" t="str">
        <f aca="false">IF($Z486=Constants!$B$7,IF(V486="",Constants!$B$13,V486),"")</f>
        <v/>
      </c>
      <c r="AC486" s="97" t="str">
        <f aca="false">IF($Z486=Constants!$B$7,IF(X486="",Constants!$B$13,X486),"")</f>
        <v/>
      </c>
      <c r="AD486" s="97" t="str">
        <f aca="false">IF($Z486=Constants!$B$7,IF($AB486&gt;=$AC486,1,2),"")</f>
        <v/>
      </c>
      <c r="AE486" s="97" t="str">
        <f aca="false">IF($Z486=Constants!$B$7,LARGE(AB486:AC486,1),"")</f>
        <v/>
      </c>
      <c r="AF486" s="97" t="str">
        <f aca="false">IF(ISBLANK($C486),"",IF($Z486&lt;&gt;Constants!$B$7,$Z486,AE486*S486))</f>
        <v/>
      </c>
      <c r="AG486" s="97" t="str">
        <f aca="false">IF(ISBLANK($C486),"",IF($Z486=Constants!$B$7,IF(ISNUMBER(AF486),RANK(AF486,$AF$8:$AF$507),Constants!$B$14),$Z486))</f>
        <v/>
      </c>
      <c r="AH486" s="97" t="str">
        <f aca="false">IF(ISBLANK($C486),"",IF($Z486=Constants!$B$7,IF(ISNUMBER(AG486),COUNTIFS($AA$8:$AA$507,"&lt;"&amp;$AA486)+COUNTIFS($AA$8:$AA$507,$AA486,$AG$8:$AG$507,"&lt;"&amp;$AG486)+1,Constants!$B$14),$Z486))</f>
        <v/>
      </c>
      <c r="AI486" s="97" t="str">
        <f aca="false">IF(ISBLANK($C486),"",IF($Z486=Constants!$B$7,LARGE(AB486:AC486,2)*S486,""))</f>
        <v/>
      </c>
      <c r="AJ486" s="97" t="str">
        <f aca="false">IF(ISBLANK($C486),"",IF($Z486=Constants!$B$7,RANK(AI486,$AI$8:$AI$507),$Z486))</f>
        <v/>
      </c>
      <c r="AK486" s="97" t="str">
        <f aca="false">IF(ISBLANK($C486),"",IF($Z486=Constants!$B$7,IF(ISNUMBER(AG486),COUNTIFS($AA$8:$AA$507,"&lt;"&amp;$AA486)+COUNTIFS($AA$8:$AA$507,$AA486,$AG$8:$AG$507,"&lt;"&amp;$AG486)+COUNTIFS($AA$8:$AA$507,$AA486,$AG$8:$AG$507,$AG486,$AJ$8:$AJ$507,"&lt;"&amp;$AJ486)+1,Constants!$B$14),$Z486))</f>
        <v/>
      </c>
      <c r="AL486" s="97" t="str">
        <f aca="false">IF(ISBLANK($C486),"",IF($Z486=Constants!$B$7,IF(ISNUMBER(AH486),AH486-AK486,Constants!$B$14),$Z486))</f>
        <v/>
      </c>
      <c r="AM486" s="98"/>
      <c r="AN486" s="99" t="str">
        <f aca="false">IF(ISBLANK($C486),"",IF($Z486&lt;&gt;Constants!$B$7,$Z486,AD486))</f>
        <v/>
      </c>
      <c r="AO486" s="100" t="str">
        <f aca="false">IF(ISBLANK($C486),"",IF($Z486&lt;&gt;Constants!$B$7,$Z486,S486))</f>
        <v/>
      </c>
      <c r="AP486" s="101" t="str">
        <f aca="false">IF(ISBLANK($C486),"",IF($Z486&lt;&gt;Constants!$B$7,$Z486,AF486))</f>
        <v/>
      </c>
      <c r="AQ486" s="102" t="str">
        <f aca="false">IF(ISBLANK($C486),"",IF($Z486&lt;&gt;Constants!$B$7,$Z486,AA486))</f>
        <v/>
      </c>
      <c r="AR486" s="100" t="str">
        <f aca="false">IF(ISBLANK($C486),"",AL486)</f>
        <v/>
      </c>
      <c r="AS486" s="100" t="str">
        <f aca="false">IF(ISBLANK($C486),"",AK486)</f>
        <v/>
      </c>
      <c r="AT486" s="103" t="str">
        <f aca="false">IF(ISBLANK($C486),"",IF(AS486=Constants!$B$4,COUNTA($C$8:$C$507)+2,IF(AS486=Constants!$B$5,COUNTA($C$8:$C$507)+1,IF(AS486=Constants!$B$6,COUNTA($C$8:$C$507),AS486))))</f>
        <v/>
      </c>
      <c r="AU486" s="5"/>
      <c r="AV486" s="104" t="n">
        <f aca="false">IF(OR(ISNUMBER(AS486),AS486=Constants!$B$4,AS486=Constants!$B$6,AS486=Constants!$B$5),1,0)</f>
        <v>0</v>
      </c>
      <c r="AW486" s="104" t="n">
        <v>479</v>
      </c>
      <c r="AX486" s="104" t="str">
        <f aca="false">IF(ISBLANK($C486),"",IF(ISNUMBER(AT486),AT486+ROW($B486)/1000,""))</f>
        <v/>
      </c>
      <c r="AY486" s="104" t="str">
        <f aca="false">IF(ISNUMBER(AX486),RANK(AX486,$AX$8:$AX$507,1),"")</f>
        <v/>
      </c>
      <c r="AZ486" s="104" t="str">
        <f aca="false">IF(ISBLANK($C486),"",$B486)</f>
        <v/>
      </c>
      <c r="BA486" s="104" t="str">
        <f aca="false">IF(ISBLANK($C486),"",$C486)</f>
        <v/>
      </c>
      <c r="BB486" s="104" t="str">
        <f aca="false">IF(ISBLANK($C486),"",$D486)</f>
        <v/>
      </c>
      <c r="BC486" s="105" t="str">
        <f aca="false">AQ486</f>
        <v/>
      </c>
      <c r="BD486" s="106" t="str">
        <f aca="false">AP486</f>
        <v/>
      </c>
      <c r="BE486" s="104" t="str">
        <f aca="false">IF(ISBLANK($C486),"",AS486)</f>
        <v/>
      </c>
      <c r="BF486" s="107" t="str">
        <f aca="false">IF($AW486&gt;$AV$7,"",VLOOKUP($AW486,$AY$8:$BE$507,7,FALSE()))</f>
        <v/>
      </c>
      <c r="BG486" s="108" t="str">
        <f aca="false">IF($AW486&gt;$AV$7,"",VLOOKUP($AW486,$AY$8:$BE$507,2,FALSE()))</f>
        <v/>
      </c>
      <c r="BH486" s="108" t="str">
        <f aca="false">IF($AW486&gt;$AV$7,"",VLOOKUP($AW486,$AY$8:$BE$507,3,FALSE()))</f>
        <v/>
      </c>
      <c r="BI486" s="108" t="str">
        <f aca="false">IF($AW486&gt;$AV$7,"",VLOOKUP($AW486,$AY$8:$BE$507,4,FALSE()))</f>
        <v/>
      </c>
      <c r="BJ486" s="108" t="str">
        <f aca="false">IF($AW486&gt;$AV$7,"",VLOOKUP($AW486,$AY$8:$BE$507,5,FALSE()))</f>
        <v/>
      </c>
      <c r="BK486" s="109" t="str">
        <f aca="false">IF($AW486&gt;$AV$7,"",VLOOKUP($AW486,$AY$8:$BE$507,6,FALSE()))</f>
        <v/>
      </c>
      <c r="BL486" s="50"/>
    </row>
    <row r="487" customFormat="false" ht="15.75" hidden="false" customHeight="false" outlineLevel="0" collapsed="false">
      <c r="A487" s="5"/>
      <c r="B487" s="124"/>
      <c r="C487" s="125"/>
      <c r="D487" s="110"/>
      <c r="E487" s="130"/>
      <c r="F487" s="135"/>
      <c r="G487" s="88"/>
      <c r="H487" s="136"/>
      <c r="I487" s="137"/>
      <c r="J487" s="91"/>
      <c r="K487" s="92"/>
      <c r="L487" s="137"/>
      <c r="M487" s="93"/>
      <c r="N487" s="94"/>
      <c r="O487" s="130"/>
      <c r="P487" s="96"/>
      <c r="Q487" s="97" t="str">
        <f aca="false">IF(ISBLANK($C487),"",IF(E487=Constants!$B$2, TRUE(), IF(E487=Constants!$B$3, FALSE(), TRUE())))</f>
        <v/>
      </c>
      <c r="R487" s="97" t="str">
        <f aca="false">IF(ISBLANK($C487),"",IF(F487=Constants!$B$2, TRUE(), IF(F487=Constants!$B$3, FALSE(), TRUE())))</f>
        <v/>
      </c>
      <c r="S487" s="97" t="str">
        <f aca="false">IF(ISBLANK($C487),"",IF(G487=Constants!$B$15,Constants!$B$8,IF(G487=Constants!$B$16,Constants!$B$9,Constants!$B$10)))</f>
        <v/>
      </c>
      <c r="T487" s="97" t="str">
        <f aca="false">IF(ISBLANK($C487),"",IF(H487=Constants!$B$2, TRUE(), IF(H487=Constants!$B$3, FALSE(), TRUE())))</f>
        <v/>
      </c>
      <c r="U487" s="97" t="str">
        <f aca="false">IF(ISBLANK($C487),"",IF(I487=Constants!$B$19,Constants!$B$19,Constants!$B$18))</f>
        <v/>
      </c>
      <c r="V487" s="97" t="str">
        <f aca="false">IF(ISBLANK($C487),"",IF(COUNTA(J487:K487)=0,"",IF(AND(OR(ISBLANK(J487),AND(ISNUMBER(J487),J487&gt;=0)),OR(ISBLANK(K487),AND(ISNUMBER(K487),K487&gt;=0))),60*IF(ISBLANK(J487),0,J487)+IF(ISBLANK(K487),0,K487),"")))</f>
        <v/>
      </c>
      <c r="W487" s="97" t="str">
        <f aca="false">IF(ISBLANK($C487),"",IF(L487=Constants!$B$19,Constants!$B$19,Constants!$B$18))</f>
        <v/>
      </c>
      <c r="X487" s="97" t="str">
        <f aca="false">IF(ISBLANK($C487),"",IF(COUNTA(M487:N487)=0,"",IF(AND(OR(ISBLANK(M487),AND(ISNUMBER(M487),M487&gt;=0)),OR(ISBLANK(N487),AND(ISNUMBER(N487),N487&gt;=0))),60*IF(ISBLANK(M487),0,M487)+IF(ISBLANK(N487),0,N487),"")))</f>
        <v/>
      </c>
      <c r="Y487" s="97" t="str">
        <f aca="false">IF(ISBLANK($C487),"",IF(O487=Constants!$B$2, TRUE(), IF(O487=Constants!$B$3, FALSE(), FALSE())))</f>
        <v/>
      </c>
      <c r="Z487" s="97" t="str">
        <f aca="false">IF(ISBLANK($C487),"",IF(Y487,Constants!$B$4,IF(COUNTA(E487:N487)=0,Constants!$B$5,IF(COUNTA(J487:K487,M487:N487)=0,Constants!$B$6,Constants!$B$7))))</f>
        <v/>
      </c>
      <c r="AA487" s="97" t="str">
        <f aca="false">IF(ISBLANK($C487),"",IF($Z487&lt;&gt;Constants!$B$7,$Z487,IF(OR(NOT(T487),AND(NOT(Q487),COUNTIFS(U487:W487,Constants!$B$18,V487:X487,"&gt;=0")&gt;0),AND(NOT(R487),COUNTIFS(U487:W487,Constants!$B$19,V487:X487,"&gt;=0")&gt;0)),Constants!$B$12,Constants!$B$11)))</f>
        <v/>
      </c>
      <c r="AB487" s="97" t="str">
        <f aca="false">IF($Z487=Constants!$B$7,IF(V487="",Constants!$B$13,V487),"")</f>
        <v/>
      </c>
      <c r="AC487" s="97" t="str">
        <f aca="false">IF($Z487=Constants!$B$7,IF(X487="",Constants!$B$13,X487),"")</f>
        <v/>
      </c>
      <c r="AD487" s="97" t="str">
        <f aca="false">IF($Z487=Constants!$B$7,IF($AB487&gt;=$AC487,1,2),"")</f>
        <v/>
      </c>
      <c r="AE487" s="97" t="str">
        <f aca="false">IF($Z487=Constants!$B$7,LARGE(AB487:AC487,1),"")</f>
        <v/>
      </c>
      <c r="AF487" s="97" t="str">
        <f aca="false">IF(ISBLANK($C487),"",IF($Z487&lt;&gt;Constants!$B$7,$Z487,AE487*S487))</f>
        <v/>
      </c>
      <c r="AG487" s="97" t="str">
        <f aca="false">IF(ISBLANK($C487),"",IF($Z487=Constants!$B$7,IF(ISNUMBER(AF487),RANK(AF487,$AF$8:$AF$507),Constants!$B$14),$Z487))</f>
        <v/>
      </c>
      <c r="AH487" s="97" t="str">
        <f aca="false">IF(ISBLANK($C487),"",IF($Z487=Constants!$B$7,IF(ISNUMBER(AG487),COUNTIFS($AA$8:$AA$507,"&lt;"&amp;$AA487)+COUNTIFS($AA$8:$AA$507,$AA487,$AG$8:$AG$507,"&lt;"&amp;$AG487)+1,Constants!$B$14),$Z487))</f>
        <v/>
      </c>
      <c r="AI487" s="97" t="str">
        <f aca="false">IF(ISBLANK($C487),"",IF($Z487=Constants!$B$7,LARGE(AB487:AC487,2)*S487,""))</f>
        <v/>
      </c>
      <c r="AJ487" s="97" t="str">
        <f aca="false">IF(ISBLANK($C487),"",IF($Z487=Constants!$B$7,RANK(AI487,$AI$8:$AI$507),$Z487))</f>
        <v/>
      </c>
      <c r="AK487" s="97" t="str">
        <f aca="false">IF(ISBLANK($C487),"",IF($Z487=Constants!$B$7,IF(ISNUMBER(AG487),COUNTIFS($AA$8:$AA$507,"&lt;"&amp;$AA487)+COUNTIFS($AA$8:$AA$507,$AA487,$AG$8:$AG$507,"&lt;"&amp;$AG487)+COUNTIFS($AA$8:$AA$507,$AA487,$AG$8:$AG$507,$AG487,$AJ$8:$AJ$507,"&lt;"&amp;$AJ487)+1,Constants!$B$14),$Z487))</f>
        <v/>
      </c>
      <c r="AL487" s="97" t="str">
        <f aca="false">IF(ISBLANK($C487),"",IF($Z487=Constants!$B$7,IF(ISNUMBER(AH487),AH487-AK487,Constants!$B$14),$Z487))</f>
        <v/>
      </c>
      <c r="AM487" s="98"/>
      <c r="AN487" s="99" t="str">
        <f aca="false">IF(ISBLANK($C487),"",IF($Z487&lt;&gt;Constants!$B$7,$Z487,AD487))</f>
        <v/>
      </c>
      <c r="AO487" s="100" t="str">
        <f aca="false">IF(ISBLANK($C487),"",IF($Z487&lt;&gt;Constants!$B$7,$Z487,S487))</f>
        <v/>
      </c>
      <c r="AP487" s="101" t="str">
        <f aca="false">IF(ISBLANK($C487),"",IF($Z487&lt;&gt;Constants!$B$7,$Z487,AF487))</f>
        <v/>
      </c>
      <c r="AQ487" s="102" t="str">
        <f aca="false">IF(ISBLANK($C487),"",IF($Z487&lt;&gt;Constants!$B$7,$Z487,AA487))</f>
        <v/>
      </c>
      <c r="AR487" s="100" t="str">
        <f aca="false">IF(ISBLANK($C487),"",AL487)</f>
        <v/>
      </c>
      <c r="AS487" s="100" t="str">
        <f aca="false">IF(ISBLANK($C487),"",AK487)</f>
        <v/>
      </c>
      <c r="AT487" s="103" t="str">
        <f aca="false">IF(ISBLANK($C487),"",IF(AS487=Constants!$B$4,COUNTA($C$8:$C$507)+2,IF(AS487=Constants!$B$5,COUNTA($C$8:$C$507)+1,IF(AS487=Constants!$B$6,COUNTA($C$8:$C$507),AS487))))</f>
        <v/>
      </c>
      <c r="AU487" s="5"/>
      <c r="AV487" s="104" t="n">
        <f aca="false">IF(OR(ISNUMBER(AS487),AS487=Constants!$B$4,AS487=Constants!$B$6,AS487=Constants!$B$5),1,0)</f>
        <v>0</v>
      </c>
      <c r="AW487" s="104" t="n">
        <v>480</v>
      </c>
      <c r="AX487" s="104" t="str">
        <f aca="false">IF(ISBLANK($C487),"",IF(ISNUMBER(AT487),AT487+ROW($B487)/1000,""))</f>
        <v/>
      </c>
      <c r="AY487" s="104" t="str">
        <f aca="false">IF(ISNUMBER(AX487),RANK(AX487,$AX$8:$AX$507,1),"")</f>
        <v/>
      </c>
      <c r="AZ487" s="104" t="str">
        <f aca="false">IF(ISBLANK($C487),"",$B487)</f>
        <v/>
      </c>
      <c r="BA487" s="104" t="str">
        <f aca="false">IF(ISBLANK($C487),"",$C487)</f>
        <v/>
      </c>
      <c r="BB487" s="104" t="str">
        <f aca="false">IF(ISBLANK($C487),"",$D487)</f>
        <v/>
      </c>
      <c r="BC487" s="105" t="str">
        <f aca="false">AQ487</f>
        <v/>
      </c>
      <c r="BD487" s="106" t="str">
        <f aca="false">AP487</f>
        <v/>
      </c>
      <c r="BE487" s="104" t="str">
        <f aca="false">IF(ISBLANK($C487),"",AS487)</f>
        <v/>
      </c>
      <c r="BF487" s="107" t="str">
        <f aca="false">IF($AW487&gt;$AV$7,"",VLOOKUP($AW487,$AY$8:$BE$507,7,FALSE()))</f>
        <v/>
      </c>
      <c r="BG487" s="108" t="str">
        <f aca="false">IF($AW487&gt;$AV$7,"",VLOOKUP($AW487,$AY$8:$BE$507,2,FALSE()))</f>
        <v/>
      </c>
      <c r="BH487" s="108" t="str">
        <f aca="false">IF($AW487&gt;$AV$7,"",VLOOKUP($AW487,$AY$8:$BE$507,3,FALSE()))</f>
        <v/>
      </c>
      <c r="BI487" s="108" t="str">
        <f aca="false">IF($AW487&gt;$AV$7,"",VLOOKUP($AW487,$AY$8:$BE$507,4,FALSE()))</f>
        <v/>
      </c>
      <c r="BJ487" s="108" t="str">
        <f aca="false">IF($AW487&gt;$AV$7,"",VLOOKUP($AW487,$AY$8:$BE$507,5,FALSE()))</f>
        <v/>
      </c>
      <c r="BK487" s="109" t="str">
        <f aca="false">IF($AW487&gt;$AV$7,"",VLOOKUP($AW487,$AY$8:$BE$507,6,FALSE()))</f>
        <v/>
      </c>
      <c r="BL487" s="50"/>
    </row>
    <row r="488" customFormat="false" ht="15.75" hidden="false" customHeight="false" outlineLevel="0" collapsed="false">
      <c r="A488" s="5"/>
      <c r="B488" s="131"/>
      <c r="C488" s="52"/>
      <c r="D488" s="53"/>
      <c r="E488" s="80"/>
      <c r="F488" s="132"/>
      <c r="G488" s="56"/>
      <c r="H488" s="133"/>
      <c r="I488" s="134"/>
      <c r="J488" s="59"/>
      <c r="K488" s="60"/>
      <c r="L488" s="134"/>
      <c r="M488" s="61"/>
      <c r="N488" s="62"/>
      <c r="O488" s="80"/>
      <c r="P488" s="64"/>
      <c r="Q488" s="65" t="str">
        <f aca="false">IF(ISBLANK($C488),"",IF(E488=Constants!$B$2, TRUE(), IF(E488=Constants!$B$3, FALSE(), TRUE())))</f>
        <v/>
      </c>
      <c r="R488" s="65" t="str">
        <f aca="false">IF(ISBLANK($C488),"",IF(F488=Constants!$B$2, TRUE(), IF(F488=Constants!$B$3, FALSE(), TRUE())))</f>
        <v/>
      </c>
      <c r="S488" s="65" t="str">
        <f aca="false">IF(ISBLANK($C488),"",IF(G488=Constants!$B$15,Constants!$B$8,IF(G488=Constants!$B$16,Constants!$B$9,Constants!$B$10)))</f>
        <v/>
      </c>
      <c r="T488" s="65" t="str">
        <f aca="false">IF(ISBLANK($C488),"",IF(H488=Constants!$B$2, TRUE(), IF(H488=Constants!$B$3, FALSE(), TRUE())))</f>
        <v/>
      </c>
      <c r="U488" s="65" t="str">
        <f aca="false">IF(ISBLANK($C488),"",IF(I488=Constants!$B$19,Constants!$B$19,Constants!$B$18))</f>
        <v/>
      </c>
      <c r="V488" s="65" t="str">
        <f aca="false">IF(ISBLANK($C488),"",IF(COUNTA(J488:K488)=0,"",IF(AND(OR(ISBLANK(J488),AND(ISNUMBER(J488),J488&gt;=0)),OR(ISBLANK(K488),AND(ISNUMBER(K488),K488&gt;=0))),60*IF(ISBLANK(J488),0,J488)+IF(ISBLANK(K488),0,K488),"")))</f>
        <v/>
      </c>
      <c r="W488" s="65" t="str">
        <f aca="false">IF(ISBLANK($C488),"",IF(L488=Constants!$B$19,Constants!$B$19,Constants!$B$18))</f>
        <v/>
      </c>
      <c r="X488" s="65" t="str">
        <f aca="false">IF(ISBLANK($C488),"",IF(COUNTA(M488:N488)=0,"",IF(AND(OR(ISBLANK(M488),AND(ISNUMBER(M488),M488&gt;=0)),OR(ISBLANK(N488),AND(ISNUMBER(N488),N488&gt;=0))),60*IF(ISBLANK(M488),0,M488)+IF(ISBLANK(N488),0,N488),"")))</f>
        <v/>
      </c>
      <c r="Y488" s="65" t="str">
        <f aca="false">IF(ISBLANK($C488),"",IF(O488=Constants!$B$2, TRUE(), IF(O488=Constants!$B$3, FALSE(), FALSE())))</f>
        <v/>
      </c>
      <c r="Z488" s="65" t="str">
        <f aca="false">IF(ISBLANK($C488),"",IF(Y488,Constants!$B$4,IF(COUNTA(E488:N488)=0,Constants!$B$5,IF(COUNTA(J488:K488,M488:N488)=0,Constants!$B$6,Constants!$B$7))))</f>
        <v/>
      </c>
      <c r="AA488" s="65" t="str">
        <f aca="false">IF(ISBLANK($C488),"",IF($Z488&lt;&gt;Constants!$B$7,$Z488,IF(OR(NOT(T488),AND(NOT(Q488),COUNTIFS(U488:W488,Constants!$B$18,V488:X488,"&gt;=0")&gt;0),AND(NOT(R488),COUNTIFS(U488:W488,Constants!$B$19,V488:X488,"&gt;=0")&gt;0)),Constants!$B$12,Constants!$B$11)))</f>
        <v/>
      </c>
      <c r="AB488" s="65" t="str">
        <f aca="false">IF($Z488=Constants!$B$7,IF(V488="",Constants!$B$13,V488),"")</f>
        <v/>
      </c>
      <c r="AC488" s="65" t="str">
        <f aca="false">IF($Z488=Constants!$B$7,IF(X488="",Constants!$B$13,X488),"")</f>
        <v/>
      </c>
      <c r="AD488" s="65" t="str">
        <f aca="false">IF($Z488=Constants!$B$7,IF($AB488&gt;=$AC488,1,2),"")</f>
        <v/>
      </c>
      <c r="AE488" s="65" t="str">
        <f aca="false">IF($Z488=Constants!$B$7,LARGE(AB488:AC488,1),"")</f>
        <v/>
      </c>
      <c r="AF488" s="65" t="str">
        <f aca="false">IF(ISBLANK($C488),"",IF($Z488&lt;&gt;Constants!$B$7,$Z488,AE488*S488))</f>
        <v/>
      </c>
      <c r="AG488" s="65" t="str">
        <f aca="false">IF(ISBLANK($C488),"",IF($Z488=Constants!$B$7,IF(ISNUMBER(AF488),RANK(AF488,$AF$8:$AF$507),Constants!$B$14),$Z488))</f>
        <v/>
      </c>
      <c r="AH488" s="65" t="str">
        <f aca="false">IF(ISBLANK($C488),"",IF($Z488=Constants!$B$7,IF(ISNUMBER(AG488),COUNTIFS($AA$8:$AA$507,"&lt;"&amp;$AA488)+COUNTIFS($AA$8:$AA$507,$AA488,$AG$8:$AG$507,"&lt;"&amp;$AG488)+1,Constants!$B$14),$Z488))</f>
        <v/>
      </c>
      <c r="AI488" s="65" t="str">
        <f aca="false">IF(ISBLANK($C488),"",IF($Z488=Constants!$B$7,LARGE(AB488:AC488,2)*S488,""))</f>
        <v/>
      </c>
      <c r="AJ488" s="65" t="str">
        <f aca="false">IF(ISBLANK($C488),"",IF($Z488=Constants!$B$7,RANK(AI488,$AI$8:$AI$507),$Z488))</f>
        <v/>
      </c>
      <c r="AK488" s="65" t="str">
        <f aca="false">IF(ISBLANK($C488),"",IF($Z488=Constants!$B$7,IF(ISNUMBER(AG488),COUNTIFS($AA$8:$AA$507,"&lt;"&amp;$AA488)+COUNTIFS($AA$8:$AA$507,$AA488,$AG$8:$AG$507,"&lt;"&amp;$AG488)+COUNTIFS($AA$8:$AA$507,$AA488,$AG$8:$AG$507,$AG488,$AJ$8:$AJ$507,"&lt;"&amp;$AJ488)+1,Constants!$B$14),$Z488))</f>
        <v/>
      </c>
      <c r="AL488" s="65" t="str">
        <f aca="false">IF(ISBLANK($C488),"",IF($Z488=Constants!$B$7,IF(ISNUMBER(AH488),AH488-AK488,Constants!$B$14),$Z488))</f>
        <v/>
      </c>
      <c r="AM488" s="67"/>
      <c r="AN488" s="68" t="str">
        <f aca="false">IF(ISBLANK($C488),"",IF($Z488&lt;&gt;Constants!$B$7,$Z488,AD488))</f>
        <v/>
      </c>
      <c r="AO488" s="69" t="str">
        <f aca="false">IF(ISBLANK($C488),"",IF($Z488&lt;&gt;Constants!$B$7,$Z488,S488))</f>
        <v/>
      </c>
      <c r="AP488" s="70" t="str">
        <f aca="false">IF(ISBLANK($C488),"",IF($Z488&lt;&gt;Constants!$B$7,$Z488,AF488))</f>
        <v/>
      </c>
      <c r="AQ488" s="71" t="str">
        <f aca="false">IF(ISBLANK($C488),"",IF($Z488&lt;&gt;Constants!$B$7,$Z488,AA488))</f>
        <v/>
      </c>
      <c r="AR488" s="69" t="str">
        <f aca="false">IF(ISBLANK($C488),"",AL488)</f>
        <v/>
      </c>
      <c r="AS488" s="69" t="str">
        <f aca="false">IF(ISBLANK($C488),"",AK488)</f>
        <v/>
      </c>
      <c r="AT488" s="72" t="str">
        <f aca="false">IF(ISBLANK($C488),"",IF(AS488=Constants!$B$4,COUNTA($C$8:$C$507)+2,IF(AS488=Constants!$B$5,COUNTA($C$8:$C$507)+1,IF(AS488=Constants!$B$6,COUNTA($C$8:$C$507),AS488))))</f>
        <v/>
      </c>
      <c r="AU488" s="5"/>
      <c r="AV488" s="73" t="n">
        <f aca="false">IF(OR(ISNUMBER(AS488),AS488=Constants!$B$4,AS488=Constants!$B$6,AS488=Constants!$B$5),1,0)</f>
        <v>0</v>
      </c>
      <c r="AW488" s="73" t="n">
        <v>481</v>
      </c>
      <c r="AX488" s="73" t="str">
        <f aca="false">IF(ISBLANK($C488),"",IF(ISNUMBER(AT488),AT488+ROW($B488)/1000,""))</f>
        <v/>
      </c>
      <c r="AY488" s="73" t="str">
        <f aca="false">IF(ISNUMBER(AX488),RANK(AX488,$AX$8:$AX$507,1),"")</f>
        <v/>
      </c>
      <c r="AZ488" s="73" t="str">
        <f aca="false">IF(ISBLANK($C488),"",$B488)</f>
        <v/>
      </c>
      <c r="BA488" s="73" t="str">
        <f aca="false">IF(ISBLANK($C488),"",$C488)</f>
        <v/>
      </c>
      <c r="BB488" s="73" t="str">
        <f aca="false">IF(ISBLANK($C488),"",$D488)</f>
        <v/>
      </c>
      <c r="BC488" s="74" t="str">
        <f aca="false">AQ488</f>
        <v/>
      </c>
      <c r="BD488" s="75" t="str">
        <f aca="false">AP488</f>
        <v/>
      </c>
      <c r="BE488" s="73" t="str">
        <f aca="false">IF(ISBLANK($C488),"",AS488)</f>
        <v/>
      </c>
      <c r="BF488" s="76" t="str">
        <f aca="false">IF($AW488&gt;$AV$7,"",VLOOKUP($AW488,$AY$8:$BE$507,7,FALSE()))</f>
        <v/>
      </c>
      <c r="BG488" s="77" t="str">
        <f aca="false">IF($AW488&gt;$AV$7,"",VLOOKUP($AW488,$AY$8:$BE$507,2,FALSE()))</f>
        <v/>
      </c>
      <c r="BH488" s="77" t="str">
        <f aca="false">IF($AW488&gt;$AV$7,"",VLOOKUP($AW488,$AY$8:$BE$507,3,FALSE()))</f>
        <v/>
      </c>
      <c r="BI488" s="77" t="str">
        <f aca="false">IF($AW488&gt;$AV$7,"",VLOOKUP($AW488,$AY$8:$BE$507,4,FALSE()))</f>
        <v/>
      </c>
      <c r="BJ488" s="77" t="str">
        <f aca="false">IF($AW488&gt;$AV$7,"",VLOOKUP($AW488,$AY$8:$BE$507,5,FALSE()))</f>
        <v/>
      </c>
      <c r="BK488" s="78" t="str">
        <f aca="false">IF($AW488&gt;$AV$7,"",VLOOKUP($AW488,$AY$8:$BE$507,6,FALSE()))</f>
        <v/>
      </c>
      <c r="BL488" s="50"/>
    </row>
    <row r="489" customFormat="false" ht="15.75" hidden="false" customHeight="false" outlineLevel="0" collapsed="false">
      <c r="A489" s="5"/>
      <c r="B489" s="131"/>
      <c r="C489" s="52"/>
      <c r="D489" s="53"/>
      <c r="E489" s="80"/>
      <c r="F489" s="132"/>
      <c r="G489" s="56"/>
      <c r="H489" s="133"/>
      <c r="I489" s="134"/>
      <c r="J489" s="59"/>
      <c r="K489" s="60"/>
      <c r="L489" s="134"/>
      <c r="M489" s="61"/>
      <c r="N489" s="62"/>
      <c r="O489" s="80"/>
      <c r="P489" s="64"/>
      <c r="Q489" s="65" t="str">
        <f aca="false">IF(ISBLANK($C489),"",IF(E489=Constants!$B$2, TRUE(), IF(E489=Constants!$B$3, FALSE(), TRUE())))</f>
        <v/>
      </c>
      <c r="R489" s="65" t="str">
        <f aca="false">IF(ISBLANK($C489),"",IF(F489=Constants!$B$2, TRUE(), IF(F489=Constants!$B$3, FALSE(), TRUE())))</f>
        <v/>
      </c>
      <c r="S489" s="65" t="str">
        <f aca="false">IF(ISBLANK($C489),"",IF(G489=Constants!$B$15,Constants!$B$8,IF(G489=Constants!$B$16,Constants!$B$9,Constants!$B$10)))</f>
        <v/>
      </c>
      <c r="T489" s="65" t="str">
        <f aca="false">IF(ISBLANK($C489),"",IF(H489=Constants!$B$2, TRUE(), IF(H489=Constants!$B$3, FALSE(), TRUE())))</f>
        <v/>
      </c>
      <c r="U489" s="65" t="str">
        <f aca="false">IF(ISBLANK($C489),"",IF(I489=Constants!$B$19,Constants!$B$19,Constants!$B$18))</f>
        <v/>
      </c>
      <c r="V489" s="65" t="str">
        <f aca="false">IF(ISBLANK($C489),"",IF(COUNTA(J489:K489)=0,"",IF(AND(OR(ISBLANK(J489),AND(ISNUMBER(J489),J489&gt;=0)),OR(ISBLANK(K489),AND(ISNUMBER(K489),K489&gt;=0))),60*IF(ISBLANK(J489),0,J489)+IF(ISBLANK(K489),0,K489),"")))</f>
        <v/>
      </c>
      <c r="W489" s="65" t="str">
        <f aca="false">IF(ISBLANK($C489),"",IF(L489=Constants!$B$19,Constants!$B$19,Constants!$B$18))</f>
        <v/>
      </c>
      <c r="X489" s="65" t="str">
        <f aca="false">IF(ISBLANK($C489),"",IF(COUNTA(M489:N489)=0,"",IF(AND(OR(ISBLANK(M489),AND(ISNUMBER(M489),M489&gt;=0)),OR(ISBLANK(N489),AND(ISNUMBER(N489),N489&gt;=0))),60*IF(ISBLANK(M489),0,M489)+IF(ISBLANK(N489),0,N489),"")))</f>
        <v/>
      </c>
      <c r="Y489" s="65" t="str">
        <f aca="false">IF(ISBLANK($C489),"",IF(O489=Constants!$B$2, TRUE(), IF(O489=Constants!$B$3, FALSE(), FALSE())))</f>
        <v/>
      </c>
      <c r="Z489" s="65" t="str">
        <f aca="false">IF(ISBLANK($C489),"",IF(Y489,Constants!$B$4,IF(COUNTA(E489:N489)=0,Constants!$B$5,IF(COUNTA(J489:K489,M489:N489)=0,Constants!$B$6,Constants!$B$7))))</f>
        <v/>
      </c>
      <c r="AA489" s="65" t="str">
        <f aca="false">IF(ISBLANK($C489),"",IF($Z489&lt;&gt;Constants!$B$7,$Z489,IF(OR(NOT(T489),AND(NOT(Q489),COUNTIFS(U489:W489,Constants!$B$18,V489:X489,"&gt;=0")&gt;0),AND(NOT(R489),COUNTIFS(U489:W489,Constants!$B$19,V489:X489,"&gt;=0")&gt;0)),Constants!$B$12,Constants!$B$11)))</f>
        <v/>
      </c>
      <c r="AB489" s="65" t="str">
        <f aca="false">IF($Z489=Constants!$B$7,IF(V489="",Constants!$B$13,V489),"")</f>
        <v/>
      </c>
      <c r="AC489" s="65" t="str">
        <f aca="false">IF($Z489=Constants!$B$7,IF(X489="",Constants!$B$13,X489),"")</f>
        <v/>
      </c>
      <c r="AD489" s="65" t="str">
        <f aca="false">IF($Z489=Constants!$B$7,IF($AB489&gt;=$AC489,1,2),"")</f>
        <v/>
      </c>
      <c r="AE489" s="65" t="str">
        <f aca="false">IF($Z489=Constants!$B$7,LARGE(AB489:AC489,1),"")</f>
        <v/>
      </c>
      <c r="AF489" s="65" t="str">
        <f aca="false">IF(ISBLANK($C489),"",IF($Z489&lt;&gt;Constants!$B$7,$Z489,AE489*S489))</f>
        <v/>
      </c>
      <c r="AG489" s="65" t="str">
        <f aca="false">IF(ISBLANK($C489),"",IF($Z489=Constants!$B$7,IF(ISNUMBER(AF489),RANK(AF489,$AF$8:$AF$507),Constants!$B$14),$Z489))</f>
        <v/>
      </c>
      <c r="AH489" s="65" t="str">
        <f aca="false">IF(ISBLANK($C489),"",IF($Z489=Constants!$B$7,IF(ISNUMBER(AG489),COUNTIFS($AA$8:$AA$507,"&lt;"&amp;$AA489)+COUNTIFS($AA$8:$AA$507,$AA489,$AG$8:$AG$507,"&lt;"&amp;$AG489)+1,Constants!$B$14),$Z489))</f>
        <v/>
      </c>
      <c r="AI489" s="65" t="str">
        <f aca="false">IF(ISBLANK($C489),"",IF($Z489=Constants!$B$7,LARGE(AB489:AC489,2)*S489,""))</f>
        <v/>
      </c>
      <c r="AJ489" s="65" t="str">
        <f aca="false">IF(ISBLANK($C489),"",IF($Z489=Constants!$B$7,RANK(AI489,$AI$8:$AI$507),$Z489))</f>
        <v/>
      </c>
      <c r="AK489" s="65" t="str">
        <f aca="false">IF(ISBLANK($C489),"",IF($Z489=Constants!$B$7,IF(ISNUMBER(AG489),COUNTIFS($AA$8:$AA$507,"&lt;"&amp;$AA489)+COUNTIFS($AA$8:$AA$507,$AA489,$AG$8:$AG$507,"&lt;"&amp;$AG489)+COUNTIFS($AA$8:$AA$507,$AA489,$AG$8:$AG$507,$AG489,$AJ$8:$AJ$507,"&lt;"&amp;$AJ489)+1,Constants!$B$14),$Z489))</f>
        <v/>
      </c>
      <c r="AL489" s="65" t="str">
        <f aca="false">IF(ISBLANK($C489),"",IF($Z489=Constants!$B$7,IF(ISNUMBER(AH489),AH489-AK489,Constants!$B$14),$Z489))</f>
        <v/>
      </c>
      <c r="AM489" s="67"/>
      <c r="AN489" s="68" t="str">
        <f aca="false">IF(ISBLANK($C489),"",IF($Z489&lt;&gt;Constants!$B$7,$Z489,AD489))</f>
        <v/>
      </c>
      <c r="AO489" s="69" t="str">
        <f aca="false">IF(ISBLANK($C489),"",IF($Z489&lt;&gt;Constants!$B$7,$Z489,S489))</f>
        <v/>
      </c>
      <c r="AP489" s="70" t="str">
        <f aca="false">IF(ISBLANK($C489),"",IF($Z489&lt;&gt;Constants!$B$7,$Z489,AF489))</f>
        <v/>
      </c>
      <c r="AQ489" s="71" t="str">
        <f aca="false">IF(ISBLANK($C489),"",IF($Z489&lt;&gt;Constants!$B$7,$Z489,AA489))</f>
        <v/>
      </c>
      <c r="AR489" s="69" t="str">
        <f aca="false">IF(ISBLANK($C489),"",AL489)</f>
        <v/>
      </c>
      <c r="AS489" s="69" t="str">
        <f aca="false">IF(ISBLANK($C489),"",AK489)</f>
        <v/>
      </c>
      <c r="AT489" s="72" t="str">
        <f aca="false">IF(ISBLANK($C489),"",IF(AS489=Constants!$B$4,COUNTA($C$8:$C$507)+2,IF(AS489=Constants!$B$5,COUNTA($C$8:$C$507)+1,IF(AS489=Constants!$B$6,COUNTA($C$8:$C$507),AS489))))</f>
        <v/>
      </c>
      <c r="AU489" s="5"/>
      <c r="AV489" s="73" t="n">
        <f aca="false">IF(OR(ISNUMBER(AS489),AS489=Constants!$B$4,AS489=Constants!$B$6,AS489=Constants!$B$5),1,0)</f>
        <v>0</v>
      </c>
      <c r="AW489" s="73" t="n">
        <v>482</v>
      </c>
      <c r="AX489" s="73" t="str">
        <f aca="false">IF(ISBLANK($C489),"",IF(ISNUMBER(AT489),AT489+ROW($B489)/1000,""))</f>
        <v/>
      </c>
      <c r="AY489" s="73" t="str">
        <f aca="false">IF(ISNUMBER(AX489),RANK(AX489,$AX$8:$AX$507,1),"")</f>
        <v/>
      </c>
      <c r="AZ489" s="73" t="str">
        <f aca="false">IF(ISBLANK($C489),"",$B489)</f>
        <v/>
      </c>
      <c r="BA489" s="73" t="str">
        <f aca="false">IF(ISBLANK($C489),"",$C489)</f>
        <v/>
      </c>
      <c r="BB489" s="73" t="str">
        <f aca="false">IF(ISBLANK($C489),"",$D489)</f>
        <v/>
      </c>
      <c r="BC489" s="74" t="str">
        <f aca="false">AQ489</f>
        <v/>
      </c>
      <c r="BD489" s="75" t="str">
        <f aca="false">AP489</f>
        <v/>
      </c>
      <c r="BE489" s="73" t="str">
        <f aca="false">IF(ISBLANK($C489),"",AS489)</f>
        <v/>
      </c>
      <c r="BF489" s="76" t="str">
        <f aca="false">IF($AW489&gt;$AV$7,"",VLOOKUP($AW489,$AY$8:$BE$507,7,FALSE()))</f>
        <v/>
      </c>
      <c r="BG489" s="77" t="str">
        <f aca="false">IF($AW489&gt;$AV$7,"",VLOOKUP($AW489,$AY$8:$BE$507,2,FALSE()))</f>
        <v/>
      </c>
      <c r="BH489" s="77" t="str">
        <f aca="false">IF($AW489&gt;$AV$7,"",VLOOKUP($AW489,$AY$8:$BE$507,3,FALSE()))</f>
        <v/>
      </c>
      <c r="BI489" s="77" t="str">
        <f aca="false">IF($AW489&gt;$AV$7,"",VLOOKUP($AW489,$AY$8:$BE$507,4,FALSE()))</f>
        <v/>
      </c>
      <c r="BJ489" s="77" t="str">
        <f aca="false">IF($AW489&gt;$AV$7,"",VLOOKUP($AW489,$AY$8:$BE$507,5,FALSE()))</f>
        <v/>
      </c>
      <c r="BK489" s="78" t="str">
        <f aca="false">IF($AW489&gt;$AV$7,"",VLOOKUP($AW489,$AY$8:$BE$507,6,FALSE()))</f>
        <v/>
      </c>
      <c r="BL489" s="50"/>
    </row>
    <row r="490" customFormat="false" ht="15.75" hidden="false" customHeight="false" outlineLevel="0" collapsed="false">
      <c r="A490" s="5"/>
      <c r="B490" s="131"/>
      <c r="C490" s="52"/>
      <c r="D490" s="53"/>
      <c r="E490" s="80"/>
      <c r="F490" s="132"/>
      <c r="G490" s="56"/>
      <c r="H490" s="133"/>
      <c r="I490" s="134"/>
      <c r="J490" s="59"/>
      <c r="K490" s="60"/>
      <c r="L490" s="134"/>
      <c r="M490" s="61"/>
      <c r="N490" s="62"/>
      <c r="O490" s="80"/>
      <c r="P490" s="64"/>
      <c r="Q490" s="65" t="str">
        <f aca="false">IF(ISBLANK($C490),"",IF(E490=Constants!$B$2, TRUE(), IF(E490=Constants!$B$3, FALSE(), TRUE())))</f>
        <v/>
      </c>
      <c r="R490" s="65" t="str">
        <f aca="false">IF(ISBLANK($C490),"",IF(F490=Constants!$B$2, TRUE(), IF(F490=Constants!$B$3, FALSE(), TRUE())))</f>
        <v/>
      </c>
      <c r="S490" s="65" t="str">
        <f aca="false">IF(ISBLANK($C490),"",IF(G490=Constants!$B$15,Constants!$B$8,IF(G490=Constants!$B$16,Constants!$B$9,Constants!$B$10)))</f>
        <v/>
      </c>
      <c r="T490" s="65" t="str">
        <f aca="false">IF(ISBLANK($C490),"",IF(H490=Constants!$B$2, TRUE(), IF(H490=Constants!$B$3, FALSE(), TRUE())))</f>
        <v/>
      </c>
      <c r="U490" s="65" t="str">
        <f aca="false">IF(ISBLANK($C490),"",IF(I490=Constants!$B$19,Constants!$B$19,Constants!$B$18))</f>
        <v/>
      </c>
      <c r="V490" s="65" t="str">
        <f aca="false">IF(ISBLANK($C490),"",IF(COUNTA(J490:K490)=0,"",IF(AND(OR(ISBLANK(J490),AND(ISNUMBER(J490),J490&gt;=0)),OR(ISBLANK(K490),AND(ISNUMBER(K490),K490&gt;=0))),60*IF(ISBLANK(J490),0,J490)+IF(ISBLANK(K490),0,K490),"")))</f>
        <v/>
      </c>
      <c r="W490" s="65" t="str">
        <f aca="false">IF(ISBLANK($C490),"",IF(L490=Constants!$B$19,Constants!$B$19,Constants!$B$18))</f>
        <v/>
      </c>
      <c r="X490" s="65" t="str">
        <f aca="false">IF(ISBLANK($C490),"",IF(COUNTA(M490:N490)=0,"",IF(AND(OR(ISBLANK(M490),AND(ISNUMBER(M490),M490&gt;=0)),OR(ISBLANK(N490),AND(ISNUMBER(N490),N490&gt;=0))),60*IF(ISBLANK(M490),0,M490)+IF(ISBLANK(N490),0,N490),"")))</f>
        <v/>
      </c>
      <c r="Y490" s="65" t="str">
        <f aca="false">IF(ISBLANK($C490),"",IF(O490=Constants!$B$2, TRUE(), IF(O490=Constants!$B$3, FALSE(), FALSE())))</f>
        <v/>
      </c>
      <c r="Z490" s="65" t="str">
        <f aca="false">IF(ISBLANK($C490),"",IF(Y490,Constants!$B$4,IF(COUNTA(E490:N490)=0,Constants!$B$5,IF(COUNTA(J490:K490,M490:N490)=0,Constants!$B$6,Constants!$B$7))))</f>
        <v/>
      </c>
      <c r="AA490" s="65" t="str">
        <f aca="false">IF(ISBLANK($C490),"",IF($Z490&lt;&gt;Constants!$B$7,$Z490,IF(OR(NOT(T490),AND(NOT(Q490),COUNTIFS(U490:W490,Constants!$B$18,V490:X490,"&gt;=0")&gt;0),AND(NOT(R490),COUNTIFS(U490:W490,Constants!$B$19,V490:X490,"&gt;=0")&gt;0)),Constants!$B$12,Constants!$B$11)))</f>
        <v/>
      </c>
      <c r="AB490" s="65" t="str">
        <f aca="false">IF($Z490=Constants!$B$7,IF(V490="",Constants!$B$13,V490),"")</f>
        <v/>
      </c>
      <c r="AC490" s="65" t="str">
        <f aca="false">IF($Z490=Constants!$B$7,IF(X490="",Constants!$B$13,X490),"")</f>
        <v/>
      </c>
      <c r="AD490" s="65" t="str">
        <f aca="false">IF($Z490=Constants!$B$7,IF($AB490&gt;=$AC490,1,2),"")</f>
        <v/>
      </c>
      <c r="AE490" s="65" t="str">
        <f aca="false">IF($Z490=Constants!$B$7,LARGE(AB490:AC490,1),"")</f>
        <v/>
      </c>
      <c r="AF490" s="65" t="str">
        <f aca="false">IF(ISBLANK($C490),"",IF($Z490&lt;&gt;Constants!$B$7,$Z490,AE490*S490))</f>
        <v/>
      </c>
      <c r="AG490" s="65" t="str">
        <f aca="false">IF(ISBLANK($C490),"",IF($Z490=Constants!$B$7,IF(ISNUMBER(AF490),RANK(AF490,$AF$8:$AF$507),Constants!$B$14),$Z490))</f>
        <v/>
      </c>
      <c r="AH490" s="65" t="str">
        <f aca="false">IF(ISBLANK($C490),"",IF($Z490=Constants!$B$7,IF(ISNUMBER(AG490),COUNTIFS($AA$8:$AA$507,"&lt;"&amp;$AA490)+COUNTIFS($AA$8:$AA$507,$AA490,$AG$8:$AG$507,"&lt;"&amp;$AG490)+1,Constants!$B$14),$Z490))</f>
        <v/>
      </c>
      <c r="AI490" s="65" t="str">
        <f aca="false">IF(ISBLANK($C490),"",IF($Z490=Constants!$B$7,LARGE(AB490:AC490,2)*S490,""))</f>
        <v/>
      </c>
      <c r="AJ490" s="65" t="str">
        <f aca="false">IF(ISBLANK($C490),"",IF($Z490=Constants!$B$7,RANK(AI490,$AI$8:$AI$507),$Z490))</f>
        <v/>
      </c>
      <c r="AK490" s="65" t="str">
        <f aca="false">IF(ISBLANK($C490),"",IF($Z490=Constants!$B$7,IF(ISNUMBER(AG490),COUNTIFS($AA$8:$AA$507,"&lt;"&amp;$AA490)+COUNTIFS($AA$8:$AA$507,$AA490,$AG$8:$AG$507,"&lt;"&amp;$AG490)+COUNTIFS($AA$8:$AA$507,$AA490,$AG$8:$AG$507,$AG490,$AJ$8:$AJ$507,"&lt;"&amp;$AJ490)+1,Constants!$B$14),$Z490))</f>
        <v/>
      </c>
      <c r="AL490" s="65" t="str">
        <f aca="false">IF(ISBLANK($C490),"",IF($Z490=Constants!$B$7,IF(ISNUMBER(AH490),AH490-AK490,Constants!$B$14),$Z490))</f>
        <v/>
      </c>
      <c r="AM490" s="67"/>
      <c r="AN490" s="68" t="str">
        <f aca="false">IF(ISBLANK($C490),"",IF($Z490&lt;&gt;Constants!$B$7,$Z490,AD490))</f>
        <v/>
      </c>
      <c r="AO490" s="69" t="str">
        <f aca="false">IF(ISBLANK($C490),"",IF($Z490&lt;&gt;Constants!$B$7,$Z490,S490))</f>
        <v/>
      </c>
      <c r="AP490" s="70" t="str">
        <f aca="false">IF(ISBLANK($C490),"",IF($Z490&lt;&gt;Constants!$B$7,$Z490,AF490))</f>
        <v/>
      </c>
      <c r="AQ490" s="71" t="str">
        <f aca="false">IF(ISBLANK($C490),"",IF($Z490&lt;&gt;Constants!$B$7,$Z490,AA490))</f>
        <v/>
      </c>
      <c r="AR490" s="69" t="str">
        <f aca="false">IF(ISBLANK($C490),"",AL490)</f>
        <v/>
      </c>
      <c r="AS490" s="69" t="str">
        <f aca="false">IF(ISBLANK($C490),"",AK490)</f>
        <v/>
      </c>
      <c r="AT490" s="72" t="str">
        <f aca="false">IF(ISBLANK($C490),"",IF(AS490=Constants!$B$4,COUNTA($C$8:$C$507)+2,IF(AS490=Constants!$B$5,COUNTA($C$8:$C$507)+1,IF(AS490=Constants!$B$6,COUNTA($C$8:$C$507),AS490))))</f>
        <v/>
      </c>
      <c r="AU490" s="5"/>
      <c r="AV490" s="73" t="n">
        <f aca="false">IF(OR(ISNUMBER(AS490),AS490=Constants!$B$4,AS490=Constants!$B$6,AS490=Constants!$B$5),1,0)</f>
        <v>0</v>
      </c>
      <c r="AW490" s="73" t="n">
        <v>483</v>
      </c>
      <c r="AX490" s="73" t="str">
        <f aca="false">IF(ISBLANK($C490),"",IF(ISNUMBER(AT490),AT490+ROW($B490)/1000,""))</f>
        <v/>
      </c>
      <c r="AY490" s="73" t="str">
        <f aca="false">IF(ISNUMBER(AX490),RANK(AX490,$AX$8:$AX$507,1),"")</f>
        <v/>
      </c>
      <c r="AZ490" s="73" t="str">
        <f aca="false">IF(ISBLANK($C490),"",$B490)</f>
        <v/>
      </c>
      <c r="BA490" s="73" t="str">
        <f aca="false">IF(ISBLANK($C490),"",$C490)</f>
        <v/>
      </c>
      <c r="BB490" s="73" t="str">
        <f aca="false">IF(ISBLANK($C490),"",$D490)</f>
        <v/>
      </c>
      <c r="BC490" s="74" t="str">
        <f aca="false">AQ490</f>
        <v/>
      </c>
      <c r="BD490" s="75" t="str">
        <f aca="false">AP490</f>
        <v/>
      </c>
      <c r="BE490" s="73" t="str">
        <f aca="false">IF(ISBLANK($C490),"",AS490)</f>
        <v/>
      </c>
      <c r="BF490" s="76" t="str">
        <f aca="false">IF($AW490&gt;$AV$7,"",VLOOKUP($AW490,$AY$8:$BE$507,7,FALSE()))</f>
        <v/>
      </c>
      <c r="BG490" s="77" t="str">
        <f aca="false">IF($AW490&gt;$AV$7,"",VLOOKUP($AW490,$AY$8:$BE$507,2,FALSE()))</f>
        <v/>
      </c>
      <c r="BH490" s="77" t="str">
        <f aca="false">IF($AW490&gt;$AV$7,"",VLOOKUP($AW490,$AY$8:$BE$507,3,FALSE()))</f>
        <v/>
      </c>
      <c r="BI490" s="77" t="str">
        <f aca="false">IF($AW490&gt;$AV$7,"",VLOOKUP($AW490,$AY$8:$BE$507,4,FALSE()))</f>
        <v/>
      </c>
      <c r="BJ490" s="77" t="str">
        <f aca="false">IF($AW490&gt;$AV$7,"",VLOOKUP($AW490,$AY$8:$BE$507,5,FALSE()))</f>
        <v/>
      </c>
      <c r="BK490" s="78" t="str">
        <f aca="false">IF($AW490&gt;$AV$7,"",VLOOKUP($AW490,$AY$8:$BE$507,6,FALSE()))</f>
        <v/>
      </c>
      <c r="BL490" s="50"/>
    </row>
    <row r="491" customFormat="false" ht="15.75" hidden="false" customHeight="false" outlineLevel="0" collapsed="false">
      <c r="A491" s="5"/>
      <c r="B491" s="124"/>
      <c r="C491" s="125"/>
      <c r="D491" s="110"/>
      <c r="E491" s="130"/>
      <c r="F491" s="135"/>
      <c r="G491" s="88"/>
      <c r="H491" s="136"/>
      <c r="I491" s="137"/>
      <c r="J491" s="91"/>
      <c r="K491" s="92"/>
      <c r="L491" s="137"/>
      <c r="M491" s="93"/>
      <c r="N491" s="94"/>
      <c r="O491" s="130"/>
      <c r="P491" s="96"/>
      <c r="Q491" s="97" t="str">
        <f aca="false">IF(ISBLANK($C491),"",IF(E491=Constants!$B$2, TRUE(), IF(E491=Constants!$B$3, FALSE(), TRUE())))</f>
        <v/>
      </c>
      <c r="R491" s="97" t="str">
        <f aca="false">IF(ISBLANK($C491),"",IF(F491=Constants!$B$2, TRUE(), IF(F491=Constants!$B$3, FALSE(), TRUE())))</f>
        <v/>
      </c>
      <c r="S491" s="97" t="str">
        <f aca="false">IF(ISBLANK($C491),"",IF(G491=Constants!$B$15,Constants!$B$8,IF(G491=Constants!$B$16,Constants!$B$9,Constants!$B$10)))</f>
        <v/>
      </c>
      <c r="T491" s="97" t="str">
        <f aca="false">IF(ISBLANK($C491),"",IF(H491=Constants!$B$2, TRUE(), IF(H491=Constants!$B$3, FALSE(), TRUE())))</f>
        <v/>
      </c>
      <c r="U491" s="97" t="str">
        <f aca="false">IF(ISBLANK($C491),"",IF(I491=Constants!$B$19,Constants!$B$19,Constants!$B$18))</f>
        <v/>
      </c>
      <c r="V491" s="97" t="str">
        <f aca="false">IF(ISBLANK($C491),"",IF(COUNTA(J491:K491)=0,"",IF(AND(OR(ISBLANK(J491),AND(ISNUMBER(J491),J491&gt;=0)),OR(ISBLANK(K491),AND(ISNUMBER(K491),K491&gt;=0))),60*IF(ISBLANK(J491),0,J491)+IF(ISBLANK(K491),0,K491),"")))</f>
        <v/>
      </c>
      <c r="W491" s="97" t="str">
        <f aca="false">IF(ISBLANK($C491),"",IF(L491=Constants!$B$19,Constants!$B$19,Constants!$B$18))</f>
        <v/>
      </c>
      <c r="X491" s="97" t="str">
        <f aca="false">IF(ISBLANK($C491),"",IF(COUNTA(M491:N491)=0,"",IF(AND(OR(ISBLANK(M491),AND(ISNUMBER(M491),M491&gt;=0)),OR(ISBLANK(N491),AND(ISNUMBER(N491),N491&gt;=0))),60*IF(ISBLANK(M491),0,M491)+IF(ISBLANK(N491),0,N491),"")))</f>
        <v/>
      </c>
      <c r="Y491" s="97" t="str">
        <f aca="false">IF(ISBLANK($C491),"",IF(O491=Constants!$B$2, TRUE(), IF(O491=Constants!$B$3, FALSE(), FALSE())))</f>
        <v/>
      </c>
      <c r="Z491" s="97" t="str">
        <f aca="false">IF(ISBLANK($C491),"",IF(Y491,Constants!$B$4,IF(COUNTA(E491:N491)=0,Constants!$B$5,IF(COUNTA(J491:K491,M491:N491)=0,Constants!$B$6,Constants!$B$7))))</f>
        <v/>
      </c>
      <c r="AA491" s="97" t="str">
        <f aca="false">IF(ISBLANK($C491),"",IF($Z491&lt;&gt;Constants!$B$7,$Z491,IF(OR(NOT(T491),AND(NOT(Q491),COUNTIFS(U491:W491,Constants!$B$18,V491:X491,"&gt;=0")&gt;0),AND(NOT(R491),COUNTIFS(U491:W491,Constants!$B$19,V491:X491,"&gt;=0")&gt;0)),Constants!$B$12,Constants!$B$11)))</f>
        <v/>
      </c>
      <c r="AB491" s="97" t="str">
        <f aca="false">IF($Z491=Constants!$B$7,IF(V491="",Constants!$B$13,V491),"")</f>
        <v/>
      </c>
      <c r="AC491" s="97" t="str">
        <f aca="false">IF($Z491=Constants!$B$7,IF(X491="",Constants!$B$13,X491),"")</f>
        <v/>
      </c>
      <c r="AD491" s="97" t="str">
        <f aca="false">IF($Z491=Constants!$B$7,IF($AB491&gt;=$AC491,1,2),"")</f>
        <v/>
      </c>
      <c r="AE491" s="97" t="str">
        <f aca="false">IF($Z491=Constants!$B$7,LARGE(AB491:AC491,1),"")</f>
        <v/>
      </c>
      <c r="AF491" s="97" t="str">
        <f aca="false">IF(ISBLANK($C491),"",IF($Z491&lt;&gt;Constants!$B$7,$Z491,AE491*S491))</f>
        <v/>
      </c>
      <c r="AG491" s="97" t="str">
        <f aca="false">IF(ISBLANK($C491),"",IF($Z491=Constants!$B$7,IF(ISNUMBER(AF491),RANK(AF491,$AF$8:$AF$507),Constants!$B$14),$Z491))</f>
        <v/>
      </c>
      <c r="AH491" s="97" t="str">
        <f aca="false">IF(ISBLANK($C491),"",IF($Z491=Constants!$B$7,IF(ISNUMBER(AG491),COUNTIFS($AA$8:$AA$507,"&lt;"&amp;$AA491)+COUNTIFS($AA$8:$AA$507,$AA491,$AG$8:$AG$507,"&lt;"&amp;$AG491)+1,Constants!$B$14),$Z491))</f>
        <v/>
      </c>
      <c r="AI491" s="97" t="str">
        <f aca="false">IF(ISBLANK($C491),"",IF($Z491=Constants!$B$7,LARGE(AB491:AC491,2)*S491,""))</f>
        <v/>
      </c>
      <c r="AJ491" s="97" t="str">
        <f aca="false">IF(ISBLANK($C491),"",IF($Z491=Constants!$B$7,RANK(AI491,$AI$8:$AI$507),$Z491))</f>
        <v/>
      </c>
      <c r="AK491" s="97" t="str">
        <f aca="false">IF(ISBLANK($C491),"",IF($Z491=Constants!$B$7,IF(ISNUMBER(AG491),COUNTIFS($AA$8:$AA$507,"&lt;"&amp;$AA491)+COUNTIFS($AA$8:$AA$507,$AA491,$AG$8:$AG$507,"&lt;"&amp;$AG491)+COUNTIFS($AA$8:$AA$507,$AA491,$AG$8:$AG$507,$AG491,$AJ$8:$AJ$507,"&lt;"&amp;$AJ491)+1,Constants!$B$14),$Z491))</f>
        <v/>
      </c>
      <c r="AL491" s="97" t="str">
        <f aca="false">IF(ISBLANK($C491),"",IF($Z491=Constants!$B$7,IF(ISNUMBER(AH491),AH491-AK491,Constants!$B$14),$Z491))</f>
        <v/>
      </c>
      <c r="AM491" s="98"/>
      <c r="AN491" s="99" t="str">
        <f aca="false">IF(ISBLANK($C491),"",IF($Z491&lt;&gt;Constants!$B$7,$Z491,AD491))</f>
        <v/>
      </c>
      <c r="AO491" s="100" t="str">
        <f aca="false">IF(ISBLANK($C491),"",IF($Z491&lt;&gt;Constants!$B$7,$Z491,S491))</f>
        <v/>
      </c>
      <c r="AP491" s="101" t="str">
        <f aca="false">IF(ISBLANK($C491),"",IF($Z491&lt;&gt;Constants!$B$7,$Z491,AF491))</f>
        <v/>
      </c>
      <c r="AQ491" s="102" t="str">
        <f aca="false">IF(ISBLANK($C491),"",IF($Z491&lt;&gt;Constants!$B$7,$Z491,AA491))</f>
        <v/>
      </c>
      <c r="AR491" s="100" t="str">
        <f aca="false">IF(ISBLANK($C491),"",AL491)</f>
        <v/>
      </c>
      <c r="AS491" s="100" t="str">
        <f aca="false">IF(ISBLANK($C491),"",AK491)</f>
        <v/>
      </c>
      <c r="AT491" s="103" t="str">
        <f aca="false">IF(ISBLANK($C491),"",IF(AS491=Constants!$B$4,COUNTA($C$8:$C$507)+2,IF(AS491=Constants!$B$5,COUNTA($C$8:$C$507)+1,IF(AS491=Constants!$B$6,COUNTA($C$8:$C$507),AS491))))</f>
        <v/>
      </c>
      <c r="AU491" s="5"/>
      <c r="AV491" s="104" t="n">
        <f aca="false">IF(OR(ISNUMBER(AS491),AS491=Constants!$B$4,AS491=Constants!$B$6,AS491=Constants!$B$5),1,0)</f>
        <v>0</v>
      </c>
      <c r="AW491" s="104" t="n">
        <v>484</v>
      </c>
      <c r="AX491" s="104" t="str">
        <f aca="false">IF(ISBLANK($C491),"",IF(ISNUMBER(AT491),AT491+ROW($B491)/1000,""))</f>
        <v/>
      </c>
      <c r="AY491" s="104" t="str">
        <f aca="false">IF(ISNUMBER(AX491),RANK(AX491,$AX$8:$AX$507,1),"")</f>
        <v/>
      </c>
      <c r="AZ491" s="104" t="str">
        <f aca="false">IF(ISBLANK($C491),"",$B491)</f>
        <v/>
      </c>
      <c r="BA491" s="104" t="str">
        <f aca="false">IF(ISBLANK($C491),"",$C491)</f>
        <v/>
      </c>
      <c r="BB491" s="104" t="str">
        <f aca="false">IF(ISBLANK($C491),"",$D491)</f>
        <v/>
      </c>
      <c r="BC491" s="105" t="str">
        <f aca="false">AQ491</f>
        <v/>
      </c>
      <c r="BD491" s="106" t="str">
        <f aca="false">AP491</f>
        <v/>
      </c>
      <c r="BE491" s="104" t="str">
        <f aca="false">IF(ISBLANK($C491),"",AS491)</f>
        <v/>
      </c>
      <c r="BF491" s="107" t="str">
        <f aca="false">IF($AW491&gt;$AV$7,"",VLOOKUP($AW491,$AY$8:$BE$507,7,FALSE()))</f>
        <v/>
      </c>
      <c r="BG491" s="108" t="str">
        <f aca="false">IF($AW491&gt;$AV$7,"",VLOOKUP($AW491,$AY$8:$BE$507,2,FALSE()))</f>
        <v/>
      </c>
      <c r="BH491" s="108" t="str">
        <f aca="false">IF($AW491&gt;$AV$7,"",VLOOKUP($AW491,$AY$8:$BE$507,3,FALSE()))</f>
        <v/>
      </c>
      <c r="BI491" s="108" t="str">
        <f aca="false">IF($AW491&gt;$AV$7,"",VLOOKUP($AW491,$AY$8:$BE$507,4,FALSE()))</f>
        <v/>
      </c>
      <c r="BJ491" s="108" t="str">
        <f aca="false">IF($AW491&gt;$AV$7,"",VLOOKUP($AW491,$AY$8:$BE$507,5,FALSE()))</f>
        <v/>
      </c>
      <c r="BK491" s="109" t="str">
        <f aca="false">IF($AW491&gt;$AV$7,"",VLOOKUP($AW491,$AY$8:$BE$507,6,FALSE()))</f>
        <v/>
      </c>
      <c r="BL491" s="50"/>
    </row>
    <row r="492" customFormat="false" ht="15.75" hidden="false" customHeight="false" outlineLevel="0" collapsed="false">
      <c r="A492" s="5"/>
      <c r="B492" s="124"/>
      <c r="C492" s="125"/>
      <c r="D492" s="110"/>
      <c r="E492" s="130"/>
      <c r="F492" s="135"/>
      <c r="G492" s="88"/>
      <c r="H492" s="136"/>
      <c r="I492" s="137"/>
      <c r="J492" s="91"/>
      <c r="K492" s="92"/>
      <c r="L492" s="137"/>
      <c r="M492" s="93"/>
      <c r="N492" s="94"/>
      <c r="O492" s="130"/>
      <c r="P492" s="96"/>
      <c r="Q492" s="97" t="str">
        <f aca="false">IF(ISBLANK($C492),"",IF(E492=Constants!$B$2, TRUE(), IF(E492=Constants!$B$3, FALSE(), TRUE())))</f>
        <v/>
      </c>
      <c r="R492" s="97" t="str">
        <f aca="false">IF(ISBLANK($C492),"",IF(F492=Constants!$B$2, TRUE(), IF(F492=Constants!$B$3, FALSE(), TRUE())))</f>
        <v/>
      </c>
      <c r="S492" s="97" t="str">
        <f aca="false">IF(ISBLANK($C492),"",IF(G492=Constants!$B$15,Constants!$B$8,IF(G492=Constants!$B$16,Constants!$B$9,Constants!$B$10)))</f>
        <v/>
      </c>
      <c r="T492" s="97" t="str">
        <f aca="false">IF(ISBLANK($C492),"",IF(H492=Constants!$B$2, TRUE(), IF(H492=Constants!$B$3, FALSE(), TRUE())))</f>
        <v/>
      </c>
      <c r="U492" s="97" t="str">
        <f aca="false">IF(ISBLANK($C492),"",IF(I492=Constants!$B$19,Constants!$B$19,Constants!$B$18))</f>
        <v/>
      </c>
      <c r="V492" s="97" t="str">
        <f aca="false">IF(ISBLANK($C492),"",IF(COUNTA(J492:K492)=0,"",IF(AND(OR(ISBLANK(J492),AND(ISNUMBER(J492),J492&gt;=0)),OR(ISBLANK(K492),AND(ISNUMBER(K492),K492&gt;=0))),60*IF(ISBLANK(J492),0,J492)+IF(ISBLANK(K492),0,K492),"")))</f>
        <v/>
      </c>
      <c r="W492" s="97" t="str">
        <f aca="false">IF(ISBLANK($C492),"",IF(L492=Constants!$B$19,Constants!$B$19,Constants!$B$18))</f>
        <v/>
      </c>
      <c r="X492" s="97" t="str">
        <f aca="false">IF(ISBLANK($C492),"",IF(COUNTA(M492:N492)=0,"",IF(AND(OR(ISBLANK(M492),AND(ISNUMBER(M492),M492&gt;=0)),OR(ISBLANK(N492),AND(ISNUMBER(N492),N492&gt;=0))),60*IF(ISBLANK(M492),0,M492)+IF(ISBLANK(N492),0,N492),"")))</f>
        <v/>
      </c>
      <c r="Y492" s="97" t="str">
        <f aca="false">IF(ISBLANK($C492),"",IF(O492=Constants!$B$2, TRUE(), IF(O492=Constants!$B$3, FALSE(), FALSE())))</f>
        <v/>
      </c>
      <c r="Z492" s="97" t="str">
        <f aca="false">IF(ISBLANK($C492),"",IF(Y492,Constants!$B$4,IF(COUNTA(E492:N492)=0,Constants!$B$5,IF(COUNTA(J492:K492,M492:N492)=0,Constants!$B$6,Constants!$B$7))))</f>
        <v/>
      </c>
      <c r="AA492" s="97" t="str">
        <f aca="false">IF(ISBLANK($C492),"",IF($Z492&lt;&gt;Constants!$B$7,$Z492,IF(OR(NOT(T492),AND(NOT(Q492),COUNTIFS(U492:W492,Constants!$B$18,V492:X492,"&gt;=0")&gt;0),AND(NOT(R492),COUNTIFS(U492:W492,Constants!$B$19,V492:X492,"&gt;=0")&gt;0)),Constants!$B$12,Constants!$B$11)))</f>
        <v/>
      </c>
      <c r="AB492" s="97" t="str">
        <f aca="false">IF($Z492=Constants!$B$7,IF(V492="",Constants!$B$13,V492),"")</f>
        <v/>
      </c>
      <c r="AC492" s="97" t="str">
        <f aca="false">IF($Z492=Constants!$B$7,IF(X492="",Constants!$B$13,X492),"")</f>
        <v/>
      </c>
      <c r="AD492" s="97" t="str">
        <f aca="false">IF($Z492=Constants!$B$7,IF($AB492&gt;=$AC492,1,2),"")</f>
        <v/>
      </c>
      <c r="AE492" s="97" t="str">
        <f aca="false">IF($Z492=Constants!$B$7,LARGE(AB492:AC492,1),"")</f>
        <v/>
      </c>
      <c r="AF492" s="97" t="str">
        <f aca="false">IF(ISBLANK($C492),"",IF($Z492&lt;&gt;Constants!$B$7,$Z492,AE492*S492))</f>
        <v/>
      </c>
      <c r="AG492" s="97" t="str">
        <f aca="false">IF(ISBLANK($C492),"",IF($Z492=Constants!$B$7,IF(ISNUMBER(AF492),RANK(AF492,$AF$8:$AF$507),Constants!$B$14),$Z492))</f>
        <v/>
      </c>
      <c r="AH492" s="97" t="str">
        <f aca="false">IF(ISBLANK($C492),"",IF($Z492=Constants!$B$7,IF(ISNUMBER(AG492),COUNTIFS($AA$8:$AA$507,"&lt;"&amp;$AA492)+COUNTIFS($AA$8:$AA$507,$AA492,$AG$8:$AG$507,"&lt;"&amp;$AG492)+1,Constants!$B$14),$Z492))</f>
        <v/>
      </c>
      <c r="AI492" s="97" t="str">
        <f aca="false">IF(ISBLANK($C492),"",IF($Z492=Constants!$B$7,LARGE(AB492:AC492,2)*S492,""))</f>
        <v/>
      </c>
      <c r="AJ492" s="97" t="str">
        <f aca="false">IF(ISBLANK($C492),"",IF($Z492=Constants!$B$7,RANK(AI492,$AI$8:$AI$507),$Z492))</f>
        <v/>
      </c>
      <c r="AK492" s="97" t="str">
        <f aca="false">IF(ISBLANK($C492),"",IF($Z492=Constants!$B$7,IF(ISNUMBER(AG492),COUNTIFS($AA$8:$AA$507,"&lt;"&amp;$AA492)+COUNTIFS($AA$8:$AA$507,$AA492,$AG$8:$AG$507,"&lt;"&amp;$AG492)+COUNTIFS($AA$8:$AA$507,$AA492,$AG$8:$AG$507,$AG492,$AJ$8:$AJ$507,"&lt;"&amp;$AJ492)+1,Constants!$B$14),$Z492))</f>
        <v/>
      </c>
      <c r="AL492" s="97" t="str">
        <f aca="false">IF(ISBLANK($C492),"",IF($Z492=Constants!$B$7,IF(ISNUMBER(AH492),AH492-AK492,Constants!$B$14),$Z492))</f>
        <v/>
      </c>
      <c r="AM492" s="98"/>
      <c r="AN492" s="99" t="str">
        <f aca="false">IF(ISBLANK($C492),"",IF($Z492&lt;&gt;Constants!$B$7,$Z492,AD492))</f>
        <v/>
      </c>
      <c r="AO492" s="100" t="str">
        <f aca="false">IF(ISBLANK($C492),"",IF($Z492&lt;&gt;Constants!$B$7,$Z492,S492))</f>
        <v/>
      </c>
      <c r="AP492" s="101" t="str">
        <f aca="false">IF(ISBLANK($C492),"",IF($Z492&lt;&gt;Constants!$B$7,$Z492,AF492))</f>
        <v/>
      </c>
      <c r="AQ492" s="102" t="str">
        <f aca="false">IF(ISBLANK($C492),"",IF($Z492&lt;&gt;Constants!$B$7,$Z492,AA492))</f>
        <v/>
      </c>
      <c r="AR492" s="100" t="str">
        <f aca="false">IF(ISBLANK($C492),"",AL492)</f>
        <v/>
      </c>
      <c r="AS492" s="100" t="str">
        <f aca="false">IF(ISBLANK($C492),"",AK492)</f>
        <v/>
      </c>
      <c r="AT492" s="103" t="str">
        <f aca="false">IF(ISBLANK($C492),"",IF(AS492=Constants!$B$4,COUNTA($C$8:$C$507)+2,IF(AS492=Constants!$B$5,COUNTA($C$8:$C$507)+1,IF(AS492=Constants!$B$6,COUNTA($C$8:$C$507),AS492))))</f>
        <v/>
      </c>
      <c r="AU492" s="5"/>
      <c r="AV492" s="104" t="n">
        <f aca="false">IF(OR(ISNUMBER(AS492),AS492=Constants!$B$4,AS492=Constants!$B$6,AS492=Constants!$B$5),1,0)</f>
        <v>0</v>
      </c>
      <c r="AW492" s="104" t="n">
        <v>485</v>
      </c>
      <c r="AX492" s="104" t="str">
        <f aca="false">IF(ISBLANK($C492),"",IF(ISNUMBER(AT492),AT492+ROW($B492)/1000,""))</f>
        <v/>
      </c>
      <c r="AY492" s="104" t="str">
        <f aca="false">IF(ISNUMBER(AX492),RANK(AX492,$AX$8:$AX$507,1),"")</f>
        <v/>
      </c>
      <c r="AZ492" s="104" t="str">
        <f aca="false">IF(ISBLANK($C492),"",$B492)</f>
        <v/>
      </c>
      <c r="BA492" s="104" t="str">
        <f aca="false">IF(ISBLANK($C492),"",$C492)</f>
        <v/>
      </c>
      <c r="BB492" s="104" t="str">
        <f aca="false">IF(ISBLANK($C492),"",$D492)</f>
        <v/>
      </c>
      <c r="BC492" s="105" t="str">
        <f aca="false">AQ492</f>
        <v/>
      </c>
      <c r="BD492" s="106" t="str">
        <f aca="false">AP492</f>
        <v/>
      </c>
      <c r="BE492" s="104" t="str">
        <f aca="false">IF(ISBLANK($C492),"",AS492)</f>
        <v/>
      </c>
      <c r="BF492" s="107" t="str">
        <f aca="false">IF($AW492&gt;$AV$7,"",VLOOKUP($AW492,$AY$8:$BE$507,7,FALSE()))</f>
        <v/>
      </c>
      <c r="BG492" s="108" t="str">
        <f aca="false">IF($AW492&gt;$AV$7,"",VLOOKUP($AW492,$AY$8:$BE$507,2,FALSE()))</f>
        <v/>
      </c>
      <c r="BH492" s="108" t="str">
        <f aca="false">IF($AW492&gt;$AV$7,"",VLOOKUP($AW492,$AY$8:$BE$507,3,FALSE()))</f>
        <v/>
      </c>
      <c r="BI492" s="108" t="str">
        <f aca="false">IF($AW492&gt;$AV$7,"",VLOOKUP($AW492,$AY$8:$BE$507,4,FALSE()))</f>
        <v/>
      </c>
      <c r="BJ492" s="108" t="str">
        <f aca="false">IF($AW492&gt;$AV$7,"",VLOOKUP($AW492,$AY$8:$BE$507,5,FALSE()))</f>
        <v/>
      </c>
      <c r="BK492" s="109" t="str">
        <f aca="false">IF($AW492&gt;$AV$7,"",VLOOKUP($AW492,$AY$8:$BE$507,6,FALSE()))</f>
        <v/>
      </c>
      <c r="BL492" s="50"/>
    </row>
    <row r="493" customFormat="false" ht="15.75" hidden="false" customHeight="false" outlineLevel="0" collapsed="false">
      <c r="A493" s="5"/>
      <c r="B493" s="124"/>
      <c r="C493" s="125"/>
      <c r="D493" s="110"/>
      <c r="E493" s="130"/>
      <c r="F493" s="135"/>
      <c r="G493" s="88"/>
      <c r="H493" s="136"/>
      <c r="I493" s="137"/>
      <c r="J493" s="91"/>
      <c r="K493" s="92"/>
      <c r="L493" s="137"/>
      <c r="M493" s="93"/>
      <c r="N493" s="94"/>
      <c r="O493" s="130"/>
      <c r="P493" s="96"/>
      <c r="Q493" s="97" t="str">
        <f aca="false">IF(ISBLANK($C493),"",IF(E493=Constants!$B$2, TRUE(), IF(E493=Constants!$B$3, FALSE(), TRUE())))</f>
        <v/>
      </c>
      <c r="R493" s="97" t="str">
        <f aca="false">IF(ISBLANK($C493),"",IF(F493=Constants!$B$2, TRUE(), IF(F493=Constants!$B$3, FALSE(), TRUE())))</f>
        <v/>
      </c>
      <c r="S493" s="97" t="str">
        <f aca="false">IF(ISBLANK($C493),"",IF(G493=Constants!$B$15,Constants!$B$8,IF(G493=Constants!$B$16,Constants!$B$9,Constants!$B$10)))</f>
        <v/>
      </c>
      <c r="T493" s="97" t="str">
        <f aca="false">IF(ISBLANK($C493),"",IF(H493=Constants!$B$2, TRUE(), IF(H493=Constants!$B$3, FALSE(), TRUE())))</f>
        <v/>
      </c>
      <c r="U493" s="97" t="str">
        <f aca="false">IF(ISBLANK($C493),"",IF(I493=Constants!$B$19,Constants!$B$19,Constants!$B$18))</f>
        <v/>
      </c>
      <c r="V493" s="97" t="str">
        <f aca="false">IF(ISBLANK($C493),"",IF(COUNTA(J493:K493)=0,"",IF(AND(OR(ISBLANK(J493),AND(ISNUMBER(J493),J493&gt;=0)),OR(ISBLANK(K493),AND(ISNUMBER(K493),K493&gt;=0))),60*IF(ISBLANK(J493),0,J493)+IF(ISBLANK(K493),0,K493),"")))</f>
        <v/>
      </c>
      <c r="W493" s="97" t="str">
        <f aca="false">IF(ISBLANK($C493),"",IF(L493=Constants!$B$19,Constants!$B$19,Constants!$B$18))</f>
        <v/>
      </c>
      <c r="X493" s="97" t="str">
        <f aca="false">IF(ISBLANK($C493),"",IF(COUNTA(M493:N493)=0,"",IF(AND(OR(ISBLANK(M493),AND(ISNUMBER(M493),M493&gt;=0)),OR(ISBLANK(N493),AND(ISNUMBER(N493),N493&gt;=0))),60*IF(ISBLANK(M493),0,M493)+IF(ISBLANK(N493),0,N493),"")))</f>
        <v/>
      </c>
      <c r="Y493" s="97" t="str">
        <f aca="false">IF(ISBLANK($C493),"",IF(O493=Constants!$B$2, TRUE(), IF(O493=Constants!$B$3, FALSE(), FALSE())))</f>
        <v/>
      </c>
      <c r="Z493" s="97" t="str">
        <f aca="false">IF(ISBLANK($C493),"",IF(Y493,Constants!$B$4,IF(COUNTA(E493:N493)=0,Constants!$B$5,IF(COUNTA(J493:K493,M493:N493)=0,Constants!$B$6,Constants!$B$7))))</f>
        <v/>
      </c>
      <c r="AA493" s="97" t="str">
        <f aca="false">IF(ISBLANK($C493),"",IF($Z493&lt;&gt;Constants!$B$7,$Z493,IF(OR(NOT(T493),AND(NOT(Q493),COUNTIFS(U493:W493,Constants!$B$18,V493:X493,"&gt;=0")&gt;0),AND(NOT(R493),COUNTIFS(U493:W493,Constants!$B$19,V493:X493,"&gt;=0")&gt;0)),Constants!$B$12,Constants!$B$11)))</f>
        <v/>
      </c>
      <c r="AB493" s="97" t="str">
        <f aca="false">IF($Z493=Constants!$B$7,IF(V493="",Constants!$B$13,V493),"")</f>
        <v/>
      </c>
      <c r="AC493" s="97" t="str">
        <f aca="false">IF($Z493=Constants!$B$7,IF(X493="",Constants!$B$13,X493),"")</f>
        <v/>
      </c>
      <c r="AD493" s="97" t="str">
        <f aca="false">IF($Z493=Constants!$B$7,IF($AB493&gt;=$AC493,1,2),"")</f>
        <v/>
      </c>
      <c r="AE493" s="97" t="str">
        <f aca="false">IF($Z493=Constants!$B$7,LARGE(AB493:AC493,1),"")</f>
        <v/>
      </c>
      <c r="AF493" s="97" t="str">
        <f aca="false">IF(ISBLANK($C493),"",IF($Z493&lt;&gt;Constants!$B$7,$Z493,AE493*S493))</f>
        <v/>
      </c>
      <c r="AG493" s="97" t="str">
        <f aca="false">IF(ISBLANK($C493),"",IF($Z493=Constants!$B$7,IF(ISNUMBER(AF493),RANK(AF493,$AF$8:$AF$507),Constants!$B$14),$Z493))</f>
        <v/>
      </c>
      <c r="AH493" s="97" t="str">
        <f aca="false">IF(ISBLANK($C493),"",IF($Z493=Constants!$B$7,IF(ISNUMBER(AG493),COUNTIFS($AA$8:$AA$507,"&lt;"&amp;$AA493)+COUNTIFS($AA$8:$AA$507,$AA493,$AG$8:$AG$507,"&lt;"&amp;$AG493)+1,Constants!$B$14),$Z493))</f>
        <v/>
      </c>
      <c r="AI493" s="97" t="str">
        <f aca="false">IF(ISBLANK($C493),"",IF($Z493=Constants!$B$7,LARGE(AB493:AC493,2)*S493,""))</f>
        <v/>
      </c>
      <c r="AJ493" s="97" t="str">
        <f aca="false">IF(ISBLANK($C493),"",IF($Z493=Constants!$B$7,RANK(AI493,$AI$8:$AI$507),$Z493))</f>
        <v/>
      </c>
      <c r="AK493" s="97" t="str">
        <f aca="false">IF(ISBLANK($C493),"",IF($Z493=Constants!$B$7,IF(ISNUMBER(AG493),COUNTIFS($AA$8:$AA$507,"&lt;"&amp;$AA493)+COUNTIFS($AA$8:$AA$507,$AA493,$AG$8:$AG$507,"&lt;"&amp;$AG493)+COUNTIFS($AA$8:$AA$507,$AA493,$AG$8:$AG$507,$AG493,$AJ$8:$AJ$507,"&lt;"&amp;$AJ493)+1,Constants!$B$14),$Z493))</f>
        <v/>
      </c>
      <c r="AL493" s="97" t="str">
        <f aca="false">IF(ISBLANK($C493),"",IF($Z493=Constants!$B$7,IF(ISNUMBER(AH493),AH493-AK493,Constants!$B$14),$Z493))</f>
        <v/>
      </c>
      <c r="AM493" s="98"/>
      <c r="AN493" s="99" t="str">
        <f aca="false">IF(ISBLANK($C493),"",IF($Z493&lt;&gt;Constants!$B$7,$Z493,AD493))</f>
        <v/>
      </c>
      <c r="AO493" s="100" t="str">
        <f aca="false">IF(ISBLANK($C493),"",IF($Z493&lt;&gt;Constants!$B$7,$Z493,S493))</f>
        <v/>
      </c>
      <c r="AP493" s="101" t="str">
        <f aca="false">IF(ISBLANK($C493),"",IF($Z493&lt;&gt;Constants!$B$7,$Z493,AF493))</f>
        <v/>
      </c>
      <c r="AQ493" s="102" t="str">
        <f aca="false">IF(ISBLANK($C493),"",IF($Z493&lt;&gt;Constants!$B$7,$Z493,AA493))</f>
        <v/>
      </c>
      <c r="AR493" s="100" t="str">
        <f aca="false">IF(ISBLANK($C493),"",AL493)</f>
        <v/>
      </c>
      <c r="AS493" s="100" t="str">
        <f aca="false">IF(ISBLANK($C493),"",AK493)</f>
        <v/>
      </c>
      <c r="AT493" s="103" t="str">
        <f aca="false">IF(ISBLANK($C493),"",IF(AS493=Constants!$B$4,COUNTA($C$8:$C$507)+2,IF(AS493=Constants!$B$5,COUNTA($C$8:$C$507)+1,IF(AS493=Constants!$B$6,COUNTA($C$8:$C$507),AS493))))</f>
        <v/>
      </c>
      <c r="AU493" s="5"/>
      <c r="AV493" s="104" t="n">
        <f aca="false">IF(OR(ISNUMBER(AS493),AS493=Constants!$B$4,AS493=Constants!$B$6,AS493=Constants!$B$5),1,0)</f>
        <v>0</v>
      </c>
      <c r="AW493" s="104" t="n">
        <v>486</v>
      </c>
      <c r="AX493" s="104" t="str">
        <f aca="false">IF(ISBLANK($C493),"",IF(ISNUMBER(AT493),AT493+ROW($B493)/1000,""))</f>
        <v/>
      </c>
      <c r="AY493" s="104" t="str">
        <f aca="false">IF(ISNUMBER(AX493),RANK(AX493,$AX$8:$AX$507,1),"")</f>
        <v/>
      </c>
      <c r="AZ493" s="104" t="str">
        <f aca="false">IF(ISBLANK($C493),"",$B493)</f>
        <v/>
      </c>
      <c r="BA493" s="104" t="str">
        <f aca="false">IF(ISBLANK($C493),"",$C493)</f>
        <v/>
      </c>
      <c r="BB493" s="104" t="str">
        <f aca="false">IF(ISBLANK($C493),"",$D493)</f>
        <v/>
      </c>
      <c r="BC493" s="105" t="str">
        <f aca="false">AQ493</f>
        <v/>
      </c>
      <c r="BD493" s="106" t="str">
        <f aca="false">AP493</f>
        <v/>
      </c>
      <c r="BE493" s="104" t="str">
        <f aca="false">IF(ISBLANK($C493),"",AS493)</f>
        <v/>
      </c>
      <c r="BF493" s="107" t="str">
        <f aca="false">IF($AW493&gt;$AV$7,"",VLOOKUP($AW493,$AY$8:$BE$507,7,FALSE()))</f>
        <v/>
      </c>
      <c r="BG493" s="108" t="str">
        <f aca="false">IF($AW493&gt;$AV$7,"",VLOOKUP($AW493,$AY$8:$BE$507,2,FALSE()))</f>
        <v/>
      </c>
      <c r="BH493" s="108" t="str">
        <f aca="false">IF($AW493&gt;$AV$7,"",VLOOKUP($AW493,$AY$8:$BE$507,3,FALSE()))</f>
        <v/>
      </c>
      <c r="BI493" s="108" t="str">
        <f aca="false">IF($AW493&gt;$AV$7,"",VLOOKUP($AW493,$AY$8:$BE$507,4,FALSE()))</f>
        <v/>
      </c>
      <c r="BJ493" s="108" t="str">
        <f aca="false">IF($AW493&gt;$AV$7,"",VLOOKUP($AW493,$AY$8:$BE$507,5,FALSE()))</f>
        <v/>
      </c>
      <c r="BK493" s="109" t="str">
        <f aca="false">IF($AW493&gt;$AV$7,"",VLOOKUP($AW493,$AY$8:$BE$507,6,FALSE()))</f>
        <v/>
      </c>
      <c r="BL493" s="50"/>
    </row>
    <row r="494" customFormat="false" ht="15.75" hidden="false" customHeight="false" outlineLevel="0" collapsed="false">
      <c r="A494" s="5"/>
      <c r="B494" s="131"/>
      <c r="C494" s="52"/>
      <c r="D494" s="53"/>
      <c r="E494" s="80"/>
      <c r="F494" s="132"/>
      <c r="G494" s="56"/>
      <c r="H494" s="133"/>
      <c r="I494" s="134"/>
      <c r="J494" s="59"/>
      <c r="K494" s="60"/>
      <c r="L494" s="134"/>
      <c r="M494" s="61"/>
      <c r="N494" s="62"/>
      <c r="O494" s="80"/>
      <c r="P494" s="64"/>
      <c r="Q494" s="65" t="str">
        <f aca="false">IF(ISBLANK($C494),"",IF(E494=Constants!$B$2, TRUE(), IF(E494=Constants!$B$3, FALSE(), TRUE())))</f>
        <v/>
      </c>
      <c r="R494" s="65" t="str">
        <f aca="false">IF(ISBLANK($C494),"",IF(F494=Constants!$B$2, TRUE(), IF(F494=Constants!$B$3, FALSE(), TRUE())))</f>
        <v/>
      </c>
      <c r="S494" s="65" t="str">
        <f aca="false">IF(ISBLANK($C494),"",IF(G494=Constants!$B$15,Constants!$B$8,IF(G494=Constants!$B$16,Constants!$B$9,Constants!$B$10)))</f>
        <v/>
      </c>
      <c r="T494" s="65" t="str">
        <f aca="false">IF(ISBLANK($C494),"",IF(H494=Constants!$B$2, TRUE(), IF(H494=Constants!$B$3, FALSE(), TRUE())))</f>
        <v/>
      </c>
      <c r="U494" s="65" t="str">
        <f aca="false">IF(ISBLANK($C494),"",IF(I494=Constants!$B$19,Constants!$B$19,Constants!$B$18))</f>
        <v/>
      </c>
      <c r="V494" s="65" t="str">
        <f aca="false">IF(ISBLANK($C494),"",IF(COUNTA(J494:K494)=0,"",IF(AND(OR(ISBLANK(J494),AND(ISNUMBER(J494),J494&gt;=0)),OR(ISBLANK(K494),AND(ISNUMBER(K494),K494&gt;=0))),60*IF(ISBLANK(J494),0,J494)+IF(ISBLANK(K494),0,K494),"")))</f>
        <v/>
      </c>
      <c r="W494" s="65" t="str">
        <f aca="false">IF(ISBLANK($C494),"",IF(L494=Constants!$B$19,Constants!$B$19,Constants!$B$18))</f>
        <v/>
      </c>
      <c r="X494" s="65" t="str">
        <f aca="false">IF(ISBLANK($C494),"",IF(COUNTA(M494:N494)=0,"",IF(AND(OR(ISBLANK(M494),AND(ISNUMBER(M494),M494&gt;=0)),OR(ISBLANK(N494),AND(ISNUMBER(N494),N494&gt;=0))),60*IF(ISBLANK(M494),0,M494)+IF(ISBLANK(N494),0,N494),"")))</f>
        <v/>
      </c>
      <c r="Y494" s="65" t="str">
        <f aca="false">IF(ISBLANK($C494),"",IF(O494=Constants!$B$2, TRUE(), IF(O494=Constants!$B$3, FALSE(), FALSE())))</f>
        <v/>
      </c>
      <c r="Z494" s="65" t="str">
        <f aca="false">IF(ISBLANK($C494),"",IF(Y494,Constants!$B$4,IF(COUNTA(E494:N494)=0,Constants!$B$5,IF(COUNTA(J494:K494,M494:N494)=0,Constants!$B$6,Constants!$B$7))))</f>
        <v/>
      </c>
      <c r="AA494" s="65" t="str">
        <f aca="false">IF(ISBLANK($C494),"",IF($Z494&lt;&gt;Constants!$B$7,$Z494,IF(OR(NOT(T494),AND(NOT(Q494),COUNTIFS(U494:W494,Constants!$B$18,V494:X494,"&gt;=0")&gt;0),AND(NOT(R494),COUNTIFS(U494:W494,Constants!$B$19,V494:X494,"&gt;=0")&gt;0)),Constants!$B$12,Constants!$B$11)))</f>
        <v/>
      </c>
      <c r="AB494" s="65" t="str">
        <f aca="false">IF($Z494=Constants!$B$7,IF(V494="",Constants!$B$13,V494),"")</f>
        <v/>
      </c>
      <c r="AC494" s="65" t="str">
        <f aca="false">IF($Z494=Constants!$B$7,IF(X494="",Constants!$B$13,X494),"")</f>
        <v/>
      </c>
      <c r="AD494" s="65" t="str">
        <f aca="false">IF($Z494=Constants!$B$7,IF($AB494&gt;=$AC494,1,2),"")</f>
        <v/>
      </c>
      <c r="AE494" s="65" t="str">
        <f aca="false">IF($Z494=Constants!$B$7,LARGE(AB494:AC494,1),"")</f>
        <v/>
      </c>
      <c r="AF494" s="65" t="str">
        <f aca="false">IF(ISBLANK($C494),"",IF($Z494&lt;&gt;Constants!$B$7,$Z494,AE494*S494))</f>
        <v/>
      </c>
      <c r="AG494" s="65" t="str">
        <f aca="false">IF(ISBLANK($C494),"",IF($Z494=Constants!$B$7,IF(ISNUMBER(AF494),RANK(AF494,$AF$8:$AF$507),Constants!$B$14),$Z494))</f>
        <v/>
      </c>
      <c r="AH494" s="65" t="str">
        <f aca="false">IF(ISBLANK($C494),"",IF($Z494=Constants!$B$7,IF(ISNUMBER(AG494),COUNTIFS($AA$8:$AA$507,"&lt;"&amp;$AA494)+COUNTIFS($AA$8:$AA$507,$AA494,$AG$8:$AG$507,"&lt;"&amp;$AG494)+1,Constants!$B$14),$Z494))</f>
        <v/>
      </c>
      <c r="AI494" s="65" t="str">
        <f aca="false">IF(ISBLANK($C494),"",IF($Z494=Constants!$B$7,LARGE(AB494:AC494,2)*S494,""))</f>
        <v/>
      </c>
      <c r="AJ494" s="65" t="str">
        <f aca="false">IF(ISBLANK($C494),"",IF($Z494=Constants!$B$7,RANK(AI494,$AI$8:$AI$507),$Z494))</f>
        <v/>
      </c>
      <c r="AK494" s="65" t="str">
        <f aca="false">IF(ISBLANK($C494),"",IF($Z494=Constants!$B$7,IF(ISNUMBER(AG494),COUNTIFS($AA$8:$AA$507,"&lt;"&amp;$AA494)+COUNTIFS($AA$8:$AA$507,$AA494,$AG$8:$AG$507,"&lt;"&amp;$AG494)+COUNTIFS($AA$8:$AA$507,$AA494,$AG$8:$AG$507,$AG494,$AJ$8:$AJ$507,"&lt;"&amp;$AJ494)+1,Constants!$B$14),$Z494))</f>
        <v/>
      </c>
      <c r="AL494" s="65" t="str">
        <f aca="false">IF(ISBLANK($C494),"",IF($Z494=Constants!$B$7,IF(ISNUMBER(AH494),AH494-AK494,Constants!$B$14),$Z494))</f>
        <v/>
      </c>
      <c r="AM494" s="67"/>
      <c r="AN494" s="68" t="str">
        <f aca="false">IF(ISBLANK($C494),"",IF($Z494&lt;&gt;Constants!$B$7,$Z494,AD494))</f>
        <v/>
      </c>
      <c r="AO494" s="69" t="str">
        <f aca="false">IF(ISBLANK($C494),"",IF($Z494&lt;&gt;Constants!$B$7,$Z494,S494))</f>
        <v/>
      </c>
      <c r="AP494" s="70" t="str">
        <f aca="false">IF(ISBLANK($C494),"",IF($Z494&lt;&gt;Constants!$B$7,$Z494,AF494))</f>
        <v/>
      </c>
      <c r="AQ494" s="71" t="str">
        <f aca="false">IF(ISBLANK($C494),"",IF($Z494&lt;&gt;Constants!$B$7,$Z494,AA494))</f>
        <v/>
      </c>
      <c r="AR494" s="69" t="str">
        <f aca="false">IF(ISBLANK($C494),"",AL494)</f>
        <v/>
      </c>
      <c r="AS494" s="69" t="str">
        <f aca="false">IF(ISBLANK($C494),"",AK494)</f>
        <v/>
      </c>
      <c r="AT494" s="72" t="str">
        <f aca="false">IF(ISBLANK($C494),"",IF(AS494=Constants!$B$4,COUNTA($C$8:$C$507)+2,IF(AS494=Constants!$B$5,COUNTA($C$8:$C$507)+1,IF(AS494=Constants!$B$6,COUNTA($C$8:$C$507),AS494))))</f>
        <v/>
      </c>
      <c r="AU494" s="5"/>
      <c r="AV494" s="73" t="n">
        <f aca="false">IF(OR(ISNUMBER(AS494),AS494=Constants!$B$4,AS494=Constants!$B$6,AS494=Constants!$B$5),1,0)</f>
        <v>0</v>
      </c>
      <c r="AW494" s="73" t="n">
        <v>487</v>
      </c>
      <c r="AX494" s="73" t="str">
        <f aca="false">IF(ISBLANK($C494),"",IF(ISNUMBER(AT494),AT494+ROW($B494)/1000,""))</f>
        <v/>
      </c>
      <c r="AY494" s="73" t="str">
        <f aca="false">IF(ISNUMBER(AX494),RANK(AX494,$AX$8:$AX$507,1),"")</f>
        <v/>
      </c>
      <c r="AZ494" s="73" t="str">
        <f aca="false">IF(ISBLANK($C494),"",$B494)</f>
        <v/>
      </c>
      <c r="BA494" s="73" t="str">
        <f aca="false">IF(ISBLANK($C494),"",$C494)</f>
        <v/>
      </c>
      <c r="BB494" s="73" t="str">
        <f aca="false">IF(ISBLANK($C494),"",$D494)</f>
        <v/>
      </c>
      <c r="BC494" s="74" t="str">
        <f aca="false">AQ494</f>
        <v/>
      </c>
      <c r="BD494" s="75" t="str">
        <f aca="false">AP494</f>
        <v/>
      </c>
      <c r="BE494" s="73" t="str">
        <f aca="false">IF(ISBLANK($C494),"",AS494)</f>
        <v/>
      </c>
      <c r="BF494" s="76" t="str">
        <f aca="false">IF($AW494&gt;$AV$7,"",VLOOKUP($AW494,$AY$8:$BE$507,7,FALSE()))</f>
        <v/>
      </c>
      <c r="BG494" s="77" t="str">
        <f aca="false">IF($AW494&gt;$AV$7,"",VLOOKUP($AW494,$AY$8:$BE$507,2,FALSE()))</f>
        <v/>
      </c>
      <c r="BH494" s="77" t="str">
        <f aca="false">IF($AW494&gt;$AV$7,"",VLOOKUP($AW494,$AY$8:$BE$507,3,FALSE()))</f>
        <v/>
      </c>
      <c r="BI494" s="77" t="str">
        <f aca="false">IF($AW494&gt;$AV$7,"",VLOOKUP($AW494,$AY$8:$BE$507,4,FALSE()))</f>
        <v/>
      </c>
      <c r="BJ494" s="77" t="str">
        <f aca="false">IF($AW494&gt;$AV$7,"",VLOOKUP($AW494,$AY$8:$BE$507,5,FALSE()))</f>
        <v/>
      </c>
      <c r="BK494" s="78" t="str">
        <f aca="false">IF($AW494&gt;$AV$7,"",VLOOKUP($AW494,$AY$8:$BE$507,6,FALSE()))</f>
        <v/>
      </c>
      <c r="BL494" s="50"/>
    </row>
    <row r="495" customFormat="false" ht="15.75" hidden="false" customHeight="false" outlineLevel="0" collapsed="false">
      <c r="A495" s="5"/>
      <c r="B495" s="131"/>
      <c r="C495" s="52"/>
      <c r="D495" s="53"/>
      <c r="E495" s="80"/>
      <c r="F495" s="132"/>
      <c r="G495" s="56"/>
      <c r="H495" s="133"/>
      <c r="I495" s="134"/>
      <c r="J495" s="59"/>
      <c r="K495" s="60"/>
      <c r="L495" s="134"/>
      <c r="M495" s="61"/>
      <c r="N495" s="62"/>
      <c r="O495" s="80"/>
      <c r="P495" s="64"/>
      <c r="Q495" s="65" t="str">
        <f aca="false">IF(ISBLANK($C495),"",IF(E495=Constants!$B$2, TRUE(), IF(E495=Constants!$B$3, FALSE(), TRUE())))</f>
        <v/>
      </c>
      <c r="R495" s="65" t="str">
        <f aca="false">IF(ISBLANK($C495),"",IF(F495=Constants!$B$2, TRUE(), IF(F495=Constants!$B$3, FALSE(), TRUE())))</f>
        <v/>
      </c>
      <c r="S495" s="65" t="str">
        <f aca="false">IF(ISBLANK($C495),"",IF(G495=Constants!$B$15,Constants!$B$8,IF(G495=Constants!$B$16,Constants!$B$9,Constants!$B$10)))</f>
        <v/>
      </c>
      <c r="T495" s="65" t="str">
        <f aca="false">IF(ISBLANK($C495),"",IF(H495=Constants!$B$2, TRUE(), IF(H495=Constants!$B$3, FALSE(), TRUE())))</f>
        <v/>
      </c>
      <c r="U495" s="65" t="str">
        <f aca="false">IF(ISBLANK($C495),"",IF(I495=Constants!$B$19,Constants!$B$19,Constants!$B$18))</f>
        <v/>
      </c>
      <c r="V495" s="65" t="str">
        <f aca="false">IF(ISBLANK($C495),"",IF(COUNTA(J495:K495)=0,"",IF(AND(OR(ISBLANK(J495),AND(ISNUMBER(J495),J495&gt;=0)),OR(ISBLANK(K495),AND(ISNUMBER(K495),K495&gt;=0))),60*IF(ISBLANK(J495),0,J495)+IF(ISBLANK(K495),0,K495),"")))</f>
        <v/>
      </c>
      <c r="W495" s="65" t="str">
        <f aca="false">IF(ISBLANK($C495),"",IF(L495=Constants!$B$19,Constants!$B$19,Constants!$B$18))</f>
        <v/>
      </c>
      <c r="X495" s="65" t="str">
        <f aca="false">IF(ISBLANK($C495),"",IF(COUNTA(M495:N495)=0,"",IF(AND(OR(ISBLANK(M495),AND(ISNUMBER(M495),M495&gt;=0)),OR(ISBLANK(N495),AND(ISNUMBER(N495),N495&gt;=0))),60*IF(ISBLANK(M495),0,M495)+IF(ISBLANK(N495),0,N495),"")))</f>
        <v/>
      </c>
      <c r="Y495" s="65" t="str">
        <f aca="false">IF(ISBLANK($C495),"",IF(O495=Constants!$B$2, TRUE(), IF(O495=Constants!$B$3, FALSE(), FALSE())))</f>
        <v/>
      </c>
      <c r="Z495" s="65" t="str">
        <f aca="false">IF(ISBLANK($C495),"",IF(Y495,Constants!$B$4,IF(COUNTA(E495:N495)=0,Constants!$B$5,IF(COUNTA(J495:K495,M495:N495)=0,Constants!$B$6,Constants!$B$7))))</f>
        <v/>
      </c>
      <c r="AA495" s="65" t="str">
        <f aca="false">IF(ISBLANK($C495),"",IF($Z495&lt;&gt;Constants!$B$7,$Z495,IF(OR(NOT(T495),AND(NOT(Q495),COUNTIFS(U495:W495,Constants!$B$18,V495:X495,"&gt;=0")&gt;0),AND(NOT(R495),COUNTIFS(U495:W495,Constants!$B$19,V495:X495,"&gt;=0")&gt;0)),Constants!$B$12,Constants!$B$11)))</f>
        <v/>
      </c>
      <c r="AB495" s="65" t="str">
        <f aca="false">IF($Z495=Constants!$B$7,IF(V495="",Constants!$B$13,V495),"")</f>
        <v/>
      </c>
      <c r="AC495" s="65" t="str">
        <f aca="false">IF($Z495=Constants!$B$7,IF(X495="",Constants!$B$13,X495),"")</f>
        <v/>
      </c>
      <c r="AD495" s="65" t="str">
        <f aca="false">IF($Z495=Constants!$B$7,IF($AB495&gt;=$AC495,1,2),"")</f>
        <v/>
      </c>
      <c r="AE495" s="65" t="str">
        <f aca="false">IF($Z495=Constants!$B$7,LARGE(AB495:AC495,1),"")</f>
        <v/>
      </c>
      <c r="AF495" s="65" t="str">
        <f aca="false">IF(ISBLANK($C495),"",IF($Z495&lt;&gt;Constants!$B$7,$Z495,AE495*S495))</f>
        <v/>
      </c>
      <c r="AG495" s="65" t="str">
        <f aca="false">IF(ISBLANK($C495),"",IF($Z495=Constants!$B$7,IF(ISNUMBER(AF495),RANK(AF495,$AF$8:$AF$507),Constants!$B$14),$Z495))</f>
        <v/>
      </c>
      <c r="AH495" s="65" t="str">
        <f aca="false">IF(ISBLANK($C495),"",IF($Z495=Constants!$B$7,IF(ISNUMBER(AG495),COUNTIFS($AA$8:$AA$507,"&lt;"&amp;$AA495)+COUNTIFS($AA$8:$AA$507,$AA495,$AG$8:$AG$507,"&lt;"&amp;$AG495)+1,Constants!$B$14),$Z495))</f>
        <v/>
      </c>
      <c r="AI495" s="65" t="str">
        <f aca="false">IF(ISBLANK($C495),"",IF($Z495=Constants!$B$7,LARGE(AB495:AC495,2)*S495,""))</f>
        <v/>
      </c>
      <c r="AJ495" s="65" t="str">
        <f aca="false">IF(ISBLANK($C495),"",IF($Z495=Constants!$B$7,RANK(AI495,$AI$8:$AI$507),$Z495))</f>
        <v/>
      </c>
      <c r="AK495" s="65" t="str">
        <f aca="false">IF(ISBLANK($C495),"",IF($Z495=Constants!$B$7,IF(ISNUMBER(AG495),COUNTIFS($AA$8:$AA$507,"&lt;"&amp;$AA495)+COUNTIFS($AA$8:$AA$507,$AA495,$AG$8:$AG$507,"&lt;"&amp;$AG495)+COUNTIFS($AA$8:$AA$507,$AA495,$AG$8:$AG$507,$AG495,$AJ$8:$AJ$507,"&lt;"&amp;$AJ495)+1,Constants!$B$14),$Z495))</f>
        <v/>
      </c>
      <c r="AL495" s="65" t="str">
        <f aca="false">IF(ISBLANK($C495),"",IF($Z495=Constants!$B$7,IF(ISNUMBER(AH495),AH495-AK495,Constants!$B$14),$Z495))</f>
        <v/>
      </c>
      <c r="AM495" s="67"/>
      <c r="AN495" s="68" t="str">
        <f aca="false">IF(ISBLANK($C495),"",IF($Z495&lt;&gt;Constants!$B$7,$Z495,AD495))</f>
        <v/>
      </c>
      <c r="AO495" s="69" t="str">
        <f aca="false">IF(ISBLANK($C495),"",IF($Z495&lt;&gt;Constants!$B$7,$Z495,S495))</f>
        <v/>
      </c>
      <c r="AP495" s="70" t="str">
        <f aca="false">IF(ISBLANK($C495),"",IF($Z495&lt;&gt;Constants!$B$7,$Z495,AF495))</f>
        <v/>
      </c>
      <c r="AQ495" s="71" t="str">
        <f aca="false">IF(ISBLANK($C495),"",IF($Z495&lt;&gt;Constants!$B$7,$Z495,AA495))</f>
        <v/>
      </c>
      <c r="AR495" s="69" t="str">
        <f aca="false">IF(ISBLANK($C495),"",AL495)</f>
        <v/>
      </c>
      <c r="AS495" s="69" t="str">
        <f aca="false">IF(ISBLANK($C495),"",AK495)</f>
        <v/>
      </c>
      <c r="AT495" s="72" t="str">
        <f aca="false">IF(ISBLANK($C495),"",IF(AS495=Constants!$B$4,COUNTA($C$8:$C$507)+2,IF(AS495=Constants!$B$5,COUNTA($C$8:$C$507)+1,IF(AS495=Constants!$B$6,COUNTA($C$8:$C$507),AS495))))</f>
        <v/>
      </c>
      <c r="AU495" s="5"/>
      <c r="AV495" s="73" t="n">
        <f aca="false">IF(OR(ISNUMBER(AS495),AS495=Constants!$B$4,AS495=Constants!$B$6,AS495=Constants!$B$5),1,0)</f>
        <v>0</v>
      </c>
      <c r="AW495" s="73" t="n">
        <v>488</v>
      </c>
      <c r="AX495" s="73" t="str">
        <f aca="false">IF(ISBLANK($C495),"",IF(ISNUMBER(AT495),AT495+ROW($B495)/1000,""))</f>
        <v/>
      </c>
      <c r="AY495" s="73" t="str">
        <f aca="false">IF(ISNUMBER(AX495),RANK(AX495,$AX$8:$AX$507,1),"")</f>
        <v/>
      </c>
      <c r="AZ495" s="73" t="str">
        <f aca="false">IF(ISBLANK($C495),"",$B495)</f>
        <v/>
      </c>
      <c r="BA495" s="73" t="str">
        <f aca="false">IF(ISBLANK($C495),"",$C495)</f>
        <v/>
      </c>
      <c r="BB495" s="73" t="str">
        <f aca="false">IF(ISBLANK($C495),"",$D495)</f>
        <v/>
      </c>
      <c r="BC495" s="74" t="str">
        <f aca="false">AQ495</f>
        <v/>
      </c>
      <c r="BD495" s="75" t="str">
        <f aca="false">AP495</f>
        <v/>
      </c>
      <c r="BE495" s="73" t="str">
        <f aca="false">IF(ISBLANK($C495),"",AS495)</f>
        <v/>
      </c>
      <c r="BF495" s="76" t="str">
        <f aca="false">IF($AW495&gt;$AV$7,"",VLOOKUP($AW495,$AY$8:$BE$507,7,FALSE()))</f>
        <v/>
      </c>
      <c r="BG495" s="77" t="str">
        <f aca="false">IF($AW495&gt;$AV$7,"",VLOOKUP($AW495,$AY$8:$BE$507,2,FALSE()))</f>
        <v/>
      </c>
      <c r="BH495" s="77" t="str">
        <f aca="false">IF($AW495&gt;$AV$7,"",VLOOKUP($AW495,$AY$8:$BE$507,3,FALSE()))</f>
        <v/>
      </c>
      <c r="BI495" s="77" t="str">
        <f aca="false">IF($AW495&gt;$AV$7,"",VLOOKUP($AW495,$AY$8:$BE$507,4,FALSE()))</f>
        <v/>
      </c>
      <c r="BJ495" s="77" t="str">
        <f aca="false">IF($AW495&gt;$AV$7,"",VLOOKUP($AW495,$AY$8:$BE$507,5,FALSE()))</f>
        <v/>
      </c>
      <c r="BK495" s="78" t="str">
        <f aca="false">IF($AW495&gt;$AV$7,"",VLOOKUP($AW495,$AY$8:$BE$507,6,FALSE()))</f>
        <v/>
      </c>
      <c r="BL495" s="50"/>
    </row>
    <row r="496" customFormat="false" ht="15.75" hidden="false" customHeight="false" outlineLevel="0" collapsed="false">
      <c r="A496" s="5"/>
      <c r="B496" s="131"/>
      <c r="C496" s="52"/>
      <c r="D496" s="53"/>
      <c r="E496" s="80"/>
      <c r="F496" s="132"/>
      <c r="G496" s="56"/>
      <c r="H496" s="133"/>
      <c r="I496" s="134"/>
      <c r="J496" s="59"/>
      <c r="K496" s="60"/>
      <c r="L496" s="134"/>
      <c r="M496" s="61"/>
      <c r="N496" s="62"/>
      <c r="O496" s="80"/>
      <c r="P496" s="64"/>
      <c r="Q496" s="65" t="str">
        <f aca="false">IF(ISBLANK($C496),"",IF(E496=Constants!$B$2, TRUE(), IF(E496=Constants!$B$3, FALSE(), TRUE())))</f>
        <v/>
      </c>
      <c r="R496" s="65" t="str">
        <f aca="false">IF(ISBLANK($C496),"",IF(F496=Constants!$B$2, TRUE(), IF(F496=Constants!$B$3, FALSE(), TRUE())))</f>
        <v/>
      </c>
      <c r="S496" s="65" t="str">
        <f aca="false">IF(ISBLANK($C496),"",IF(G496=Constants!$B$15,Constants!$B$8,IF(G496=Constants!$B$16,Constants!$B$9,Constants!$B$10)))</f>
        <v/>
      </c>
      <c r="T496" s="65" t="str">
        <f aca="false">IF(ISBLANK($C496),"",IF(H496=Constants!$B$2, TRUE(), IF(H496=Constants!$B$3, FALSE(), TRUE())))</f>
        <v/>
      </c>
      <c r="U496" s="65" t="str">
        <f aca="false">IF(ISBLANK($C496),"",IF(I496=Constants!$B$19,Constants!$B$19,Constants!$B$18))</f>
        <v/>
      </c>
      <c r="V496" s="65" t="str">
        <f aca="false">IF(ISBLANK($C496),"",IF(COUNTA(J496:K496)=0,"",IF(AND(OR(ISBLANK(J496),AND(ISNUMBER(J496),J496&gt;=0)),OR(ISBLANK(K496),AND(ISNUMBER(K496),K496&gt;=0))),60*IF(ISBLANK(J496),0,J496)+IF(ISBLANK(K496),0,K496),"")))</f>
        <v/>
      </c>
      <c r="W496" s="65" t="str">
        <f aca="false">IF(ISBLANK($C496),"",IF(L496=Constants!$B$19,Constants!$B$19,Constants!$B$18))</f>
        <v/>
      </c>
      <c r="X496" s="65" t="str">
        <f aca="false">IF(ISBLANK($C496),"",IF(COUNTA(M496:N496)=0,"",IF(AND(OR(ISBLANK(M496),AND(ISNUMBER(M496),M496&gt;=0)),OR(ISBLANK(N496),AND(ISNUMBER(N496),N496&gt;=0))),60*IF(ISBLANK(M496),0,M496)+IF(ISBLANK(N496),0,N496),"")))</f>
        <v/>
      </c>
      <c r="Y496" s="65" t="str">
        <f aca="false">IF(ISBLANK($C496),"",IF(O496=Constants!$B$2, TRUE(), IF(O496=Constants!$B$3, FALSE(), FALSE())))</f>
        <v/>
      </c>
      <c r="Z496" s="65" t="str">
        <f aca="false">IF(ISBLANK($C496),"",IF(Y496,Constants!$B$4,IF(COUNTA(E496:N496)=0,Constants!$B$5,IF(COUNTA(J496:K496,M496:N496)=0,Constants!$B$6,Constants!$B$7))))</f>
        <v/>
      </c>
      <c r="AA496" s="65" t="str">
        <f aca="false">IF(ISBLANK($C496),"",IF($Z496&lt;&gt;Constants!$B$7,$Z496,IF(OR(NOT(T496),AND(NOT(Q496),COUNTIFS(U496:W496,Constants!$B$18,V496:X496,"&gt;=0")&gt;0),AND(NOT(R496),COUNTIFS(U496:W496,Constants!$B$19,V496:X496,"&gt;=0")&gt;0)),Constants!$B$12,Constants!$B$11)))</f>
        <v/>
      </c>
      <c r="AB496" s="65" t="str">
        <f aca="false">IF($Z496=Constants!$B$7,IF(V496="",Constants!$B$13,V496),"")</f>
        <v/>
      </c>
      <c r="AC496" s="65" t="str">
        <f aca="false">IF($Z496=Constants!$B$7,IF(X496="",Constants!$B$13,X496),"")</f>
        <v/>
      </c>
      <c r="AD496" s="65" t="str">
        <f aca="false">IF($Z496=Constants!$B$7,IF($AB496&gt;=$AC496,1,2),"")</f>
        <v/>
      </c>
      <c r="AE496" s="65" t="str">
        <f aca="false">IF($Z496=Constants!$B$7,LARGE(AB496:AC496,1),"")</f>
        <v/>
      </c>
      <c r="AF496" s="65" t="str">
        <f aca="false">IF(ISBLANK($C496),"",IF($Z496&lt;&gt;Constants!$B$7,$Z496,AE496*S496))</f>
        <v/>
      </c>
      <c r="AG496" s="65" t="str">
        <f aca="false">IF(ISBLANK($C496),"",IF($Z496=Constants!$B$7,IF(ISNUMBER(AF496),RANK(AF496,$AF$8:$AF$507),Constants!$B$14),$Z496))</f>
        <v/>
      </c>
      <c r="AH496" s="65" t="str">
        <f aca="false">IF(ISBLANK($C496),"",IF($Z496=Constants!$B$7,IF(ISNUMBER(AG496),COUNTIFS($AA$8:$AA$507,"&lt;"&amp;$AA496)+COUNTIFS($AA$8:$AA$507,$AA496,$AG$8:$AG$507,"&lt;"&amp;$AG496)+1,Constants!$B$14),$Z496))</f>
        <v/>
      </c>
      <c r="AI496" s="65" t="str">
        <f aca="false">IF(ISBLANK($C496),"",IF($Z496=Constants!$B$7,LARGE(AB496:AC496,2)*S496,""))</f>
        <v/>
      </c>
      <c r="AJ496" s="65" t="str">
        <f aca="false">IF(ISBLANK($C496),"",IF($Z496=Constants!$B$7,RANK(AI496,$AI$8:$AI$507),$Z496))</f>
        <v/>
      </c>
      <c r="AK496" s="65" t="str">
        <f aca="false">IF(ISBLANK($C496),"",IF($Z496=Constants!$B$7,IF(ISNUMBER(AG496),COUNTIFS($AA$8:$AA$507,"&lt;"&amp;$AA496)+COUNTIFS($AA$8:$AA$507,$AA496,$AG$8:$AG$507,"&lt;"&amp;$AG496)+COUNTIFS($AA$8:$AA$507,$AA496,$AG$8:$AG$507,$AG496,$AJ$8:$AJ$507,"&lt;"&amp;$AJ496)+1,Constants!$B$14),$Z496))</f>
        <v/>
      </c>
      <c r="AL496" s="65" t="str">
        <f aca="false">IF(ISBLANK($C496),"",IF($Z496=Constants!$B$7,IF(ISNUMBER(AH496),AH496-AK496,Constants!$B$14),$Z496))</f>
        <v/>
      </c>
      <c r="AM496" s="67"/>
      <c r="AN496" s="68" t="str">
        <f aca="false">IF(ISBLANK($C496),"",IF($Z496&lt;&gt;Constants!$B$7,$Z496,AD496))</f>
        <v/>
      </c>
      <c r="AO496" s="69" t="str">
        <f aca="false">IF(ISBLANK($C496),"",IF($Z496&lt;&gt;Constants!$B$7,$Z496,S496))</f>
        <v/>
      </c>
      <c r="AP496" s="70" t="str">
        <f aca="false">IF(ISBLANK($C496),"",IF($Z496&lt;&gt;Constants!$B$7,$Z496,AF496))</f>
        <v/>
      </c>
      <c r="AQ496" s="71" t="str">
        <f aca="false">IF(ISBLANK($C496),"",IF($Z496&lt;&gt;Constants!$B$7,$Z496,AA496))</f>
        <v/>
      </c>
      <c r="AR496" s="69" t="str">
        <f aca="false">IF(ISBLANK($C496),"",AL496)</f>
        <v/>
      </c>
      <c r="AS496" s="69" t="str">
        <f aca="false">IF(ISBLANK($C496),"",AK496)</f>
        <v/>
      </c>
      <c r="AT496" s="72" t="str">
        <f aca="false">IF(ISBLANK($C496),"",IF(AS496=Constants!$B$4,COUNTA($C$8:$C$507)+2,IF(AS496=Constants!$B$5,COUNTA($C$8:$C$507)+1,IF(AS496=Constants!$B$6,COUNTA($C$8:$C$507),AS496))))</f>
        <v/>
      </c>
      <c r="AU496" s="5"/>
      <c r="AV496" s="73" t="n">
        <f aca="false">IF(OR(ISNUMBER(AS496),AS496=Constants!$B$4,AS496=Constants!$B$6,AS496=Constants!$B$5),1,0)</f>
        <v>0</v>
      </c>
      <c r="AW496" s="73" t="n">
        <v>489</v>
      </c>
      <c r="AX496" s="73" t="str">
        <f aca="false">IF(ISBLANK($C496),"",IF(ISNUMBER(AT496),AT496+ROW($B496)/1000,""))</f>
        <v/>
      </c>
      <c r="AY496" s="73" t="str">
        <f aca="false">IF(ISNUMBER(AX496),RANK(AX496,$AX$8:$AX$507,1),"")</f>
        <v/>
      </c>
      <c r="AZ496" s="73" t="str">
        <f aca="false">IF(ISBLANK($C496),"",$B496)</f>
        <v/>
      </c>
      <c r="BA496" s="73" t="str">
        <f aca="false">IF(ISBLANK($C496),"",$C496)</f>
        <v/>
      </c>
      <c r="BB496" s="73" t="str">
        <f aca="false">IF(ISBLANK($C496),"",$D496)</f>
        <v/>
      </c>
      <c r="BC496" s="74" t="str">
        <f aca="false">AQ496</f>
        <v/>
      </c>
      <c r="BD496" s="75" t="str">
        <f aca="false">AP496</f>
        <v/>
      </c>
      <c r="BE496" s="73" t="str">
        <f aca="false">IF(ISBLANK($C496),"",AS496)</f>
        <v/>
      </c>
      <c r="BF496" s="76" t="str">
        <f aca="false">IF($AW496&gt;$AV$7,"",VLOOKUP($AW496,$AY$8:$BE$507,7,FALSE()))</f>
        <v/>
      </c>
      <c r="BG496" s="77" t="str">
        <f aca="false">IF($AW496&gt;$AV$7,"",VLOOKUP($AW496,$AY$8:$BE$507,2,FALSE()))</f>
        <v/>
      </c>
      <c r="BH496" s="77" t="str">
        <f aca="false">IF($AW496&gt;$AV$7,"",VLOOKUP($AW496,$AY$8:$BE$507,3,FALSE()))</f>
        <v/>
      </c>
      <c r="BI496" s="77" t="str">
        <f aca="false">IF($AW496&gt;$AV$7,"",VLOOKUP($AW496,$AY$8:$BE$507,4,FALSE()))</f>
        <v/>
      </c>
      <c r="BJ496" s="77" t="str">
        <f aca="false">IF($AW496&gt;$AV$7,"",VLOOKUP($AW496,$AY$8:$BE$507,5,FALSE()))</f>
        <v/>
      </c>
      <c r="BK496" s="78" t="str">
        <f aca="false">IF($AW496&gt;$AV$7,"",VLOOKUP($AW496,$AY$8:$BE$507,6,FALSE()))</f>
        <v/>
      </c>
      <c r="BL496" s="50"/>
    </row>
    <row r="497" customFormat="false" ht="15.75" hidden="false" customHeight="false" outlineLevel="0" collapsed="false">
      <c r="A497" s="5"/>
      <c r="B497" s="124"/>
      <c r="C497" s="125"/>
      <c r="D497" s="110"/>
      <c r="E497" s="130"/>
      <c r="F497" s="135"/>
      <c r="G497" s="88"/>
      <c r="H497" s="136"/>
      <c r="I497" s="137"/>
      <c r="J497" s="91"/>
      <c r="K497" s="92"/>
      <c r="L497" s="137"/>
      <c r="M497" s="93"/>
      <c r="N497" s="94"/>
      <c r="O497" s="130"/>
      <c r="P497" s="96"/>
      <c r="Q497" s="97" t="str">
        <f aca="false">IF(ISBLANK($C497),"",IF(E497=Constants!$B$2, TRUE(), IF(E497=Constants!$B$3, FALSE(), TRUE())))</f>
        <v/>
      </c>
      <c r="R497" s="97" t="str">
        <f aca="false">IF(ISBLANK($C497),"",IF(F497=Constants!$B$2, TRUE(), IF(F497=Constants!$B$3, FALSE(), TRUE())))</f>
        <v/>
      </c>
      <c r="S497" s="97" t="str">
        <f aca="false">IF(ISBLANK($C497),"",IF(G497=Constants!$B$15,Constants!$B$8,IF(G497=Constants!$B$16,Constants!$B$9,Constants!$B$10)))</f>
        <v/>
      </c>
      <c r="T497" s="97" t="str">
        <f aca="false">IF(ISBLANK($C497),"",IF(H497=Constants!$B$2, TRUE(), IF(H497=Constants!$B$3, FALSE(), TRUE())))</f>
        <v/>
      </c>
      <c r="U497" s="97" t="str">
        <f aca="false">IF(ISBLANK($C497),"",IF(I497=Constants!$B$19,Constants!$B$19,Constants!$B$18))</f>
        <v/>
      </c>
      <c r="V497" s="97" t="str">
        <f aca="false">IF(ISBLANK($C497),"",IF(COUNTA(J497:K497)=0,"",IF(AND(OR(ISBLANK(J497),AND(ISNUMBER(J497),J497&gt;=0)),OR(ISBLANK(K497),AND(ISNUMBER(K497),K497&gt;=0))),60*IF(ISBLANK(J497),0,J497)+IF(ISBLANK(K497),0,K497),"")))</f>
        <v/>
      </c>
      <c r="W497" s="97" t="str">
        <f aca="false">IF(ISBLANK($C497),"",IF(L497=Constants!$B$19,Constants!$B$19,Constants!$B$18))</f>
        <v/>
      </c>
      <c r="X497" s="97" t="str">
        <f aca="false">IF(ISBLANK($C497),"",IF(COUNTA(M497:N497)=0,"",IF(AND(OR(ISBLANK(M497),AND(ISNUMBER(M497),M497&gt;=0)),OR(ISBLANK(N497),AND(ISNUMBER(N497),N497&gt;=0))),60*IF(ISBLANK(M497),0,M497)+IF(ISBLANK(N497),0,N497),"")))</f>
        <v/>
      </c>
      <c r="Y497" s="97" t="str">
        <f aca="false">IF(ISBLANK($C497),"",IF(O497=Constants!$B$2, TRUE(), IF(O497=Constants!$B$3, FALSE(), FALSE())))</f>
        <v/>
      </c>
      <c r="Z497" s="97" t="str">
        <f aca="false">IF(ISBLANK($C497),"",IF(Y497,Constants!$B$4,IF(COUNTA(E497:N497)=0,Constants!$B$5,IF(COUNTA(J497:K497,M497:N497)=0,Constants!$B$6,Constants!$B$7))))</f>
        <v/>
      </c>
      <c r="AA497" s="97" t="str">
        <f aca="false">IF(ISBLANK($C497),"",IF($Z497&lt;&gt;Constants!$B$7,$Z497,IF(OR(NOT(T497),AND(NOT(Q497),COUNTIFS(U497:W497,Constants!$B$18,V497:X497,"&gt;=0")&gt;0),AND(NOT(R497),COUNTIFS(U497:W497,Constants!$B$19,V497:X497,"&gt;=0")&gt;0)),Constants!$B$12,Constants!$B$11)))</f>
        <v/>
      </c>
      <c r="AB497" s="97" t="str">
        <f aca="false">IF($Z497=Constants!$B$7,IF(V497="",Constants!$B$13,V497),"")</f>
        <v/>
      </c>
      <c r="AC497" s="97" t="str">
        <f aca="false">IF($Z497=Constants!$B$7,IF(X497="",Constants!$B$13,X497),"")</f>
        <v/>
      </c>
      <c r="AD497" s="97" t="str">
        <f aca="false">IF($Z497=Constants!$B$7,IF($AB497&gt;=$AC497,1,2),"")</f>
        <v/>
      </c>
      <c r="AE497" s="97" t="str">
        <f aca="false">IF($Z497=Constants!$B$7,LARGE(AB497:AC497,1),"")</f>
        <v/>
      </c>
      <c r="AF497" s="97" t="str">
        <f aca="false">IF(ISBLANK($C497),"",IF($Z497&lt;&gt;Constants!$B$7,$Z497,AE497*S497))</f>
        <v/>
      </c>
      <c r="AG497" s="97" t="str">
        <f aca="false">IF(ISBLANK($C497),"",IF($Z497=Constants!$B$7,IF(ISNUMBER(AF497),RANK(AF497,$AF$8:$AF$507),Constants!$B$14),$Z497))</f>
        <v/>
      </c>
      <c r="AH497" s="97" t="str">
        <f aca="false">IF(ISBLANK($C497),"",IF($Z497=Constants!$B$7,IF(ISNUMBER(AG497),COUNTIFS($AA$8:$AA$507,"&lt;"&amp;$AA497)+COUNTIFS($AA$8:$AA$507,$AA497,$AG$8:$AG$507,"&lt;"&amp;$AG497)+1,Constants!$B$14),$Z497))</f>
        <v/>
      </c>
      <c r="AI497" s="97" t="str">
        <f aca="false">IF(ISBLANK($C497),"",IF($Z497=Constants!$B$7,LARGE(AB497:AC497,2)*S497,""))</f>
        <v/>
      </c>
      <c r="AJ497" s="97" t="str">
        <f aca="false">IF(ISBLANK($C497),"",IF($Z497=Constants!$B$7,RANK(AI497,$AI$8:$AI$507),$Z497))</f>
        <v/>
      </c>
      <c r="AK497" s="97" t="str">
        <f aca="false">IF(ISBLANK($C497),"",IF($Z497=Constants!$B$7,IF(ISNUMBER(AG497),COUNTIFS($AA$8:$AA$507,"&lt;"&amp;$AA497)+COUNTIFS($AA$8:$AA$507,$AA497,$AG$8:$AG$507,"&lt;"&amp;$AG497)+COUNTIFS($AA$8:$AA$507,$AA497,$AG$8:$AG$507,$AG497,$AJ$8:$AJ$507,"&lt;"&amp;$AJ497)+1,Constants!$B$14),$Z497))</f>
        <v/>
      </c>
      <c r="AL497" s="97" t="str">
        <f aca="false">IF(ISBLANK($C497),"",IF($Z497=Constants!$B$7,IF(ISNUMBER(AH497),AH497-AK497,Constants!$B$14),$Z497))</f>
        <v/>
      </c>
      <c r="AM497" s="98"/>
      <c r="AN497" s="99" t="str">
        <f aca="false">IF(ISBLANK($C497),"",IF($Z497&lt;&gt;Constants!$B$7,$Z497,AD497))</f>
        <v/>
      </c>
      <c r="AO497" s="100" t="str">
        <f aca="false">IF(ISBLANK($C497),"",IF($Z497&lt;&gt;Constants!$B$7,$Z497,S497))</f>
        <v/>
      </c>
      <c r="AP497" s="101" t="str">
        <f aca="false">IF(ISBLANK($C497),"",IF($Z497&lt;&gt;Constants!$B$7,$Z497,AF497))</f>
        <v/>
      </c>
      <c r="AQ497" s="102" t="str">
        <f aca="false">IF(ISBLANK($C497),"",IF($Z497&lt;&gt;Constants!$B$7,$Z497,AA497))</f>
        <v/>
      </c>
      <c r="AR497" s="100" t="str">
        <f aca="false">IF(ISBLANK($C497),"",AL497)</f>
        <v/>
      </c>
      <c r="AS497" s="100" t="str">
        <f aca="false">IF(ISBLANK($C497),"",AK497)</f>
        <v/>
      </c>
      <c r="AT497" s="103" t="str">
        <f aca="false">IF(ISBLANK($C497),"",IF(AS497=Constants!$B$4,COUNTA($C$8:$C$507)+2,IF(AS497=Constants!$B$5,COUNTA($C$8:$C$507)+1,IF(AS497=Constants!$B$6,COUNTA($C$8:$C$507),AS497))))</f>
        <v/>
      </c>
      <c r="AU497" s="5"/>
      <c r="AV497" s="104" t="n">
        <f aca="false">IF(OR(ISNUMBER(AS497),AS497=Constants!$B$4,AS497=Constants!$B$6,AS497=Constants!$B$5),1,0)</f>
        <v>0</v>
      </c>
      <c r="AW497" s="104" t="n">
        <v>490</v>
      </c>
      <c r="AX497" s="104" t="str">
        <f aca="false">IF(ISBLANK($C497),"",IF(ISNUMBER(AT497),AT497+ROW($B497)/1000,""))</f>
        <v/>
      </c>
      <c r="AY497" s="104" t="str">
        <f aca="false">IF(ISNUMBER(AX497),RANK(AX497,$AX$8:$AX$507,1),"")</f>
        <v/>
      </c>
      <c r="AZ497" s="104" t="str">
        <f aca="false">IF(ISBLANK($C497),"",$B497)</f>
        <v/>
      </c>
      <c r="BA497" s="104" t="str">
        <f aca="false">IF(ISBLANK($C497),"",$C497)</f>
        <v/>
      </c>
      <c r="BB497" s="104" t="str">
        <f aca="false">IF(ISBLANK($C497),"",$D497)</f>
        <v/>
      </c>
      <c r="BC497" s="105" t="str">
        <f aca="false">AQ497</f>
        <v/>
      </c>
      <c r="BD497" s="106" t="str">
        <f aca="false">AP497</f>
        <v/>
      </c>
      <c r="BE497" s="104" t="str">
        <f aca="false">IF(ISBLANK($C497),"",AS497)</f>
        <v/>
      </c>
      <c r="BF497" s="107" t="str">
        <f aca="false">IF($AW497&gt;$AV$7,"",VLOOKUP($AW497,$AY$8:$BE$507,7,FALSE()))</f>
        <v/>
      </c>
      <c r="BG497" s="108" t="str">
        <f aca="false">IF($AW497&gt;$AV$7,"",VLOOKUP($AW497,$AY$8:$BE$507,2,FALSE()))</f>
        <v/>
      </c>
      <c r="BH497" s="108" t="str">
        <f aca="false">IF($AW497&gt;$AV$7,"",VLOOKUP($AW497,$AY$8:$BE$507,3,FALSE()))</f>
        <v/>
      </c>
      <c r="BI497" s="108" t="str">
        <f aca="false">IF($AW497&gt;$AV$7,"",VLOOKUP($AW497,$AY$8:$BE$507,4,FALSE()))</f>
        <v/>
      </c>
      <c r="BJ497" s="108" t="str">
        <f aca="false">IF($AW497&gt;$AV$7,"",VLOOKUP($AW497,$AY$8:$BE$507,5,FALSE()))</f>
        <v/>
      </c>
      <c r="BK497" s="109" t="str">
        <f aca="false">IF($AW497&gt;$AV$7,"",VLOOKUP($AW497,$AY$8:$BE$507,6,FALSE()))</f>
        <v/>
      </c>
      <c r="BL497" s="50"/>
    </row>
    <row r="498" customFormat="false" ht="15.75" hidden="false" customHeight="false" outlineLevel="0" collapsed="false">
      <c r="A498" s="5"/>
      <c r="B498" s="124"/>
      <c r="C498" s="125"/>
      <c r="D498" s="110"/>
      <c r="E498" s="130"/>
      <c r="F498" s="135"/>
      <c r="G498" s="88"/>
      <c r="H498" s="136"/>
      <c r="I498" s="137"/>
      <c r="J498" s="91"/>
      <c r="K498" s="92"/>
      <c r="L498" s="137"/>
      <c r="M498" s="93"/>
      <c r="N498" s="94"/>
      <c r="O498" s="130"/>
      <c r="P498" s="96"/>
      <c r="Q498" s="97" t="str">
        <f aca="false">IF(ISBLANK($C498),"",IF(E498=Constants!$B$2, TRUE(), IF(E498=Constants!$B$3, FALSE(), TRUE())))</f>
        <v/>
      </c>
      <c r="R498" s="97" t="str">
        <f aca="false">IF(ISBLANK($C498),"",IF(F498=Constants!$B$2, TRUE(), IF(F498=Constants!$B$3, FALSE(), TRUE())))</f>
        <v/>
      </c>
      <c r="S498" s="97" t="str">
        <f aca="false">IF(ISBLANK($C498),"",IF(G498=Constants!$B$15,Constants!$B$8,IF(G498=Constants!$B$16,Constants!$B$9,Constants!$B$10)))</f>
        <v/>
      </c>
      <c r="T498" s="97" t="str">
        <f aca="false">IF(ISBLANK($C498),"",IF(H498=Constants!$B$2, TRUE(), IF(H498=Constants!$B$3, FALSE(), TRUE())))</f>
        <v/>
      </c>
      <c r="U498" s="97" t="str">
        <f aca="false">IF(ISBLANK($C498),"",IF(I498=Constants!$B$19,Constants!$B$19,Constants!$B$18))</f>
        <v/>
      </c>
      <c r="V498" s="97" t="str">
        <f aca="false">IF(ISBLANK($C498),"",IF(COUNTA(J498:K498)=0,"",IF(AND(OR(ISBLANK(J498),AND(ISNUMBER(J498),J498&gt;=0)),OR(ISBLANK(K498),AND(ISNUMBER(K498),K498&gt;=0))),60*IF(ISBLANK(J498),0,J498)+IF(ISBLANK(K498),0,K498),"")))</f>
        <v/>
      </c>
      <c r="W498" s="97" t="str">
        <f aca="false">IF(ISBLANK($C498),"",IF(L498=Constants!$B$19,Constants!$B$19,Constants!$B$18))</f>
        <v/>
      </c>
      <c r="X498" s="97" t="str">
        <f aca="false">IF(ISBLANK($C498),"",IF(COUNTA(M498:N498)=0,"",IF(AND(OR(ISBLANK(M498),AND(ISNUMBER(M498),M498&gt;=0)),OR(ISBLANK(N498),AND(ISNUMBER(N498),N498&gt;=0))),60*IF(ISBLANK(M498),0,M498)+IF(ISBLANK(N498),0,N498),"")))</f>
        <v/>
      </c>
      <c r="Y498" s="97" t="str">
        <f aca="false">IF(ISBLANK($C498),"",IF(O498=Constants!$B$2, TRUE(), IF(O498=Constants!$B$3, FALSE(), FALSE())))</f>
        <v/>
      </c>
      <c r="Z498" s="97" t="str">
        <f aca="false">IF(ISBLANK($C498),"",IF(Y498,Constants!$B$4,IF(COUNTA(E498:N498)=0,Constants!$B$5,IF(COUNTA(J498:K498,M498:N498)=0,Constants!$B$6,Constants!$B$7))))</f>
        <v/>
      </c>
      <c r="AA498" s="97" t="str">
        <f aca="false">IF(ISBLANK($C498),"",IF($Z498&lt;&gt;Constants!$B$7,$Z498,IF(OR(NOT(T498),AND(NOT(Q498),COUNTIFS(U498:W498,Constants!$B$18,V498:X498,"&gt;=0")&gt;0),AND(NOT(R498),COUNTIFS(U498:W498,Constants!$B$19,V498:X498,"&gt;=0")&gt;0)),Constants!$B$12,Constants!$B$11)))</f>
        <v/>
      </c>
      <c r="AB498" s="97" t="str">
        <f aca="false">IF($Z498=Constants!$B$7,IF(V498="",Constants!$B$13,V498),"")</f>
        <v/>
      </c>
      <c r="AC498" s="97" t="str">
        <f aca="false">IF($Z498=Constants!$B$7,IF(X498="",Constants!$B$13,X498),"")</f>
        <v/>
      </c>
      <c r="AD498" s="97" t="str">
        <f aca="false">IF($Z498=Constants!$B$7,IF($AB498&gt;=$AC498,1,2),"")</f>
        <v/>
      </c>
      <c r="AE498" s="97" t="str">
        <f aca="false">IF($Z498=Constants!$B$7,LARGE(AB498:AC498,1),"")</f>
        <v/>
      </c>
      <c r="AF498" s="97" t="str">
        <f aca="false">IF(ISBLANK($C498),"",IF($Z498&lt;&gt;Constants!$B$7,$Z498,AE498*S498))</f>
        <v/>
      </c>
      <c r="AG498" s="97" t="str">
        <f aca="false">IF(ISBLANK($C498),"",IF($Z498=Constants!$B$7,IF(ISNUMBER(AF498),RANK(AF498,$AF$8:$AF$507),Constants!$B$14),$Z498))</f>
        <v/>
      </c>
      <c r="AH498" s="97" t="str">
        <f aca="false">IF(ISBLANK($C498),"",IF($Z498=Constants!$B$7,IF(ISNUMBER(AG498),COUNTIFS($AA$8:$AA$507,"&lt;"&amp;$AA498)+COUNTIFS($AA$8:$AA$507,$AA498,$AG$8:$AG$507,"&lt;"&amp;$AG498)+1,Constants!$B$14),$Z498))</f>
        <v/>
      </c>
      <c r="AI498" s="97" t="str">
        <f aca="false">IF(ISBLANK($C498),"",IF($Z498=Constants!$B$7,LARGE(AB498:AC498,2)*S498,""))</f>
        <v/>
      </c>
      <c r="AJ498" s="97" t="str">
        <f aca="false">IF(ISBLANK($C498),"",IF($Z498=Constants!$B$7,RANK(AI498,$AI$8:$AI$507),$Z498))</f>
        <v/>
      </c>
      <c r="AK498" s="97" t="str">
        <f aca="false">IF(ISBLANK($C498),"",IF($Z498=Constants!$B$7,IF(ISNUMBER(AG498),COUNTIFS($AA$8:$AA$507,"&lt;"&amp;$AA498)+COUNTIFS($AA$8:$AA$507,$AA498,$AG$8:$AG$507,"&lt;"&amp;$AG498)+COUNTIFS($AA$8:$AA$507,$AA498,$AG$8:$AG$507,$AG498,$AJ$8:$AJ$507,"&lt;"&amp;$AJ498)+1,Constants!$B$14),$Z498))</f>
        <v/>
      </c>
      <c r="AL498" s="97" t="str">
        <f aca="false">IF(ISBLANK($C498),"",IF($Z498=Constants!$B$7,IF(ISNUMBER(AH498),AH498-AK498,Constants!$B$14),$Z498))</f>
        <v/>
      </c>
      <c r="AM498" s="98"/>
      <c r="AN498" s="99" t="str">
        <f aca="false">IF(ISBLANK($C498),"",IF($Z498&lt;&gt;Constants!$B$7,$Z498,AD498))</f>
        <v/>
      </c>
      <c r="AO498" s="100" t="str">
        <f aca="false">IF(ISBLANK($C498),"",IF($Z498&lt;&gt;Constants!$B$7,$Z498,S498))</f>
        <v/>
      </c>
      <c r="AP498" s="101" t="str">
        <f aca="false">IF(ISBLANK($C498),"",IF($Z498&lt;&gt;Constants!$B$7,$Z498,AF498))</f>
        <v/>
      </c>
      <c r="AQ498" s="102" t="str">
        <f aca="false">IF(ISBLANK($C498),"",IF($Z498&lt;&gt;Constants!$B$7,$Z498,AA498))</f>
        <v/>
      </c>
      <c r="AR498" s="100" t="str">
        <f aca="false">IF(ISBLANK($C498),"",AL498)</f>
        <v/>
      </c>
      <c r="AS498" s="100" t="str">
        <f aca="false">IF(ISBLANK($C498),"",AK498)</f>
        <v/>
      </c>
      <c r="AT498" s="103" t="str">
        <f aca="false">IF(ISBLANK($C498),"",IF(AS498=Constants!$B$4,COUNTA($C$8:$C$507)+2,IF(AS498=Constants!$B$5,COUNTA($C$8:$C$507)+1,IF(AS498=Constants!$B$6,COUNTA($C$8:$C$507),AS498))))</f>
        <v/>
      </c>
      <c r="AU498" s="5"/>
      <c r="AV498" s="104" t="n">
        <f aca="false">IF(OR(ISNUMBER(AS498),AS498=Constants!$B$4,AS498=Constants!$B$6,AS498=Constants!$B$5),1,0)</f>
        <v>0</v>
      </c>
      <c r="AW498" s="104" t="n">
        <v>491</v>
      </c>
      <c r="AX498" s="104" t="str">
        <f aca="false">IF(ISBLANK($C498),"",IF(ISNUMBER(AT498),AT498+ROW($B498)/1000,""))</f>
        <v/>
      </c>
      <c r="AY498" s="104" t="str">
        <f aca="false">IF(ISNUMBER(AX498),RANK(AX498,$AX$8:$AX$507,1),"")</f>
        <v/>
      </c>
      <c r="AZ498" s="104" t="str">
        <f aca="false">IF(ISBLANK($C498),"",$B498)</f>
        <v/>
      </c>
      <c r="BA498" s="104" t="str">
        <f aca="false">IF(ISBLANK($C498),"",$C498)</f>
        <v/>
      </c>
      <c r="BB498" s="104" t="str">
        <f aca="false">IF(ISBLANK($C498),"",$D498)</f>
        <v/>
      </c>
      <c r="BC498" s="105" t="str">
        <f aca="false">AQ498</f>
        <v/>
      </c>
      <c r="BD498" s="106" t="str">
        <f aca="false">AP498</f>
        <v/>
      </c>
      <c r="BE498" s="104" t="str">
        <f aca="false">IF(ISBLANK($C498),"",AS498)</f>
        <v/>
      </c>
      <c r="BF498" s="107" t="str">
        <f aca="false">IF($AW498&gt;$AV$7,"",VLOOKUP($AW498,$AY$8:$BE$507,7,FALSE()))</f>
        <v/>
      </c>
      <c r="BG498" s="108" t="str">
        <f aca="false">IF($AW498&gt;$AV$7,"",VLOOKUP($AW498,$AY$8:$BE$507,2,FALSE()))</f>
        <v/>
      </c>
      <c r="BH498" s="108" t="str">
        <f aca="false">IF($AW498&gt;$AV$7,"",VLOOKUP($AW498,$AY$8:$BE$507,3,FALSE()))</f>
        <v/>
      </c>
      <c r="BI498" s="108" t="str">
        <f aca="false">IF($AW498&gt;$AV$7,"",VLOOKUP($AW498,$AY$8:$BE$507,4,FALSE()))</f>
        <v/>
      </c>
      <c r="BJ498" s="108" t="str">
        <f aca="false">IF($AW498&gt;$AV$7,"",VLOOKUP($AW498,$AY$8:$BE$507,5,FALSE()))</f>
        <v/>
      </c>
      <c r="BK498" s="109" t="str">
        <f aca="false">IF($AW498&gt;$AV$7,"",VLOOKUP($AW498,$AY$8:$BE$507,6,FALSE()))</f>
        <v/>
      </c>
      <c r="BL498" s="50"/>
    </row>
    <row r="499" customFormat="false" ht="15.75" hidden="false" customHeight="false" outlineLevel="0" collapsed="false">
      <c r="A499" s="5"/>
      <c r="B499" s="124"/>
      <c r="C499" s="125"/>
      <c r="D499" s="110"/>
      <c r="E499" s="130"/>
      <c r="F499" s="135"/>
      <c r="G499" s="88"/>
      <c r="H499" s="136"/>
      <c r="I499" s="137"/>
      <c r="J499" s="91"/>
      <c r="K499" s="92"/>
      <c r="L499" s="137"/>
      <c r="M499" s="93"/>
      <c r="N499" s="94"/>
      <c r="O499" s="130"/>
      <c r="P499" s="96"/>
      <c r="Q499" s="97" t="str">
        <f aca="false">IF(ISBLANK($C499),"",IF(E499=Constants!$B$2, TRUE(), IF(E499=Constants!$B$3, FALSE(), TRUE())))</f>
        <v/>
      </c>
      <c r="R499" s="97" t="str">
        <f aca="false">IF(ISBLANK($C499),"",IF(F499=Constants!$B$2, TRUE(), IF(F499=Constants!$B$3, FALSE(), TRUE())))</f>
        <v/>
      </c>
      <c r="S499" s="97" t="str">
        <f aca="false">IF(ISBLANK($C499),"",IF(G499=Constants!$B$15,Constants!$B$8,IF(G499=Constants!$B$16,Constants!$B$9,Constants!$B$10)))</f>
        <v/>
      </c>
      <c r="T499" s="97" t="str">
        <f aca="false">IF(ISBLANK($C499),"",IF(H499=Constants!$B$2, TRUE(), IF(H499=Constants!$B$3, FALSE(), TRUE())))</f>
        <v/>
      </c>
      <c r="U499" s="97" t="str">
        <f aca="false">IF(ISBLANK($C499),"",IF(I499=Constants!$B$19,Constants!$B$19,Constants!$B$18))</f>
        <v/>
      </c>
      <c r="V499" s="97" t="str">
        <f aca="false">IF(ISBLANK($C499),"",IF(COUNTA(J499:K499)=0,"",IF(AND(OR(ISBLANK(J499),AND(ISNUMBER(J499),J499&gt;=0)),OR(ISBLANK(K499),AND(ISNUMBER(K499),K499&gt;=0))),60*IF(ISBLANK(J499),0,J499)+IF(ISBLANK(K499),0,K499),"")))</f>
        <v/>
      </c>
      <c r="W499" s="97" t="str">
        <f aca="false">IF(ISBLANK($C499),"",IF(L499=Constants!$B$19,Constants!$B$19,Constants!$B$18))</f>
        <v/>
      </c>
      <c r="X499" s="97" t="str">
        <f aca="false">IF(ISBLANK($C499),"",IF(COUNTA(M499:N499)=0,"",IF(AND(OR(ISBLANK(M499),AND(ISNUMBER(M499),M499&gt;=0)),OR(ISBLANK(N499),AND(ISNUMBER(N499),N499&gt;=0))),60*IF(ISBLANK(M499),0,M499)+IF(ISBLANK(N499),0,N499),"")))</f>
        <v/>
      </c>
      <c r="Y499" s="97" t="str">
        <f aca="false">IF(ISBLANK($C499),"",IF(O499=Constants!$B$2, TRUE(), IF(O499=Constants!$B$3, FALSE(), FALSE())))</f>
        <v/>
      </c>
      <c r="Z499" s="97" t="str">
        <f aca="false">IF(ISBLANK($C499),"",IF(Y499,Constants!$B$4,IF(COUNTA(E499:N499)=0,Constants!$B$5,IF(COUNTA(J499:K499,M499:N499)=0,Constants!$B$6,Constants!$B$7))))</f>
        <v/>
      </c>
      <c r="AA499" s="97" t="str">
        <f aca="false">IF(ISBLANK($C499),"",IF($Z499&lt;&gt;Constants!$B$7,$Z499,IF(OR(NOT(T499),AND(NOT(Q499),COUNTIFS(U499:W499,Constants!$B$18,V499:X499,"&gt;=0")&gt;0),AND(NOT(R499),COUNTIFS(U499:W499,Constants!$B$19,V499:X499,"&gt;=0")&gt;0)),Constants!$B$12,Constants!$B$11)))</f>
        <v/>
      </c>
      <c r="AB499" s="97" t="str">
        <f aca="false">IF($Z499=Constants!$B$7,IF(V499="",Constants!$B$13,V499),"")</f>
        <v/>
      </c>
      <c r="AC499" s="97" t="str">
        <f aca="false">IF($Z499=Constants!$B$7,IF(X499="",Constants!$B$13,X499),"")</f>
        <v/>
      </c>
      <c r="AD499" s="97" t="str">
        <f aca="false">IF($Z499=Constants!$B$7,IF($AB499&gt;=$AC499,1,2),"")</f>
        <v/>
      </c>
      <c r="AE499" s="97" t="str">
        <f aca="false">IF($Z499=Constants!$B$7,LARGE(AB499:AC499,1),"")</f>
        <v/>
      </c>
      <c r="AF499" s="97" t="str">
        <f aca="false">IF(ISBLANK($C499),"",IF($Z499&lt;&gt;Constants!$B$7,$Z499,AE499*S499))</f>
        <v/>
      </c>
      <c r="AG499" s="97" t="str">
        <f aca="false">IF(ISBLANK($C499),"",IF($Z499=Constants!$B$7,IF(ISNUMBER(AF499),RANK(AF499,$AF$8:$AF$507),Constants!$B$14),$Z499))</f>
        <v/>
      </c>
      <c r="AH499" s="97" t="str">
        <f aca="false">IF(ISBLANK($C499),"",IF($Z499=Constants!$B$7,IF(ISNUMBER(AG499),COUNTIFS($AA$8:$AA$507,"&lt;"&amp;$AA499)+COUNTIFS($AA$8:$AA$507,$AA499,$AG$8:$AG$507,"&lt;"&amp;$AG499)+1,Constants!$B$14),$Z499))</f>
        <v/>
      </c>
      <c r="AI499" s="97" t="str">
        <f aca="false">IF(ISBLANK($C499),"",IF($Z499=Constants!$B$7,LARGE(AB499:AC499,2)*S499,""))</f>
        <v/>
      </c>
      <c r="AJ499" s="97" t="str">
        <f aca="false">IF(ISBLANK($C499),"",IF($Z499=Constants!$B$7,RANK(AI499,$AI$8:$AI$507),$Z499))</f>
        <v/>
      </c>
      <c r="AK499" s="97" t="str">
        <f aca="false">IF(ISBLANK($C499),"",IF($Z499=Constants!$B$7,IF(ISNUMBER(AG499),COUNTIFS($AA$8:$AA$507,"&lt;"&amp;$AA499)+COUNTIFS($AA$8:$AA$507,$AA499,$AG$8:$AG$507,"&lt;"&amp;$AG499)+COUNTIFS($AA$8:$AA$507,$AA499,$AG$8:$AG$507,$AG499,$AJ$8:$AJ$507,"&lt;"&amp;$AJ499)+1,Constants!$B$14),$Z499))</f>
        <v/>
      </c>
      <c r="AL499" s="97" t="str">
        <f aca="false">IF(ISBLANK($C499),"",IF($Z499=Constants!$B$7,IF(ISNUMBER(AH499),AH499-AK499,Constants!$B$14),$Z499))</f>
        <v/>
      </c>
      <c r="AM499" s="98"/>
      <c r="AN499" s="99" t="str">
        <f aca="false">IF(ISBLANK($C499),"",IF($Z499&lt;&gt;Constants!$B$7,$Z499,AD499))</f>
        <v/>
      </c>
      <c r="AO499" s="100" t="str">
        <f aca="false">IF(ISBLANK($C499),"",IF($Z499&lt;&gt;Constants!$B$7,$Z499,S499))</f>
        <v/>
      </c>
      <c r="AP499" s="101" t="str">
        <f aca="false">IF(ISBLANK($C499),"",IF($Z499&lt;&gt;Constants!$B$7,$Z499,AF499))</f>
        <v/>
      </c>
      <c r="AQ499" s="102" t="str">
        <f aca="false">IF(ISBLANK($C499),"",IF($Z499&lt;&gt;Constants!$B$7,$Z499,AA499))</f>
        <v/>
      </c>
      <c r="AR499" s="100" t="str">
        <f aca="false">IF(ISBLANK($C499),"",AL499)</f>
        <v/>
      </c>
      <c r="AS499" s="100" t="str">
        <f aca="false">IF(ISBLANK($C499),"",AK499)</f>
        <v/>
      </c>
      <c r="AT499" s="103" t="str">
        <f aca="false">IF(ISBLANK($C499),"",IF(AS499=Constants!$B$4,COUNTA($C$8:$C$507)+2,IF(AS499=Constants!$B$5,COUNTA($C$8:$C$507)+1,IF(AS499=Constants!$B$6,COUNTA($C$8:$C$507),AS499))))</f>
        <v/>
      </c>
      <c r="AU499" s="5"/>
      <c r="AV499" s="104" t="n">
        <f aca="false">IF(OR(ISNUMBER(AS499),AS499=Constants!$B$4,AS499=Constants!$B$6,AS499=Constants!$B$5),1,0)</f>
        <v>0</v>
      </c>
      <c r="AW499" s="104" t="n">
        <v>492</v>
      </c>
      <c r="AX499" s="104" t="str">
        <f aca="false">IF(ISBLANK($C499),"",IF(ISNUMBER(AT499),AT499+ROW($B499)/1000,""))</f>
        <v/>
      </c>
      <c r="AY499" s="104" t="str">
        <f aca="false">IF(ISNUMBER(AX499),RANK(AX499,$AX$8:$AX$507,1),"")</f>
        <v/>
      </c>
      <c r="AZ499" s="104" t="str">
        <f aca="false">IF(ISBLANK($C499),"",$B499)</f>
        <v/>
      </c>
      <c r="BA499" s="104" t="str">
        <f aca="false">IF(ISBLANK($C499),"",$C499)</f>
        <v/>
      </c>
      <c r="BB499" s="104" t="str">
        <f aca="false">IF(ISBLANK($C499),"",$D499)</f>
        <v/>
      </c>
      <c r="BC499" s="105" t="str">
        <f aca="false">AQ499</f>
        <v/>
      </c>
      <c r="BD499" s="106" t="str">
        <f aca="false">AP499</f>
        <v/>
      </c>
      <c r="BE499" s="104" t="str">
        <f aca="false">IF(ISBLANK($C499),"",AS499)</f>
        <v/>
      </c>
      <c r="BF499" s="107" t="str">
        <f aca="false">IF($AW499&gt;$AV$7,"",VLOOKUP($AW499,$AY$8:$BE$507,7,FALSE()))</f>
        <v/>
      </c>
      <c r="BG499" s="108" t="str">
        <f aca="false">IF($AW499&gt;$AV$7,"",VLOOKUP($AW499,$AY$8:$BE$507,2,FALSE()))</f>
        <v/>
      </c>
      <c r="BH499" s="108" t="str">
        <f aca="false">IF($AW499&gt;$AV$7,"",VLOOKUP($AW499,$AY$8:$BE$507,3,FALSE()))</f>
        <v/>
      </c>
      <c r="BI499" s="108" t="str">
        <f aca="false">IF($AW499&gt;$AV$7,"",VLOOKUP($AW499,$AY$8:$BE$507,4,FALSE()))</f>
        <v/>
      </c>
      <c r="BJ499" s="108" t="str">
        <f aca="false">IF($AW499&gt;$AV$7,"",VLOOKUP($AW499,$AY$8:$BE$507,5,FALSE()))</f>
        <v/>
      </c>
      <c r="BK499" s="109" t="str">
        <f aca="false">IF($AW499&gt;$AV$7,"",VLOOKUP($AW499,$AY$8:$BE$507,6,FALSE()))</f>
        <v/>
      </c>
      <c r="BL499" s="50"/>
    </row>
    <row r="500" customFormat="false" ht="15.75" hidden="false" customHeight="false" outlineLevel="0" collapsed="false">
      <c r="A500" s="5"/>
      <c r="B500" s="131"/>
      <c r="C500" s="52"/>
      <c r="D500" s="53"/>
      <c r="E500" s="80"/>
      <c r="F500" s="132"/>
      <c r="G500" s="56"/>
      <c r="H500" s="133"/>
      <c r="I500" s="134"/>
      <c r="J500" s="59"/>
      <c r="K500" s="60"/>
      <c r="L500" s="134"/>
      <c r="M500" s="61"/>
      <c r="N500" s="62"/>
      <c r="O500" s="80"/>
      <c r="P500" s="64"/>
      <c r="Q500" s="65" t="str">
        <f aca="false">IF(ISBLANK($C500),"",IF(E500=Constants!$B$2, TRUE(), IF(E500=Constants!$B$3, FALSE(), TRUE())))</f>
        <v/>
      </c>
      <c r="R500" s="65" t="str">
        <f aca="false">IF(ISBLANK($C500),"",IF(F500=Constants!$B$2, TRUE(), IF(F500=Constants!$B$3, FALSE(), TRUE())))</f>
        <v/>
      </c>
      <c r="S500" s="65" t="str">
        <f aca="false">IF(ISBLANK($C500),"",IF(G500=Constants!$B$15,Constants!$B$8,IF(G500=Constants!$B$16,Constants!$B$9,Constants!$B$10)))</f>
        <v/>
      </c>
      <c r="T500" s="65" t="str">
        <f aca="false">IF(ISBLANK($C500),"",IF(H500=Constants!$B$2, TRUE(), IF(H500=Constants!$B$3, FALSE(), TRUE())))</f>
        <v/>
      </c>
      <c r="U500" s="65" t="str">
        <f aca="false">IF(ISBLANK($C500),"",IF(I500=Constants!$B$19,Constants!$B$19,Constants!$B$18))</f>
        <v/>
      </c>
      <c r="V500" s="65" t="str">
        <f aca="false">IF(ISBLANK($C500),"",IF(COUNTA(J500:K500)=0,"",IF(AND(OR(ISBLANK(J500),AND(ISNUMBER(J500),J500&gt;=0)),OR(ISBLANK(K500),AND(ISNUMBER(K500),K500&gt;=0))),60*IF(ISBLANK(J500),0,J500)+IF(ISBLANK(K500),0,K500),"")))</f>
        <v/>
      </c>
      <c r="W500" s="65" t="str">
        <f aca="false">IF(ISBLANK($C500),"",IF(L500=Constants!$B$19,Constants!$B$19,Constants!$B$18))</f>
        <v/>
      </c>
      <c r="X500" s="65" t="str">
        <f aca="false">IF(ISBLANK($C500),"",IF(COUNTA(M500:N500)=0,"",IF(AND(OR(ISBLANK(M500),AND(ISNUMBER(M500),M500&gt;=0)),OR(ISBLANK(N500),AND(ISNUMBER(N500),N500&gt;=0))),60*IF(ISBLANK(M500),0,M500)+IF(ISBLANK(N500),0,N500),"")))</f>
        <v/>
      </c>
      <c r="Y500" s="65" t="str">
        <f aca="false">IF(ISBLANK($C500),"",IF(O500=Constants!$B$2, TRUE(), IF(O500=Constants!$B$3, FALSE(), FALSE())))</f>
        <v/>
      </c>
      <c r="Z500" s="65" t="str">
        <f aca="false">IF(ISBLANK($C500),"",IF(Y500,Constants!$B$4,IF(COUNTA(E500:N500)=0,Constants!$B$5,IF(COUNTA(J500:K500,M500:N500)=0,Constants!$B$6,Constants!$B$7))))</f>
        <v/>
      </c>
      <c r="AA500" s="65" t="str">
        <f aca="false">IF(ISBLANK($C500),"",IF($Z500&lt;&gt;Constants!$B$7,$Z500,IF(OR(NOT(T500),AND(NOT(Q500),COUNTIFS(U500:W500,Constants!$B$18,V500:X500,"&gt;=0")&gt;0),AND(NOT(R500),COUNTIFS(U500:W500,Constants!$B$19,V500:X500,"&gt;=0")&gt;0)),Constants!$B$12,Constants!$B$11)))</f>
        <v/>
      </c>
      <c r="AB500" s="65" t="str">
        <f aca="false">IF($Z500=Constants!$B$7,IF(V500="",Constants!$B$13,V500),"")</f>
        <v/>
      </c>
      <c r="AC500" s="65" t="str">
        <f aca="false">IF($Z500=Constants!$B$7,IF(X500="",Constants!$B$13,X500),"")</f>
        <v/>
      </c>
      <c r="AD500" s="65" t="str">
        <f aca="false">IF($Z500=Constants!$B$7,IF($AB500&gt;=$AC500,1,2),"")</f>
        <v/>
      </c>
      <c r="AE500" s="65" t="str">
        <f aca="false">IF($Z500=Constants!$B$7,LARGE(AB500:AC500,1),"")</f>
        <v/>
      </c>
      <c r="AF500" s="65" t="str">
        <f aca="false">IF(ISBLANK($C500),"",IF($Z500&lt;&gt;Constants!$B$7,$Z500,AE500*S500))</f>
        <v/>
      </c>
      <c r="AG500" s="65" t="str">
        <f aca="false">IF(ISBLANK($C500),"",IF($Z500=Constants!$B$7,IF(ISNUMBER(AF500),RANK(AF500,$AF$8:$AF$507),Constants!$B$14),$Z500))</f>
        <v/>
      </c>
      <c r="AH500" s="65" t="str">
        <f aca="false">IF(ISBLANK($C500),"",IF($Z500=Constants!$B$7,IF(ISNUMBER(AG500),COUNTIFS($AA$8:$AA$507,"&lt;"&amp;$AA500)+COUNTIFS($AA$8:$AA$507,$AA500,$AG$8:$AG$507,"&lt;"&amp;$AG500)+1,Constants!$B$14),$Z500))</f>
        <v/>
      </c>
      <c r="AI500" s="65" t="str">
        <f aca="false">IF(ISBLANK($C500),"",IF($Z500=Constants!$B$7,LARGE(AB500:AC500,2)*S500,""))</f>
        <v/>
      </c>
      <c r="AJ500" s="65" t="str">
        <f aca="false">IF(ISBLANK($C500),"",IF($Z500=Constants!$B$7,RANK(AI500,$AI$8:$AI$507),$Z500))</f>
        <v/>
      </c>
      <c r="AK500" s="65" t="str">
        <f aca="false">IF(ISBLANK($C500),"",IF($Z500=Constants!$B$7,IF(ISNUMBER(AG500),COUNTIFS($AA$8:$AA$507,"&lt;"&amp;$AA500)+COUNTIFS($AA$8:$AA$507,$AA500,$AG$8:$AG$507,"&lt;"&amp;$AG500)+COUNTIFS($AA$8:$AA$507,$AA500,$AG$8:$AG$507,$AG500,$AJ$8:$AJ$507,"&lt;"&amp;$AJ500)+1,Constants!$B$14),$Z500))</f>
        <v/>
      </c>
      <c r="AL500" s="65" t="str">
        <f aca="false">IF(ISBLANK($C500),"",IF($Z500=Constants!$B$7,IF(ISNUMBER(AH500),AH500-AK500,Constants!$B$14),$Z500))</f>
        <v/>
      </c>
      <c r="AM500" s="67"/>
      <c r="AN500" s="68" t="str">
        <f aca="false">IF(ISBLANK($C500),"",IF($Z500&lt;&gt;Constants!$B$7,$Z500,AD500))</f>
        <v/>
      </c>
      <c r="AO500" s="69" t="str">
        <f aca="false">IF(ISBLANK($C500),"",IF($Z500&lt;&gt;Constants!$B$7,$Z500,S500))</f>
        <v/>
      </c>
      <c r="AP500" s="70" t="str">
        <f aca="false">IF(ISBLANK($C500),"",IF($Z500&lt;&gt;Constants!$B$7,$Z500,AF500))</f>
        <v/>
      </c>
      <c r="AQ500" s="71" t="str">
        <f aca="false">IF(ISBLANK($C500),"",IF($Z500&lt;&gt;Constants!$B$7,$Z500,AA500))</f>
        <v/>
      </c>
      <c r="AR500" s="69" t="str">
        <f aca="false">IF(ISBLANK($C500),"",AL500)</f>
        <v/>
      </c>
      <c r="AS500" s="69" t="str">
        <f aca="false">IF(ISBLANK($C500),"",AK500)</f>
        <v/>
      </c>
      <c r="AT500" s="72" t="str">
        <f aca="false">IF(ISBLANK($C500),"",IF(AS500=Constants!$B$4,COUNTA($C$8:$C$507)+2,IF(AS500=Constants!$B$5,COUNTA($C$8:$C$507)+1,IF(AS500=Constants!$B$6,COUNTA($C$8:$C$507),AS500))))</f>
        <v/>
      </c>
      <c r="AU500" s="5"/>
      <c r="AV500" s="73" t="n">
        <f aca="false">IF(OR(ISNUMBER(AS500),AS500=Constants!$B$4,AS500=Constants!$B$6,AS500=Constants!$B$5),1,0)</f>
        <v>0</v>
      </c>
      <c r="AW500" s="73" t="n">
        <v>493</v>
      </c>
      <c r="AX500" s="73" t="str">
        <f aca="false">IF(ISBLANK($C500),"",IF(ISNUMBER(AT500),AT500+ROW($B500)/1000,""))</f>
        <v/>
      </c>
      <c r="AY500" s="73" t="str">
        <f aca="false">IF(ISNUMBER(AX500),RANK(AX500,$AX$8:$AX$507,1),"")</f>
        <v/>
      </c>
      <c r="AZ500" s="73" t="str">
        <f aca="false">IF(ISBLANK($C500),"",$B500)</f>
        <v/>
      </c>
      <c r="BA500" s="73" t="str">
        <f aca="false">IF(ISBLANK($C500),"",$C500)</f>
        <v/>
      </c>
      <c r="BB500" s="73" t="str">
        <f aca="false">IF(ISBLANK($C500),"",$D500)</f>
        <v/>
      </c>
      <c r="BC500" s="74" t="str">
        <f aca="false">AQ500</f>
        <v/>
      </c>
      <c r="BD500" s="75" t="str">
        <f aca="false">AP500</f>
        <v/>
      </c>
      <c r="BE500" s="73" t="str">
        <f aca="false">IF(ISBLANK($C500),"",AS500)</f>
        <v/>
      </c>
      <c r="BF500" s="76" t="str">
        <f aca="false">IF($AW500&gt;$AV$7,"",VLOOKUP($AW500,$AY$8:$BE$507,7,FALSE()))</f>
        <v/>
      </c>
      <c r="BG500" s="77" t="str">
        <f aca="false">IF($AW500&gt;$AV$7,"",VLOOKUP($AW500,$AY$8:$BE$507,2,FALSE()))</f>
        <v/>
      </c>
      <c r="BH500" s="77" t="str">
        <f aca="false">IF($AW500&gt;$AV$7,"",VLOOKUP($AW500,$AY$8:$BE$507,3,FALSE()))</f>
        <v/>
      </c>
      <c r="BI500" s="77" t="str">
        <f aca="false">IF($AW500&gt;$AV$7,"",VLOOKUP($AW500,$AY$8:$BE$507,4,FALSE()))</f>
        <v/>
      </c>
      <c r="BJ500" s="77" t="str">
        <f aca="false">IF($AW500&gt;$AV$7,"",VLOOKUP($AW500,$AY$8:$BE$507,5,FALSE()))</f>
        <v/>
      </c>
      <c r="BK500" s="78" t="str">
        <f aca="false">IF($AW500&gt;$AV$7,"",VLOOKUP($AW500,$AY$8:$BE$507,6,FALSE()))</f>
        <v/>
      </c>
      <c r="BL500" s="50"/>
    </row>
    <row r="501" customFormat="false" ht="15.75" hidden="false" customHeight="false" outlineLevel="0" collapsed="false">
      <c r="A501" s="5"/>
      <c r="B501" s="131"/>
      <c r="C501" s="52"/>
      <c r="D501" s="53"/>
      <c r="E501" s="80"/>
      <c r="F501" s="132"/>
      <c r="G501" s="56"/>
      <c r="H501" s="133"/>
      <c r="I501" s="134"/>
      <c r="J501" s="59"/>
      <c r="K501" s="60"/>
      <c r="L501" s="134"/>
      <c r="M501" s="61"/>
      <c r="N501" s="62"/>
      <c r="O501" s="80"/>
      <c r="P501" s="64"/>
      <c r="Q501" s="65" t="str">
        <f aca="false">IF(ISBLANK($C501),"",IF(E501=Constants!$B$2, TRUE(), IF(E501=Constants!$B$3, FALSE(), TRUE())))</f>
        <v/>
      </c>
      <c r="R501" s="65" t="str">
        <f aca="false">IF(ISBLANK($C501),"",IF(F501=Constants!$B$2, TRUE(), IF(F501=Constants!$B$3, FALSE(), TRUE())))</f>
        <v/>
      </c>
      <c r="S501" s="65" t="str">
        <f aca="false">IF(ISBLANK($C501),"",IF(G501=Constants!$B$15,Constants!$B$8,IF(G501=Constants!$B$16,Constants!$B$9,Constants!$B$10)))</f>
        <v/>
      </c>
      <c r="T501" s="65" t="str">
        <f aca="false">IF(ISBLANK($C501),"",IF(H501=Constants!$B$2, TRUE(), IF(H501=Constants!$B$3, FALSE(), TRUE())))</f>
        <v/>
      </c>
      <c r="U501" s="65" t="str">
        <f aca="false">IF(ISBLANK($C501),"",IF(I501=Constants!$B$19,Constants!$B$19,Constants!$B$18))</f>
        <v/>
      </c>
      <c r="V501" s="65" t="str">
        <f aca="false">IF(ISBLANK($C501),"",IF(COUNTA(J501:K501)=0,"",IF(AND(OR(ISBLANK(J501),AND(ISNUMBER(J501),J501&gt;=0)),OR(ISBLANK(K501),AND(ISNUMBER(K501),K501&gt;=0))),60*IF(ISBLANK(J501),0,J501)+IF(ISBLANK(K501),0,K501),"")))</f>
        <v/>
      </c>
      <c r="W501" s="65" t="str">
        <f aca="false">IF(ISBLANK($C501),"",IF(L501=Constants!$B$19,Constants!$B$19,Constants!$B$18))</f>
        <v/>
      </c>
      <c r="X501" s="65" t="str">
        <f aca="false">IF(ISBLANK($C501),"",IF(COUNTA(M501:N501)=0,"",IF(AND(OR(ISBLANK(M501),AND(ISNUMBER(M501),M501&gt;=0)),OR(ISBLANK(N501),AND(ISNUMBER(N501),N501&gt;=0))),60*IF(ISBLANK(M501),0,M501)+IF(ISBLANK(N501),0,N501),"")))</f>
        <v/>
      </c>
      <c r="Y501" s="65" t="str">
        <f aca="false">IF(ISBLANK($C501),"",IF(O501=Constants!$B$2, TRUE(), IF(O501=Constants!$B$3, FALSE(), FALSE())))</f>
        <v/>
      </c>
      <c r="Z501" s="65" t="str">
        <f aca="false">IF(ISBLANK($C501),"",IF(Y501,Constants!$B$4,IF(COUNTA(E501:N501)=0,Constants!$B$5,IF(COUNTA(J501:K501,M501:N501)=0,Constants!$B$6,Constants!$B$7))))</f>
        <v/>
      </c>
      <c r="AA501" s="65" t="str">
        <f aca="false">IF(ISBLANK($C501),"",IF($Z501&lt;&gt;Constants!$B$7,$Z501,IF(OR(NOT(T501),AND(NOT(Q501),COUNTIFS(U501:W501,Constants!$B$18,V501:X501,"&gt;=0")&gt;0),AND(NOT(R501),COUNTIFS(U501:W501,Constants!$B$19,V501:X501,"&gt;=0")&gt;0)),Constants!$B$12,Constants!$B$11)))</f>
        <v/>
      </c>
      <c r="AB501" s="65" t="str">
        <f aca="false">IF($Z501=Constants!$B$7,IF(V501="",Constants!$B$13,V501),"")</f>
        <v/>
      </c>
      <c r="AC501" s="65" t="str">
        <f aca="false">IF($Z501=Constants!$B$7,IF(X501="",Constants!$B$13,X501),"")</f>
        <v/>
      </c>
      <c r="AD501" s="65" t="str">
        <f aca="false">IF($Z501=Constants!$B$7,IF($AB501&gt;=$AC501,1,2),"")</f>
        <v/>
      </c>
      <c r="AE501" s="65" t="str">
        <f aca="false">IF($Z501=Constants!$B$7,LARGE(AB501:AC501,1),"")</f>
        <v/>
      </c>
      <c r="AF501" s="65" t="str">
        <f aca="false">IF(ISBLANK($C501),"",IF($Z501&lt;&gt;Constants!$B$7,$Z501,AE501*S501))</f>
        <v/>
      </c>
      <c r="AG501" s="65" t="str">
        <f aca="false">IF(ISBLANK($C501),"",IF($Z501=Constants!$B$7,IF(ISNUMBER(AF501),RANK(AF501,$AF$8:$AF$507),Constants!$B$14),$Z501))</f>
        <v/>
      </c>
      <c r="AH501" s="65" t="str">
        <f aca="false">IF(ISBLANK($C501),"",IF($Z501=Constants!$B$7,IF(ISNUMBER(AG501),COUNTIFS($AA$8:$AA$507,"&lt;"&amp;$AA501)+COUNTIFS($AA$8:$AA$507,$AA501,$AG$8:$AG$507,"&lt;"&amp;$AG501)+1,Constants!$B$14),$Z501))</f>
        <v/>
      </c>
      <c r="AI501" s="65" t="str">
        <f aca="false">IF(ISBLANK($C501),"",IF($Z501=Constants!$B$7,LARGE(AB501:AC501,2)*S501,""))</f>
        <v/>
      </c>
      <c r="AJ501" s="65" t="str">
        <f aca="false">IF(ISBLANK($C501),"",IF($Z501=Constants!$B$7,RANK(AI501,$AI$8:$AI$507),$Z501))</f>
        <v/>
      </c>
      <c r="AK501" s="65" t="str">
        <f aca="false">IF(ISBLANK($C501),"",IF($Z501=Constants!$B$7,IF(ISNUMBER(AG501),COUNTIFS($AA$8:$AA$507,"&lt;"&amp;$AA501)+COUNTIFS($AA$8:$AA$507,$AA501,$AG$8:$AG$507,"&lt;"&amp;$AG501)+COUNTIFS($AA$8:$AA$507,$AA501,$AG$8:$AG$507,$AG501,$AJ$8:$AJ$507,"&lt;"&amp;$AJ501)+1,Constants!$B$14),$Z501))</f>
        <v/>
      </c>
      <c r="AL501" s="65" t="str">
        <f aca="false">IF(ISBLANK($C501),"",IF($Z501=Constants!$B$7,IF(ISNUMBER(AH501),AH501-AK501,Constants!$B$14),$Z501))</f>
        <v/>
      </c>
      <c r="AM501" s="67"/>
      <c r="AN501" s="68" t="str">
        <f aca="false">IF(ISBLANK($C501),"",IF($Z501&lt;&gt;Constants!$B$7,$Z501,AD501))</f>
        <v/>
      </c>
      <c r="AO501" s="69" t="str">
        <f aca="false">IF(ISBLANK($C501),"",IF($Z501&lt;&gt;Constants!$B$7,$Z501,S501))</f>
        <v/>
      </c>
      <c r="AP501" s="70" t="str">
        <f aca="false">IF(ISBLANK($C501),"",IF($Z501&lt;&gt;Constants!$B$7,$Z501,AF501))</f>
        <v/>
      </c>
      <c r="AQ501" s="71" t="str">
        <f aca="false">IF(ISBLANK($C501),"",IF($Z501&lt;&gt;Constants!$B$7,$Z501,AA501))</f>
        <v/>
      </c>
      <c r="AR501" s="69" t="str">
        <f aca="false">IF(ISBLANK($C501),"",AL501)</f>
        <v/>
      </c>
      <c r="AS501" s="69" t="str">
        <f aca="false">IF(ISBLANK($C501),"",AK501)</f>
        <v/>
      </c>
      <c r="AT501" s="72" t="str">
        <f aca="false">IF(ISBLANK($C501),"",IF(AS501=Constants!$B$4,COUNTA($C$8:$C$507)+2,IF(AS501=Constants!$B$5,COUNTA($C$8:$C$507)+1,IF(AS501=Constants!$B$6,COUNTA($C$8:$C$507),AS501))))</f>
        <v/>
      </c>
      <c r="AU501" s="5"/>
      <c r="AV501" s="73" t="n">
        <f aca="false">IF(OR(ISNUMBER(AS501),AS501=Constants!$B$4,AS501=Constants!$B$6,AS501=Constants!$B$5),1,0)</f>
        <v>0</v>
      </c>
      <c r="AW501" s="73" t="n">
        <v>494</v>
      </c>
      <c r="AX501" s="73" t="str">
        <f aca="false">IF(ISBLANK($C501),"",IF(ISNUMBER(AT501),AT501+ROW($B501)/1000,""))</f>
        <v/>
      </c>
      <c r="AY501" s="73" t="str">
        <f aca="false">IF(ISNUMBER(AX501),RANK(AX501,$AX$8:$AX$507,1),"")</f>
        <v/>
      </c>
      <c r="AZ501" s="73" t="str">
        <f aca="false">IF(ISBLANK($C501),"",$B501)</f>
        <v/>
      </c>
      <c r="BA501" s="73" t="str">
        <f aca="false">IF(ISBLANK($C501),"",$C501)</f>
        <v/>
      </c>
      <c r="BB501" s="73" t="str">
        <f aca="false">IF(ISBLANK($C501),"",$D501)</f>
        <v/>
      </c>
      <c r="BC501" s="74" t="str">
        <f aca="false">AQ501</f>
        <v/>
      </c>
      <c r="BD501" s="75" t="str">
        <f aca="false">AP501</f>
        <v/>
      </c>
      <c r="BE501" s="73" t="str">
        <f aca="false">IF(ISBLANK($C501),"",AS501)</f>
        <v/>
      </c>
      <c r="BF501" s="76" t="str">
        <f aca="false">IF($AW501&gt;$AV$7,"",VLOOKUP($AW501,$AY$8:$BE$507,7,FALSE()))</f>
        <v/>
      </c>
      <c r="BG501" s="77" t="str">
        <f aca="false">IF($AW501&gt;$AV$7,"",VLOOKUP($AW501,$AY$8:$BE$507,2,FALSE()))</f>
        <v/>
      </c>
      <c r="BH501" s="77" t="str">
        <f aca="false">IF($AW501&gt;$AV$7,"",VLOOKUP($AW501,$AY$8:$BE$507,3,FALSE()))</f>
        <v/>
      </c>
      <c r="BI501" s="77" t="str">
        <f aca="false">IF($AW501&gt;$AV$7,"",VLOOKUP($AW501,$AY$8:$BE$507,4,FALSE()))</f>
        <v/>
      </c>
      <c r="BJ501" s="77" t="str">
        <f aca="false">IF($AW501&gt;$AV$7,"",VLOOKUP($AW501,$AY$8:$BE$507,5,FALSE()))</f>
        <v/>
      </c>
      <c r="BK501" s="78" t="str">
        <f aca="false">IF($AW501&gt;$AV$7,"",VLOOKUP($AW501,$AY$8:$BE$507,6,FALSE()))</f>
        <v/>
      </c>
      <c r="BL501" s="50"/>
    </row>
    <row r="502" customFormat="false" ht="15.75" hidden="false" customHeight="false" outlineLevel="0" collapsed="false">
      <c r="A502" s="5"/>
      <c r="B502" s="131"/>
      <c r="C502" s="52"/>
      <c r="D502" s="53"/>
      <c r="E502" s="80"/>
      <c r="F502" s="132"/>
      <c r="G502" s="56"/>
      <c r="H502" s="133"/>
      <c r="I502" s="134"/>
      <c r="J502" s="59"/>
      <c r="K502" s="60"/>
      <c r="L502" s="134"/>
      <c r="M502" s="61"/>
      <c r="N502" s="62"/>
      <c r="O502" s="80"/>
      <c r="P502" s="64"/>
      <c r="Q502" s="65" t="str">
        <f aca="false">IF(ISBLANK($C502),"",IF(E502=Constants!$B$2, TRUE(), IF(E502=Constants!$B$3, FALSE(), TRUE())))</f>
        <v/>
      </c>
      <c r="R502" s="65" t="str">
        <f aca="false">IF(ISBLANK($C502),"",IF(F502=Constants!$B$2, TRUE(), IF(F502=Constants!$B$3, FALSE(), TRUE())))</f>
        <v/>
      </c>
      <c r="S502" s="65" t="str">
        <f aca="false">IF(ISBLANK($C502),"",IF(G502=Constants!$B$15,Constants!$B$8,IF(G502=Constants!$B$16,Constants!$B$9,Constants!$B$10)))</f>
        <v/>
      </c>
      <c r="T502" s="65" t="str">
        <f aca="false">IF(ISBLANK($C502),"",IF(H502=Constants!$B$2, TRUE(), IF(H502=Constants!$B$3, FALSE(), TRUE())))</f>
        <v/>
      </c>
      <c r="U502" s="65" t="str">
        <f aca="false">IF(ISBLANK($C502),"",IF(I502=Constants!$B$19,Constants!$B$19,Constants!$B$18))</f>
        <v/>
      </c>
      <c r="V502" s="65" t="str">
        <f aca="false">IF(ISBLANK($C502),"",IF(COUNTA(J502:K502)=0,"",IF(AND(OR(ISBLANK(J502),AND(ISNUMBER(J502),J502&gt;=0)),OR(ISBLANK(K502),AND(ISNUMBER(K502),K502&gt;=0))),60*IF(ISBLANK(J502),0,J502)+IF(ISBLANK(K502),0,K502),"")))</f>
        <v/>
      </c>
      <c r="W502" s="65" t="str">
        <f aca="false">IF(ISBLANK($C502),"",IF(L502=Constants!$B$19,Constants!$B$19,Constants!$B$18))</f>
        <v/>
      </c>
      <c r="X502" s="65" t="str">
        <f aca="false">IF(ISBLANK($C502),"",IF(COUNTA(M502:N502)=0,"",IF(AND(OR(ISBLANK(M502),AND(ISNUMBER(M502),M502&gt;=0)),OR(ISBLANK(N502),AND(ISNUMBER(N502),N502&gt;=0))),60*IF(ISBLANK(M502),0,M502)+IF(ISBLANK(N502),0,N502),"")))</f>
        <v/>
      </c>
      <c r="Y502" s="65" t="str">
        <f aca="false">IF(ISBLANK($C502),"",IF(O502=Constants!$B$2, TRUE(), IF(O502=Constants!$B$3, FALSE(), FALSE())))</f>
        <v/>
      </c>
      <c r="Z502" s="65" t="str">
        <f aca="false">IF(ISBLANK($C502),"",IF(Y502,Constants!$B$4,IF(COUNTA(E502:N502)=0,Constants!$B$5,IF(COUNTA(J502:K502,M502:N502)=0,Constants!$B$6,Constants!$B$7))))</f>
        <v/>
      </c>
      <c r="AA502" s="65" t="str">
        <f aca="false">IF(ISBLANK($C502),"",IF($Z502&lt;&gt;Constants!$B$7,$Z502,IF(OR(NOT(T502),AND(NOT(Q502),COUNTIFS(U502:W502,Constants!$B$18,V502:X502,"&gt;=0")&gt;0),AND(NOT(R502),COUNTIFS(U502:W502,Constants!$B$19,V502:X502,"&gt;=0")&gt;0)),Constants!$B$12,Constants!$B$11)))</f>
        <v/>
      </c>
      <c r="AB502" s="65" t="str">
        <f aca="false">IF($Z502=Constants!$B$7,IF(V502="",Constants!$B$13,V502),"")</f>
        <v/>
      </c>
      <c r="AC502" s="65" t="str">
        <f aca="false">IF($Z502=Constants!$B$7,IF(X502="",Constants!$B$13,X502),"")</f>
        <v/>
      </c>
      <c r="AD502" s="65" t="str">
        <f aca="false">IF($Z502=Constants!$B$7,IF($AB502&gt;=$AC502,1,2),"")</f>
        <v/>
      </c>
      <c r="AE502" s="65" t="str">
        <f aca="false">IF($Z502=Constants!$B$7,LARGE(AB502:AC502,1),"")</f>
        <v/>
      </c>
      <c r="AF502" s="65" t="str">
        <f aca="false">IF(ISBLANK($C502),"",IF($Z502&lt;&gt;Constants!$B$7,$Z502,AE502*S502))</f>
        <v/>
      </c>
      <c r="AG502" s="65" t="str">
        <f aca="false">IF(ISBLANK($C502),"",IF($Z502=Constants!$B$7,IF(ISNUMBER(AF502),RANK(AF502,$AF$8:$AF$507),Constants!$B$14),$Z502))</f>
        <v/>
      </c>
      <c r="AH502" s="65" t="str">
        <f aca="false">IF(ISBLANK($C502),"",IF($Z502=Constants!$B$7,IF(ISNUMBER(AG502),COUNTIFS($AA$8:$AA$507,"&lt;"&amp;$AA502)+COUNTIFS($AA$8:$AA$507,$AA502,$AG$8:$AG$507,"&lt;"&amp;$AG502)+1,Constants!$B$14),$Z502))</f>
        <v/>
      </c>
      <c r="AI502" s="65" t="str">
        <f aca="false">IF(ISBLANK($C502),"",IF($Z502=Constants!$B$7,LARGE(AB502:AC502,2)*S502,""))</f>
        <v/>
      </c>
      <c r="AJ502" s="65" t="str">
        <f aca="false">IF(ISBLANK($C502),"",IF($Z502=Constants!$B$7,RANK(AI502,$AI$8:$AI$507),$Z502))</f>
        <v/>
      </c>
      <c r="AK502" s="65" t="str">
        <f aca="false">IF(ISBLANK($C502),"",IF($Z502=Constants!$B$7,IF(ISNUMBER(AG502),COUNTIFS($AA$8:$AA$507,"&lt;"&amp;$AA502)+COUNTIFS($AA$8:$AA$507,$AA502,$AG$8:$AG$507,"&lt;"&amp;$AG502)+COUNTIFS($AA$8:$AA$507,$AA502,$AG$8:$AG$507,$AG502,$AJ$8:$AJ$507,"&lt;"&amp;$AJ502)+1,Constants!$B$14),$Z502))</f>
        <v/>
      </c>
      <c r="AL502" s="65" t="str">
        <f aca="false">IF(ISBLANK($C502),"",IF($Z502=Constants!$B$7,IF(ISNUMBER(AH502),AH502-AK502,Constants!$B$14),$Z502))</f>
        <v/>
      </c>
      <c r="AM502" s="67"/>
      <c r="AN502" s="68" t="str">
        <f aca="false">IF(ISBLANK($C502),"",IF($Z502&lt;&gt;Constants!$B$7,$Z502,AD502))</f>
        <v/>
      </c>
      <c r="AO502" s="69" t="str">
        <f aca="false">IF(ISBLANK($C502),"",IF($Z502&lt;&gt;Constants!$B$7,$Z502,S502))</f>
        <v/>
      </c>
      <c r="AP502" s="70" t="str">
        <f aca="false">IF(ISBLANK($C502),"",IF($Z502&lt;&gt;Constants!$B$7,$Z502,AF502))</f>
        <v/>
      </c>
      <c r="AQ502" s="71" t="str">
        <f aca="false">IF(ISBLANK($C502),"",IF($Z502&lt;&gt;Constants!$B$7,$Z502,AA502))</f>
        <v/>
      </c>
      <c r="AR502" s="69" t="str">
        <f aca="false">IF(ISBLANK($C502),"",AL502)</f>
        <v/>
      </c>
      <c r="AS502" s="69" t="str">
        <f aca="false">IF(ISBLANK($C502),"",AK502)</f>
        <v/>
      </c>
      <c r="AT502" s="72" t="str">
        <f aca="false">IF(ISBLANK($C502),"",IF(AS502=Constants!$B$4,COUNTA($C$8:$C$507)+2,IF(AS502=Constants!$B$5,COUNTA($C$8:$C$507)+1,IF(AS502=Constants!$B$6,COUNTA($C$8:$C$507),AS502))))</f>
        <v/>
      </c>
      <c r="AU502" s="5"/>
      <c r="AV502" s="73" t="n">
        <f aca="false">IF(OR(ISNUMBER(AS502),AS502=Constants!$B$4,AS502=Constants!$B$6,AS502=Constants!$B$5),1,0)</f>
        <v>0</v>
      </c>
      <c r="AW502" s="73" t="n">
        <v>495</v>
      </c>
      <c r="AX502" s="73" t="str">
        <f aca="false">IF(ISBLANK($C502),"",IF(ISNUMBER(AT502),AT502+ROW($B502)/1000,""))</f>
        <v/>
      </c>
      <c r="AY502" s="73" t="str">
        <f aca="false">IF(ISNUMBER(AX502),RANK(AX502,$AX$8:$AX$507,1),"")</f>
        <v/>
      </c>
      <c r="AZ502" s="73" t="str">
        <f aca="false">IF(ISBLANK($C502),"",$B502)</f>
        <v/>
      </c>
      <c r="BA502" s="73" t="str">
        <f aca="false">IF(ISBLANK($C502),"",$C502)</f>
        <v/>
      </c>
      <c r="BB502" s="73" t="str">
        <f aca="false">IF(ISBLANK($C502),"",$D502)</f>
        <v/>
      </c>
      <c r="BC502" s="74" t="str">
        <f aca="false">AQ502</f>
        <v/>
      </c>
      <c r="BD502" s="75" t="str">
        <f aca="false">AP502</f>
        <v/>
      </c>
      <c r="BE502" s="73" t="str">
        <f aca="false">IF(ISBLANK($C502),"",AS502)</f>
        <v/>
      </c>
      <c r="BF502" s="76" t="str">
        <f aca="false">IF($AW502&gt;$AV$7,"",VLOOKUP($AW502,$AY$8:$BE$507,7,FALSE()))</f>
        <v/>
      </c>
      <c r="BG502" s="77" t="str">
        <f aca="false">IF($AW502&gt;$AV$7,"",VLOOKUP($AW502,$AY$8:$BE$507,2,FALSE()))</f>
        <v/>
      </c>
      <c r="BH502" s="77" t="str">
        <f aca="false">IF($AW502&gt;$AV$7,"",VLOOKUP($AW502,$AY$8:$BE$507,3,FALSE()))</f>
        <v/>
      </c>
      <c r="BI502" s="77" t="str">
        <f aca="false">IF($AW502&gt;$AV$7,"",VLOOKUP($AW502,$AY$8:$BE$507,4,FALSE()))</f>
        <v/>
      </c>
      <c r="BJ502" s="77" t="str">
        <f aca="false">IF($AW502&gt;$AV$7,"",VLOOKUP($AW502,$AY$8:$BE$507,5,FALSE()))</f>
        <v/>
      </c>
      <c r="BK502" s="78" t="str">
        <f aca="false">IF($AW502&gt;$AV$7,"",VLOOKUP($AW502,$AY$8:$BE$507,6,FALSE()))</f>
        <v/>
      </c>
      <c r="BL502" s="50"/>
    </row>
    <row r="503" customFormat="false" ht="15.75" hidden="false" customHeight="false" outlineLevel="0" collapsed="false">
      <c r="A503" s="5"/>
      <c r="B503" s="124"/>
      <c r="C503" s="125"/>
      <c r="D503" s="110"/>
      <c r="E503" s="130"/>
      <c r="F503" s="135"/>
      <c r="G503" s="88"/>
      <c r="H503" s="136"/>
      <c r="I503" s="137"/>
      <c r="J503" s="91"/>
      <c r="K503" s="92"/>
      <c r="L503" s="137"/>
      <c r="M503" s="93"/>
      <c r="N503" s="94"/>
      <c r="O503" s="130"/>
      <c r="P503" s="96"/>
      <c r="Q503" s="97" t="str">
        <f aca="false">IF(ISBLANK($C503),"",IF(E503=Constants!$B$2, TRUE(), IF(E503=Constants!$B$3, FALSE(), TRUE())))</f>
        <v/>
      </c>
      <c r="R503" s="97" t="str">
        <f aca="false">IF(ISBLANK($C503),"",IF(F503=Constants!$B$2, TRUE(), IF(F503=Constants!$B$3, FALSE(), TRUE())))</f>
        <v/>
      </c>
      <c r="S503" s="97" t="str">
        <f aca="false">IF(ISBLANK($C503),"",IF(G503=Constants!$B$15,Constants!$B$8,IF(G503=Constants!$B$16,Constants!$B$9,Constants!$B$10)))</f>
        <v/>
      </c>
      <c r="T503" s="97" t="str">
        <f aca="false">IF(ISBLANK($C503),"",IF(H503=Constants!$B$2, TRUE(), IF(H503=Constants!$B$3, FALSE(), TRUE())))</f>
        <v/>
      </c>
      <c r="U503" s="97" t="str">
        <f aca="false">IF(ISBLANK($C503),"",IF(I503=Constants!$B$19,Constants!$B$19,Constants!$B$18))</f>
        <v/>
      </c>
      <c r="V503" s="97" t="str">
        <f aca="false">IF(ISBLANK($C503),"",IF(COUNTA(J503:K503)=0,"",IF(AND(OR(ISBLANK(J503),AND(ISNUMBER(J503),J503&gt;=0)),OR(ISBLANK(K503),AND(ISNUMBER(K503),K503&gt;=0))),60*IF(ISBLANK(J503),0,J503)+IF(ISBLANK(K503),0,K503),"")))</f>
        <v/>
      </c>
      <c r="W503" s="97" t="str">
        <f aca="false">IF(ISBLANK($C503),"",IF(L503=Constants!$B$19,Constants!$B$19,Constants!$B$18))</f>
        <v/>
      </c>
      <c r="X503" s="97" t="str">
        <f aca="false">IF(ISBLANK($C503),"",IF(COUNTA(M503:N503)=0,"",IF(AND(OR(ISBLANK(M503),AND(ISNUMBER(M503),M503&gt;=0)),OR(ISBLANK(N503),AND(ISNUMBER(N503),N503&gt;=0))),60*IF(ISBLANK(M503),0,M503)+IF(ISBLANK(N503),0,N503),"")))</f>
        <v/>
      </c>
      <c r="Y503" s="97" t="str">
        <f aca="false">IF(ISBLANK($C503),"",IF(O503=Constants!$B$2, TRUE(), IF(O503=Constants!$B$3, FALSE(), FALSE())))</f>
        <v/>
      </c>
      <c r="Z503" s="97" t="str">
        <f aca="false">IF(ISBLANK($C503),"",IF(Y503,Constants!$B$4,IF(COUNTA(E503:N503)=0,Constants!$B$5,IF(COUNTA(J503:K503,M503:N503)=0,Constants!$B$6,Constants!$B$7))))</f>
        <v/>
      </c>
      <c r="AA503" s="97" t="str">
        <f aca="false">IF(ISBLANK($C503),"",IF($Z503&lt;&gt;Constants!$B$7,$Z503,IF(OR(NOT(T503),AND(NOT(Q503),COUNTIFS(U503:W503,Constants!$B$18,V503:X503,"&gt;=0")&gt;0),AND(NOT(R503),COUNTIFS(U503:W503,Constants!$B$19,V503:X503,"&gt;=0")&gt;0)),Constants!$B$12,Constants!$B$11)))</f>
        <v/>
      </c>
      <c r="AB503" s="97" t="str">
        <f aca="false">IF($Z503=Constants!$B$7,IF(V503="",Constants!$B$13,V503),"")</f>
        <v/>
      </c>
      <c r="AC503" s="97" t="str">
        <f aca="false">IF($Z503=Constants!$B$7,IF(X503="",Constants!$B$13,X503),"")</f>
        <v/>
      </c>
      <c r="AD503" s="97" t="str">
        <f aca="false">IF($Z503=Constants!$B$7,IF($AB503&gt;=$AC503,1,2),"")</f>
        <v/>
      </c>
      <c r="AE503" s="97" t="str">
        <f aca="false">IF($Z503=Constants!$B$7,LARGE(AB503:AC503,1),"")</f>
        <v/>
      </c>
      <c r="AF503" s="97" t="str">
        <f aca="false">IF(ISBLANK($C503),"",IF($Z503&lt;&gt;Constants!$B$7,$Z503,AE503*S503))</f>
        <v/>
      </c>
      <c r="AG503" s="97" t="str">
        <f aca="false">IF(ISBLANK($C503),"",IF($Z503=Constants!$B$7,IF(ISNUMBER(AF503),RANK(AF503,$AF$8:$AF$507),Constants!$B$14),$Z503))</f>
        <v/>
      </c>
      <c r="AH503" s="97" t="str">
        <f aca="false">IF(ISBLANK($C503),"",IF($Z503=Constants!$B$7,IF(ISNUMBER(AG503),COUNTIFS($AA$8:$AA$507,"&lt;"&amp;$AA503)+COUNTIFS($AA$8:$AA$507,$AA503,$AG$8:$AG$507,"&lt;"&amp;$AG503)+1,Constants!$B$14),$Z503))</f>
        <v/>
      </c>
      <c r="AI503" s="97" t="str">
        <f aca="false">IF(ISBLANK($C503),"",IF($Z503=Constants!$B$7,LARGE(AB503:AC503,2)*S503,""))</f>
        <v/>
      </c>
      <c r="AJ503" s="97" t="str">
        <f aca="false">IF(ISBLANK($C503),"",IF($Z503=Constants!$B$7,RANK(AI503,$AI$8:$AI$507),$Z503))</f>
        <v/>
      </c>
      <c r="AK503" s="97" t="str">
        <f aca="false">IF(ISBLANK($C503),"",IF($Z503=Constants!$B$7,IF(ISNUMBER(AG503),COUNTIFS($AA$8:$AA$507,"&lt;"&amp;$AA503)+COUNTIFS($AA$8:$AA$507,$AA503,$AG$8:$AG$507,"&lt;"&amp;$AG503)+COUNTIFS($AA$8:$AA$507,$AA503,$AG$8:$AG$507,$AG503,$AJ$8:$AJ$507,"&lt;"&amp;$AJ503)+1,Constants!$B$14),$Z503))</f>
        <v/>
      </c>
      <c r="AL503" s="97" t="str">
        <f aca="false">IF(ISBLANK($C503),"",IF($Z503=Constants!$B$7,IF(ISNUMBER(AH503),AH503-AK503,Constants!$B$14),$Z503))</f>
        <v/>
      </c>
      <c r="AM503" s="98"/>
      <c r="AN503" s="99" t="str">
        <f aca="false">IF(ISBLANK($C503),"",IF($Z503&lt;&gt;Constants!$B$7,$Z503,AD503))</f>
        <v/>
      </c>
      <c r="AO503" s="100" t="str">
        <f aca="false">IF(ISBLANK($C503),"",IF($Z503&lt;&gt;Constants!$B$7,$Z503,S503))</f>
        <v/>
      </c>
      <c r="AP503" s="101" t="str">
        <f aca="false">IF(ISBLANK($C503),"",IF($Z503&lt;&gt;Constants!$B$7,$Z503,AF503))</f>
        <v/>
      </c>
      <c r="AQ503" s="102" t="str">
        <f aca="false">IF(ISBLANK($C503),"",IF($Z503&lt;&gt;Constants!$B$7,$Z503,AA503))</f>
        <v/>
      </c>
      <c r="AR503" s="100" t="str">
        <f aca="false">IF(ISBLANK($C503),"",AL503)</f>
        <v/>
      </c>
      <c r="AS503" s="100" t="str">
        <f aca="false">IF(ISBLANK($C503),"",AK503)</f>
        <v/>
      </c>
      <c r="AT503" s="103" t="str">
        <f aca="false">IF(ISBLANK($C503),"",IF(AS503=Constants!$B$4,COUNTA($C$8:$C$507)+2,IF(AS503=Constants!$B$5,COUNTA($C$8:$C$507)+1,IF(AS503=Constants!$B$6,COUNTA($C$8:$C$507),AS503))))</f>
        <v/>
      </c>
      <c r="AU503" s="5"/>
      <c r="AV503" s="104" t="n">
        <f aca="false">IF(OR(ISNUMBER(AS503),AS503=Constants!$B$4,AS503=Constants!$B$6,AS503=Constants!$B$5),1,0)</f>
        <v>0</v>
      </c>
      <c r="AW503" s="104" t="n">
        <v>496</v>
      </c>
      <c r="AX503" s="104" t="str">
        <f aca="false">IF(ISBLANK($C503),"",IF(ISNUMBER(AT503),AT503+ROW($B503)/1000,""))</f>
        <v/>
      </c>
      <c r="AY503" s="104" t="str">
        <f aca="false">IF(ISNUMBER(AX503),RANK(AX503,$AX$8:$AX$507,1),"")</f>
        <v/>
      </c>
      <c r="AZ503" s="104" t="str">
        <f aca="false">IF(ISBLANK($C503),"",$B503)</f>
        <v/>
      </c>
      <c r="BA503" s="104" t="str">
        <f aca="false">IF(ISBLANK($C503),"",$C503)</f>
        <v/>
      </c>
      <c r="BB503" s="104" t="str">
        <f aca="false">IF(ISBLANK($C503),"",$D503)</f>
        <v/>
      </c>
      <c r="BC503" s="105" t="str">
        <f aca="false">AQ503</f>
        <v/>
      </c>
      <c r="BD503" s="106" t="str">
        <f aca="false">AP503</f>
        <v/>
      </c>
      <c r="BE503" s="104" t="str">
        <f aca="false">IF(ISBLANK($C503),"",AS503)</f>
        <v/>
      </c>
      <c r="BF503" s="107" t="str">
        <f aca="false">IF($AW503&gt;$AV$7,"",VLOOKUP($AW503,$AY$8:$BE$507,7,FALSE()))</f>
        <v/>
      </c>
      <c r="BG503" s="108" t="str">
        <f aca="false">IF($AW503&gt;$AV$7,"",VLOOKUP($AW503,$AY$8:$BE$507,2,FALSE()))</f>
        <v/>
      </c>
      <c r="BH503" s="108" t="str">
        <f aca="false">IF($AW503&gt;$AV$7,"",VLOOKUP($AW503,$AY$8:$BE$507,3,FALSE()))</f>
        <v/>
      </c>
      <c r="BI503" s="108" t="str">
        <f aca="false">IF($AW503&gt;$AV$7,"",VLOOKUP($AW503,$AY$8:$BE$507,4,FALSE()))</f>
        <v/>
      </c>
      <c r="BJ503" s="108" t="str">
        <f aca="false">IF($AW503&gt;$AV$7,"",VLOOKUP($AW503,$AY$8:$BE$507,5,FALSE()))</f>
        <v/>
      </c>
      <c r="BK503" s="109" t="str">
        <f aca="false">IF($AW503&gt;$AV$7,"",VLOOKUP($AW503,$AY$8:$BE$507,6,FALSE()))</f>
        <v/>
      </c>
      <c r="BL503" s="50"/>
    </row>
    <row r="504" customFormat="false" ht="15.75" hidden="false" customHeight="false" outlineLevel="0" collapsed="false">
      <c r="A504" s="5"/>
      <c r="B504" s="124"/>
      <c r="C504" s="125"/>
      <c r="D504" s="110"/>
      <c r="E504" s="130"/>
      <c r="F504" s="135"/>
      <c r="G504" s="88"/>
      <c r="H504" s="136"/>
      <c r="I504" s="137"/>
      <c r="J504" s="91"/>
      <c r="K504" s="92"/>
      <c r="L504" s="137"/>
      <c r="M504" s="93"/>
      <c r="N504" s="94"/>
      <c r="O504" s="130"/>
      <c r="P504" s="96"/>
      <c r="Q504" s="97" t="str">
        <f aca="false">IF(ISBLANK($C504),"",IF(E504=Constants!$B$2, TRUE(), IF(E504=Constants!$B$3, FALSE(), TRUE())))</f>
        <v/>
      </c>
      <c r="R504" s="97" t="str">
        <f aca="false">IF(ISBLANK($C504),"",IF(F504=Constants!$B$2, TRUE(), IF(F504=Constants!$B$3, FALSE(), TRUE())))</f>
        <v/>
      </c>
      <c r="S504" s="97" t="str">
        <f aca="false">IF(ISBLANK($C504),"",IF(G504=Constants!$B$15,Constants!$B$8,IF(G504=Constants!$B$16,Constants!$B$9,Constants!$B$10)))</f>
        <v/>
      </c>
      <c r="T504" s="97" t="str">
        <f aca="false">IF(ISBLANK($C504),"",IF(H504=Constants!$B$2, TRUE(), IF(H504=Constants!$B$3, FALSE(), TRUE())))</f>
        <v/>
      </c>
      <c r="U504" s="97" t="str">
        <f aca="false">IF(ISBLANK($C504),"",IF(I504=Constants!$B$19,Constants!$B$19,Constants!$B$18))</f>
        <v/>
      </c>
      <c r="V504" s="97" t="str">
        <f aca="false">IF(ISBLANK($C504),"",IF(COUNTA(J504:K504)=0,"",IF(AND(OR(ISBLANK(J504),AND(ISNUMBER(J504),J504&gt;=0)),OR(ISBLANK(K504),AND(ISNUMBER(K504),K504&gt;=0))),60*IF(ISBLANK(J504),0,J504)+IF(ISBLANK(K504),0,K504),"")))</f>
        <v/>
      </c>
      <c r="W504" s="97" t="str">
        <f aca="false">IF(ISBLANK($C504),"",IF(L504=Constants!$B$19,Constants!$B$19,Constants!$B$18))</f>
        <v/>
      </c>
      <c r="X504" s="97" t="str">
        <f aca="false">IF(ISBLANK($C504),"",IF(COUNTA(M504:N504)=0,"",IF(AND(OR(ISBLANK(M504),AND(ISNUMBER(M504),M504&gt;=0)),OR(ISBLANK(N504),AND(ISNUMBER(N504),N504&gt;=0))),60*IF(ISBLANK(M504),0,M504)+IF(ISBLANK(N504),0,N504),"")))</f>
        <v/>
      </c>
      <c r="Y504" s="97" t="str">
        <f aca="false">IF(ISBLANK($C504),"",IF(O504=Constants!$B$2, TRUE(), IF(O504=Constants!$B$3, FALSE(), FALSE())))</f>
        <v/>
      </c>
      <c r="Z504" s="97" t="str">
        <f aca="false">IF(ISBLANK($C504),"",IF(Y504,Constants!$B$4,IF(COUNTA(E504:N504)=0,Constants!$B$5,IF(COUNTA(J504:K504,M504:N504)=0,Constants!$B$6,Constants!$B$7))))</f>
        <v/>
      </c>
      <c r="AA504" s="97" t="str">
        <f aca="false">IF(ISBLANK($C504),"",IF($Z504&lt;&gt;Constants!$B$7,$Z504,IF(OR(NOT(T504),AND(NOT(Q504),COUNTIFS(U504:W504,Constants!$B$18,V504:X504,"&gt;=0")&gt;0),AND(NOT(R504),COUNTIFS(U504:W504,Constants!$B$19,V504:X504,"&gt;=0")&gt;0)),Constants!$B$12,Constants!$B$11)))</f>
        <v/>
      </c>
      <c r="AB504" s="97" t="str">
        <f aca="false">IF($Z504=Constants!$B$7,IF(V504="",Constants!$B$13,V504),"")</f>
        <v/>
      </c>
      <c r="AC504" s="97" t="str">
        <f aca="false">IF($Z504=Constants!$B$7,IF(X504="",Constants!$B$13,X504),"")</f>
        <v/>
      </c>
      <c r="AD504" s="97" t="str">
        <f aca="false">IF($Z504=Constants!$B$7,IF($AB504&gt;=$AC504,1,2),"")</f>
        <v/>
      </c>
      <c r="AE504" s="97" t="str">
        <f aca="false">IF($Z504=Constants!$B$7,LARGE(AB504:AC504,1),"")</f>
        <v/>
      </c>
      <c r="AF504" s="97" t="str">
        <f aca="false">IF(ISBLANK($C504),"",IF($Z504&lt;&gt;Constants!$B$7,$Z504,AE504*S504))</f>
        <v/>
      </c>
      <c r="AG504" s="97" t="str">
        <f aca="false">IF(ISBLANK($C504),"",IF($Z504=Constants!$B$7,IF(ISNUMBER(AF504),RANK(AF504,$AF$8:$AF$507),Constants!$B$14),$Z504))</f>
        <v/>
      </c>
      <c r="AH504" s="97" t="str">
        <f aca="false">IF(ISBLANK($C504),"",IF($Z504=Constants!$B$7,IF(ISNUMBER(AG504),COUNTIFS($AA$8:$AA$507,"&lt;"&amp;$AA504)+COUNTIFS($AA$8:$AA$507,$AA504,$AG$8:$AG$507,"&lt;"&amp;$AG504)+1,Constants!$B$14),$Z504))</f>
        <v/>
      </c>
      <c r="AI504" s="97" t="str">
        <f aca="false">IF(ISBLANK($C504),"",IF($Z504=Constants!$B$7,LARGE(AB504:AC504,2)*S504,""))</f>
        <v/>
      </c>
      <c r="AJ504" s="97" t="str">
        <f aca="false">IF(ISBLANK($C504),"",IF($Z504=Constants!$B$7,RANK(AI504,$AI$8:$AI$507),$Z504))</f>
        <v/>
      </c>
      <c r="AK504" s="97" t="str">
        <f aca="false">IF(ISBLANK($C504),"",IF($Z504=Constants!$B$7,IF(ISNUMBER(AG504),COUNTIFS($AA$8:$AA$507,"&lt;"&amp;$AA504)+COUNTIFS($AA$8:$AA$507,$AA504,$AG$8:$AG$507,"&lt;"&amp;$AG504)+COUNTIFS($AA$8:$AA$507,$AA504,$AG$8:$AG$507,$AG504,$AJ$8:$AJ$507,"&lt;"&amp;$AJ504)+1,Constants!$B$14),$Z504))</f>
        <v/>
      </c>
      <c r="AL504" s="97" t="str">
        <f aca="false">IF(ISBLANK($C504),"",IF($Z504=Constants!$B$7,IF(ISNUMBER(AH504),AH504-AK504,Constants!$B$14),$Z504))</f>
        <v/>
      </c>
      <c r="AM504" s="98"/>
      <c r="AN504" s="99" t="str">
        <f aca="false">IF(ISBLANK($C504),"",IF($Z504&lt;&gt;Constants!$B$7,$Z504,AD504))</f>
        <v/>
      </c>
      <c r="AO504" s="100" t="str">
        <f aca="false">IF(ISBLANK($C504),"",IF($Z504&lt;&gt;Constants!$B$7,$Z504,S504))</f>
        <v/>
      </c>
      <c r="AP504" s="101" t="str">
        <f aca="false">IF(ISBLANK($C504),"",IF($Z504&lt;&gt;Constants!$B$7,$Z504,AF504))</f>
        <v/>
      </c>
      <c r="AQ504" s="102" t="str">
        <f aca="false">IF(ISBLANK($C504),"",IF($Z504&lt;&gt;Constants!$B$7,$Z504,AA504))</f>
        <v/>
      </c>
      <c r="AR504" s="100" t="str">
        <f aca="false">IF(ISBLANK($C504),"",AL504)</f>
        <v/>
      </c>
      <c r="AS504" s="100" t="str">
        <f aca="false">IF(ISBLANK($C504),"",AK504)</f>
        <v/>
      </c>
      <c r="AT504" s="103" t="str">
        <f aca="false">IF(ISBLANK($C504),"",IF(AS504=Constants!$B$4,COUNTA($C$8:$C$507)+2,IF(AS504=Constants!$B$5,COUNTA($C$8:$C$507)+1,IF(AS504=Constants!$B$6,COUNTA($C$8:$C$507),AS504))))</f>
        <v/>
      </c>
      <c r="AU504" s="5"/>
      <c r="AV504" s="104" t="n">
        <f aca="false">IF(OR(ISNUMBER(AS504),AS504=Constants!$B$4,AS504=Constants!$B$6,AS504=Constants!$B$5),1,0)</f>
        <v>0</v>
      </c>
      <c r="AW504" s="104" t="n">
        <v>497</v>
      </c>
      <c r="AX504" s="104" t="str">
        <f aca="false">IF(ISBLANK($C504),"",IF(ISNUMBER(AT504),AT504+ROW($B504)/1000,""))</f>
        <v/>
      </c>
      <c r="AY504" s="104" t="str">
        <f aca="false">IF(ISNUMBER(AX504),RANK(AX504,$AX$8:$AX$507,1),"")</f>
        <v/>
      </c>
      <c r="AZ504" s="104" t="str">
        <f aca="false">IF(ISBLANK($C504),"",$B504)</f>
        <v/>
      </c>
      <c r="BA504" s="104" t="str">
        <f aca="false">IF(ISBLANK($C504),"",$C504)</f>
        <v/>
      </c>
      <c r="BB504" s="104" t="str">
        <f aca="false">IF(ISBLANK($C504),"",$D504)</f>
        <v/>
      </c>
      <c r="BC504" s="105" t="str">
        <f aca="false">AQ504</f>
        <v/>
      </c>
      <c r="BD504" s="106" t="str">
        <f aca="false">AP504</f>
        <v/>
      </c>
      <c r="BE504" s="104" t="str">
        <f aca="false">IF(ISBLANK($C504),"",AS504)</f>
        <v/>
      </c>
      <c r="BF504" s="107" t="str">
        <f aca="false">IF($AW504&gt;$AV$7,"",VLOOKUP($AW504,$AY$8:$BE$507,7,FALSE()))</f>
        <v/>
      </c>
      <c r="BG504" s="108" t="str">
        <f aca="false">IF($AW504&gt;$AV$7,"",VLOOKUP($AW504,$AY$8:$BE$507,2,FALSE()))</f>
        <v/>
      </c>
      <c r="BH504" s="108" t="str">
        <f aca="false">IF($AW504&gt;$AV$7,"",VLOOKUP($AW504,$AY$8:$BE$507,3,FALSE()))</f>
        <v/>
      </c>
      <c r="BI504" s="108" t="str">
        <f aca="false">IF($AW504&gt;$AV$7,"",VLOOKUP($AW504,$AY$8:$BE$507,4,FALSE()))</f>
        <v/>
      </c>
      <c r="BJ504" s="108" t="str">
        <f aca="false">IF($AW504&gt;$AV$7,"",VLOOKUP($AW504,$AY$8:$BE$507,5,FALSE()))</f>
        <v/>
      </c>
      <c r="BK504" s="109" t="str">
        <f aca="false">IF($AW504&gt;$AV$7,"",VLOOKUP($AW504,$AY$8:$BE$507,6,FALSE()))</f>
        <v/>
      </c>
      <c r="BL504" s="50"/>
    </row>
    <row r="505" customFormat="false" ht="15.75" hidden="false" customHeight="false" outlineLevel="0" collapsed="false">
      <c r="A505" s="5"/>
      <c r="B505" s="124"/>
      <c r="C505" s="125"/>
      <c r="D505" s="110"/>
      <c r="E505" s="130"/>
      <c r="F505" s="135"/>
      <c r="G505" s="88"/>
      <c r="H505" s="136"/>
      <c r="I505" s="137"/>
      <c r="J505" s="91"/>
      <c r="K505" s="92"/>
      <c r="L505" s="137"/>
      <c r="M505" s="93"/>
      <c r="N505" s="94"/>
      <c r="O505" s="130"/>
      <c r="P505" s="96"/>
      <c r="Q505" s="97" t="str">
        <f aca="false">IF(ISBLANK($C505),"",IF(E505=Constants!$B$2, TRUE(), IF(E505=Constants!$B$3, FALSE(), TRUE())))</f>
        <v/>
      </c>
      <c r="R505" s="97" t="str">
        <f aca="false">IF(ISBLANK($C505),"",IF(F505=Constants!$B$2, TRUE(), IF(F505=Constants!$B$3, FALSE(), TRUE())))</f>
        <v/>
      </c>
      <c r="S505" s="97" t="str">
        <f aca="false">IF(ISBLANK($C505),"",IF(G505=Constants!$B$15,Constants!$B$8,IF(G505=Constants!$B$16,Constants!$B$9,Constants!$B$10)))</f>
        <v/>
      </c>
      <c r="T505" s="97" t="str">
        <f aca="false">IF(ISBLANK($C505),"",IF(H505=Constants!$B$2, TRUE(), IF(H505=Constants!$B$3, FALSE(), TRUE())))</f>
        <v/>
      </c>
      <c r="U505" s="97" t="str">
        <f aca="false">IF(ISBLANK($C505),"",IF(I505=Constants!$B$19,Constants!$B$19,Constants!$B$18))</f>
        <v/>
      </c>
      <c r="V505" s="97" t="str">
        <f aca="false">IF(ISBLANK($C505),"",IF(COUNTA(J505:K505)=0,"",IF(AND(OR(ISBLANK(J505),AND(ISNUMBER(J505),J505&gt;=0)),OR(ISBLANK(K505),AND(ISNUMBER(K505),K505&gt;=0))),60*IF(ISBLANK(J505),0,J505)+IF(ISBLANK(K505),0,K505),"")))</f>
        <v/>
      </c>
      <c r="W505" s="97" t="str">
        <f aca="false">IF(ISBLANK($C505),"",IF(L505=Constants!$B$19,Constants!$B$19,Constants!$B$18))</f>
        <v/>
      </c>
      <c r="X505" s="97" t="str">
        <f aca="false">IF(ISBLANK($C505),"",IF(COUNTA(M505:N505)=0,"",IF(AND(OR(ISBLANK(M505),AND(ISNUMBER(M505),M505&gt;=0)),OR(ISBLANK(N505),AND(ISNUMBER(N505),N505&gt;=0))),60*IF(ISBLANK(M505),0,M505)+IF(ISBLANK(N505),0,N505),"")))</f>
        <v/>
      </c>
      <c r="Y505" s="97" t="str">
        <f aca="false">IF(ISBLANK($C505),"",IF(O505=Constants!$B$2, TRUE(), IF(O505=Constants!$B$3, FALSE(), FALSE())))</f>
        <v/>
      </c>
      <c r="Z505" s="97" t="str">
        <f aca="false">IF(ISBLANK($C505),"",IF(Y505,Constants!$B$4,IF(COUNTA(E505:N505)=0,Constants!$B$5,IF(COUNTA(J505:K505,M505:N505)=0,Constants!$B$6,Constants!$B$7))))</f>
        <v/>
      </c>
      <c r="AA505" s="97" t="str">
        <f aca="false">IF(ISBLANK($C505),"",IF($Z505&lt;&gt;Constants!$B$7,$Z505,IF(OR(NOT(T505),AND(NOT(Q505),COUNTIFS(U505:W505,Constants!$B$18,V505:X505,"&gt;=0")&gt;0),AND(NOT(R505),COUNTIFS(U505:W505,Constants!$B$19,V505:X505,"&gt;=0")&gt;0)),Constants!$B$12,Constants!$B$11)))</f>
        <v/>
      </c>
      <c r="AB505" s="97" t="str">
        <f aca="false">IF($Z505=Constants!$B$7,IF(V505="",Constants!$B$13,V505),"")</f>
        <v/>
      </c>
      <c r="AC505" s="97" t="str">
        <f aca="false">IF($Z505=Constants!$B$7,IF(X505="",Constants!$B$13,X505),"")</f>
        <v/>
      </c>
      <c r="AD505" s="97" t="str">
        <f aca="false">IF($Z505=Constants!$B$7,IF($AB505&gt;=$AC505,1,2),"")</f>
        <v/>
      </c>
      <c r="AE505" s="97" t="str">
        <f aca="false">IF($Z505=Constants!$B$7,LARGE(AB505:AC505,1),"")</f>
        <v/>
      </c>
      <c r="AF505" s="97" t="str">
        <f aca="false">IF(ISBLANK($C505),"",IF($Z505&lt;&gt;Constants!$B$7,$Z505,AE505*S505))</f>
        <v/>
      </c>
      <c r="AG505" s="97" t="str">
        <f aca="false">IF(ISBLANK($C505),"",IF($Z505=Constants!$B$7,IF(ISNUMBER(AF505),RANK(AF505,$AF$8:$AF$507),Constants!$B$14),$Z505))</f>
        <v/>
      </c>
      <c r="AH505" s="97" t="str">
        <f aca="false">IF(ISBLANK($C505),"",IF($Z505=Constants!$B$7,IF(ISNUMBER(AG505),COUNTIFS($AA$8:$AA$507,"&lt;"&amp;$AA505)+COUNTIFS($AA$8:$AA$507,$AA505,$AG$8:$AG$507,"&lt;"&amp;$AG505)+1,Constants!$B$14),$Z505))</f>
        <v/>
      </c>
      <c r="AI505" s="97" t="str">
        <f aca="false">IF(ISBLANK($C505),"",IF($Z505=Constants!$B$7,LARGE(AB505:AC505,2)*S505,""))</f>
        <v/>
      </c>
      <c r="AJ505" s="97" t="str">
        <f aca="false">IF(ISBLANK($C505),"",IF($Z505=Constants!$B$7,RANK(AI505,$AI$8:$AI$507),$Z505))</f>
        <v/>
      </c>
      <c r="AK505" s="97" t="str">
        <f aca="false">IF(ISBLANK($C505),"",IF($Z505=Constants!$B$7,IF(ISNUMBER(AG505),COUNTIFS($AA$8:$AA$507,"&lt;"&amp;$AA505)+COUNTIFS($AA$8:$AA$507,$AA505,$AG$8:$AG$507,"&lt;"&amp;$AG505)+COUNTIFS($AA$8:$AA$507,$AA505,$AG$8:$AG$507,$AG505,$AJ$8:$AJ$507,"&lt;"&amp;$AJ505)+1,Constants!$B$14),$Z505))</f>
        <v/>
      </c>
      <c r="AL505" s="97" t="str">
        <f aca="false">IF(ISBLANK($C505),"",IF($Z505=Constants!$B$7,IF(ISNUMBER(AH505),AH505-AK505,Constants!$B$14),$Z505))</f>
        <v/>
      </c>
      <c r="AM505" s="98"/>
      <c r="AN505" s="99" t="str">
        <f aca="false">IF(ISBLANK($C505),"",IF($Z505&lt;&gt;Constants!$B$7,$Z505,AD505))</f>
        <v/>
      </c>
      <c r="AO505" s="100" t="str">
        <f aca="false">IF(ISBLANK($C505),"",IF($Z505&lt;&gt;Constants!$B$7,$Z505,S505))</f>
        <v/>
      </c>
      <c r="AP505" s="101" t="str">
        <f aca="false">IF(ISBLANK($C505),"",IF($Z505&lt;&gt;Constants!$B$7,$Z505,AF505))</f>
        <v/>
      </c>
      <c r="AQ505" s="102" t="str">
        <f aca="false">IF(ISBLANK($C505),"",IF($Z505&lt;&gt;Constants!$B$7,$Z505,AA505))</f>
        <v/>
      </c>
      <c r="AR505" s="100" t="str">
        <f aca="false">IF(ISBLANK($C505),"",AL505)</f>
        <v/>
      </c>
      <c r="AS505" s="100" t="str">
        <f aca="false">IF(ISBLANK($C505),"",AK505)</f>
        <v/>
      </c>
      <c r="AT505" s="103" t="str">
        <f aca="false">IF(ISBLANK($C505),"",IF(AS505=Constants!$B$4,COUNTA($C$8:$C$507)+2,IF(AS505=Constants!$B$5,COUNTA($C$8:$C$507)+1,IF(AS505=Constants!$B$6,COUNTA($C$8:$C$507),AS505))))</f>
        <v/>
      </c>
      <c r="AU505" s="5"/>
      <c r="AV505" s="104" t="n">
        <f aca="false">IF(OR(ISNUMBER(AS505),AS505=Constants!$B$4,AS505=Constants!$B$6,AS505=Constants!$B$5),1,0)</f>
        <v>0</v>
      </c>
      <c r="AW505" s="104" t="n">
        <v>498</v>
      </c>
      <c r="AX505" s="104" t="str">
        <f aca="false">IF(ISBLANK($C505),"",IF(ISNUMBER(AT505),AT505+ROW($B505)/1000,""))</f>
        <v/>
      </c>
      <c r="AY505" s="104" t="str">
        <f aca="false">IF(ISNUMBER(AX505),RANK(AX505,$AX$8:$AX$507,1),"")</f>
        <v/>
      </c>
      <c r="AZ505" s="104" t="str">
        <f aca="false">IF(ISBLANK($C505),"",$B505)</f>
        <v/>
      </c>
      <c r="BA505" s="104" t="str">
        <f aca="false">IF(ISBLANK($C505),"",$C505)</f>
        <v/>
      </c>
      <c r="BB505" s="104" t="str">
        <f aca="false">IF(ISBLANK($C505),"",$D505)</f>
        <v/>
      </c>
      <c r="BC505" s="105" t="str">
        <f aca="false">AQ505</f>
        <v/>
      </c>
      <c r="BD505" s="106" t="str">
        <f aca="false">AP505</f>
        <v/>
      </c>
      <c r="BE505" s="104" t="str">
        <f aca="false">IF(ISBLANK($C505),"",AS505)</f>
        <v/>
      </c>
      <c r="BF505" s="107" t="str">
        <f aca="false">IF($AW505&gt;$AV$7,"",VLOOKUP($AW505,$AY$8:$BE$507,7,FALSE()))</f>
        <v/>
      </c>
      <c r="BG505" s="108" t="str">
        <f aca="false">IF($AW505&gt;$AV$7,"",VLOOKUP($AW505,$AY$8:$BE$507,2,FALSE()))</f>
        <v/>
      </c>
      <c r="BH505" s="108" t="str">
        <f aca="false">IF($AW505&gt;$AV$7,"",VLOOKUP($AW505,$AY$8:$BE$507,3,FALSE()))</f>
        <v/>
      </c>
      <c r="BI505" s="108" t="str">
        <f aca="false">IF($AW505&gt;$AV$7,"",VLOOKUP($AW505,$AY$8:$BE$507,4,FALSE()))</f>
        <v/>
      </c>
      <c r="BJ505" s="108" t="str">
        <f aca="false">IF($AW505&gt;$AV$7,"",VLOOKUP($AW505,$AY$8:$BE$507,5,FALSE()))</f>
        <v/>
      </c>
      <c r="BK505" s="109" t="str">
        <f aca="false">IF($AW505&gt;$AV$7,"",VLOOKUP($AW505,$AY$8:$BE$507,6,FALSE()))</f>
        <v/>
      </c>
      <c r="BL505" s="50"/>
    </row>
    <row r="506" customFormat="false" ht="15.75" hidden="false" customHeight="false" outlineLevel="0" collapsed="false">
      <c r="A506" s="5"/>
      <c r="B506" s="131"/>
      <c r="C506" s="52"/>
      <c r="D506" s="53"/>
      <c r="E506" s="80"/>
      <c r="F506" s="132"/>
      <c r="G506" s="56"/>
      <c r="H506" s="133"/>
      <c r="I506" s="134"/>
      <c r="J506" s="59"/>
      <c r="K506" s="60"/>
      <c r="L506" s="134"/>
      <c r="M506" s="61"/>
      <c r="N506" s="62"/>
      <c r="O506" s="80"/>
      <c r="P506" s="64"/>
      <c r="Q506" s="65" t="str">
        <f aca="false">IF(ISBLANK($C506),"",IF(E506=Constants!$B$2, TRUE(), IF(E506=Constants!$B$3, FALSE(), TRUE())))</f>
        <v/>
      </c>
      <c r="R506" s="65" t="str">
        <f aca="false">IF(ISBLANK($C506),"",IF(F506=Constants!$B$2, TRUE(), IF(F506=Constants!$B$3, FALSE(), TRUE())))</f>
        <v/>
      </c>
      <c r="S506" s="65" t="str">
        <f aca="false">IF(ISBLANK($C506),"",IF(G506=Constants!$B$15,Constants!$B$8,IF(G506=Constants!$B$16,Constants!$B$9,Constants!$B$10)))</f>
        <v/>
      </c>
      <c r="T506" s="65" t="str">
        <f aca="false">IF(ISBLANK($C506),"",IF(H506=Constants!$B$2, TRUE(), IF(H506=Constants!$B$3, FALSE(), TRUE())))</f>
        <v/>
      </c>
      <c r="U506" s="65" t="str">
        <f aca="false">IF(ISBLANK($C506),"",IF(I506=Constants!$B$19,Constants!$B$19,Constants!$B$18))</f>
        <v/>
      </c>
      <c r="V506" s="65" t="str">
        <f aca="false">IF(ISBLANK($C506),"",IF(COUNTA(J506:K506)=0,"",IF(AND(OR(ISBLANK(J506),AND(ISNUMBER(J506),J506&gt;=0)),OR(ISBLANK(K506),AND(ISNUMBER(K506),K506&gt;=0))),60*IF(ISBLANK(J506),0,J506)+IF(ISBLANK(K506),0,K506),"")))</f>
        <v/>
      </c>
      <c r="W506" s="65" t="str">
        <f aca="false">IF(ISBLANK($C506),"",IF(L506=Constants!$B$19,Constants!$B$19,Constants!$B$18))</f>
        <v/>
      </c>
      <c r="X506" s="65" t="str">
        <f aca="false">IF(ISBLANK($C506),"",IF(COUNTA(M506:N506)=0,"",IF(AND(OR(ISBLANK(M506),AND(ISNUMBER(M506),M506&gt;=0)),OR(ISBLANK(N506),AND(ISNUMBER(N506),N506&gt;=0))),60*IF(ISBLANK(M506),0,M506)+IF(ISBLANK(N506),0,N506),"")))</f>
        <v/>
      </c>
      <c r="Y506" s="65" t="str">
        <f aca="false">IF(ISBLANK($C506),"",IF(O506=Constants!$B$2, TRUE(), IF(O506=Constants!$B$3, FALSE(), FALSE())))</f>
        <v/>
      </c>
      <c r="Z506" s="65" t="str">
        <f aca="false">IF(ISBLANK($C506),"",IF(Y506,Constants!$B$4,IF(COUNTA(E506:N506)=0,Constants!$B$5,IF(COUNTA(J506:K506,M506:N506)=0,Constants!$B$6,Constants!$B$7))))</f>
        <v/>
      </c>
      <c r="AA506" s="65" t="str">
        <f aca="false">IF(ISBLANK($C506),"",IF($Z506&lt;&gt;Constants!$B$7,$Z506,IF(OR(NOT(T506),AND(NOT(Q506),COUNTIFS(U506:W506,Constants!$B$18,V506:X506,"&gt;=0")&gt;0),AND(NOT(R506),COUNTIFS(U506:W506,Constants!$B$19,V506:X506,"&gt;=0")&gt;0)),Constants!$B$12,Constants!$B$11)))</f>
        <v/>
      </c>
      <c r="AB506" s="65" t="str">
        <f aca="false">IF($Z506=Constants!$B$7,IF(V506="",Constants!$B$13,V506),"")</f>
        <v/>
      </c>
      <c r="AC506" s="65" t="str">
        <f aca="false">IF($Z506=Constants!$B$7,IF(X506="",Constants!$B$13,X506),"")</f>
        <v/>
      </c>
      <c r="AD506" s="65" t="str">
        <f aca="false">IF($Z506=Constants!$B$7,IF($AB506&gt;=$AC506,1,2),"")</f>
        <v/>
      </c>
      <c r="AE506" s="65" t="str">
        <f aca="false">IF($Z506=Constants!$B$7,LARGE(AB506:AC506,1),"")</f>
        <v/>
      </c>
      <c r="AF506" s="65" t="str">
        <f aca="false">IF(ISBLANK($C506),"",IF($Z506&lt;&gt;Constants!$B$7,$Z506,AE506*S506))</f>
        <v/>
      </c>
      <c r="AG506" s="65" t="str">
        <f aca="false">IF(ISBLANK($C506),"",IF($Z506=Constants!$B$7,IF(ISNUMBER(AF506),RANK(AF506,$AF$8:$AF$507),Constants!$B$14),$Z506))</f>
        <v/>
      </c>
      <c r="AH506" s="65" t="str">
        <f aca="false">IF(ISBLANK($C506),"",IF($Z506=Constants!$B$7,IF(ISNUMBER(AG506),COUNTIFS($AA$8:$AA$507,"&lt;"&amp;$AA506)+COUNTIFS($AA$8:$AA$507,$AA506,$AG$8:$AG$507,"&lt;"&amp;$AG506)+1,Constants!$B$14),$Z506))</f>
        <v/>
      </c>
      <c r="AI506" s="65" t="str">
        <f aca="false">IF(ISBLANK($C506),"",IF($Z506=Constants!$B$7,LARGE(AB506:AC506,2)*S506,""))</f>
        <v/>
      </c>
      <c r="AJ506" s="65" t="str">
        <f aca="false">IF(ISBLANK($C506),"",IF($Z506=Constants!$B$7,RANK(AI506,$AI$8:$AI$507),$Z506))</f>
        <v/>
      </c>
      <c r="AK506" s="65" t="str">
        <f aca="false">IF(ISBLANK($C506),"",IF($Z506=Constants!$B$7,IF(ISNUMBER(AG506),COUNTIFS($AA$8:$AA$507,"&lt;"&amp;$AA506)+COUNTIFS($AA$8:$AA$507,$AA506,$AG$8:$AG$507,"&lt;"&amp;$AG506)+COUNTIFS($AA$8:$AA$507,$AA506,$AG$8:$AG$507,$AG506,$AJ$8:$AJ$507,"&lt;"&amp;$AJ506)+1,Constants!$B$14),$Z506))</f>
        <v/>
      </c>
      <c r="AL506" s="65" t="str">
        <f aca="false">IF(ISBLANK($C506),"",IF($Z506=Constants!$B$7,IF(ISNUMBER(AH506),AH506-AK506,Constants!$B$14),$Z506))</f>
        <v/>
      </c>
      <c r="AM506" s="67"/>
      <c r="AN506" s="68" t="str">
        <f aca="false">IF(ISBLANK($C506),"",IF($Z506&lt;&gt;Constants!$B$7,$Z506,AD506))</f>
        <v/>
      </c>
      <c r="AO506" s="69" t="str">
        <f aca="false">IF(ISBLANK($C506),"",IF($Z506&lt;&gt;Constants!$B$7,$Z506,S506))</f>
        <v/>
      </c>
      <c r="AP506" s="70" t="str">
        <f aca="false">IF(ISBLANK($C506),"",IF($Z506&lt;&gt;Constants!$B$7,$Z506,AF506))</f>
        <v/>
      </c>
      <c r="AQ506" s="71" t="str">
        <f aca="false">IF(ISBLANK($C506),"",IF($Z506&lt;&gt;Constants!$B$7,$Z506,AA506))</f>
        <v/>
      </c>
      <c r="AR506" s="69" t="str">
        <f aca="false">IF(ISBLANK($C506),"",AL506)</f>
        <v/>
      </c>
      <c r="AS506" s="69" t="str">
        <f aca="false">IF(ISBLANK($C506),"",AK506)</f>
        <v/>
      </c>
      <c r="AT506" s="72" t="str">
        <f aca="false">IF(ISBLANK($C506),"",IF(AS506=Constants!$B$4,COUNTA($C$8:$C$507)+2,IF(AS506=Constants!$B$5,COUNTA($C$8:$C$507)+1,IF(AS506=Constants!$B$6,COUNTA($C$8:$C$507),AS506))))</f>
        <v/>
      </c>
      <c r="AU506" s="5"/>
      <c r="AV506" s="73" t="n">
        <f aca="false">IF(OR(ISNUMBER(AS506),AS506=Constants!$B$4,AS506=Constants!$B$6,AS506=Constants!$B$5),1,0)</f>
        <v>0</v>
      </c>
      <c r="AW506" s="73" t="n">
        <v>499</v>
      </c>
      <c r="AX506" s="73" t="str">
        <f aca="false">IF(ISBLANK($C506),"",IF(ISNUMBER(AT506),AT506+ROW($B506)/1000,""))</f>
        <v/>
      </c>
      <c r="AY506" s="73" t="str">
        <f aca="false">IF(ISNUMBER(AX506),RANK(AX506,$AX$8:$AX$507,1),"")</f>
        <v/>
      </c>
      <c r="AZ506" s="73" t="str">
        <f aca="false">IF(ISBLANK($C506),"",$B506)</f>
        <v/>
      </c>
      <c r="BA506" s="73" t="str">
        <f aca="false">IF(ISBLANK($C506),"",$C506)</f>
        <v/>
      </c>
      <c r="BB506" s="73" t="str">
        <f aca="false">IF(ISBLANK($C506),"",$D506)</f>
        <v/>
      </c>
      <c r="BC506" s="74" t="str">
        <f aca="false">AQ506</f>
        <v/>
      </c>
      <c r="BD506" s="75" t="str">
        <f aca="false">AP506</f>
        <v/>
      </c>
      <c r="BE506" s="73" t="str">
        <f aca="false">IF(ISBLANK($C506),"",AS506)</f>
        <v/>
      </c>
      <c r="BF506" s="76" t="str">
        <f aca="false">IF($AW506&gt;$AV$7,"",VLOOKUP($AW506,$AY$8:$BE$507,7,FALSE()))</f>
        <v/>
      </c>
      <c r="BG506" s="77" t="str">
        <f aca="false">IF($AW506&gt;$AV$7,"",VLOOKUP($AW506,$AY$8:$BE$507,2,FALSE()))</f>
        <v/>
      </c>
      <c r="BH506" s="77" t="str">
        <f aca="false">IF($AW506&gt;$AV$7,"",VLOOKUP($AW506,$AY$8:$BE$507,3,FALSE()))</f>
        <v/>
      </c>
      <c r="BI506" s="77" t="str">
        <f aca="false">IF($AW506&gt;$AV$7,"",VLOOKUP($AW506,$AY$8:$BE$507,4,FALSE()))</f>
        <v/>
      </c>
      <c r="BJ506" s="77" t="str">
        <f aca="false">IF($AW506&gt;$AV$7,"",VLOOKUP($AW506,$AY$8:$BE$507,5,FALSE()))</f>
        <v/>
      </c>
      <c r="BK506" s="78" t="str">
        <f aca="false">IF($AW506&gt;$AV$7,"",VLOOKUP($AW506,$AY$8:$BE$507,6,FALSE()))</f>
        <v/>
      </c>
      <c r="BL506" s="50"/>
    </row>
    <row r="507" customFormat="false" ht="15.75" hidden="false" customHeight="false" outlineLevel="0" collapsed="false">
      <c r="A507" s="5"/>
      <c r="B507" s="131"/>
      <c r="C507" s="52"/>
      <c r="D507" s="53"/>
      <c r="E507" s="80"/>
      <c r="F507" s="132"/>
      <c r="G507" s="56"/>
      <c r="H507" s="133"/>
      <c r="I507" s="134"/>
      <c r="J507" s="59"/>
      <c r="K507" s="60"/>
      <c r="L507" s="134"/>
      <c r="M507" s="61"/>
      <c r="N507" s="62"/>
      <c r="O507" s="80"/>
      <c r="P507" s="64"/>
      <c r="Q507" s="65" t="str">
        <f aca="false">IF(ISBLANK($C507),"",IF(E507=Constants!$B$2, TRUE(), IF(E507=Constants!$B$3, FALSE(), TRUE())))</f>
        <v/>
      </c>
      <c r="R507" s="65" t="str">
        <f aca="false">IF(ISBLANK($C507),"",IF(F507=Constants!$B$2, TRUE(), IF(F507=Constants!$B$3, FALSE(), TRUE())))</f>
        <v/>
      </c>
      <c r="S507" s="65" t="str">
        <f aca="false">IF(ISBLANK($C507),"",IF(G507=Constants!$B$15,Constants!$B$8,IF(G507=Constants!$B$16,Constants!$B$9,Constants!$B$10)))</f>
        <v/>
      </c>
      <c r="T507" s="65" t="str">
        <f aca="false">IF(ISBLANK($C507),"",IF(H507=Constants!$B$2, TRUE(), IF(H507=Constants!$B$3, FALSE(), TRUE())))</f>
        <v/>
      </c>
      <c r="U507" s="65" t="str">
        <f aca="false">IF(ISBLANK($C507),"",IF(I507=Constants!$B$19,Constants!$B$19,Constants!$B$18))</f>
        <v/>
      </c>
      <c r="V507" s="65" t="str">
        <f aca="false">IF(ISBLANK($C507),"",IF(COUNTA(J507:K507)=0,"",IF(AND(OR(ISBLANK(J507),AND(ISNUMBER(J507),J507&gt;=0)),OR(ISBLANK(K507),AND(ISNUMBER(K507),K507&gt;=0))),60*IF(ISBLANK(J507),0,J507)+IF(ISBLANK(K507),0,K507),"")))</f>
        <v/>
      </c>
      <c r="W507" s="65" t="str">
        <f aca="false">IF(ISBLANK($C507),"",IF(L507=Constants!$B$19,Constants!$B$19,Constants!$B$18))</f>
        <v/>
      </c>
      <c r="X507" s="65" t="str">
        <f aca="false">IF(ISBLANK($C507),"",IF(COUNTA(M507:N507)=0,"",IF(AND(OR(ISBLANK(M507),AND(ISNUMBER(M507),M507&gt;=0)),OR(ISBLANK(N507),AND(ISNUMBER(N507),N507&gt;=0))),60*IF(ISBLANK(M507),0,M507)+IF(ISBLANK(N507),0,N507),"")))</f>
        <v/>
      </c>
      <c r="Y507" s="65" t="str">
        <f aca="false">IF(ISBLANK($C507),"",IF(O507=Constants!$B$2, TRUE(), IF(O507=Constants!$B$3, FALSE(), FALSE())))</f>
        <v/>
      </c>
      <c r="Z507" s="65" t="str">
        <f aca="false">IF(ISBLANK($C507),"",IF(Y507,Constants!$B$4,IF(COUNTA(E507:N507)=0,Constants!$B$5,IF(COUNTA(J507:K507,M507:N507)=0,Constants!$B$6,Constants!$B$7))))</f>
        <v/>
      </c>
      <c r="AA507" s="65" t="str">
        <f aca="false">IF(ISBLANK($C507),"",IF($Z507&lt;&gt;Constants!$B$7,$Z507,IF(OR(NOT(T507),AND(NOT(Q507),COUNTIFS(U507:W507,Constants!$B$18,V507:X507,"&gt;=0")&gt;0),AND(NOT(R507),COUNTIFS(U507:W507,Constants!$B$19,V507:X507,"&gt;=0")&gt;0)),Constants!$B$12,Constants!$B$11)))</f>
        <v/>
      </c>
      <c r="AB507" s="65" t="str">
        <f aca="false">IF($Z507=Constants!$B$7,IF(V507="",Constants!$B$13,V507),"")</f>
        <v/>
      </c>
      <c r="AC507" s="65" t="str">
        <f aca="false">IF($Z507=Constants!$B$7,IF(X507="",Constants!$B$13,X507),"")</f>
        <v/>
      </c>
      <c r="AD507" s="65" t="str">
        <f aca="false">IF($Z507=Constants!$B$7,IF($AB507&gt;=$AC507,1,2),"")</f>
        <v/>
      </c>
      <c r="AE507" s="65" t="str">
        <f aca="false">IF($Z507=Constants!$B$7,LARGE(AB507:AC507,1),"")</f>
        <v/>
      </c>
      <c r="AF507" s="65" t="str">
        <f aca="false">IF(ISBLANK($C507),"",IF($Z507&lt;&gt;Constants!$B$7,$Z507,AE507*S507))</f>
        <v/>
      </c>
      <c r="AG507" s="65" t="str">
        <f aca="false">IF(ISBLANK($C507),"",IF($Z507=Constants!$B$7,IF(ISNUMBER(AF507),RANK(AF507,$AF$8:$AF$507),Constants!$B$14),$Z507))</f>
        <v/>
      </c>
      <c r="AH507" s="65" t="str">
        <f aca="false">IF(ISBLANK($C507),"",IF($Z507=Constants!$B$7,IF(ISNUMBER(AG507),COUNTIFS($AA$8:$AA$507,"&lt;"&amp;$AA507)+COUNTIFS($AA$8:$AA$507,$AA507,$AG$8:$AG$507,"&lt;"&amp;$AG507)+1,Constants!$B$14),$Z507))</f>
        <v/>
      </c>
      <c r="AI507" s="65" t="str">
        <f aca="false">IF(ISBLANK($C507),"",IF($Z507=Constants!$B$7,LARGE(AB507:AC507,2)*S507,""))</f>
        <v/>
      </c>
      <c r="AJ507" s="65" t="str">
        <f aca="false">IF(ISBLANK($C507),"",IF($Z507=Constants!$B$7,RANK(AI507,$AI$8:$AI$507),$Z507))</f>
        <v/>
      </c>
      <c r="AK507" s="65" t="str">
        <f aca="false">IF(ISBLANK($C507),"",IF($Z507=Constants!$B$7,IF(ISNUMBER(AG507),COUNTIFS($AA$8:$AA$507,"&lt;"&amp;$AA507)+COUNTIFS($AA$8:$AA$507,$AA507,$AG$8:$AG$507,"&lt;"&amp;$AG507)+COUNTIFS($AA$8:$AA$507,$AA507,$AG$8:$AG$507,$AG507,$AJ$8:$AJ$507,"&lt;"&amp;$AJ507)+1,Constants!$B$14),$Z507))</f>
        <v/>
      </c>
      <c r="AL507" s="65" t="str">
        <f aca="false">IF(ISBLANK($C507),"",IF($Z507=Constants!$B$7,IF(ISNUMBER(AH507),AH507-AK507,Constants!$B$14),$Z507))</f>
        <v/>
      </c>
      <c r="AM507" s="67"/>
      <c r="AN507" s="68" t="str">
        <f aca="false">IF(ISBLANK($C507),"",IF($Z507&lt;&gt;Constants!$B$7,$Z507,AD507))</f>
        <v/>
      </c>
      <c r="AO507" s="69" t="str">
        <f aca="false">IF(ISBLANK($C507),"",IF($Z507&lt;&gt;Constants!$B$7,$Z507,S507))</f>
        <v/>
      </c>
      <c r="AP507" s="70" t="str">
        <f aca="false">IF(ISBLANK($C507),"",IF($Z507&lt;&gt;Constants!$B$7,$Z507,AF507))</f>
        <v/>
      </c>
      <c r="AQ507" s="71" t="str">
        <f aca="false">IF(ISBLANK($C507),"",IF($Z507&lt;&gt;Constants!$B$7,$Z507,AA507))</f>
        <v/>
      </c>
      <c r="AR507" s="69" t="str">
        <f aca="false">IF(ISBLANK($C507),"",AL507)</f>
        <v/>
      </c>
      <c r="AS507" s="69" t="str">
        <f aca="false">IF(ISBLANK($C507),"",AK507)</f>
        <v/>
      </c>
      <c r="AT507" s="72" t="str">
        <f aca="false">IF(ISBLANK($C507),"",IF(AS507=Constants!$B$4,COUNTA($C$8:$C$507)+2,IF(AS507=Constants!$B$5,COUNTA($C$8:$C$507)+1,IF(AS507=Constants!$B$6,COUNTA($C$8:$C$507),AS507))))</f>
        <v/>
      </c>
      <c r="AU507" s="5"/>
      <c r="AV507" s="73" t="n">
        <f aca="false">IF(OR(ISNUMBER(AS507),AS507=Constants!$B$4,AS507=Constants!$B$6,AS507=Constants!$B$5),1,0)</f>
        <v>0</v>
      </c>
      <c r="AW507" s="73" t="n">
        <v>500</v>
      </c>
      <c r="AX507" s="73" t="str">
        <f aca="false">IF(ISBLANK($C507),"",IF(ISNUMBER(AT507),AT507+ROW($B507)/1000,""))</f>
        <v/>
      </c>
      <c r="AY507" s="73" t="str">
        <f aca="false">IF(ISNUMBER(AX507),RANK(AX507,$AX$8:$AX$507,1),"")</f>
        <v/>
      </c>
      <c r="AZ507" s="73" t="str">
        <f aca="false">IF(ISBLANK($C507),"",$B507)</f>
        <v/>
      </c>
      <c r="BA507" s="73" t="str">
        <f aca="false">IF(ISBLANK($C507),"",$C507)</f>
        <v/>
      </c>
      <c r="BB507" s="73" t="str">
        <f aca="false">IF(ISBLANK($C507),"",$D507)</f>
        <v/>
      </c>
      <c r="BC507" s="74" t="str">
        <f aca="false">AQ507</f>
        <v/>
      </c>
      <c r="BD507" s="75" t="str">
        <f aca="false">AP507</f>
        <v/>
      </c>
      <c r="BE507" s="73" t="str">
        <f aca="false">IF(ISBLANK($C507),"",AS507)</f>
        <v/>
      </c>
      <c r="BF507" s="76" t="str">
        <f aca="false">IF($AW507&gt;$AV$7,"",VLOOKUP($AW507,$AY$8:$BE$507,7,FALSE()))</f>
        <v/>
      </c>
      <c r="BG507" s="77" t="str">
        <f aca="false">IF($AW507&gt;$AV$7,"",VLOOKUP($AW507,$AY$8:$BE$507,2,FALSE()))</f>
        <v/>
      </c>
      <c r="BH507" s="77" t="str">
        <f aca="false">IF($AW507&gt;$AV$7,"",VLOOKUP($AW507,$AY$8:$BE$507,3,FALSE()))</f>
        <v/>
      </c>
      <c r="BI507" s="77" t="str">
        <f aca="false">IF($AW507&gt;$AV$7,"",VLOOKUP($AW507,$AY$8:$BE$507,4,FALSE()))</f>
        <v/>
      </c>
      <c r="BJ507" s="77" t="str">
        <f aca="false">IF($AW507&gt;$AV$7,"",VLOOKUP($AW507,$AY$8:$BE$507,5,FALSE()))</f>
        <v/>
      </c>
      <c r="BK507" s="78" t="str">
        <f aca="false">IF($AW507&gt;$AV$7,"",VLOOKUP($AW507,$AY$8:$BE$507,6,FALSE()))</f>
        <v/>
      </c>
      <c r="BL507" s="50"/>
    </row>
  </sheetData>
  <mergeCells count="52">
    <mergeCell ref="B2:D3"/>
    <mergeCell ref="E2:G2"/>
    <mergeCell ref="H2:N2"/>
    <mergeCell ref="P2:P6"/>
    <mergeCell ref="AM2:AM6"/>
    <mergeCell ref="AN2:AO2"/>
    <mergeCell ref="AP2:AT2"/>
    <mergeCell ref="AX2:AX7"/>
    <mergeCell ref="AY2:AY7"/>
    <mergeCell ref="AZ2:AZ7"/>
    <mergeCell ref="BA2:BA7"/>
    <mergeCell ref="BB2:BB7"/>
    <mergeCell ref="BC2:BC7"/>
    <mergeCell ref="BD2:BD7"/>
    <mergeCell ref="BE2:BE7"/>
    <mergeCell ref="BF2:BK2"/>
    <mergeCell ref="G3:G7"/>
    <mergeCell ref="H3:H7"/>
    <mergeCell ref="I3:K3"/>
    <mergeCell ref="L3:N3"/>
    <mergeCell ref="O3:O7"/>
    <mergeCell ref="Q3:Q7"/>
    <mergeCell ref="R3:R7"/>
    <mergeCell ref="S3:S7"/>
    <mergeCell ref="T3:T7"/>
    <mergeCell ref="U3:U7"/>
    <mergeCell ref="V3:V7"/>
    <mergeCell ref="W3:W7"/>
    <mergeCell ref="X3:X7"/>
    <mergeCell ref="Y3:Y7"/>
    <mergeCell ref="AN3:AN7"/>
    <mergeCell ref="AO3:AO7"/>
    <mergeCell ref="AP3:AP7"/>
    <mergeCell ref="AQ3:AQ7"/>
    <mergeCell ref="AR3:AR7"/>
    <mergeCell ref="AS3:AS7"/>
    <mergeCell ref="AT3:AT7"/>
    <mergeCell ref="BF3:BF7"/>
    <mergeCell ref="BG3:BG7"/>
    <mergeCell ref="BH3:BH7"/>
    <mergeCell ref="BI3:BI7"/>
    <mergeCell ref="BJ3:BJ7"/>
    <mergeCell ref="BK3:BK7"/>
    <mergeCell ref="B4:D4"/>
    <mergeCell ref="E4:E7"/>
    <mergeCell ref="F4:F7"/>
    <mergeCell ref="I4:I7"/>
    <mergeCell ref="J4:K6"/>
    <mergeCell ref="L4:L7"/>
    <mergeCell ref="M4:N6"/>
    <mergeCell ref="B5:D5"/>
    <mergeCell ref="B6:D6"/>
  </mergeCells>
  <conditionalFormatting sqref="E8:F507 H8:H507">
    <cfRule type="cellIs" priority="2" operator="equal" aboveAverage="0" equalAverage="0" bottom="0" percent="0" rank="0" text="" dxfId="0">
      <formula>"F"</formula>
    </cfRule>
  </conditionalFormatting>
  <conditionalFormatting sqref="B4:D4">
    <cfRule type="containsText" priority="3" operator="containsText" aboveAverage="0" equalAverage="0" bottom="0" percent="0" rank="0" text="download" dxfId="1">
      <formula>NOT(ISERROR(SEARCH("download",B4)))</formula>
    </cfRule>
  </conditionalFormatting>
  <conditionalFormatting sqref="O8:O507">
    <cfRule type="cellIs" priority="4" operator="equal" aboveAverage="0" equalAverage="0" bottom="0" percent="0" rank="0" text="" dxfId="0">
      <formula>"T"</formula>
    </cfRule>
  </conditionalFormatting>
  <conditionalFormatting sqref="G8:G507">
    <cfRule type="cellIs" priority="5" operator="equal" aboveAverage="0" equalAverage="0" bottom="0" percent="0" rank="0" text="" dxfId="2">
      <formula>"Complete"</formula>
    </cfRule>
    <cfRule type="cellIs" priority="6" operator="equal" aboveAverage="0" equalAverage="0" bottom="0" percent="0" rank="0" text="" dxfId="2">
      <formula>"Partial"</formula>
    </cfRule>
  </conditionalFormatting>
  <dataValidations count="5">
    <dataValidation allowBlank="true" errorStyle="stop" operator="between" prompt="True (T)/False (F)" showDropDown="false" showErrorMessage="true" showInputMessage="true" sqref="E8:F507 H8:H507 O8:O507" type="list">
      <formula1>"T,F"</formula1>
      <formula2>0</formula2>
    </dataValidation>
    <dataValidation allowBlank="true" errorStyle="stop" operator="between" prompt="Complete / Partial / Not present (blank = Not present)" showDropDown="false" showErrorMessage="true" showInputMessage="true" sqref="G8:G507" type="list">
      <formula1>Constants!$B$15:$B$17</formula1>
      <formula2>0</formula2>
    </dataValidation>
    <dataValidation allowBlank="true" errorStyle="stop" operator="between" prompt="Plane A or B (blank = A)" showDropDown="false" showErrorMessage="true" showInputMessage="true" sqref="I8:I507 L8:L507" type="list">
      <formula1>Constants!$B$18:$B$19</formula1>
      <formula2>0</formula2>
    </dataValidation>
    <dataValidation allowBlank="true" errorStyle="stop" operator="greaterThanOrEqual" prompt="Seconds" showDropDown="false" showErrorMessage="true" showInputMessage="true" sqref="K8:K507 N8:N507" type="decimal">
      <formula1>0</formula1>
      <formula2>0</formula2>
    </dataValidation>
    <dataValidation allowBlank="true" errorStyle="stop" operator="greaterThanOrEqual" prompt="Minutes" showDropDown="false" showErrorMessage="true" showInputMessage="true" sqref="J8:J507 M8:M507" type="whole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9.91"/>
  </cols>
  <sheetData>
    <row r="1" customFormat="false" ht="15.75" hidden="false" customHeight="false" outlineLevel="0" collapsed="false">
      <c r="A1" s="138" t="s">
        <v>47</v>
      </c>
      <c r="B1" s="138" t="s">
        <v>48</v>
      </c>
    </row>
    <row r="2" customFormat="false" ht="15.75" hidden="false" customHeight="false" outlineLevel="0" collapsed="false">
      <c r="A2" s="138" t="b">
        <f aca="false">TRUE()</f>
        <v>1</v>
      </c>
      <c r="B2" s="138" t="s">
        <v>49</v>
      </c>
    </row>
    <row r="3" customFormat="false" ht="15.75" hidden="false" customHeight="false" outlineLevel="0" collapsed="false">
      <c r="A3" s="138" t="b">
        <f aca="false">FALSE()</f>
        <v>0</v>
      </c>
      <c r="B3" s="138" t="s">
        <v>50</v>
      </c>
    </row>
    <row r="4" customFormat="false" ht="15.75" hidden="false" customHeight="false" outlineLevel="0" collapsed="false">
      <c r="A4" s="138" t="s">
        <v>51</v>
      </c>
      <c r="B4" s="138" t="s">
        <v>52</v>
      </c>
    </row>
    <row r="5" customFormat="false" ht="15.75" hidden="false" customHeight="false" outlineLevel="0" collapsed="false">
      <c r="A5" s="138" t="s">
        <v>53</v>
      </c>
      <c r="B5" s="138" t="s">
        <v>54</v>
      </c>
    </row>
    <row r="6" customFormat="false" ht="15.75" hidden="false" customHeight="false" outlineLevel="0" collapsed="false">
      <c r="A6" s="138" t="s">
        <v>55</v>
      </c>
      <c r="B6" s="138" t="s">
        <v>56</v>
      </c>
    </row>
    <row r="7" customFormat="false" ht="15.75" hidden="false" customHeight="false" outlineLevel="0" collapsed="false">
      <c r="A7" s="138" t="s">
        <v>57</v>
      </c>
      <c r="B7" s="138" t="s">
        <v>58</v>
      </c>
    </row>
    <row r="8" customFormat="false" ht="15.75" hidden="false" customHeight="false" outlineLevel="0" collapsed="false">
      <c r="A8" s="138" t="s">
        <v>59</v>
      </c>
      <c r="B8" s="138" t="n">
        <v>1.2</v>
      </c>
    </row>
    <row r="9" customFormat="false" ht="15.75" hidden="false" customHeight="false" outlineLevel="0" collapsed="false">
      <c r="A9" s="138" t="s">
        <v>60</v>
      </c>
      <c r="B9" s="138" t="n">
        <v>1.1</v>
      </c>
    </row>
    <row r="10" customFormat="false" ht="15.75" hidden="false" customHeight="false" outlineLevel="0" collapsed="false">
      <c r="A10" s="138" t="s">
        <v>61</v>
      </c>
      <c r="B10" s="138" t="n">
        <v>1</v>
      </c>
    </row>
    <row r="11" customFormat="false" ht="15.75" hidden="false" customHeight="false" outlineLevel="0" collapsed="false">
      <c r="A11" s="138" t="s">
        <v>62</v>
      </c>
      <c r="B11" s="138" t="n">
        <v>1</v>
      </c>
    </row>
    <row r="12" customFormat="false" ht="15.75" hidden="false" customHeight="false" outlineLevel="0" collapsed="false">
      <c r="A12" s="138" t="s">
        <v>63</v>
      </c>
      <c r="B12" s="138" t="n">
        <v>2</v>
      </c>
    </row>
    <row r="13" customFormat="false" ht="15.75" hidden="false" customHeight="false" outlineLevel="0" collapsed="false">
      <c r="A13" s="138" t="s">
        <v>64</v>
      </c>
      <c r="B13" s="138" t="n">
        <v>0</v>
      </c>
    </row>
    <row r="14" customFormat="false" ht="15.75" hidden="false" customHeight="false" outlineLevel="0" collapsed="false">
      <c r="A14" s="138" t="s">
        <v>65</v>
      </c>
      <c r="B14" s="138" t="s">
        <v>66</v>
      </c>
    </row>
    <row r="15" customFormat="false" ht="15.75" hidden="false" customHeight="false" outlineLevel="0" collapsed="false">
      <c r="A15" s="138" t="s">
        <v>67</v>
      </c>
      <c r="B15" s="138" t="s">
        <v>68</v>
      </c>
    </row>
    <row r="16" customFormat="false" ht="15.75" hidden="false" customHeight="false" outlineLevel="0" collapsed="false">
      <c r="A16" s="138" t="s">
        <v>69</v>
      </c>
      <c r="B16" s="138" t="s">
        <v>70</v>
      </c>
    </row>
    <row r="17" customFormat="false" ht="15.75" hidden="false" customHeight="false" outlineLevel="0" collapsed="false">
      <c r="A17" s="138" t="s">
        <v>71</v>
      </c>
      <c r="B17" s="138" t="s">
        <v>72</v>
      </c>
    </row>
    <row r="18" customFormat="false" ht="15.75" hidden="false" customHeight="false" outlineLevel="0" collapsed="false">
      <c r="A18" s="138" t="s">
        <v>12</v>
      </c>
      <c r="B18" s="138" t="s">
        <v>73</v>
      </c>
    </row>
    <row r="19" customFormat="false" ht="15.75" hidden="false" customHeight="false" outlineLevel="0" collapsed="false">
      <c r="A19" s="138" t="s">
        <v>13</v>
      </c>
      <c r="B19" s="138" t="s">
        <v>74</v>
      </c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328125" defaultRowHeight="15.75" customHeight="true" zeroHeight="false" outlineLevelRow="0" outlineLevelCol="0"/>
  <sheetData>
    <row r="1" customFormat="false" ht="24.75" hidden="false" customHeight="true" outlineLevel="0" collapsed="false">
      <c r="A1" s="139" t="s">
        <v>26</v>
      </c>
      <c r="B1" s="139" t="s">
        <v>27</v>
      </c>
      <c r="C1" s="139" t="s">
        <v>28</v>
      </c>
      <c r="D1" s="139" t="s">
        <v>37</v>
      </c>
      <c r="E1" s="139" t="s">
        <v>21</v>
      </c>
      <c r="F1" s="139" t="s">
        <v>23</v>
      </c>
      <c r="G1" s="139" t="s">
        <v>22</v>
      </c>
      <c r="H1" s="139" t="s">
        <v>25</v>
      </c>
      <c r="I1" s="139" t="s">
        <v>24</v>
      </c>
    </row>
    <row r="2" customFormat="false" ht="15.75" hidden="false" customHeight="false" outlineLevel="0" collapsed="false">
      <c r="A2" s="140" t="n">
        <f aca="false">ExportRaw!$F2</f>
        <v>0</v>
      </c>
      <c r="B2" s="140" t="n">
        <f aca="false">ExportRaw!$C2</f>
        <v>0</v>
      </c>
      <c r="C2" s="140" t="n">
        <f aca="false">ExportRaw!$G2</f>
        <v>0</v>
      </c>
      <c r="D2" s="140" t="str">
        <f aca="false">ExportRaw!$E2</f>
        <v/>
      </c>
      <c r="E2" s="141" t="str">
        <f aca="false">ExportRaw!$D2</f>
        <v/>
      </c>
      <c r="F2" s="140" t="str">
        <f aca="false">ExportRaw!$H2</f>
        <v/>
      </c>
      <c r="G2" s="142" t="str">
        <f aca="false">ExportRaw!$I2</f>
        <v/>
      </c>
      <c r="H2" s="140" t="str">
        <f aca="false">ExportRaw!$A2</f>
        <v/>
      </c>
      <c r="I2" s="140" t="str">
        <f aca="false">ExportRaw!$B2</f>
        <v/>
      </c>
    </row>
    <row r="3" customFormat="false" ht="15.75" hidden="false" customHeight="false" outlineLevel="0" collapsed="false">
      <c r="A3" s="140" t="n">
        <f aca="false">ExportRaw!$F3</f>
        <v>0</v>
      </c>
      <c r="B3" s="140" t="n">
        <f aca="false">ExportRaw!$C3</f>
        <v>0</v>
      </c>
      <c r="C3" s="140" t="n">
        <f aca="false">ExportRaw!$G3</f>
        <v>0</v>
      </c>
      <c r="D3" s="140" t="str">
        <f aca="false">ExportRaw!$E3</f>
        <v/>
      </c>
      <c r="E3" s="141" t="str">
        <f aca="false">ExportRaw!$D3</f>
        <v/>
      </c>
      <c r="F3" s="140" t="str">
        <f aca="false">ExportRaw!$H3</f>
        <v/>
      </c>
      <c r="G3" s="142" t="str">
        <f aca="false">ExportRaw!$I3</f>
        <v/>
      </c>
      <c r="H3" s="140" t="str">
        <f aca="false">ExportRaw!$A3</f>
        <v/>
      </c>
      <c r="I3" s="140" t="str">
        <f aca="false">ExportRaw!$B3</f>
        <v/>
      </c>
    </row>
    <row r="4" customFormat="false" ht="15.75" hidden="false" customHeight="false" outlineLevel="0" collapsed="false">
      <c r="A4" s="140" t="n">
        <f aca="false">ExportRaw!$F4</f>
        <v>0</v>
      </c>
      <c r="B4" s="140" t="n">
        <f aca="false">ExportRaw!$C4</f>
        <v>0</v>
      </c>
      <c r="C4" s="140" t="n">
        <f aca="false">ExportRaw!$G4</f>
        <v>0</v>
      </c>
      <c r="D4" s="140" t="str">
        <f aca="false">ExportRaw!$E4</f>
        <v/>
      </c>
      <c r="E4" s="141" t="str">
        <f aca="false">ExportRaw!$D4</f>
        <v/>
      </c>
      <c r="F4" s="140" t="str">
        <f aca="false">ExportRaw!$H4</f>
        <v/>
      </c>
      <c r="G4" s="142" t="str">
        <f aca="false">ExportRaw!$I4</f>
        <v/>
      </c>
      <c r="H4" s="140" t="str">
        <f aca="false">ExportRaw!$A4</f>
        <v/>
      </c>
      <c r="I4" s="140" t="str">
        <f aca="false">ExportRaw!$B4</f>
        <v/>
      </c>
    </row>
    <row r="5" customFormat="false" ht="15.75" hidden="false" customHeight="false" outlineLevel="0" collapsed="false">
      <c r="A5" s="140" t="n">
        <f aca="false">ExportRaw!$F5</f>
        <v>0</v>
      </c>
      <c r="B5" s="140" t="n">
        <f aca="false">ExportRaw!$C5</f>
        <v>0</v>
      </c>
      <c r="C5" s="140" t="n">
        <f aca="false">ExportRaw!$G5</f>
        <v>0</v>
      </c>
      <c r="D5" s="140" t="str">
        <f aca="false">ExportRaw!$E5</f>
        <v/>
      </c>
      <c r="E5" s="141" t="str">
        <f aca="false">ExportRaw!$D5</f>
        <v/>
      </c>
      <c r="F5" s="140" t="str">
        <f aca="false">ExportRaw!$H5</f>
        <v/>
      </c>
      <c r="G5" s="142" t="str">
        <f aca="false">ExportRaw!$I5</f>
        <v/>
      </c>
      <c r="H5" s="140" t="str">
        <f aca="false">ExportRaw!$A5</f>
        <v/>
      </c>
      <c r="I5" s="140" t="str">
        <f aca="false">ExportRaw!$B5</f>
        <v/>
      </c>
    </row>
    <row r="6" customFormat="false" ht="15.75" hidden="false" customHeight="false" outlineLevel="0" collapsed="false">
      <c r="A6" s="140" t="n">
        <f aca="false">ExportRaw!$F6</f>
        <v>0</v>
      </c>
      <c r="B6" s="140" t="n">
        <f aca="false">ExportRaw!$C6</f>
        <v>0</v>
      </c>
      <c r="C6" s="140" t="n">
        <f aca="false">ExportRaw!$G6</f>
        <v>0</v>
      </c>
      <c r="D6" s="140" t="str">
        <f aca="false">ExportRaw!$E6</f>
        <v/>
      </c>
      <c r="E6" s="141" t="str">
        <f aca="false">ExportRaw!$D6</f>
        <v/>
      </c>
      <c r="F6" s="140" t="str">
        <f aca="false">ExportRaw!$H6</f>
        <v/>
      </c>
      <c r="G6" s="142" t="str">
        <f aca="false">ExportRaw!$I6</f>
        <v/>
      </c>
      <c r="H6" s="140" t="str">
        <f aca="false">ExportRaw!$A6</f>
        <v/>
      </c>
      <c r="I6" s="140" t="str">
        <f aca="false">ExportRaw!$B6</f>
        <v/>
      </c>
    </row>
    <row r="7" customFormat="false" ht="15.75" hidden="false" customHeight="false" outlineLevel="0" collapsed="false">
      <c r="A7" s="140" t="n">
        <f aca="false">ExportRaw!$F7</f>
        <v>0</v>
      </c>
      <c r="B7" s="140" t="n">
        <f aca="false">ExportRaw!$C7</f>
        <v>0</v>
      </c>
      <c r="C7" s="140" t="n">
        <f aca="false">ExportRaw!$G7</f>
        <v>0</v>
      </c>
      <c r="D7" s="140" t="str">
        <f aca="false">ExportRaw!$E7</f>
        <v/>
      </c>
      <c r="E7" s="141" t="str">
        <f aca="false">ExportRaw!$D7</f>
        <v/>
      </c>
      <c r="F7" s="140" t="str">
        <f aca="false">ExportRaw!$H7</f>
        <v/>
      </c>
      <c r="G7" s="142" t="str">
        <f aca="false">ExportRaw!$I7</f>
        <v/>
      </c>
      <c r="H7" s="140" t="str">
        <f aca="false">ExportRaw!$A7</f>
        <v/>
      </c>
      <c r="I7" s="140" t="str">
        <f aca="false">ExportRaw!$B7</f>
        <v/>
      </c>
    </row>
    <row r="8" customFormat="false" ht="15.75" hidden="false" customHeight="false" outlineLevel="0" collapsed="false">
      <c r="A8" s="140" t="n">
        <f aca="false">ExportRaw!$F8</f>
        <v>0</v>
      </c>
      <c r="B8" s="140" t="n">
        <f aca="false">ExportRaw!$C8</f>
        <v>0</v>
      </c>
      <c r="C8" s="140" t="n">
        <f aca="false">ExportRaw!$G8</f>
        <v>0</v>
      </c>
      <c r="D8" s="140" t="str">
        <f aca="false">ExportRaw!$E8</f>
        <v/>
      </c>
      <c r="E8" s="141" t="str">
        <f aca="false">ExportRaw!$D8</f>
        <v/>
      </c>
      <c r="F8" s="140" t="str">
        <f aca="false">ExportRaw!$H8</f>
        <v/>
      </c>
      <c r="G8" s="142" t="str">
        <f aca="false">ExportRaw!$I8</f>
        <v/>
      </c>
      <c r="H8" s="140" t="str">
        <f aca="false">ExportRaw!$A8</f>
        <v/>
      </c>
      <c r="I8" s="140" t="str">
        <f aca="false">ExportRaw!$B8</f>
        <v/>
      </c>
    </row>
    <row r="9" customFormat="false" ht="15.75" hidden="false" customHeight="false" outlineLevel="0" collapsed="false">
      <c r="A9" s="140" t="n">
        <f aca="false">ExportRaw!$F9</f>
        <v>0</v>
      </c>
      <c r="B9" s="140" t="n">
        <f aca="false">ExportRaw!$C9</f>
        <v>0</v>
      </c>
      <c r="C9" s="140" t="n">
        <f aca="false">ExportRaw!$G9</f>
        <v>0</v>
      </c>
      <c r="D9" s="140" t="str">
        <f aca="false">ExportRaw!$E9</f>
        <v/>
      </c>
      <c r="E9" s="141" t="str">
        <f aca="false">ExportRaw!$D9</f>
        <v/>
      </c>
      <c r="F9" s="140" t="str">
        <f aca="false">ExportRaw!$H9</f>
        <v/>
      </c>
      <c r="G9" s="142" t="str">
        <f aca="false">ExportRaw!$I9</f>
        <v/>
      </c>
      <c r="H9" s="140" t="str">
        <f aca="false">ExportRaw!$A9</f>
        <v/>
      </c>
      <c r="I9" s="140" t="str">
        <f aca="false">ExportRaw!$B9</f>
        <v/>
      </c>
    </row>
    <row r="10" customFormat="false" ht="15.75" hidden="false" customHeight="false" outlineLevel="0" collapsed="false">
      <c r="A10" s="140" t="n">
        <f aca="false">ExportRaw!$F10</f>
        <v>0</v>
      </c>
      <c r="B10" s="140" t="n">
        <f aca="false">ExportRaw!$C10</f>
        <v>0</v>
      </c>
      <c r="C10" s="140" t="n">
        <f aca="false">ExportRaw!$G10</f>
        <v>0</v>
      </c>
      <c r="D10" s="140" t="str">
        <f aca="false">ExportRaw!$E10</f>
        <v/>
      </c>
      <c r="E10" s="141" t="str">
        <f aca="false">ExportRaw!$D10</f>
        <v/>
      </c>
      <c r="F10" s="140" t="str">
        <f aca="false">ExportRaw!$H10</f>
        <v/>
      </c>
      <c r="G10" s="142" t="str">
        <f aca="false">ExportRaw!$I10</f>
        <v/>
      </c>
      <c r="H10" s="140" t="str">
        <f aca="false">ExportRaw!$A10</f>
        <v/>
      </c>
      <c r="I10" s="140" t="str">
        <f aca="false">ExportRaw!$B10</f>
        <v/>
      </c>
    </row>
    <row r="11" customFormat="false" ht="15.75" hidden="false" customHeight="false" outlineLevel="0" collapsed="false">
      <c r="A11" s="140" t="n">
        <f aca="false">ExportRaw!$F11</f>
        <v>0</v>
      </c>
      <c r="B11" s="140" t="n">
        <f aca="false">ExportRaw!$C11</f>
        <v>0</v>
      </c>
      <c r="C11" s="140" t="n">
        <f aca="false">ExportRaw!$G11</f>
        <v>0</v>
      </c>
      <c r="D11" s="140" t="str">
        <f aca="false">ExportRaw!$E11</f>
        <v/>
      </c>
      <c r="E11" s="141" t="str">
        <f aca="false">ExportRaw!$D11</f>
        <v/>
      </c>
      <c r="F11" s="140" t="str">
        <f aca="false">ExportRaw!$H11</f>
        <v/>
      </c>
      <c r="G11" s="142" t="str">
        <f aca="false">ExportRaw!$I11</f>
        <v/>
      </c>
      <c r="H11" s="140" t="str">
        <f aca="false">ExportRaw!$A11</f>
        <v/>
      </c>
      <c r="I11" s="140" t="str">
        <f aca="false">ExportRaw!$B11</f>
        <v/>
      </c>
    </row>
    <row r="12" customFormat="false" ht="15.75" hidden="false" customHeight="false" outlineLevel="0" collapsed="false">
      <c r="A12" s="140" t="n">
        <f aca="false">ExportRaw!$F12</f>
        <v>0</v>
      </c>
      <c r="B12" s="140" t="n">
        <f aca="false">ExportRaw!$C12</f>
        <v>0</v>
      </c>
      <c r="C12" s="140" t="n">
        <f aca="false">ExportRaw!$G12</f>
        <v>0</v>
      </c>
      <c r="D12" s="140" t="str">
        <f aca="false">ExportRaw!$E12</f>
        <v/>
      </c>
      <c r="E12" s="141" t="str">
        <f aca="false">ExportRaw!$D12</f>
        <v/>
      </c>
      <c r="F12" s="140" t="str">
        <f aca="false">ExportRaw!$H12</f>
        <v/>
      </c>
      <c r="G12" s="142" t="str">
        <f aca="false">ExportRaw!$I12</f>
        <v/>
      </c>
      <c r="H12" s="140" t="str">
        <f aca="false">ExportRaw!$A12</f>
        <v/>
      </c>
      <c r="I12" s="140" t="str">
        <f aca="false">ExportRaw!$B12</f>
        <v/>
      </c>
    </row>
    <row r="13" customFormat="false" ht="15.75" hidden="false" customHeight="false" outlineLevel="0" collapsed="false">
      <c r="A13" s="140" t="n">
        <f aca="false">ExportRaw!$F13</f>
        <v>0</v>
      </c>
      <c r="B13" s="140" t="n">
        <f aca="false">ExportRaw!$C13</f>
        <v>0</v>
      </c>
      <c r="C13" s="140" t="n">
        <f aca="false">ExportRaw!$G13</f>
        <v>0</v>
      </c>
      <c r="D13" s="140" t="str">
        <f aca="false">ExportRaw!$E13</f>
        <v/>
      </c>
      <c r="E13" s="141" t="str">
        <f aca="false">ExportRaw!$D13</f>
        <v/>
      </c>
      <c r="F13" s="140" t="str">
        <f aca="false">ExportRaw!$H13</f>
        <v/>
      </c>
      <c r="G13" s="142" t="str">
        <f aca="false">ExportRaw!$I13</f>
        <v/>
      </c>
      <c r="H13" s="140" t="str">
        <f aca="false">ExportRaw!$A13</f>
        <v/>
      </c>
      <c r="I13" s="140" t="str">
        <f aca="false">ExportRaw!$B13</f>
        <v/>
      </c>
    </row>
    <row r="14" customFormat="false" ht="15.75" hidden="false" customHeight="false" outlineLevel="0" collapsed="false">
      <c r="A14" s="140" t="n">
        <f aca="false">ExportRaw!$F14</f>
        <v>0</v>
      </c>
      <c r="B14" s="140" t="n">
        <f aca="false">ExportRaw!$C14</f>
        <v>0</v>
      </c>
      <c r="C14" s="140" t="n">
        <f aca="false">ExportRaw!$G14</f>
        <v>0</v>
      </c>
      <c r="D14" s="140" t="str">
        <f aca="false">ExportRaw!$E14</f>
        <v/>
      </c>
      <c r="E14" s="141" t="str">
        <f aca="false">ExportRaw!$D14</f>
        <v/>
      </c>
      <c r="F14" s="140" t="str">
        <f aca="false">ExportRaw!$H14</f>
        <v/>
      </c>
      <c r="G14" s="142" t="str">
        <f aca="false">ExportRaw!$I14</f>
        <v/>
      </c>
      <c r="H14" s="140" t="str">
        <f aca="false">ExportRaw!$A14</f>
        <v/>
      </c>
      <c r="I14" s="140" t="str">
        <f aca="false">ExportRaw!$B14</f>
        <v/>
      </c>
    </row>
    <row r="15" customFormat="false" ht="15.75" hidden="false" customHeight="false" outlineLevel="0" collapsed="false">
      <c r="A15" s="140" t="n">
        <f aca="false">ExportRaw!$F15</f>
        <v>0</v>
      </c>
      <c r="B15" s="140" t="n">
        <f aca="false">ExportRaw!$C15</f>
        <v>0</v>
      </c>
      <c r="C15" s="140" t="n">
        <f aca="false">ExportRaw!$G15</f>
        <v>0</v>
      </c>
      <c r="D15" s="140" t="str">
        <f aca="false">ExportRaw!$E15</f>
        <v/>
      </c>
      <c r="E15" s="141" t="str">
        <f aca="false">ExportRaw!$D15</f>
        <v/>
      </c>
      <c r="F15" s="140" t="str">
        <f aca="false">ExportRaw!$H15</f>
        <v/>
      </c>
      <c r="G15" s="142" t="str">
        <f aca="false">ExportRaw!$I15</f>
        <v/>
      </c>
      <c r="H15" s="140" t="str">
        <f aca="false">ExportRaw!$A15</f>
        <v/>
      </c>
      <c r="I15" s="140" t="str">
        <f aca="false">ExportRaw!$B15</f>
        <v/>
      </c>
    </row>
    <row r="16" customFormat="false" ht="15.75" hidden="false" customHeight="false" outlineLevel="0" collapsed="false">
      <c r="A16" s="140" t="n">
        <f aca="false">ExportRaw!$F16</f>
        <v>0</v>
      </c>
      <c r="B16" s="140" t="n">
        <f aca="false">ExportRaw!$C16</f>
        <v>0</v>
      </c>
      <c r="C16" s="140" t="n">
        <f aca="false">ExportRaw!$G16</f>
        <v>0</v>
      </c>
      <c r="D16" s="140" t="str">
        <f aca="false">ExportRaw!$E16</f>
        <v/>
      </c>
      <c r="E16" s="141" t="str">
        <f aca="false">ExportRaw!$D16</f>
        <v/>
      </c>
      <c r="F16" s="140" t="str">
        <f aca="false">ExportRaw!$H16</f>
        <v/>
      </c>
      <c r="G16" s="142" t="str">
        <f aca="false">ExportRaw!$I16</f>
        <v/>
      </c>
      <c r="H16" s="140" t="str">
        <f aca="false">ExportRaw!$A16</f>
        <v/>
      </c>
      <c r="I16" s="140" t="str">
        <f aca="false">ExportRaw!$B16</f>
        <v/>
      </c>
    </row>
    <row r="17" customFormat="false" ht="15.75" hidden="false" customHeight="false" outlineLevel="0" collapsed="false">
      <c r="A17" s="140" t="n">
        <f aca="false">ExportRaw!$F17</f>
        <v>0</v>
      </c>
      <c r="B17" s="140" t="n">
        <f aca="false">ExportRaw!$C17</f>
        <v>0</v>
      </c>
      <c r="C17" s="140" t="n">
        <f aca="false">ExportRaw!$G17</f>
        <v>0</v>
      </c>
      <c r="D17" s="140" t="str">
        <f aca="false">ExportRaw!$E17</f>
        <v/>
      </c>
      <c r="E17" s="141" t="str">
        <f aca="false">ExportRaw!$D17</f>
        <v/>
      </c>
      <c r="F17" s="140" t="str">
        <f aca="false">ExportRaw!$H17</f>
        <v/>
      </c>
      <c r="G17" s="142" t="str">
        <f aca="false">ExportRaw!$I17</f>
        <v/>
      </c>
      <c r="H17" s="140" t="str">
        <f aca="false">ExportRaw!$A17</f>
        <v/>
      </c>
      <c r="I17" s="140" t="str">
        <f aca="false">ExportRaw!$B17</f>
        <v/>
      </c>
    </row>
    <row r="18" customFormat="false" ht="15.75" hidden="false" customHeight="false" outlineLevel="0" collapsed="false">
      <c r="A18" s="140" t="n">
        <f aca="false">ExportRaw!$F18</f>
        <v>0</v>
      </c>
      <c r="B18" s="140" t="n">
        <f aca="false">ExportRaw!$C18</f>
        <v>0</v>
      </c>
      <c r="C18" s="140" t="n">
        <f aca="false">ExportRaw!$G18</f>
        <v>0</v>
      </c>
      <c r="D18" s="140" t="str">
        <f aca="false">ExportRaw!$E18</f>
        <v/>
      </c>
      <c r="E18" s="141" t="str">
        <f aca="false">ExportRaw!$D18</f>
        <v/>
      </c>
      <c r="F18" s="140" t="str">
        <f aca="false">ExportRaw!$H18</f>
        <v/>
      </c>
      <c r="G18" s="142" t="str">
        <f aca="false">ExportRaw!$I18</f>
        <v/>
      </c>
      <c r="H18" s="140" t="str">
        <f aca="false">ExportRaw!$A18</f>
        <v/>
      </c>
      <c r="I18" s="140" t="str">
        <f aca="false">ExportRaw!$B18</f>
        <v/>
      </c>
    </row>
    <row r="19" customFormat="false" ht="15.75" hidden="false" customHeight="false" outlineLevel="0" collapsed="false">
      <c r="A19" s="140" t="n">
        <f aca="false">ExportRaw!$F19</f>
        <v>0</v>
      </c>
      <c r="B19" s="140" t="n">
        <f aca="false">ExportRaw!$C19</f>
        <v>0</v>
      </c>
      <c r="C19" s="140" t="n">
        <f aca="false">ExportRaw!$G19</f>
        <v>0</v>
      </c>
      <c r="D19" s="140" t="str">
        <f aca="false">ExportRaw!$E19</f>
        <v/>
      </c>
      <c r="E19" s="141" t="str">
        <f aca="false">ExportRaw!$D19</f>
        <v/>
      </c>
      <c r="F19" s="140" t="str">
        <f aca="false">ExportRaw!$H19</f>
        <v/>
      </c>
      <c r="G19" s="142" t="str">
        <f aca="false">ExportRaw!$I19</f>
        <v/>
      </c>
      <c r="H19" s="140" t="str">
        <f aca="false">ExportRaw!$A19</f>
        <v/>
      </c>
      <c r="I19" s="140" t="str">
        <f aca="false">ExportRaw!$B19</f>
        <v/>
      </c>
    </row>
    <row r="20" customFormat="false" ht="15.75" hidden="false" customHeight="false" outlineLevel="0" collapsed="false">
      <c r="A20" s="140" t="n">
        <f aca="false">ExportRaw!$F20</f>
        <v>0</v>
      </c>
      <c r="B20" s="140" t="n">
        <f aca="false">ExportRaw!$C20</f>
        <v>0</v>
      </c>
      <c r="C20" s="140" t="n">
        <f aca="false">ExportRaw!$G20</f>
        <v>0</v>
      </c>
      <c r="D20" s="140" t="str">
        <f aca="false">ExportRaw!$E20</f>
        <v/>
      </c>
      <c r="E20" s="141" t="str">
        <f aca="false">ExportRaw!$D20</f>
        <v/>
      </c>
      <c r="F20" s="140" t="str">
        <f aca="false">ExportRaw!$H20</f>
        <v/>
      </c>
      <c r="G20" s="142" t="str">
        <f aca="false">ExportRaw!$I20</f>
        <v/>
      </c>
      <c r="H20" s="140" t="str">
        <f aca="false">ExportRaw!$A20</f>
        <v/>
      </c>
      <c r="I20" s="140" t="str">
        <f aca="false">ExportRaw!$B20</f>
        <v/>
      </c>
    </row>
    <row r="21" customFormat="false" ht="15.75" hidden="false" customHeight="false" outlineLevel="0" collapsed="false">
      <c r="A21" s="140" t="n">
        <f aca="false">ExportRaw!$F21</f>
        <v>0</v>
      </c>
      <c r="B21" s="140" t="n">
        <f aca="false">ExportRaw!$C21</f>
        <v>0</v>
      </c>
      <c r="C21" s="140" t="n">
        <f aca="false">ExportRaw!$G21</f>
        <v>0</v>
      </c>
      <c r="D21" s="140" t="str">
        <f aca="false">ExportRaw!$E21</f>
        <v/>
      </c>
      <c r="E21" s="141" t="str">
        <f aca="false">ExportRaw!$D21</f>
        <v/>
      </c>
      <c r="F21" s="140" t="str">
        <f aca="false">ExportRaw!$H21</f>
        <v/>
      </c>
      <c r="G21" s="142" t="str">
        <f aca="false">ExportRaw!$I21</f>
        <v/>
      </c>
      <c r="H21" s="140" t="str">
        <f aca="false">ExportRaw!$A21</f>
        <v/>
      </c>
      <c r="I21" s="140" t="str">
        <f aca="false">ExportRaw!$B21</f>
        <v/>
      </c>
    </row>
    <row r="22" customFormat="false" ht="15.75" hidden="false" customHeight="false" outlineLevel="0" collapsed="false">
      <c r="A22" s="140" t="n">
        <f aca="false">ExportRaw!$F22</f>
        <v>0</v>
      </c>
      <c r="B22" s="140" t="n">
        <f aca="false">ExportRaw!$C22</f>
        <v>0</v>
      </c>
      <c r="C22" s="140" t="n">
        <f aca="false">ExportRaw!$G22</f>
        <v>0</v>
      </c>
      <c r="D22" s="140" t="str">
        <f aca="false">ExportRaw!$E22</f>
        <v/>
      </c>
      <c r="E22" s="141" t="str">
        <f aca="false">ExportRaw!$D22</f>
        <v/>
      </c>
      <c r="F22" s="140" t="str">
        <f aca="false">ExportRaw!$H22</f>
        <v/>
      </c>
      <c r="G22" s="142" t="str">
        <f aca="false">ExportRaw!$I22</f>
        <v/>
      </c>
      <c r="H22" s="140" t="str">
        <f aca="false">ExportRaw!$A22</f>
        <v/>
      </c>
      <c r="I22" s="140" t="str">
        <f aca="false">ExportRaw!$B22</f>
        <v/>
      </c>
    </row>
    <row r="23" customFormat="false" ht="15.75" hidden="false" customHeight="false" outlineLevel="0" collapsed="false">
      <c r="A23" s="140" t="n">
        <f aca="false">ExportRaw!$F23</f>
        <v>0</v>
      </c>
      <c r="B23" s="140" t="n">
        <f aca="false">ExportRaw!$C23</f>
        <v>0</v>
      </c>
      <c r="C23" s="140" t="n">
        <f aca="false">ExportRaw!$G23</f>
        <v>0</v>
      </c>
      <c r="D23" s="140" t="str">
        <f aca="false">ExportRaw!$E23</f>
        <v/>
      </c>
      <c r="E23" s="141" t="str">
        <f aca="false">ExportRaw!$D23</f>
        <v/>
      </c>
      <c r="F23" s="140" t="str">
        <f aca="false">ExportRaw!$H23</f>
        <v/>
      </c>
      <c r="G23" s="142" t="str">
        <f aca="false">ExportRaw!$I23</f>
        <v/>
      </c>
      <c r="H23" s="140" t="str">
        <f aca="false">ExportRaw!$A23</f>
        <v/>
      </c>
      <c r="I23" s="140" t="str">
        <f aca="false">ExportRaw!$B23</f>
        <v/>
      </c>
    </row>
    <row r="24" customFormat="false" ht="15.75" hidden="false" customHeight="false" outlineLevel="0" collapsed="false">
      <c r="A24" s="140" t="n">
        <f aca="false">ExportRaw!$F24</f>
        <v>0</v>
      </c>
      <c r="B24" s="140" t="n">
        <f aca="false">ExportRaw!$C24</f>
        <v>0</v>
      </c>
      <c r="C24" s="140" t="n">
        <f aca="false">ExportRaw!$G24</f>
        <v>0</v>
      </c>
      <c r="D24" s="140" t="str">
        <f aca="false">ExportRaw!$E24</f>
        <v/>
      </c>
      <c r="E24" s="141" t="str">
        <f aca="false">ExportRaw!$D24</f>
        <v/>
      </c>
      <c r="F24" s="140" t="str">
        <f aca="false">ExportRaw!$H24</f>
        <v/>
      </c>
      <c r="G24" s="142" t="str">
        <f aca="false">ExportRaw!$I24</f>
        <v/>
      </c>
      <c r="H24" s="140" t="str">
        <f aca="false">ExportRaw!$A24</f>
        <v/>
      </c>
      <c r="I24" s="140" t="str">
        <f aca="false">ExportRaw!$B24</f>
        <v/>
      </c>
    </row>
    <row r="25" customFormat="false" ht="15.75" hidden="false" customHeight="false" outlineLevel="0" collapsed="false">
      <c r="A25" s="140" t="n">
        <f aca="false">ExportRaw!$F25</f>
        <v>0</v>
      </c>
      <c r="B25" s="140" t="n">
        <f aca="false">ExportRaw!$C25</f>
        <v>0</v>
      </c>
      <c r="C25" s="140" t="n">
        <f aca="false">ExportRaw!$G25</f>
        <v>0</v>
      </c>
      <c r="D25" s="140" t="str">
        <f aca="false">ExportRaw!$E25</f>
        <v/>
      </c>
      <c r="E25" s="141" t="str">
        <f aca="false">ExportRaw!$D25</f>
        <v/>
      </c>
      <c r="F25" s="140" t="str">
        <f aca="false">ExportRaw!$H25</f>
        <v/>
      </c>
      <c r="G25" s="142" t="str">
        <f aca="false">ExportRaw!$I25</f>
        <v/>
      </c>
      <c r="H25" s="140" t="str">
        <f aca="false">ExportRaw!$A25</f>
        <v/>
      </c>
      <c r="I25" s="140" t="str">
        <f aca="false">ExportRaw!$B25</f>
        <v/>
      </c>
    </row>
    <row r="26" customFormat="false" ht="15.75" hidden="false" customHeight="false" outlineLevel="0" collapsed="false">
      <c r="A26" s="140" t="n">
        <f aca="false">ExportRaw!$F26</f>
        <v>0</v>
      </c>
      <c r="B26" s="140" t="n">
        <f aca="false">ExportRaw!$C26</f>
        <v>0</v>
      </c>
      <c r="C26" s="140" t="n">
        <f aca="false">ExportRaw!$G26</f>
        <v>0</v>
      </c>
      <c r="D26" s="140" t="str">
        <f aca="false">ExportRaw!$E26</f>
        <v/>
      </c>
      <c r="E26" s="141" t="str">
        <f aca="false">ExportRaw!$D26</f>
        <v/>
      </c>
      <c r="F26" s="140" t="str">
        <f aca="false">ExportRaw!$H26</f>
        <v/>
      </c>
      <c r="G26" s="142" t="str">
        <f aca="false">ExportRaw!$I26</f>
        <v/>
      </c>
      <c r="H26" s="140" t="str">
        <f aca="false">ExportRaw!$A26</f>
        <v/>
      </c>
      <c r="I26" s="140" t="str">
        <f aca="false">ExportRaw!$B26</f>
        <v/>
      </c>
    </row>
    <row r="27" customFormat="false" ht="15.75" hidden="false" customHeight="false" outlineLevel="0" collapsed="false">
      <c r="A27" s="140" t="n">
        <f aca="false">ExportRaw!$F27</f>
        <v>0</v>
      </c>
      <c r="B27" s="140" t="n">
        <f aca="false">ExportRaw!$C27</f>
        <v>0</v>
      </c>
      <c r="C27" s="140" t="n">
        <f aca="false">ExportRaw!$G27</f>
        <v>0</v>
      </c>
      <c r="D27" s="140" t="str">
        <f aca="false">ExportRaw!$E27</f>
        <v/>
      </c>
      <c r="E27" s="141" t="str">
        <f aca="false">ExportRaw!$D27</f>
        <v/>
      </c>
      <c r="F27" s="140" t="str">
        <f aca="false">ExportRaw!$H27</f>
        <v/>
      </c>
      <c r="G27" s="142" t="str">
        <f aca="false">ExportRaw!$I27</f>
        <v/>
      </c>
      <c r="H27" s="140" t="str">
        <f aca="false">ExportRaw!$A27</f>
        <v/>
      </c>
      <c r="I27" s="140" t="str">
        <f aca="false">ExportRaw!$B27</f>
        <v/>
      </c>
    </row>
    <row r="28" customFormat="false" ht="15.75" hidden="false" customHeight="false" outlineLevel="0" collapsed="false">
      <c r="A28" s="140" t="n">
        <f aca="false">ExportRaw!$F28</f>
        <v>0</v>
      </c>
      <c r="B28" s="140" t="n">
        <f aca="false">ExportRaw!$C28</f>
        <v>0</v>
      </c>
      <c r="C28" s="140" t="n">
        <f aca="false">ExportRaw!$G28</f>
        <v>0</v>
      </c>
      <c r="D28" s="140" t="str">
        <f aca="false">ExportRaw!$E28</f>
        <v/>
      </c>
      <c r="E28" s="141" t="str">
        <f aca="false">ExportRaw!$D28</f>
        <v/>
      </c>
      <c r="F28" s="140" t="str">
        <f aca="false">ExportRaw!$H28</f>
        <v/>
      </c>
      <c r="G28" s="142" t="str">
        <f aca="false">ExportRaw!$I28</f>
        <v/>
      </c>
      <c r="H28" s="140" t="str">
        <f aca="false">ExportRaw!$A28</f>
        <v/>
      </c>
      <c r="I28" s="140" t="str">
        <f aca="false">ExportRaw!$B28</f>
        <v/>
      </c>
    </row>
    <row r="29" customFormat="false" ht="15.75" hidden="false" customHeight="false" outlineLevel="0" collapsed="false">
      <c r="A29" s="140" t="n">
        <f aca="false">ExportRaw!$F29</f>
        <v>0</v>
      </c>
      <c r="B29" s="140" t="n">
        <f aca="false">ExportRaw!$C29</f>
        <v>0</v>
      </c>
      <c r="C29" s="140" t="n">
        <f aca="false">ExportRaw!$G29</f>
        <v>0</v>
      </c>
      <c r="D29" s="140" t="str">
        <f aca="false">ExportRaw!$E29</f>
        <v/>
      </c>
      <c r="E29" s="141" t="str">
        <f aca="false">ExportRaw!$D29</f>
        <v/>
      </c>
      <c r="F29" s="140" t="str">
        <f aca="false">ExportRaw!$H29</f>
        <v/>
      </c>
      <c r="G29" s="142" t="str">
        <f aca="false">ExportRaw!$I29</f>
        <v/>
      </c>
      <c r="H29" s="140" t="str">
        <f aca="false">ExportRaw!$A29</f>
        <v/>
      </c>
      <c r="I29" s="140" t="str">
        <f aca="false">ExportRaw!$B29</f>
        <v/>
      </c>
    </row>
    <row r="30" customFormat="false" ht="15.75" hidden="false" customHeight="false" outlineLevel="0" collapsed="false">
      <c r="A30" s="140" t="n">
        <f aca="false">ExportRaw!$F30</f>
        <v>0</v>
      </c>
      <c r="B30" s="140" t="n">
        <f aca="false">ExportRaw!$C30</f>
        <v>0</v>
      </c>
      <c r="C30" s="140" t="n">
        <f aca="false">ExportRaw!$G30</f>
        <v>0</v>
      </c>
      <c r="D30" s="140" t="str">
        <f aca="false">ExportRaw!$E30</f>
        <v/>
      </c>
      <c r="E30" s="141" t="str">
        <f aca="false">ExportRaw!$D30</f>
        <v/>
      </c>
      <c r="F30" s="140" t="str">
        <f aca="false">ExportRaw!$H30</f>
        <v/>
      </c>
      <c r="G30" s="142" t="str">
        <f aca="false">ExportRaw!$I30</f>
        <v/>
      </c>
      <c r="H30" s="140" t="str">
        <f aca="false">ExportRaw!$A30</f>
        <v/>
      </c>
      <c r="I30" s="140" t="str">
        <f aca="false">ExportRaw!$B30</f>
        <v/>
      </c>
    </row>
    <row r="31" customFormat="false" ht="15.75" hidden="false" customHeight="false" outlineLevel="0" collapsed="false">
      <c r="A31" s="140" t="n">
        <f aca="false">ExportRaw!$F31</f>
        <v>0</v>
      </c>
      <c r="B31" s="140" t="n">
        <f aca="false">ExportRaw!$C31</f>
        <v>0</v>
      </c>
      <c r="C31" s="140" t="n">
        <f aca="false">ExportRaw!$G31</f>
        <v>0</v>
      </c>
      <c r="D31" s="140" t="str">
        <f aca="false">ExportRaw!$E31</f>
        <v/>
      </c>
      <c r="E31" s="141" t="str">
        <f aca="false">ExportRaw!$D31</f>
        <v/>
      </c>
      <c r="F31" s="140" t="str">
        <f aca="false">ExportRaw!$H31</f>
        <v/>
      </c>
      <c r="G31" s="142" t="str">
        <f aca="false">ExportRaw!$I31</f>
        <v/>
      </c>
      <c r="H31" s="140" t="str">
        <f aca="false">ExportRaw!$A31</f>
        <v/>
      </c>
      <c r="I31" s="140" t="str">
        <f aca="false">ExportRaw!$B31</f>
        <v/>
      </c>
    </row>
    <row r="32" customFormat="false" ht="15.75" hidden="false" customHeight="false" outlineLevel="0" collapsed="false">
      <c r="A32" s="140" t="n">
        <f aca="false">ExportRaw!$F32</f>
        <v>0</v>
      </c>
      <c r="B32" s="140" t="n">
        <f aca="false">ExportRaw!$C32</f>
        <v>0</v>
      </c>
      <c r="C32" s="140" t="n">
        <f aca="false">ExportRaw!$G32</f>
        <v>0</v>
      </c>
      <c r="D32" s="140" t="str">
        <f aca="false">ExportRaw!$E32</f>
        <v/>
      </c>
      <c r="E32" s="141" t="str">
        <f aca="false">ExportRaw!$D32</f>
        <v/>
      </c>
      <c r="F32" s="140" t="str">
        <f aca="false">ExportRaw!$H32</f>
        <v/>
      </c>
      <c r="G32" s="142" t="str">
        <f aca="false">ExportRaw!$I32</f>
        <v/>
      </c>
      <c r="H32" s="140" t="str">
        <f aca="false">ExportRaw!$A32</f>
        <v/>
      </c>
      <c r="I32" s="140" t="str">
        <f aca="false">ExportRaw!$B32</f>
        <v/>
      </c>
    </row>
    <row r="33" customFormat="false" ht="15.75" hidden="false" customHeight="false" outlineLevel="0" collapsed="false">
      <c r="A33" s="140" t="n">
        <f aca="false">ExportRaw!$F33</f>
        <v>0</v>
      </c>
      <c r="B33" s="140" t="n">
        <f aca="false">ExportRaw!$C33</f>
        <v>0</v>
      </c>
      <c r="C33" s="140" t="n">
        <f aca="false">ExportRaw!$G33</f>
        <v>0</v>
      </c>
      <c r="D33" s="140" t="str">
        <f aca="false">ExportRaw!$E33</f>
        <v/>
      </c>
      <c r="E33" s="141" t="str">
        <f aca="false">ExportRaw!$D33</f>
        <v/>
      </c>
      <c r="F33" s="140" t="str">
        <f aca="false">ExportRaw!$H33</f>
        <v/>
      </c>
      <c r="G33" s="142" t="str">
        <f aca="false">ExportRaw!$I33</f>
        <v/>
      </c>
      <c r="H33" s="140" t="str">
        <f aca="false">ExportRaw!$A33</f>
        <v/>
      </c>
      <c r="I33" s="140" t="str">
        <f aca="false">ExportRaw!$B33</f>
        <v/>
      </c>
    </row>
    <row r="34" customFormat="false" ht="15.75" hidden="false" customHeight="false" outlineLevel="0" collapsed="false">
      <c r="A34" s="140" t="n">
        <f aca="false">ExportRaw!$F34</f>
        <v>0</v>
      </c>
      <c r="B34" s="140" t="n">
        <f aca="false">ExportRaw!$C34</f>
        <v>0</v>
      </c>
      <c r="C34" s="140" t="n">
        <f aca="false">ExportRaw!$G34</f>
        <v>0</v>
      </c>
      <c r="D34" s="140" t="str">
        <f aca="false">ExportRaw!$E34</f>
        <v/>
      </c>
      <c r="E34" s="141" t="str">
        <f aca="false">ExportRaw!$D34</f>
        <v/>
      </c>
      <c r="F34" s="140" t="str">
        <f aca="false">ExportRaw!$H34</f>
        <v/>
      </c>
      <c r="G34" s="142" t="str">
        <f aca="false">ExportRaw!$I34</f>
        <v/>
      </c>
      <c r="H34" s="140" t="str">
        <f aca="false">ExportRaw!$A34</f>
        <v/>
      </c>
      <c r="I34" s="140" t="str">
        <f aca="false">ExportRaw!$B34</f>
        <v/>
      </c>
    </row>
    <row r="35" customFormat="false" ht="15.75" hidden="false" customHeight="false" outlineLevel="0" collapsed="false">
      <c r="A35" s="140" t="n">
        <f aca="false">ExportRaw!$F35</f>
        <v>0</v>
      </c>
      <c r="B35" s="140" t="n">
        <f aca="false">ExportRaw!$C35</f>
        <v>0</v>
      </c>
      <c r="C35" s="140" t="n">
        <f aca="false">ExportRaw!$G35</f>
        <v>0</v>
      </c>
      <c r="D35" s="140" t="str">
        <f aca="false">ExportRaw!$E35</f>
        <v/>
      </c>
      <c r="E35" s="141" t="str">
        <f aca="false">ExportRaw!$D35</f>
        <v/>
      </c>
      <c r="F35" s="140" t="str">
        <f aca="false">ExportRaw!$H35</f>
        <v/>
      </c>
      <c r="G35" s="142" t="str">
        <f aca="false">ExportRaw!$I35</f>
        <v/>
      </c>
      <c r="H35" s="140" t="str">
        <f aca="false">ExportRaw!$A35</f>
        <v/>
      </c>
      <c r="I35" s="140" t="str">
        <f aca="false">ExportRaw!$B35</f>
        <v/>
      </c>
    </row>
    <row r="36" customFormat="false" ht="15.75" hidden="false" customHeight="false" outlineLevel="0" collapsed="false">
      <c r="A36" s="140" t="n">
        <f aca="false">ExportRaw!$F36</f>
        <v>0</v>
      </c>
      <c r="B36" s="140" t="n">
        <f aca="false">ExportRaw!$C36</f>
        <v>0</v>
      </c>
      <c r="C36" s="140" t="n">
        <f aca="false">ExportRaw!$G36</f>
        <v>0</v>
      </c>
      <c r="D36" s="140" t="str">
        <f aca="false">ExportRaw!$E36</f>
        <v/>
      </c>
      <c r="E36" s="141" t="str">
        <f aca="false">ExportRaw!$D36</f>
        <v/>
      </c>
      <c r="F36" s="140" t="str">
        <f aca="false">ExportRaw!$H36</f>
        <v/>
      </c>
      <c r="G36" s="142" t="str">
        <f aca="false">ExportRaw!$I36</f>
        <v/>
      </c>
      <c r="H36" s="140" t="str">
        <f aca="false">ExportRaw!$A36</f>
        <v/>
      </c>
      <c r="I36" s="140" t="str">
        <f aca="false">ExportRaw!$B36</f>
        <v/>
      </c>
    </row>
    <row r="37" customFormat="false" ht="15.75" hidden="false" customHeight="false" outlineLevel="0" collapsed="false">
      <c r="A37" s="140" t="n">
        <f aca="false">ExportRaw!$F37</f>
        <v>0</v>
      </c>
      <c r="B37" s="140" t="n">
        <f aca="false">ExportRaw!$C37</f>
        <v>0</v>
      </c>
      <c r="C37" s="140" t="n">
        <f aca="false">ExportRaw!$G37</f>
        <v>0</v>
      </c>
      <c r="D37" s="140" t="str">
        <f aca="false">ExportRaw!$E37</f>
        <v/>
      </c>
      <c r="E37" s="141" t="str">
        <f aca="false">ExportRaw!$D37</f>
        <v/>
      </c>
      <c r="F37" s="140" t="str">
        <f aca="false">ExportRaw!$H37</f>
        <v/>
      </c>
      <c r="G37" s="142" t="str">
        <f aca="false">ExportRaw!$I37</f>
        <v/>
      </c>
      <c r="H37" s="140" t="str">
        <f aca="false">ExportRaw!$A37</f>
        <v/>
      </c>
      <c r="I37" s="140" t="str">
        <f aca="false">ExportRaw!$B37</f>
        <v/>
      </c>
    </row>
    <row r="38" customFormat="false" ht="15.75" hidden="false" customHeight="false" outlineLevel="0" collapsed="false">
      <c r="A38" s="140" t="n">
        <f aca="false">ExportRaw!$F38</f>
        <v>0</v>
      </c>
      <c r="B38" s="140" t="n">
        <f aca="false">ExportRaw!$C38</f>
        <v>0</v>
      </c>
      <c r="C38" s="140" t="n">
        <f aca="false">ExportRaw!$G38</f>
        <v>0</v>
      </c>
      <c r="D38" s="140" t="str">
        <f aca="false">ExportRaw!$E38</f>
        <v/>
      </c>
      <c r="E38" s="141" t="str">
        <f aca="false">ExportRaw!$D38</f>
        <v/>
      </c>
      <c r="F38" s="140" t="str">
        <f aca="false">ExportRaw!$H38</f>
        <v/>
      </c>
      <c r="G38" s="142" t="str">
        <f aca="false">ExportRaw!$I38</f>
        <v/>
      </c>
      <c r="H38" s="140" t="str">
        <f aca="false">ExportRaw!$A38</f>
        <v/>
      </c>
      <c r="I38" s="140" t="str">
        <f aca="false">ExportRaw!$B38</f>
        <v/>
      </c>
    </row>
    <row r="39" customFormat="false" ht="15.75" hidden="false" customHeight="false" outlineLevel="0" collapsed="false">
      <c r="A39" s="140" t="n">
        <f aca="false">ExportRaw!$F39</f>
        <v>0</v>
      </c>
      <c r="B39" s="140" t="n">
        <f aca="false">ExportRaw!$C39</f>
        <v>0</v>
      </c>
      <c r="C39" s="140" t="n">
        <f aca="false">ExportRaw!$G39</f>
        <v>0</v>
      </c>
      <c r="D39" s="140" t="str">
        <f aca="false">ExportRaw!$E39</f>
        <v/>
      </c>
      <c r="E39" s="141" t="str">
        <f aca="false">ExportRaw!$D39</f>
        <v/>
      </c>
      <c r="F39" s="140" t="str">
        <f aca="false">ExportRaw!$H39</f>
        <v/>
      </c>
      <c r="G39" s="142" t="str">
        <f aca="false">ExportRaw!$I39</f>
        <v/>
      </c>
      <c r="H39" s="140" t="str">
        <f aca="false">ExportRaw!$A39</f>
        <v/>
      </c>
      <c r="I39" s="140" t="str">
        <f aca="false">ExportRaw!$B39</f>
        <v/>
      </c>
    </row>
    <row r="40" customFormat="false" ht="15.75" hidden="false" customHeight="false" outlineLevel="0" collapsed="false">
      <c r="A40" s="140" t="n">
        <f aca="false">ExportRaw!$F40</f>
        <v>0</v>
      </c>
      <c r="B40" s="140" t="n">
        <f aca="false">ExportRaw!$C40</f>
        <v>0</v>
      </c>
      <c r="C40" s="140" t="n">
        <f aca="false">ExportRaw!$G40</f>
        <v>0</v>
      </c>
      <c r="D40" s="140" t="str">
        <f aca="false">ExportRaw!$E40</f>
        <v/>
      </c>
      <c r="E40" s="141" t="str">
        <f aca="false">ExportRaw!$D40</f>
        <v/>
      </c>
      <c r="F40" s="140" t="str">
        <f aca="false">ExportRaw!$H40</f>
        <v/>
      </c>
      <c r="G40" s="142" t="str">
        <f aca="false">ExportRaw!$I40</f>
        <v/>
      </c>
      <c r="H40" s="140" t="str">
        <f aca="false">ExportRaw!$A40</f>
        <v/>
      </c>
      <c r="I40" s="140" t="str">
        <f aca="false">ExportRaw!$B40</f>
        <v/>
      </c>
    </row>
    <row r="41" customFormat="false" ht="15.75" hidden="false" customHeight="false" outlineLevel="0" collapsed="false">
      <c r="A41" s="140" t="n">
        <f aca="false">ExportRaw!$F41</f>
        <v>0</v>
      </c>
      <c r="B41" s="140" t="n">
        <f aca="false">ExportRaw!$C41</f>
        <v>0</v>
      </c>
      <c r="C41" s="140" t="n">
        <f aca="false">ExportRaw!$G41</f>
        <v>0</v>
      </c>
      <c r="D41" s="140" t="str">
        <f aca="false">ExportRaw!$E41</f>
        <v/>
      </c>
      <c r="E41" s="141" t="str">
        <f aca="false">ExportRaw!$D41</f>
        <v/>
      </c>
      <c r="F41" s="140" t="str">
        <f aca="false">ExportRaw!$H41</f>
        <v/>
      </c>
      <c r="G41" s="142" t="str">
        <f aca="false">ExportRaw!$I41</f>
        <v/>
      </c>
      <c r="H41" s="140" t="str">
        <f aca="false">ExportRaw!$A41</f>
        <v/>
      </c>
      <c r="I41" s="140" t="str">
        <f aca="false">ExportRaw!$B41</f>
        <v/>
      </c>
    </row>
    <row r="42" customFormat="false" ht="15.75" hidden="false" customHeight="false" outlineLevel="0" collapsed="false">
      <c r="A42" s="140" t="n">
        <f aca="false">ExportRaw!$F42</f>
        <v>0</v>
      </c>
      <c r="B42" s="140" t="n">
        <f aca="false">ExportRaw!$C42</f>
        <v>0</v>
      </c>
      <c r="C42" s="140" t="n">
        <f aca="false">ExportRaw!$G42</f>
        <v>0</v>
      </c>
      <c r="D42" s="140" t="str">
        <f aca="false">ExportRaw!$E42</f>
        <v/>
      </c>
      <c r="E42" s="141" t="str">
        <f aca="false">ExportRaw!$D42</f>
        <v/>
      </c>
      <c r="F42" s="140" t="str">
        <f aca="false">ExportRaw!$H42</f>
        <v/>
      </c>
      <c r="G42" s="142" t="str">
        <f aca="false">ExportRaw!$I42</f>
        <v/>
      </c>
      <c r="H42" s="140" t="str">
        <f aca="false">ExportRaw!$A42</f>
        <v/>
      </c>
      <c r="I42" s="140" t="str">
        <f aca="false">ExportRaw!$B42</f>
        <v/>
      </c>
    </row>
    <row r="43" customFormat="false" ht="15.75" hidden="false" customHeight="false" outlineLevel="0" collapsed="false">
      <c r="A43" s="140" t="n">
        <f aca="false">ExportRaw!$F43</f>
        <v>0</v>
      </c>
      <c r="B43" s="140" t="n">
        <f aca="false">ExportRaw!$C43</f>
        <v>0</v>
      </c>
      <c r="C43" s="140" t="n">
        <f aca="false">ExportRaw!$G43</f>
        <v>0</v>
      </c>
      <c r="D43" s="140" t="str">
        <f aca="false">ExportRaw!$E43</f>
        <v/>
      </c>
      <c r="E43" s="141" t="str">
        <f aca="false">ExportRaw!$D43</f>
        <v/>
      </c>
      <c r="F43" s="140" t="str">
        <f aca="false">ExportRaw!$H43</f>
        <v/>
      </c>
      <c r="G43" s="142" t="str">
        <f aca="false">ExportRaw!$I43</f>
        <v/>
      </c>
      <c r="H43" s="140" t="str">
        <f aca="false">ExportRaw!$A43</f>
        <v/>
      </c>
      <c r="I43" s="140" t="str">
        <f aca="false">ExportRaw!$B43</f>
        <v/>
      </c>
    </row>
    <row r="44" customFormat="false" ht="15.75" hidden="false" customHeight="false" outlineLevel="0" collapsed="false">
      <c r="A44" s="140" t="n">
        <f aca="false">ExportRaw!$F44</f>
        <v>0</v>
      </c>
      <c r="B44" s="140" t="n">
        <f aca="false">ExportRaw!$C44</f>
        <v>0</v>
      </c>
      <c r="C44" s="140" t="n">
        <f aca="false">ExportRaw!$G44</f>
        <v>0</v>
      </c>
      <c r="D44" s="140" t="str">
        <f aca="false">ExportRaw!$E44</f>
        <v/>
      </c>
      <c r="E44" s="141" t="str">
        <f aca="false">ExportRaw!$D44</f>
        <v/>
      </c>
      <c r="F44" s="140" t="str">
        <f aca="false">ExportRaw!$H44</f>
        <v/>
      </c>
      <c r="G44" s="142" t="str">
        <f aca="false">ExportRaw!$I44</f>
        <v/>
      </c>
      <c r="H44" s="140" t="str">
        <f aca="false">ExportRaw!$A44</f>
        <v/>
      </c>
      <c r="I44" s="140" t="str">
        <f aca="false">ExportRaw!$B44</f>
        <v/>
      </c>
    </row>
    <row r="45" customFormat="false" ht="15.75" hidden="false" customHeight="false" outlineLevel="0" collapsed="false">
      <c r="A45" s="140" t="n">
        <f aca="false">ExportRaw!$F45</f>
        <v>0</v>
      </c>
      <c r="B45" s="140" t="n">
        <f aca="false">ExportRaw!$C45</f>
        <v>0</v>
      </c>
      <c r="C45" s="140" t="n">
        <f aca="false">ExportRaw!$G45</f>
        <v>0</v>
      </c>
      <c r="D45" s="140" t="str">
        <f aca="false">ExportRaw!$E45</f>
        <v/>
      </c>
      <c r="E45" s="141" t="str">
        <f aca="false">ExportRaw!$D45</f>
        <v/>
      </c>
      <c r="F45" s="140" t="str">
        <f aca="false">ExportRaw!$H45</f>
        <v/>
      </c>
      <c r="G45" s="142" t="str">
        <f aca="false">ExportRaw!$I45</f>
        <v/>
      </c>
      <c r="H45" s="140" t="str">
        <f aca="false">ExportRaw!$A45</f>
        <v/>
      </c>
      <c r="I45" s="140" t="str">
        <f aca="false">ExportRaw!$B45</f>
        <v/>
      </c>
    </row>
    <row r="46" customFormat="false" ht="15.75" hidden="false" customHeight="false" outlineLevel="0" collapsed="false">
      <c r="A46" s="140" t="n">
        <f aca="false">ExportRaw!$F46</f>
        <v>0</v>
      </c>
      <c r="B46" s="140" t="n">
        <f aca="false">ExportRaw!$C46</f>
        <v>0</v>
      </c>
      <c r="C46" s="140" t="n">
        <f aca="false">ExportRaw!$G46</f>
        <v>0</v>
      </c>
      <c r="D46" s="140" t="str">
        <f aca="false">ExportRaw!$E46</f>
        <v/>
      </c>
      <c r="E46" s="141" t="str">
        <f aca="false">ExportRaw!$D46</f>
        <v/>
      </c>
      <c r="F46" s="140" t="str">
        <f aca="false">ExportRaw!$H46</f>
        <v/>
      </c>
      <c r="G46" s="142" t="str">
        <f aca="false">ExportRaw!$I46</f>
        <v/>
      </c>
      <c r="H46" s="140" t="str">
        <f aca="false">ExportRaw!$A46</f>
        <v/>
      </c>
      <c r="I46" s="140" t="str">
        <f aca="false">ExportRaw!$B46</f>
        <v/>
      </c>
    </row>
    <row r="47" customFormat="false" ht="15.75" hidden="false" customHeight="false" outlineLevel="0" collapsed="false">
      <c r="A47" s="140" t="n">
        <f aca="false">ExportRaw!$F47</f>
        <v>0</v>
      </c>
      <c r="B47" s="140" t="n">
        <f aca="false">ExportRaw!$C47</f>
        <v>0</v>
      </c>
      <c r="C47" s="140" t="n">
        <f aca="false">ExportRaw!$G47</f>
        <v>0</v>
      </c>
      <c r="D47" s="140" t="str">
        <f aca="false">ExportRaw!$E47</f>
        <v/>
      </c>
      <c r="E47" s="141" t="str">
        <f aca="false">ExportRaw!$D47</f>
        <v/>
      </c>
      <c r="F47" s="140" t="str">
        <f aca="false">ExportRaw!$H47</f>
        <v/>
      </c>
      <c r="G47" s="142" t="str">
        <f aca="false">ExportRaw!$I47</f>
        <v/>
      </c>
      <c r="H47" s="140" t="str">
        <f aca="false">ExportRaw!$A47</f>
        <v/>
      </c>
      <c r="I47" s="140" t="str">
        <f aca="false">ExportRaw!$B47</f>
        <v/>
      </c>
    </row>
    <row r="48" customFormat="false" ht="15.75" hidden="false" customHeight="false" outlineLevel="0" collapsed="false">
      <c r="A48" s="140" t="n">
        <f aca="false">ExportRaw!$F48</f>
        <v>0</v>
      </c>
      <c r="B48" s="140" t="n">
        <f aca="false">ExportRaw!$C48</f>
        <v>0</v>
      </c>
      <c r="C48" s="140" t="n">
        <f aca="false">ExportRaw!$G48</f>
        <v>0</v>
      </c>
      <c r="D48" s="140" t="str">
        <f aca="false">ExportRaw!$E48</f>
        <v/>
      </c>
      <c r="E48" s="141" t="str">
        <f aca="false">ExportRaw!$D48</f>
        <v/>
      </c>
      <c r="F48" s="140" t="str">
        <f aca="false">ExportRaw!$H48</f>
        <v/>
      </c>
      <c r="G48" s="142" t="str">
        <f aca="false">ExportRaw!$I48</f>
        <v/>
      </c>
      <c r="H48" s="140" t="str">
        <f aca="false">ExportRaw!$A48</f>
        <v/>
      </c>
      <c r="I48" s="140" t="str">
        <f aca="false">ExportRaw!$B48</f>
        <v/>
      </c>
    </row>
    <row r="49" customFormat="false" ht="15.75" hidden="false" customHeight="false" outlineLevel="0" collapsed="false">
      <c r="A49" s="140" t="n">
        <f aca="false">ExportRaw!$F49</f>
        <v>0</v>
      </c>
      <c r="B49" s="140" t="n">
        <f aca="false">ExportRaw!$C49</f>
        <v>0</v>
      </c>
      <c r="C49" s="140" t="n">
        <f aca="false">ExportRaw!$G49</f>
        <v>0</v>
      </c>
      <c r="D49" s="140" t="str">
        <f aca="false">ExportRaw!$E49</f>
        <v/>
      </c>
      <c r="E49" s="141" t="str">
        <f aca="false">ExportRaw!$D49</f>
        <v/>
      </c>
      <c r="F49" s="140" t="str">
        <f aca="false">ExportRaw!$H49</f>
        <v/>
      </c>
      <c r="G49" s="142" t="str">
        <f aca="false">ExportRaw!$I49</f>
        <v/>
      </c>
      <c r="H49" s="140" t="str">
        <f aca="false">ExportRaw!$A49</f>
        <v/>
      </c>
      <c r="I49" s="140" t="str">
        <f aca="false">ExportRaw!$B49</f>
        <v/>
      </c>
    </row>
    <row r="50" customFormat="false" ht="15.75" hidden="false" customHeight="false" outlineLevel="0" collapsed="false">
      <c r="A50" s="140" t="n">
        <f aca="false">ExportRaw!$F50</f>
        <v>0</v>
      </c>
      <c r="B50" s="140" t="n">
        <f aca="false">ExportRaw!$C50</f>
        <v>0</v>
      </c>
      <c r="C50" s="140" t="n">
        <f aca="false">ExportRaw!$G50</f>
        <v>0</v>
      </c>
      <c r="D50" s="140" t="str">
        <f aca="false">ExportRaw!$E50</f>
        <v/>
      </c>
      <c r="E50" s="141" t="str">
        <f aca="false">ExportRaw!$D50</f>
        <v/>
      </c>
      <c r="F50" s="140" t="str">
        <f aca="false">ExportRaw!$H50</f>
        <v/>
      </c>
      <c r="G50" s="142" t="str">
        <f aca="false">ExportRaw!$I50</f>
        <v/>
      </c>
      <c r="H50" s="140" t="str">
        <f aca="false">ExportRaw!$A50</f>
        <v/>
      </c>
      <c r="I50" s="140" t="str">
        <f aca="false">ExportRaw!$B50</f>
        <v/>
      </c>
    </row>
    <row r="51" customFormat="false" ht="15.75" hidden="false" customHeight="false" outlineLevel="0" collapsed="false">
      <c r="A51" s="140" t="n">
        <f aca="false">ExportRaw!$F51</f>
        <v>0</v>
      </c>
      <c r="B51" s="140" t="n">
        <f aca="false">ExportRaw!$C51</f>
        <v>0</v>
      </c>
      <c r="C51" s="140" t="n">
        <f aca="false">ExportRaw!$G51</f>
        <v>0</v>
      </c>
      <c r="D51" s="140" t="str">
        <f aca="false">ExportRaw!$E51</f>
        <v/>
      </c>
      <c r="E51" s="141" t="str">
        <f aca="false">ExportRaw!$D51</f>
        <v/>
      </c>
      <c r="F51" s="140" t="str">
        <f aca="false">ExportRaw!$H51</f>
        <v/>
      </c>
      <c r="G51" s="142" t="str">
        <f aca="false">ExportRaw!$I51</f>
        <v/>
      </c>
      <c r="H51" s="140" t="str">
        <f aca="false">ExportRaw!$A51</f>
        <v/>
      </c>
      <c r="I51" s="140" t="str">
        <f aca="false">ExportRaw!$B51</f>
        <v/>
      </c>
    </row>
    <row r="52" customFormat="false" ht="15.75" hidden="false" customHeight="false" outlineLevel="0" collapsed="false">
      <c r="A52" s="140" t="n">
        <f aca="false">ExportRaw!$F52</f>
        <v>0</v>
      </c>
      <c r="B52" s="140" t="n">
        <f aca="false">ExportRaw!$C52</f>
        <v>0</v>
      </c>
      <c r="C52" s="140" t="n">
        <f aca="false">ExportRaw!$G52</f>
        <v>0</v>
      </c>
      <c r="D52" s="140" t="str">
        <f aca="false">ExportRaw!$E52</f>
        <v/>
      </c>
      <c r="E52" s="141" t="str">
        <f aca="false">ExportRaw!$D52</f>
        <v/>
      </c>
      <c r="F52" s="140" t="str">
        <f aca="false">ExportRaw!$H52</f>
        <v/>
      </c>
      <c r="G52" s="142" t="str">
        <f aca="false">ExportRaw!$I52</f>
        <v/>
      </c>
      <c r="H52" s="140" t="str">
        <f aca="false">ExportRaw!$A52</f>
        <v/>
      </c>
      <c r="I52" s="140" t="str">
        <f aca="false">ExportRaw!$B52</f>
        <v/>
      </c>
    </row>
    <row r="53" customFormat="false" ht="15.75" hidden="false" customHeight="false" outlineLevel="0" collapsed="false">
      <c r="A53" s="140" t="n">
        <f aca="false">ExportRaw!$F53</f>
        <v>0</v>
      </c>
      <c r="B53" s="140" t="n">
        <f aca="false">ExportRaw!$C53</f>
        <v>0</v>
      </c>
      <c r="C53" s="140" t="n">
        <f aca="false">ExportRaw!$G53</f>
        <v>0</v>
      </c>
      <c r="D53" s="140" t="str">
        <f aca="false">ExportRaw!$E53</f>
        <v/>
      </c>
      <c r="E53" s="141" t="str">
        <f aca="false">ExportRaw!$D53</f>
        <v/>
      </c>
      <c r="F53" s="140" t="str">
        <f aca="false">ExportRaw!$H53</f>
        <v/>
      </c>
      <c r="G53" s="142" t="str">
        <f aca="false">ExportRaw!$I53</f>
        <v/>
      </c>
      <c r="H53" s="140" t="str">
        <f aca="false">ExportRaw!$A53</f>
        <v/>
      </c>
      <c r="I53" s="140" t="str">
        <f aca="false">ExportRaw!$B53</f>
        <v/>
      </c>
    </row>
    <row r="54" customFormat="false" ht="15.75" hidden="false" customHeight="false" outlineLevel="0" collapsed="false">
      <c r="A54" s="140" t="n">
        <f aca="false">ExportRaw!$F54</f>
        <v>0</v>
      </c>
      <c r="B54" s="140" t="n">
        <f aca="false">ExportRaw!$C54</f>
        <v>0</v>
      </c>
      <c r="C54" s="140" t="n">
        <f aca="false">ExportRaw!$G54</f>
        <v>0</v>
      </c>
      <c r="D54" s="140" t="str">
        <f aca="false">ExportRaw!$E54</f>
        <v/>
      </c>
      <c r="E54" s="141" t="str">
        <f aca="false">ExportRaw!$D54</f>
        <v/>
      </c>
      <c r="F54" s="140" t="str">
        <f aca="false">ExportRaw!$H54</f>
        <v/>
      </c>
      <c r="G54" s="142" t="str">
        <f aca="false">ExportRaw!$I54</f>
        <v/>
      </c>
      <c r="H54" s="140" t="str">
        <f aca="false">ExportRaw!$A54</f>
        <v/>
      </c>
      <c r="I54" s="140" t="str">
        <f aca="false">ExportRaw!$B54</f>
        <v/>
      </c>
    </row>
    <row r="55" customFormat="false" ht="15.75" hidden="false" customHeight="false" outlineLevel="0" collapsed="false">
      <c r="A55" s="140" t="n">
        <f aca="false">ExportRaw!$F55</f>
        <v>0</v>
      </c>
      <c r="B55" s="140" t="n">
        <f aca="false">ExportRaw!$C55</f>
        <v>0</v>
      </c>
      <c r="C55" s="140" t="n">
        <f aca="false">ExportRaw!$G55</f>
        <v>0</v>
      </c>
      <c r="D55" s="140" t="str">
        <f aca="false">ExportRaw!$E55</f>
        <v/>
      </c>
      <c r="E55" s="141" t="str">
        <f aca="false">ExportRaw!$D55</f>
        <v/>
      </c>
      <c r="F55" s="140" t="str">
        <f aca="false">ExportRaw!$H55</f>
        <v/>
      </c>
      <c r="G55" s="142" t="str">
        <f aca="false">ExportRaw!$I55</f>
        <v/>
      </c>
      <c r="H55" s="140" t="str">
        <f aca="false">ExportRaw!$A55</f>
        <v/>
      </c>
      <c r="I55" s="140" t="str">
        <f aca="false">ExportRaw!$B55</f>
        <v/>
      </c>
    </row>
    <row r="56" customFormat="false" ht="15.75" hidden="false" customHeight="false" outlineLevel="0" collapsed="false">
      <c r="A56" s="140" t="n">
        <f aca="false">ExportRaw!$F56</f>
        <v>0</v>
      </c>
      <c r="B56" s="140" t="n">
        <f aca="false">ExportRaw!$C56</f>
        <v>0</v>
      </c>
      <c r="C56" s="140" t="n">
        <f aca="false">ExportRaw!$G56</f>
        <v>0</v>
      </c>
      <c r="D56" s="140" t="str">
        <f aca="false">ExportRaw!$E56</f>
        <v/>
      </c>
      <c r="E56" s="141" t="str">
        <f aca="false">ExportRaw!$D56</f>
        <v/>
      </c>
      <c r="F56" s="140" t="str">
        <f aca="false">ExportRaw!$H56</f>
        <v/>
      </c>
      <c r="G56" s="142" t="str">
        <f aca="false">ExportRaw!$I56</f>
        <v/>
      </c>
      <c r="H56" s="140" t="str">
        <f aca="false">ExportRaw!$A56</f>
        <v/>
      </c>
      <c r="I56" s="140" t="str">
        <f aca="false">ExportRaw!$B56</f>
        <v/>
      </c>
    </row>
    <row r="57" customFormat="false" ht="15.75" hidden="false" customHeight="false" outlineLevel="0" collapsed="false">
      <c r="A57" s="140" t="n">
        <f aca="false">ExportRaw!$F57</f>
        <v>0</v>
      </c>
      <c r="B57" s="140" t="n">
        <f aca="false">ExportRaw!$C57</f>
        <v>0</v>
      </c>
      <c r="C57" s="140" t="n">
        <f aca="false">ExportRaw!$G57</f>
        <v>0</v>
      </c>
      <c r="D57" s="140" t="str">
        <f aca="false">ExportRaw!$E57</f>
        <v/>
      </c>
      <c r="E57" s="141" t="str">
        <f aca="false">ExportRaw!$D57</f>
        <v/>
      </c>
      <c r="F57" s="140" t="str">
        <f aca="false">ExportRaw!$H57</f>
        <v/>
      </c>
      <c r="G57" s="142" t="str">
        <f aca="false">ExportRaw!$I57</f>
        <v/>
      </c>
      <c r="H57" s="140" t="str">
        <f aca="false">ExportRaw!$A57</f>
        <v/>
      </c>
      <c r="I57" s="140" t="str">
        <f aca="false">ExportRaw!$B57</f>
        <v/>
      </c>
    </row>
    <row r="58" customFormat="false" ht="15.75" hidden="false" customHeight="false" outlineLevel="0" collapsed="false">
      <c r="A58" s="140" t="n">
        <f aca="false">ExportRaw!$F58</f>
        <v>0</v>
      </c>
      <c r="B58" s="140" t="n">
        <f aca="false">ExportRaw!$C58</f>
        <v>0</v>
      </c>
      <c r="C58" s="140" t="n">
        <f aca="false">ExportRaw!$G58</f>
        <v>0</v>
      </c>
      <c r="D58" s="140" t="str">
        <f aca="false">ExportRaw!$E58</f>
        <v/>
      </c>
      <c r="E58" s="141" t="str">
        <f aca="false">ExportRaw!$D58</f>
        <v/>
      </c>
      <c r="F58" s="140" t="str">
        <f aca="false">ExportRaw!$H58</f>
        <v/>
      </c>
      <c r="G58" s="142" t="str">
        <f aca="false">ExportRaw!$I58</f>
        <v/>
      </c>
      <c r="H58" s="140" t="str">
        <f aca="false">ExportRaw!$A58</f>
        <v/>
      </c>
      <c r="I58" s="140" t="str">
        <f aca="false">ExportRaw!$B58</f>
        <v/>
      </c>
    </row>
    <row r="59" customFormat="false" ht="15.75" hidden="false" customHeight="false" outlineLevel="0" collapsed="false">
      <c r="A59" s="140" t="n">
        <f aca="false">ExportRaw!$F59</f>
        <v>0</v>
      </c>
      <c r="B59" s="140" t="n">
        <f aca="false">ExportRaw!$C59</f>
        <v>0</v>
      </c>
      <c r="C59" s="140" t="n">
        <f aca="false">ExportRaw!$G59</f>
        <v>0</v>
      </c>
      <c r="D59" s="140" t="str">
        <f aca="false">ExportRaw!$E59</f>
        <v/>
      </c>
      <c r="E59" s="141" t="str">
        <f aca="false">ExportRaw!$D59</f>
        <v/>
      </c>
      <c r="F59" s="140" t="str">
        <f aca="false">ExportRaw!$H59</f>
        <v/>
      </c>
      <c r="G59" s="142" t="str">
        <f aca="false">ExportRaw!$I59</f>
        <v/>
      </c>
      <c r="H59" s="140" t="str">
        <f aca="false">ExportRaw!$A59</f>
        <v/>
      </c>
      <c r="I59" s="140" t="str">
        <f aca="false">ExportRaw!$B59</f>
        <v/>
      </c>
    </row>
    <row r="60" customFormat="false" ht="15.75" hidden="false" customHeight="false" outlineLevel="0" collapsed="false">
      <c r="A60" s="140" t="n">
        <f aca="false">ExportRaw!$F60</f>
        <v>0</v>
      </c>
      <c r="B60" s="140" t="n">
        <f aca="false">ExportRaw!$C60</f>
        <v>0</v>
      </c>
      <c r="C60" s="140" t="n">
        <f aca="false">ExportRaw!$G60</f>
        <v>0</v>
      </c>
      <c r="D60" s="140" t="str">
        <f aca="false">ExportRaw!$E60</f>
        <v/>
      </c>
      <c r="E60" s="141" t="str">
        <f aca="false">ExportRaw!$D60</f>
        <v/>
      </c>
      <c r="F60" s="140" t="str">
        <f aca="false">ExportRaw!$H60</f>
        <v/>
      </c>
      <c r="G60" s="142" t="str">
        <f aca="false">ExportRaw!$I60</f>
        <v/>
      </c>
      <c r="H60" s="140" t="str">
        <f aca="false">ExportRaw!$A60</f>
        <v/>
      </c>
      <c r="I60" s="140" t="str">
        <f aca="false">ExportRaw!$B60</f>
        <v/>
      </c>
    </row>
    <row r="61" customFormat="false" ht="15.75" hidden="false" customHeight="false" outlineLevel="0" collapsed="false">
      <c r="A61" s="140" t="n">
        <f aca="false">ExportRaw!$F61</f>
        <v>0</v>
      </c>
      <c r="B61" s="140" t="n">
        <f aca="false">ExportRaw!$C61</f>
        <v>0</v>
      </c>
      <c r="C61" s="140" t="n">
        <f aca="false">ExportRaw!$G61</f>
        <v>0</v>
      </c>
      <c r="D61" s="140" t="str">
        <f aca="false">ExportRaw!$E61</f>
        <v/>
      </c>
      <c r="E61" s="141" t="str">
        <f aca="false">ExportRaw!$D61</f>
        <v/>
      </c>
      <c r="F61" s="140" t="str">
        <f aca="false">ExportRaw!$H61</f>
        <v/>
      </c>
      <c r="G61" s="142" t="str">
        <f aca="false">ExportRaw!$I61</f>
        <v/>
      </c>
      <c r="H61" s="140" t="str">
        <f aca="false">ExportRaw!$A61</f>
        <v/>
      </c>
      <c r="I61" s="140" t="str">
        <f aca="false">ExportRaw!$B61</f>
        <v/>
      </c>
    </row>
    <row r="62" customFormat="false" ht="15.75" hidden="false" customHeight="false" outlineLevel="0" collapsed="false">
      <c r="A62" s="140" t="n">
        <f aca="false">ExportRaw!$F62</f>
        <v>0</v>
      </c>
      <c r="B62" s="140" t="n">
        <f aca="false">ExportRaw!$C62</f>
        <v>0</v>
      </c>
      <c r="C62" s="140" t="n">
        <f aca="false">ExportRaw!$G62</f>
        <v>0</v>
      </c>
      <c r="D62" s="140" t="str">
        <f aca="false">ExportRaw!$E62</f>
        <v/>
      </c>
      <c r="E62" s="141" t="str">
        <f aca="false">ExportRaw!$D62</f>
        <v/>
      </c>
      <c r="F62" s="140" t="str">
        <f aca="false">ExportRaw!$H62</f>
        <v/>
      </c>
      <c r="G62" s="142" t="str">
        <f aca="false">ExportRaw!$I62</f>
        <v/>
      </c>
      <c r="H62" s="140" t="str">
        <f aca="false">ExportRaw!$A62</f>
        <v/>
      </c>
      <c r="I62" s="140" t="str">
        <f aca="false">ExportRaw!$B62</f>
        <v/>
      </c>
    </row>
    <row r="63" customFormat="false" ht="15.75" hidden="false" customHeight="false" outlineLevel="0" collapsed="false">
      <c r="A63" s="140" t="n">
        <f aca="false">ExportRaw!$F63</f>
        <v>0</v>
      </c>
      <c r="B63" s="140" t="n">
        <f aca="false">ExportRaw!$C63</f>
        <v>0</v>
      </c>
      <c r="C63" s="140" t="n">
        <f aca="false">ExportRaw!$G63</f>
        <v>0</v>
      </c>
      <c r="D63" s="140" t="str">
        <f aca="false">ExportRaw!$E63</f>
        <v/>
      </c>
      <c r="E63" s="141" t="str">
        <f aca="false">ExportRaw!$D63</f>
        <v/>
      </c>
      <c r="F63" s="140" t="str">
        <f aca="false">ExportRaw!$H63</f>
        <v/>
      </c>
      <c r="G63" s="142" t="str">
        <f aca="false">ExportRaw!$I63</f>
        <v/>
      </c>
      <c r="H63" s="140" t="str">
        <f aca="false">ExportRaw!$A63</f>
        <v/>
      </c>
      <c r="I63" s="140" t="str">
        <f aca="false">ExportRaw!$B63</f>
        <v/>
      </c>
    </row>
    <row r="64" customFormat="false" ht="15.75" hidden="false" customHeight="false" outlineLevel="0" collapsed="false">
      <c r="A64" s="140" t="n">
        <f aca="false">ExportRaw!$F64</f>
        <v>0</v>
      </c>
      <c r="B64" s="140" t="n">
        <f aca="false">ExportRaw!$C64</f>
        <v>0</v>
      </c>
      <c r="C64" s="140" t="n">
        <f aca="false">ExportRaw!$G64</f>
        <v>0</v>
      </c>
      <c r="D64" s="140" t="str">
        <f aca="false">ExportRaw!$E64</f>
        <v/>
      </c>
      <c r="E64" s="141" t="str">
        <f aca="false">ExportRaw!$D64</f>
        <v/>
      </c>
      <c r="F64" s="140" t="str">
        <f aca="false">ExportRaw!$H64</f>
        <v/>
      </c>
      <c r="G64" s="142" t="str">
        <f aca="false">ExportRaw!$I64</f>
        <v/>
      </c>
      <c r="H64" s="140" t="str">
        <f aca="false">ExportRaw!$A64</f>
        <v/>
      </c>
      <c r="I64" s="140" t="str">
        <f aca="false">ExportRaw!$B64</f>
        <v/>
      </c>
    </row>
    <row r="65" customFormat="false" ht="15.75" hidden="false" customHeight="false" outlineLevel="0" collapsed="false">
      <c r="A65" s="140" t="n">
        <f aca="false">ExportRaw!$F65</f>
        <v>0</v>
      </c>
      <c r="B65" s="140" t="n">
        <f aca="false">ExportRaw!$C65</f>
        <v>0</v>
      </c>
      <c r="C65" s="140" t="n">
        <f aca="false">ExportRaw!$G65</f>
        <v>0</v>
      </c>
      <c r="D65" s="140" t="str">
        <f aca="false">ExportRaw!$E65</f>
        <v/>
      </c>
      <c r="E65" s="141" t="str">
        <f aca="false">ExportRaw!$D65</f>
        <v/>
      </c>
      <c r="F65" s="140" t="str">
        <f aca="false">ExportRaw!$H65</f>
        <v/>
      </c>
      <c r="G65" s="142" t="str">
        <f aca="false">ExportRaw!$I65</f>
        <v/>
      </c>
      <c r="H65" s="140" t="str">
        <f aca="false">ExportRaw!$A65</f>
        <v/>
      </c>
      <c r="I65" s="140" t="str">
        <f aca="false">ExportRaw!$B65</f>
        <v/>
      </c>
    </row>
    <row r="66" customFormat="false" ht="15.75" hidden="false" customHeight="false" outlineLevel="0" collapsed="false">
      <c r="A66" s="140" t="n">
        <f aca="false">ExportRaw!$F66</f>
        <v>0</v>
      </c>
      <c r="B66" s="140" t="n">
        <f aca="false">ExportRaw!$C66</f>
        <v>0</v>
      </c>
      <c r="C66" s="140" t="n">
        <f aca="false">ExportRaw!$G66</f>
        <v>0</v>
      </c>
      <c r="D66" s="140" t="str">
        <f aca="false">ExportRaw!$E66</f>
        <v/>
      </c>
      <c r="E66" s="141" t="str">
        <f aca="false">ExportRaw!$D66</f>
        <v/>
      </c>
      <c r="F66" s="140" t="str">
        <f aca="false">ExportRaw!$H66</f>
        <v/>
      </c>
      <c r="G66" s="142" t="str">
        <f aca="false">ExportRaw!$I66</f>
        <v/>
      </c>
      <c r="H66" s="140" t="str">
        <f aca="false">ExportRaw!$A66</f>
        <v/>
      </c>
      <c r="I66" s="140" t="str">
        <f aca="false">ExportRaw!$B66</f>
        <v/>
      </c>
    </row>
    <row r="67" customFormat="false" ht="15.75" hidden="false" customHeight="false" outlineLevel="0" collapsed="false">
      <c r="A67" s="140" t="n">
        <f aca="false">ExportRaw!$F67</f>
        <v>0</v>
      </c>
      <c r="B67" s="140" t="n">
        <f aca="false">ExportRaw!$C67</f>
        <v>0</v>
      </c>
      <c r="C67" s="140" t="n">
        <f aca="false">ExportRaw!$G67</f>
        <v>0</v>
      </c>
      <c r="D67" s="140" t="str">
        <f aca="false">ExportRaw!$E67</f>
        <v/>
      </c>
      <c r="E67" s="141" t="str">
        <f aca="false">ExportRaw!$D67</f>
        <v/>
      </c>
      <c r="F67" s="140" t="str">
        <f aca="false">ExportRaw!$H67</f>
        <v/>
      </c>
      <c r="G67" s="142" t="str">
        <f aca="false">ExportRaw!$I67</f>
        <v/>
      </c>
      <c r="H67" s="140" t="str">
        <f aca="false">ExportRaw!$A67</f>
        <v/>
      </c>
      <c r="I67" s="140" t="str">
        <f aca="false">ExportRaw!$B67</f>
        <v/>
      </c>
    </row>
    <row r="68" customFormat="false" ht="15.75" hidden="false" customHeight="false" outlineLevel="0" collapsed="false">
      <c r="A68" s="140" t="n">
        <f aca="false">ExportRaw!$F68</f>
        <v>0</v>
      </c>
      <c r="B68" s="140" t="n">
        <f aca="false">ExportRaw!$C68</f>
        <v>0</v>
      </c>
      <c r="C68" s="140" t="n">
        <f aca="false">ExportRaw!$G68</f>
        <v>0</v>
      </c>
      <c r="D68" s="140" t="str">
        <f aca="false">ExportRaw!$E68</f>
        <v/>
      </c>
      <c r="E68" s="141" t="str">
        <f aca="false">ExportRaw!$D68</f>
        <v/>
      </c>
      <c r="F68" s="140" t="str">
        <f aca="false">ExportRaw!$H68</f>
        <v/>
      </c>
      <c r="G68" s="142" t="str">
        <f aca="false">ExportRaw!$I68</f>
        <v/>
      </c>
      <c r="H68" s="140" t="str">
        <f aca="false">ExportRaw!$A68</f>
        <v/>
      </c>
      <c r="I68" s="140" t="str">
        <f aca="false">ExportRaw!$B68</f>
        <v/>
      </c>
    </row>
    <row r="69" customFormat="false" ht="15.75" hidden="false" customHeight="false" outlineLevel="0" collapsed="false">
      <c r="A69" s="140" t="n">
        <f aca="false">ExportRaw!$F69</f>
        <v>0</v>
      </c>
      <c r="B69" s="140" t="n">
        <f aca="false">ExportRaw!$C69</f>
        <v>0</v>
      </c>
      <c r="C69" s="140" t="n">
        <f aca="false">ExportRaw!$G69</f>
        <v>0</v>
      </c>
      <c r="D69" s="140" t="str">
        <f aca="false">ExportRaw!$E69</f>
        <v/>
      </c>
      <c r="E69" s="141" t="str">
        <f aca="false">ExportRaw!$D69</f>
        <v/>
      </c>
      <c r="F69" s="140" t="str">
        <f aca="false">ExportRaw!$H69</f>
        <v/>
      </c>
      <c r="G69" s="142" t="str">
        <f aca="false">ExportRaw!$I69</f>
        <v/>
      </c>
      <c r="H69" s="140" t="str">
        <f aca="false">ExportRaw!$A69</f>
        <v/>
      </c>
      <c r="I69" s="140" t="str">
        <f aca="false">ExportRaw!$B69</f>
        <v/>
      </c>
    </row>
    <row r="70" customFormat="false" ht="15.75" hidden="false" customHeight="false" outlineLevel="0" collapsed="false">
      <c r="A70" s="140" t="n">
        <f aca="false">ExportRaw!$F70</f>
        <v>0</v>
      </c>
      <c r="B70" s="140" t="n">
        <f aca="false">ExportRaw!$C70</f>
        <v>0</v>
      </c>
      <c r="C70" s="140" t="n">
        <f aca="false">ExportRaw!$G70</f>
        <v>0</v>
      </c>
      <c r="D70" s="140" t="str">
        <f aca="false">ExportRaw!$E70</f>
        <v/>
      </c>
      <c r="E70" s="141" t="str">
        <f aca="false">ExportRaw!$D70</f>
        <v/>
      </c>
      <c r="F70" s="140" t="str">
        <f aca="false">ExportRaw!$H70</f>
        <v/>
      </c>
      <c r="G70" s="142" t="str">
        <f aca="false">ExportRaw!$I70</f>
        <v/>
      </c>
      <c r="H70" s="140" t="str">
        <f aca="false">ExportRaw!$A70</f>
        <v/>
      </c>
      <c r="I70" s="140" t="str">
        <f aca="false">ExportRaw!$B70</f>
        <v/>
      </c>
    </row>
    <row r="71" customFormat="false" ht="15.75" hidden="false" customHeight="false" outlineLevel="0" collapsed="false">
      <c r="A71" s="140" t="n">
        <f aca="false">ExportRaw!$F71</f>
        <v>0</v>
      </c>
      <c r="B71" s="140" t="n">
        <f aca="false">ExportRaw!$C71</f>
        <v>0</v>
      </c>
      <c r="C71" s="140" t="n">
        <f aca="false">ExportRaw!$G71</f>
        <v>0</v>
      </c>
      <c r="D71" s="140" t="str">
        <f aca="false">ExportRaw!$E71</f>
        <v/>
      </c>
      <c r="E71" s="141" t="str">
        <f aca="false">ExportRaw!$D71</f>
        <v/>
      </c>
      <c r="F71" s="140" t="str">
        <f aca="false">ExportRaw!$H71</f>
        <v/>
      </c>
      <c r="G71" s="142" t="str">
        <f aca="false">ExportRaw!$I71</f>
        <v/>
      </c>
      <c r="H71" s="140" t="str">
        <f aca="false">ExportRaw!$A71</f>
        <v/>
      </c>
      <c r="I71" s="140" t="str">
        <f aca="false">ExportRaw!$B71</f>
        <v/>
      </c>
    </row>
    <row r="72" customFormat="false" ht="15.75" hidden="false" customHeight="false" outlineLevel="0" collapsed="false">
      <c r="A72" s="140" t="n">
        <f aca="false">ExportRaw!$F72</f>
        <v>0</v>
      </c>
      <c r="B72" s="140" t="n">
        <f aca="false">ExportRaw!$C72</f>
        <v>0</v>
      </c>
      <c r="C72" s="140" t="n">
        <f aca="false">ExportRaw!$G72</f>
        <v>0</v>
      </c>
      <c r="D72" s="140" t="str">
        <f aca="false">ExportRaw!$E72</f>
        <v/>
      </c>
      <c r="E72" s="141" t="str">
        <f aca="false">ExportRaw!$D72</f>
        <v/>
      </c>
      <c r="F72" s="140" t="str">
        <f aca="false">ExportRaw!$H72</f>
        <v/>
      </c>
      <c r="G72" s="142" t="str">
        <f aca="false">ExportRaw!$I72</f>
        <v/>
      </c>
      <c r="H72" s="140" t="str">
        <f aca="false">ExportRaw!$A72</f>
        <v/>
      </c>
      <c r="I72" s="140" t="str">
        <f aca="false">ExportRaw!$B72</f>
        <v/>
      </c>
    </row>
    <row r="73" customFormat="false" ht="15.75" hidden="false" customHeight="false" outlineLevel="0" collapsed="false">
      <c r="A73" s="140" t="n">
        <f aca="false">ExportRaw!$F73</f>
        <v>0</v>
      </c>
      <c r="B73" s="140" t="n">
        <f aca="false">ExportRaw!$C73</f>
        <v>0</v>
      </c>
      <c r="C73" s="140" t="n">
        <f aca="false">ExportRaw!$G73</f>
        <v>0</v>
      </c>
      <c r="D73" s="140" t="str">
        <f aca="false">ExportRaw!$E73</f>
        <v/>
      </c>
      <c r="E73" s="141" t="str">
        <f aca="false">ExportRaw!$D73</f>
        <v/>
      </c>
      <c r="F73" s="140" t="str">
        <f aca="false">ExportRaw!$H73</f>
        <v/>
      </c>
      <c r="G73" s="142" t="str">
        <f aca="false">ExportRaw!$I73</f>
        <v/>
      </c>
      <c r="H73" s="140" t="str">
        <f aca="false">ExportRaw!$A73</f>
        <v/>
      </c>
      <c r="I73" s="140" t="str">
        <f aca="false">ExportRaw!$B73</f>
        <v/>
      </c>
    </row>
    <row r="74" customFormat="false" ht="15.75" hidden="false" customHeight="false" outlineLevel="0" collapsed="false">
      <c r="A74" s="140" t="n">
        <f aca="false">ExportRaw!$F74</f>
        <v>0</v>
      </c>
      <c r="B74" s="140" t="n">
        <f aca="false">ExportRaw!$C74</f>
        <v>0</v>
      </c>
      <c r="C74" s="140" t="n">
        <f aca="false">ExportRaw!$G74</f>
        <v>0</v>
      </c>
      <c r="D74" s="140" t="str">
        <f aca="false">ExportRaw!$E74</f>
        <v/>
      </c>
      <c r="E74" s="141" t="str">
        <f aca="false">ExportRaw!$D74</f>
        <v/>
      </c>
      <c r="F74" s="140" t="str">
        <f aca="false">ExportRaw!$H74</f>
        <v/>
      </c>
      <c r="G74" s="142" t="str">
        <f aca="false">ExportRaw!$I74</f>
        <v/>
      </c>
      <c r="H74" s="140" t="str">
        <f aca="false">ExportRaw!$A74</f>
        <v/>
      </c>
      <c r="I74" s="140" t="str">
        <f aca="false">ExportRaw!$B74</f>
        <v/>
      </c>
    </row>
    <row r="75" customFormat="false" ht="15.75" hidden="false" customHeight="false" outlineLevel="0" collapsed="false">
      <c r="A75" s="140" t="n">
        <f aca="false">ExportRaw!$F75</f>
        <v>0</v>
      </c>
      <c r="B75" s="140" t="n">
        <f aca="false">ExportRaw!$C75</f>
        <v>0</v>
      </c>
      <c r="C75" s="140" t="n">
        <f aca="false">ExportRaw!$G75</f>
        <v>0</v>
      </c>
      <c r="D75" s="140" t="str">
        <f aca="false">ExportRaw!$E75</f>
        <v/>
      </c>
      <c r="E75" s="141" t="str">
        <f aca="false">ExportRaw!$D75</f>
        <v/>
      </c>
      <c r="F75" s="140" t="str">
        <f aca="false">ExportRaw!$H75</f>
        <v/>
      </c>
      <c r="G75" s="142" t="str">
        <f aca="false">ExportRaw!$I75</f>
        <v/>
      </c>
      <c r="H75" s="140" t="str">
        <f aca="false">ExportRaw!$A75</f>
        <v/>
      </c>
      <c r="I75" s="140" t="str">
        <f aca="false">ExportRaw!$B75</f>
        <v/>
      </c>
    </row>
    <row r="76" customFormat="false" ht="15.75" hidden="false" customHeight="false" outlineLevel="0" collapsed="false">
      <c r="A76" s="140" t="n">
        <f aca="false">ExportRaw!$F76</f>
        <v>0</v>
      </c>
      <c r="B76" s="140" t="n">
        <f aca="false">ExportRaw!$C76</f>
        <v>0</v>
      </c>
      <c r="C76" s="140" t="n">
        <f aca="false">ExportRaw!$G76</f>
        <v>0</v>
      </c>
      <c r="D76" s="140" t="str">
        <f aca="false">ExportRaw!$E76</f>
        <v/>
      </c>
      <c r="E76" s="141" t="str">
        <f aca="false">ExportRaw!$D76</f>
        <v/>
      </c>
      <c r="F76" s="140" t="str">
        <f aca="false">ExportRaw!$H76</f>
        <v/>
      </c>
      <c r="G76" s="142" t="str">
        <f aca="false">ExportRaw!$I76</f>
        <v/>
      </c>
      <c r="H76" s="140" t="str">
        <f aca="false">ExportRaw!$A76</f>
        <v/>
      </c>
      <c r="I76" s="140" t="str">
        <f aca="false">ExportRaw!$B76</f>
        <v/>
      </c>
    </row>
    <row r="77" customFormat="false" ht="15.75" hidden="false" customHeight="false" outlineLevel="0" collapsed="false">
      <c r="A77" s="140" t="n">
        <f aca="false">ExportRaw!$F77</f>
        <v>0</v>
      </c>
      <c r="B77" s="140" t="n">
        <f aca="false">ExportRaw!$C77</f>
        <v>0</v>
      </c>
      <c r="C77" s="140" t="n">
        <f aca="false">ExportRaw!$G77</f>
        <v>0</v>
      </c>
      <c r="D77" s="140" t="str">
        <f aca="false">ExportRaw!$E77</f>
        <v/>
      </c>
      <c r="E77" s="141" t="str">
        <f aca="false">ExportRaw!$D77</f>
        <v/>
      </c>
      <c r="F77" s="140" t="str">
        <f aca="false">ExportRaw!$H77</f>
        <v/>
      </c>
      <c r="G77" s="142" t="str">
        <f aca="false">ExportRaw!$I77</f>
        <v/>
      </c>
      <c r="H77" s="140" t="str">
        <f aca="false">ExportRaw!$A77</f>
        <v/>
      </c>
      <c r="I77" s="140" t="str">
        <f aca="false">ExportRaw!$B77</f>
        <v/>
      </c>
    </row>
    <row r="78" customFormat="false" ht="15.75" hidden="false" customHeight="false" outlineLevel="0" collapsed="false">
      <c r="A78" s="140" t="n">
        <f aca="false">ExportRaw!$F78</f>
        <v>0</v>
      </c>
      <c r="B78" s="140" t="n">
        <f aca="false">ExportRaw!$C78</f>
        <v>0</v>
      </c>
      <c r="C78" s="140" t="n">
        <f aca="false">ExportRaw!$G78</f>
        <v>0</v>
      </c>
      <c r="D78" s="140" t="str">
        <f aca="false">ExportRaw!$E78</f>
        <v/>
      </c>
      <c r="E78" s="141" t="str">
        <f aca="false">ExportRaw!$D78</f>
        <v/>
      </c>
      <c r="F78" s="140" t="str">
        <f aca="false">ExportRaw!$H78</f>
        <v/>
      </c>
      <c r="G78" s="142" t="str">
        <f aca="false">ExportRaw!$I78</f>
        <v/>
      </c>
      <c r="H78" s="140" t="str">
        <f aca="false">ExportRaw!$A78</f>
        <v/>
      </c>
      <c r="I78" s="140" t="str">
        <f aca="false">ExportRaw!$B78</f>
        <v/>
      </c>
    </row>
    <row r="79" customFormat="false" ht="15.75" hidden="false" customHeight="false" outlineLevel="0" collapsed="false">
      <c r="A79" s="140" t="n">
        <f aca="false">ExportRaw!$F79</f>
        <v>0</v>
      </c>
      <c r="B79" s="140" t="n">
        <f aca="false">ExportRaw!$C79</f>
        <v>0</v>
      </c>
      <c r="C79" s="140" t="n">
        <f aca="false">ExportRaw!$G79</f>
        <v>0</v>
      </c>
      <c r="D79" s="140" t="str">
        <f aca="false">ExportRaw!$E79</f>
        <v/>
      </c>
      <c r="E79" s="141" t="str">
        <f aca="false">ExportRaw!$D79</f>
        <v/>
      </c>
      <c r="F79" s="140" t="str">
        <f aca="false">ExportRaw!$H79</f>
        <v/>
      </c>
      <c r="G79" s="142" t="str">
        <f aca="false">ExportRaw!$I79</f>
        <v/>
      </c>
      <c r="H79" s="140" t="str">
        <f aca="false">ExportRaw!$A79</f>
        <v/>
      </c>
      <c r="I79" s="140" t="str">
        <f aca="false">ExportRaw!$B79</f>
        <v/>
      </c>
    </row>
    <row r="80" customFormat="false" ht="15.75" hidden="false" customHeight="false" outlineLevel="0" collapsed="false">
      <c r="A80" s="140" t="n">
        <f aca="false">ExportRaw!$F80</f>
        <v>0</v>
      </c>
      <c r="B80" s="140" t="n">
        <f aca="false">ExportRaw!$C80</f>
        <v>0</v>
      </c>
      <c r="C80" s="140" t="n">
        <f aca="false">ExportRaw!$G80</f>
        <v>0</v>
      </c>
      <c r="D80" s="140" t="str">
        <f aca="false">ExportRaw!$E80</f>
        <v/>
      </c>
      <c r="E80" s="141" t="str">
        <f aca="false">ExportRaw!$D80</f>
        <v/>
      </c>
      <c r="F80" s="140" t="str">
        <f aca="false">ExportRaw!$H80</f>
        <v/>
      </c>
      <c r="G80" s="142" t="str">
        <f aca="false">ExportRaw!$I80</f>
        <v/>
      </c>
      <c r="H80" s="140" t="str">
        <f aca="false">ExportRaw!$A80</f>
        <v/>
      </c>
      <c r="I80" s="140" t="str">
        <f aca="false">ExportRaw!$B80</f>
        <v/>
      </c>
    </row>
    <row r="81" customFormat="false" ht="15.75" hidden="false" customHeight="false" outlineLevel="0" collapsed="false">
      <c r="A81" s="140" t="n">
        <f aca="false">ExportRaw!$F81</f>
        <v>0</v>
      </c>
      <c r="B81" s="140" t="n">
        <f aca="false">ExportRaw!$C81</f>
        <v>0</v>
      </c>
      <c r="C81" s="140" t="n">
        <f aca="false">ExportRaw!$G81</f>
        <v>0</v>
      </c>
      <c r="D81" s="140" t="str">
        <f aca="false">ExportRaw!$E81</f>
        <v/>
      </c>
      <c r="E81" s="141" t="str">
        <f aca="false">ExportRaw!$D81</f>
        <v/>
      </c>
      <c r="F81" s="140" t="str">
        <f aca="false">ExportRaw!$H81</f>
        <v/>
      </c>
      <c r="G81" s="142" t="str">
        <f aca="false">ExportRaw!$I81</f>
        <v/>
      </c>
      <c r="H81" s="140" t="str">
        <f aca="false">ExportRaw!$A81</f>
        <v/>
      </c>
      <c r="I81" s="140" t="str">
        <f aca="false">ExportRaw!$B81</f>
        <v/>
      </c>
    </row>
    <row r="82" customFormat="false" ht="15.75" hidden="false" customHeight="false" outlineLevel="0" collapsed="false">
      <c r="A82" s="140" t="n">
        <f aca="false">ExportRaw!$F82</f>
        <v>0</v>
      </c>
      <c r="B82" s="140" t="n">
        <f aca="false">ExportRaw!$C82</f>
        <v>0</v>
      </c>
      <c r="C82" s="140" t="n">
        <f aca="false">ExportRaw!$G82</f>
        <v>0</v>
      </c>
      <c r="D82" s="140" t="str">
        <f aca="false">ExportRaw!$E82</f>
        <v/>
      </c>
      <c r="E82" s="141" t="str">
        <f aca="false">ExportRaw!$D82</f>
        <v/>
      </c>
      <c r="F82" s="140" t="str">
        <f aca="false">ExportRaw!$H82</f>
        <v/>
      </c>
      <c r="G82" s="142" t="str">
        <f aca="false">ExportRaw!$I82</f>
        <v/>
      </c>
      <c r="H82" s="140" t="str">
        <f aca="false">ExportRaw!$A82</f>
        <v/>
      </c>
      <c r="I82" s="140" t="str">
        <f aca="false">ExportRaw!$B82</f>
        <v/>
      </c>
    </row>
    <row r="83" customFormat="false" ht="15.75" hidden="false" customHeight="false" outlineLevel="0" collapsed="false">
      <c r="A83" s="140" t="n">
        <f aca="false">ExportRaw!$F83</f>
        <v>0</v>
      </c>
      <c r="B83" s="140" t="n">
        <f aca="false">ExportRaw!$C83</f>
        <v>0</v>
      </c>
      <c r="C83" s="140" t="n">
        <f aca="false">ExportRaw!$G83</f>
        <v>0</v>
      </c>
      <c r="D83" s="140" t="str">
        <f aca="false">ExportRaw!$E83</f>
        <v/>
      </c>
      <c r="E83" s="141" t="str">
        <f aca="false">ExportRaw!$D83</f>
        <v/>
      </c>
      <c r="F83" s="140" t="str">
        <f aca="false">ExportRaw!$H83</f>
        <v/>
      </c>
      <c r="G83" s="142" t="str">
        <f aca="false">ExportRaw!$I83</f>
        <v/>
      </c>
      <c r="H83" s="140" t="str">
        <f aca="false">ExportRaw!$A83</f>
        <v/>
      </c>
      <c r="I83" s="140" t="str">
        <f aca="false">ExportRaw!$B83</f>
        <v/>
      </c>
    </row>
    <row r="84" customFormat="false" ht="15.75" hidden="false" customHeight="false" outlineLevel="0" collapsed="false">
      <c r="A84" s="140" t="n">
        <f aca="false">ExportRaw!$F84</f>
        <v>0</v>
      </c>
      <c r="B84" s="140" t="n">
        <f aca="false">ExportRaw!$C84</f>
        <v>0</v>
      </c>
      <c r="C84" s="140" t="n">
        <f aca="false">ExportRaw!$G84</f>
        <v>0</v>
      </c>
      <c r="D84" s="140" t="str">
        <f aca="false">ExportRaw!$E84</f>
        <v/>
      </c>
      <c r="E84" s="141" t="str">
        <f aca="false">ExportRaw!$D84</f>
        <v/>
      </c>
      <c r="F84" s="140" t="str">
        <f aca="false">ExportRaw!$H84</f>
        <v/>
      </c>
      <c r="G84" s="142" t="str">
        <f aca="false">ExportRaw!$I84</f>
        <v/>
      </c>
      <c r="H84" s="140" t="str">
        <f aca="false">ExportRaw!$A84</f>
        <v/>
      </c>
      <c r="I84" s="140" t="str">
        <f aca="false">ExportRaw!$B84</f>
        <v/>
      </c>
    </row>
    <row r="85" customFormat="false" ht="15.75" hidden="false" customHeight="false" outlineLevel="0" collapsed="false">
      <c r="A85" s="140" t="n">
        <f aca="false">ExportRaw!$F85</f>
        <v>0</v>
      </c>
      <c r="B85" s="140" t="n">
        <f aca="false">ExportRaw!$C85</f>
        <v>0</v>
      </c>
      <c r="C85" s="140" t="n">
        <f aca="false">ExportRaw!$G85</f>
        <v>0</v>
      </c>
      <c r="D85" s="140" t="str">
        <f aca="false">ExportRaw!$E85</f>
        <v/>
      </c>
      <c r="E85" s="141" t="str">
        <f aca="false">ExportRaw!$D85</f>
        <v/>
      </c>
      <c r="F85" s="140" t="str">
        <f aca="false">ExportRaw!$H85</f>
        <v/>
      </c>
      <c r="G85" s="142" t="str">
        <f aca="false">ExportRaw!$I85</f>
        <v/>
      </c>
      <c r="H85" s="140" t="str">
        <f aca="false">ExportRaw!$A85</f>
        <v/>
      </c>
      <c r="I85" s="140" t="str">
        <f aca="false">ExportRaw!$B85</f>
        <v/>
      </c>
    </row>
    <row r="86" customFormat="false" ht="15.75" hidden="false" customHeight="false" outlineLevel="0" collapsed="false">
      <c r="A86" s="140" t="n">
        <f aca="false">ExportRaw!$F86</f>
        <v>0</v>
      </c>
      <c r="B86" s="140" t="n">
        <f aca="false">ExportRaw!$C86</f>
        <v>0</v>
      </c>
      <c r="C86" s="140" t="n">
        <f aca="false">ExportRaw!$G86</f>
        <v>0</v>
      </c>
      <c r="D86" s="140" t="str">
        <f aca="false">ExportRaw!$E86</f>
        <v/>
      </c>
      <c r="E86" s="141" t="str">
        <f aca="false">ExportRaw!$D86</f>
        <v/>
      </c>
      <c r="F86" s="140" t="str">
        <f aca="false">ExportRaw!$H86</f>
        <v/>
      </c>
      <c r="G86" s="142" t="str">
        <f aca="false">ExportRaw!$I86</f>
        <v/>
      </c>
      <c r="H86" s="140" t="str">
        <f aca="false">ExportRaw!$A86</f>
        <v/>
      </c>
      <c r="I86" s="140" t="str">
        <f aca="false">ExportRaw!$B86</f>
        <v/>
      </c>
    </row>
    <row r="87" customFormat="false" ht="15.75" hidden="false" customHeight="false" outlineLevel="0" collapsed="false">
      <c r="A87" s="140" t="n">
        <f aca="false">ExportRaw!$F87</f>
        <v>0</v>
      </c>
      <c r="B87" s="140" t="n">
        <f aca="false">ExportRaw!$C87</f>
        <v>0</v>
      </c>
      <c r="C87" s="140" t="n">
        <f aca="false">ExportRaw!$G87</f>
        <v>0</v>
      </c>
      <c r="D87" s="140" t="str">
        <f aca="false">ExportRaw!$E87</f>
        <v/>
      </c>
      <c r="E87" s="141" t="str">
        <f aca="false">ExportRaw!$D87</f>
        <v/>
      </c>
      <c r="F87" s="140" t="str">
        <f aca="false">ExportRaw!$H87</f>
        <v/>
      </c>
      <c r="G87" s="142" t="str">
        <f aca="false">ExportRaw!$I87</f>
        <v/>
      </c>
      <c r="H87" s="140" t="str">
        <f aca="false">ExportRaw!$A87</f>
        <v/>
      </c>
      <c r="I87" s="140" t="str">
        <f aca="false">ExportRaw!$B87</f>
        <v/>
      </c>
    </row>
    <row r="88" customFormat="false" ht="15.75" hidden="false" customHeight="false" outlineLevel="0" collapsed="false">
      <c r="A88" s="140" t="n">
        <f aca="false">ExportRaw!$F88</f>
        <v>0</v>
      </c>
      <c r="B88" s="140" t="n">
        <f aca="false">ExportRaw!$C88</f>
        <v>0</v>
      </c>
      <c r="C88" s="140" t="n">
        <f aca="false">ExportRaw!$G88</f>
        <v>0</v>
      </c>
      <c r="D88" s="140" t="str">
        <f aca="false">ExportRaw!$E88</f>
        <v/>
      </c>
      <c r="E88" s="141" t="str">
        <f aca="false">ExportRaw!$D88</f>
        <v/>
      </c>
      <c r="F88" s="140" t="str">
        <f aca="false">ExportRaw!$H88</f>
        <v/>
      </c>
      <c r="G88" s="142" t="str">
        <f aca="false">ExportRaw!$I88</f>
        <v/>
      </c>
      <c r="H88" s="140" t="str">
        <f aca="false">ExportRaw!$A88</f>
        <v/>
      </c>
      <c r="I88" s="140" t="str">
        <f aca="false">ExportRaw!$B88</f>
        <v/>
      </c>
    </row>
    <row r="89" customFormat="false" ht="15.75" hidden="false" customHeight="false" outlineLevel="0" collapsed="false">
      <c r="A89" s="140" t="n">
        <f aca="false">ExportRaw!$F89</f>
        <v>0</v>
      </c>
      <c r="B89" s="140" t="n">
        <f aca="false">ExportRaw!$C89</f>
        <v>0</v>
      </c>
      <c r="C89" s="140" t="n">
        <f aca="false">ExportRaw!$G89</f>
        <v>0</v>
      </c>
      <c r="D89" s="140" t="str">
        <f aca="false">ExportRaw!$E89</f>
        <v/>
      </c>
      <c r="E89" s="141" t="str">
        <f aca="false">ExportRaw!$D89</f>
        <v/>
      </c>
      <c r="F89" s="140" t="str">
        <f aca="false">ExportRaw!$H89</f>
        <v/>
      </c>
      <c r="G89" s="142" t="str">
        <f aca="false">ExportRaw!$I89</f>
        <v/>
      </c>
      <c r="H89" s="140" t="str">
        <f aca="false">ExportRaw!$A89</f>
        <v/>
      </c>
      <c r="I89" s="140" t="str">
        <f aca="false">ExportRaw!$B89</f>
        <v/>
      </c>
    </row>
    <row r="90" customFormat="false" ht="15.75" hidden="false" customHeight="false" outlineLevel="0" collapsed="false">
      <c r="A90" s="140" t="n">
        <f aca="false">ExportRaw!$F90</f>
        <v>0</v>
      </c>
      <c r="B90" s="140" t="n">
        <f aca="false">ExportRaw!$C90</f>
        <v>0</v>
      </c>
      <c r="C90" s="140" t="n">
        <f aca="false">ExportRaw!$G90</f>
        <v>0</v>
      </c>
      <c r="D90" s="140" t="str">
        <f aca="false">ExportRaw!$E90</f>
        <v/>
      </c>
      <c r="E90" s="141" t="str">
        <f aca="false">ExportRaw!$D90</f>
        <v/>
      </c>
      <c r="F90" s="140" t="str">
        <f aca="false">ExportRaw!$H90</f>
        <v/>
      </c>
      <c r="G90" s="142" t="str">
        <f aca="false">ExportRaw!$I90</f>
        <v/>
      </c>
      <c r="H90" s="140" t="str">
        <f aca="false">ExportRaw!$A90</f>
        <v/>
      </c>
      <c r="I90" s="140" t="str">
        <f aca="false">ExportRaw!$B90</f>
        <v/>
      </c>
    </row>
    <row r="91" customFormat="false" ht="15.75" hidden="false" customHeight="false" outlineLevel="0" collapsed="false">
      <c r="A91" s="140" t="n">
        <f aca="false">ExportRaw!$F91</f>
        <v>0</v>
      </c>
      <c r="B91" s="140" t="n">
        <f aca="false">ExportRaw!$C91</f>
        <v>0</v>
      </c>
      <c r="C91" s="140" t="n">
        <f aca="false">ExportRaw!$G91</f>
        <v>0</v>
      </c>
      <c r="D91" s="140" t="str">
        <f aca="false">ExportRaw!$E91</f>
        <v/>
      </c>
      <c r="E91" s="141" t="str">
        <f aca="false">ExportRaw!$D91</f>
        <v/>
      </c>
      <c r="F91" s="140" t="str">
        <f aca="false">ExportRaw!$H91</f>
        <v/>
      </c>
      <c r="G91" s="142" t="str">
        <f aca="false">ExportRaw!$I91</f>
        <v/>
      </c>
      <c r="H91" s="140" t="str">
        <f aca="false">ExportRaw!$A91</f>
        <v/>
      </c>
      <c r="I91" s="140" t="str">
        <f aca="false">ExportRaw!$B91</f>
        <v/>
      </c>
    </row>
    <row r="92" customFormat="false" ht="15.75" hidden="false" customHeight="false" outlineLevel="0" collapsed="false">
      <c r="A92" s="140" t="n">
        <f aca="false">ExportRaw!$F92</f>
        <v>0</v>
      </c>
      <c r="B92" s="140" t="n">
        <f aca="false">ExportRaw!$C92</f>
        <v>0</v>
      </c>
      <c r="C92" s="140" t="n">
        <f aca="false">ExportRaw!$G92</f>
        <v>0</v>
      </c>
      <c r="D92" s="140" t="str">
        <f aca="false">ExportRaw!$E92</f>
        <v/>
      </c>
      <c r="E92" s="141" t="str">
        <f aca="false">ExportRaw!$D92</f>
        <v/>
      </c>
      <c r="F92" s="140" t="str">
        <f aca="false">ExportRaw!$H92</f>
        <v/>
      </c>
      <c r="G92" s="142" t="str">
        <f aca="false">ExportRaw!$I92</f>
        <v/>
      </c>
      <c r="H92" s="140" t="str">
        <f aca="false">ExportRaw!$A92</f>
        <v/>
      </c>
      <c r="I92" s="140" t="str">
        <f aca="false">ExportRaw!$B92</f>
        <v/>
      </c>
    </row>
    <row r="93" customFormat="false" ht="15.75" hidden="false" customHeight="false" outlineLevel="0" collapsed="false">
      <c r="A93" s="140" t="n">
        <f aca="false">ExportRaw!$F93</f>
        <v>0</v>
      </c>
      <c r="B93" s="140" t="n">
        <f aca="false">ExportRaw!$C93</f>
        <v>0</v>
      </c>
      <c r="C93" s="140" t="n">
        <f aca="false">ExportRaw!$G93</f>
        <v>0</v>
      </c>
      <c r="D93" s="140" t="str">
        <f aca="false">ExportRaw!$E93</f>
        <v/>
      </c>
      <c r="E93" s="141" t="str">
        <f aca="false">ExportRaw!$D93</f>
        <v/>
      </c>
      <c r="F93" s="140" t="str">
        <f aca="false">ExportRaw!$H93</f>
        <v/>
      </c>
      <c r="G93" s="142" t="str">
        <f aca="false">ExportRaw!$I93</f>
        <v/>
      </c>
      <c r="H93" s="140" t="str">
        <f aca="false">ExportRaw!$A93</f>
        <v/>
      </c>
      <c r="I93" s="140" t="str">
        <f aca="false">ExportRaw!$B93</f>
        <v/>
      </c>
    </row>
    <row r="94" customFormat="false" ht="15.75" hidden="false" customHeight="false" outlineLevel="0" collapsed="false">
      <c r="A94" s="140" t="n">
        <f aca="false">ExportRaw!$F94</f>
        <v>0</v>
      </c>
      <c r="B94" s="140" t="n">
        <f aca="false">ExportRaw!$C94</f>
        <v>0</v>
      </c>
      <c r="C94" s="140" t="n">
        <f aca="false">ExportRaw!$G94</f>
        <v>0</v>
      </c>
      <c r="D94" s="140" t="str">
        <f aca="false">ExportRaw!$E94</f>
        <v/>
      </c>
      <c r="E94" s="141" t="str">
        <f aca="false">ExportRaw!$D94</f>
        <v/>
      </c>
      <c r="F94" s="140" t="str">
        <f aca="false">ExportRaw!$H94</f>
        <v/>
      </c>
      <c r="G94" s="142" t="str">
        <f aca="false">ExportRaw!$I94</f>
        <v/>
      </c>
      <c r="H94" s="140" t="str">
        <f aca="false">ExportRaw!$A94</f>
        <v/>
      </c>
      <c r="I94" s="140" t="str">
        <f aca="false">ExportRaw!$B94</f>
        <v/>
      </c>
    </row>
    <row r="95" customFormat="false" ht="15.75" hidden="false" customHeight="false" outlineLevel="0" collapsed="false">
      <c r="A95" s="140" t="n">
        <f aca="false">ExportRaw!$F95</f>
        <v>0</v>
      </c>
      <c r="B95" s="140" t="n">
        <f aca="false">ExportRaw!$C95</f>
        <v>0</v>
      </c>
      <c r="C95" s="140" t="n">
        <f aca="false">ExportRaw!$G95</f>
        <v>0</v>
      </c>
      <c r="D95" s="140" t="str">
        <f aca="false">ExportRaw!$E95</f>
        <v/>
      </c>
      <c r="E95" s="141" t="str">
        <f aca="false">ExportRaw!$D95</f>
        <v/>
      </c>
      <c r="F95" s="140" t="str">
        <f aca="false">ExportRaw!$H95</f>
        <v/>
      </c>
      <c r="G95" s="142" t="str">
        <f aca="false">ExportRaw!$I95</f>
        <v/>
      </c>
      <c r="H95" s="140" t="str">
        <f aca="false">ExportRaw!$A95</f>
        <v/>
      </c>
      <c r="I95" s="140" t="str">
        <f aca="false">ExportRaw!$B95</f>
        <v/>
      </c>
    </row>
    <row r="96" customFormat="false" ht="15.75" hidden="false" customHeight="false" outlineLevel="0" collapsed="false">
      <c r="A96" s="140" t="n">
        <f aca="false">ExportRaw!$F96</f>
        <v>0</v>
      </c>
      <c r="B96" s="140" t="n">
        <f aca="false">ExportRaw!$C96</f>
        <v>0</v>
      </c>
      <c r="C96" s="140" t="n">
        <f aca="false">ExportRaw!$G96</f>
        <v>0</v>
      </c>
      <c r="D96" s="140" t="str">
        <f aca="false">ExportRaw!$E96</f>
        <v/>
      </c>
      <c r="E96" s="141" t="str">
        <f aca="false">ExportRaw!$D96</f>
        <v/>
      </c>
      <c r="F96" s="140" t="str">
        <f aca="false">ExportRaw!$H96</f>
        <v/>
      </c>
      <c r="G96" s="142" t="str">
        <f aca="false">ExportRaw!$I96</f>
        <v/>
      </c>
      <c r="H96" s="140" t="str">
        <f aca="false">ExportRaw!$A96</f>
        <v/>
      </c>
      <c r="I96" s="140" t="str">
        <f aca="false">ExportRaw!$B96</f>
        <v/>
      </c>
    </row>
    <row r="97" customFormat="false" ht="15.75" hidden="false" customHeight="false" outlineLevel="0" collapsed="false">
      <c r="A97" s="140" t="n">
        <f aca="false">ExportRaw!$F97</f>
        <v>0</v>
      </c>
      <c r="B97" s="140" t="n">
        <f aca="false">ExportRaw!$C97</f>
        <v>0</v>
      </c>
      <c r="C97" s="140" t="n">
        <f aca="false">ExportRaw!$G97</f>
        <v>0</v>
      </c>
      <c r="D97" s="140" t="str">
        <f aca="false">ExportRaw!$E97</f>
        <v/>
      </c>
      <c r="E97" s="141" t="str">
        <f aca="false">ExportRaw!$D97</f>
        <v/>
      </c>
      <c r="F97" s="140" t="str">
        <f aca="false">ExportRaw!$H97</f>
        <v/>
      </c>
      <c r="G97" s="142" t="str">
        <f aca="false">ExportRaw!$I97</f>
        <v/>
      </c>
      <c r="H97" s="140" t="str">
        <f aca="false">ExportRaw!$A97</f>
        <v/>
      </c>
      <c r="I97" s="140" t="str">
        <f aca="false">ExportRaw!$B97</f>
        <v/>
      </c>
    </row>
    <row r="98" customFormat="false" ht="15.75" hidden="false" customHeight="false" outlineLevel="0" collapsed="false">
      <c r="A98" s="140" t="n">
        <f aca="false">ExportRaw!$F98</f>
        <v>0</v>
      </c>
      <c r="B98" s="140" t="n">
        <f aca="false">ExportRaw!$C98</f>
        <v>0</v>
      </c>
      <c r="C98" s="140" t="n">
        <f aca="false">ExportRaw!$G98</f>
        <v>0</v>
      </c>
      <c r="D98" s="140" t="str">
        <f aca="false">ExportRaw!$E98</f>
        <v/>
      </c>
      <c r="E98" s="141" t="str">
        <f aca="false">ExportRaw!$D98</f>
        <v/>
      </c>
      <c r="F98" s="140" t="str">
        <f aca="false">ExportRaw!$H98</f>
        <v/>
      </c>
      <c r="G98" s="142" t="str">
        <f aca="false">ExportRaw!$I98</f>
        <v/>
      </c>
      <c r="H98" s="140" t="str">
        <f aca="false">ExportRaw!$A98</f>
        <v/>
      </c>
      <c r="I98" s="140" t="str">
        <f aca="false">ExportRaw!$B98</f>
        <v/>
      </c>
    </row>
    <row r="99" customFormat="false" ht="15.75" hidden="false" customHeight="false" outlineLevel="0" collapsed="false">
      <c r="A99" s="140" t="n">
        <f aca="false">ExportRaw!$F99</f>
        <v>0</v>
      </c>
      <c r="B99" s="140" t="n">
        <f aca="false">ExportRaw!$C99</f>
        <v>0</v>
      </c>
      <c r="C99" s="140" t="n">
        <f aca="false">ExportRaw!$G99</f>
        <v>0</v>
      </c>
      <c r="D99" s="140" t="str">
        <f aca="false">ExportRaw!$E99</f>
        <v/>
      </c>
      <c r="E99" s="141" t="str">
        <f aca="false">ExportRaw!$D99</f>
        <v/>
      </c>
      <c r="F99" s="140" t="str">
        <f aca="false">ExportRaw!$H99</f>
        <v/>
      </c>
      <c r="G99" s="142" t="str">
        <f aca="false">ExportRaw!$I99</f>
        <v/>
      </c>
      <c r="H99" s="140" t="str">
        <f aca="false">ExportRaw!$A99</f>
        <v/>
      </c>
      <c r="I99" s="140" t="str">
        <f aca="false">ExportRaw!$B99</f>
        <v/>
      </c>
    </row>
    <row r="100" customFormat="false" ht="15.75" hidden="false" customHeight="false" outlineLevel="0" collapsed="false">
      <c r="A100" s="140" t="n">
        <f aca="false">ExportRaw!$F100</f>
        <v>0</v>
      </c>
      <c r="B100" s="140" t="n">
        <f aca="false">ExportRaw!$C100</f>
        <v>0</v>
      </c>
      <c r="C100" s="140" t="n">
        <f aca="false">ExportRaw!$G100</f>
        <v>0</v>
      </c>
      <c r="D100" s="140" t="str">
        <f aca="false">ExportRaw!$E100</f>
        <v/>
      </c>
      <c r="E100" s="141" t="str">
        <f aca="false">ExportRaw!$D100</f>
        <v/>
      </c>
      <c r="F100" s="140" t="str">
        <f aca="false">ExportRaw!$H100</f>
        <v/>
      </c>
      <c r="G100" s="142" t="str">
        <f aca="false">ExportRaw!$I100</f>
        <v/>
      </c>
      <c r="H100" s="140" t="str">
        <f aca="false">ExportRaw!$A100</f>
        <v/>
      </c>
      <c r="I100" s="140" t="str">
        <f aca="false">ExportRaw!$B100</f>
        <v/>
      </c>
    </row>
    <row r="101" customFormat="false" ht="15.75" hidden="false" customHeight="false" outlineLevel="0" collapsed="false">
      <c r="A101" s="140" t="n">
        <f aca="false">ExportRaw!$F101</f>
        <v>0</v>
      </c>
      <c r="B101" s="140" t="n">
        <f aca="false">ExportRaw!$C101</f>
        <v>0</v>
      </c>
      <c r="C101" s="140" t="n">
        <f aca="false">ExportRaw!$G101</f>
        <v>0</v>
      </c>
      <c r="D101" s="140" t="str">
        <f aca="false">ExportRaw!$E101</f>
        <v/>
      </c>
      <c r="E101" s="141" t="str">
        <f aca="false">ExportRaw!$D101</f>
        <v/>
      </c>
      <c r="F101" s="140" t="str">
        <f aca="false">ExportRaw!$H101</f>
        <v/>
      </c>
      <c r="G101" s="142" t="str">
        <f aca="false">ExportRaw!$I101</f>
        <v/>
      </c>
      <c r="H101" s="140" t="str">
        <f aca="false">ExportRaw!$A101</f>
        <v/>
      </c>
      <c r="I101" s="140" t="str">
        <f aca="false">ExportRaw!$B101</f>
        <v/>
      </c>
    </row>
    <row r="102" customFormat="false" ht="15.75" hidden="false" customHeight="false" outlineLevel="0" collapsed="false">
      <c r="A102" s="140" t="n">
        <f aca="false">ExportRaw!$F102</f>
        <v>0</v>
      </c>
      <c r="B102" s="140" t="n">
        <f aca="false">ExportRaw!$C102</f>
        <v>0</v>
      </c>
      <c r="C102" s="140" t="n">
        <f aca="false">ExportRaw!$G102</f>
        <v>0</v>
      </c>
      <c r="D102" s="140" t="str">
        <f aca="false">ExportRaw!$E102</f>
        <v/>
      </c>
      <c r="E102" s="141" t="str">
        <f aca="false">ExportRaw!$D102</f>
        <v/>
      </c>
      <c r="F102" s="140" t="str">
        <f aca="false">ExportRaw!$H102</f>
        <v/>
      </c>
      <c r="G102" s="142" t="str">
        <f aca="false">ExportRaw!$I102</f>
        <v/>
      </c>
      <c r="H102" s="140" t="str">
        <f aca="false">ExportRaw!$A102</f>
        <v/>
      </c>
      <c r="I102" s="140" t="str">
        <f aca="false">ExportRaw!$B102</f>
        <v/>
      </c>
    </row>
    <row r="103" customFormat="false" ht="15.75" hidden="false" customHeight="false" outlineLevel="0" collapsed="false">
      <c r="A103" s="140" t="n">
        <f aca="false">ExportRaw!$F103</f>
        <v>0</v>
      </c>
      <c r="B103" s="140" t="n">
        <f aca="false">ExportRaw!$C103</f>
        <v>0</v>
      </c>
      <c r="C103" s="140" t="n">
        <f aca="false">ExportRaw!$G103</f>
        <v>0</v>
      </c>
      <c r="D103" s="140" t="str">
        <f aca="false">ExportRaw!$E103</f>
        <v/>
      </c>
      <c r="E103" s="141" t="str">
        <f aca="false">ExportRaw!$D103</f>
        <v/>
      </c>
      <c r="F103" s="140" t="str">
        <f aca="false">ExportRaw!$H103</f>
        <v/>
      </c>
      <c r="G103" s="142" t="str">
        <f aca="false">ExportRaw!$I103</f>
        <v/>
      </c>
      <c r="H103" s="140" t="str">
        <f aca="false">ExportRaw!$A103</f>
        <v/>
      </c>
      <c r="I103" s="140" t="str">
        <f aca="false">ExportRaw!$B103</f>
        <v/>
      </c>
    </row>
    <row r="104" customFormat="false" ht="15.75" hidden="false" customHeight="false" outlineLevel="0" collapsed="false">
      <c r="A104" s="140" t="n">
        <f aca="false">ExportRaw!$F104</f>
        <v>0</v>
      </c>
      <c r="B104" s="140" t="n">
        <f aca="false">ExportRaw!$C104</f>
        <v>0</v>
      </c>
      <c r="C104" s="140" t="n">
        <f aca="false">ExportRaw!$G104</f>
        <v>0</v>
      </c>
      <c r="D104" s="140" t="str">
        <f aca="false">ExportRaw!$E104</f>
        <v/>
      </c>
      <c r="E104" s="141" t="str">
        <f aca="false">ExportRaw!$D104</f>
        <v/>
      </c>
      <c r="F104" s="140" t="str">
        <f aca="false">ExportRaw!$H104</f>
        <v/>
      </c>
      <c r="G104" s="142" t="str">
        <f aca="false">ExportRaw!$I104</f>
        <v/>
      </c>
      <c r="H104" s="140" t="str">
        <f aca="false">ExportRaw!$A104</f>
        <v/>
      </c>
      <c r="I104" s="140" t="str">
        <f aca="false">ExportRaw!$B104</f>
        <v/>
      </c>
    </row>
    <row r="105" customFormat="false" ht="15.75" hidden="false" customHeight="false" outlineLevel="0" collapsed="false">
      <c r="A105" s="140" t="n">
        <f aca="false">ExportRaw!$F105</f>
        <v>0</v>
      </c>
      <c r="B105" s="140" t="n">
        <f aca="false">ExportRaw!$C105</f>
        <v>0</v>
      </c>
      <c r="C105" s="140" t="n">
        <f aca="false">ExportRaw!$G105</f>
        <v>0</v>
      </c>
      <c r="D105" s="140" t="str">
        <f aca="false">ExportRaw!$E105</f>
        <v/>
      </c>
      <c r="E105" s="141" t="str">
        <f aca="false">ExportRaw!$D105</f>
        <v/>
      </c>
      <c r="F105" s="140" t="str">
        <f aca="false">ExportRaw!$H105</f>
        <v/>
      </c>
      <c r="G105" s="142" t="str">
        <f aca="false">ExportRaw!$I105</f>
        <v/>
      </c>
      <c r="H105" s="140" t="str">
        <f aca="false">ExportRaw!$A105</f>
        <v/>
      </c>
      <c r="I105" s="140" t="str">
        <f aca="false">ExportRaw!$B105</f>
        <v/>
      </c>
    </row>
    <row r="106" customFormat="false" ht="15.75" hidden="false" customHeight="false" outlineLevel="0" collapsed="false">
      <c r="A106" s="140" t="n">
        <f aca="false">ExportRaw!$F106</f>
        <v>0</v>
      </c>
      <c r="B106" s="140" t="n">
        <f aca="false">ExportRaw!$C106</f>
        <v>0</v>
      </c>
      <c r="C106" s="140" t="n">
        <f aca="false">ExportRaw!$G106</f>
        <v>0</v>
      </c>
      <c r="D106" s="140" t="str">
        <f aca="false">ExportRaw!$E106</f>
        <v/>
      </c>
      <c r="E106" s="141" t="str">
        <f aca="false">ExportRaw!$D106</f>
        <v/>
      </c>
      <c r="F106" s="140" t="str">
        <f aca="false">ExportRaw!$H106</f>
        <v/>
      </c>
      <c r="G106" s="142" t="str">
        <f aca="false">ExportRaw!$I106</f>
        <v/>
      </c>
      <c r="H106" s="140" t="str">
        <f aca="false">ExportRaw!$A106</f>
        <v/>
      </c>
      <c r="I106" s="140" t="str">
        <f aca="false">ExportRaw!$B106</f>
        <v/>
      </c>
    </row>
    <row r="107" customFormat="false" ht="15.75" hidden="false" customHeight="false" outlineLevel="0" collapsed="false">
      <c r="A107" s="140" t="n">
        <f aca="false">ExportRaw!$F107</f>
        <v>0</v>
      </c>
      <c r="B107" s="140" t="n">
        <f aca="false">ExportRaw!$C107</f>
        <v>0</v>
      </c>
      <c r="C107" s="140" t="n">
        <f aca="false">ExportRaw!$G107</f>
        <v>0</v>
      </c>
      <c r="D107" s="140" t="str">
        <f aca="false">ExportRaw!$E107</f>
        <v/>
      </c>
      <c r="E107" s="141" t="str">
        <f aca="false">ExportRaw!$D107</f>
        <v/>
      </c>
      <c r="F107" s="140" t="str">
        <f aca="false">ExportRaw!$H107</f>
        <v/>
      </c>
      <c r="G107" s="142" t="str">
        <f aca="false">ExportRaw!$I107</f>
        <v/>
      </c>
      <c r="H107" s="140" t="str">
        <f aca="false">ExportRaw!$A107</f>
        <v/>
      </c>
      <c r="I107" s="140" t="str">
        <f aca="false">ExportRaw!$B107</f>
        <v/>
      </c>
    </row>
    <row r="108" customFormat="false" ht="15.75" hidden="false" customHeight="false" outlineLevel="0" collapsed="false">
      <c r="A108" s="140" t="n">
        <f aca="false">ExportRaw!$F108</f>
        <v>0</v>
      </c>
      <c r="B108" s="140" t="n">
        <f aca="false">ExportRaw!$C108</f>
        <v>0</v>
      </c>
      <c r="C108" s="140" t="n">
        <f aca="false">ExportRaw!$G108</f>
        <v>0</v>
      </c>
      <c r="D108" s="140" t="str">
        <f aca="false">ExportRaw!$E108</f>
        <v/>
      </c>
      <c r="E108" s="141" t="str">
        <f aca="false">ExportRaw!$D108</f>
        <v/>
      </c>
      <c r="F108" s="140" t="str">
        <f aca="false">ExportRaw!$H108</f>
        <v/>
      </c>
      <c r="G108" s="142" t="str">
        <f aca="false">ExportRaw!$I108</f>
        <v/>
      </c>
      <c r="H108" s="140" t="str">
        <f aca="false">ExportRaw!$A108</f>
        <v/>
      </c>
      <c r="I108" s="140" t="str">
        <f aca="false">ExportRaw!$B108</f>
        <v/>
      </c>
    </row>
    <row r="109" customFormat="false" ht="15.75" hidden="false" customHeight="false" outlineLevel="0" collapsed="false">
      <c r="A109" s="140" t="n">
        <f aca="false">ExportRaw!$F109</f>
        <v>0</v>
      </c>
      <c r="B109" s="140" t="n">
        <f aca="false">ExportRaw!$C109</f>
        <v>0</v>
      </c>
      <c r="C109" s="140" t="n">
        <f aca="false">ExportRaw!$G109</f>
        <v>0</v>
      </c>
      <c r="D109" s="140" t="str">
        <f aca="false">ExportRaw!$E109</f>
        <v/>
      </c>
      <c r="E109" s="141" t="str">
        <f aca="false">ExportRaw!$D109</f>
        <v/>
      </c>
      <c r="F109" s="140" t="str">
        <f aca="false">ExportRaw!$H109</f>
        <v/>
      </c>
      <c r="G109" s="142" t="str">
        <f aca="false">ExportRaw!$I109</f>
        <v/>
      </c>
      <c r="H109" s="140" t="str">
        <f aca="false">ExportRaw!$A109</f>
        <v/>
      </c>
      <c r="I109" s="140" t="str">
        <f aca="false">ExportRaw!$B109</f>
        <v/>
      </c>
    </row>
    <row r="110" customFormat="false" ht="15.75" hidden="false" customHeight="false" outlineLevel="0" collapsed="false">
      <c r="A110" s="140" t="n">
        <f aca="false">ExportRaw!$F110</f>
        <v>0</v>
      </c>
      <c r="B110" s="140" t="n">
        <f aca="false">ExportRaw!$C110</f>
        <v>0</v>
      </c>
      <c r="C110" s="140" t="n">
        <f aca="false">ExportRaw!$G110</f>
        <v>0</v>
      </c>
      <c r="D110" s="140" t="str">
        <f aca="false">ExportRaw!$E110</f>
        <v/>
      </c>
      <c r="E110" s="141" t="str">
        <f aca="false">ExportRaw!$D110</f>
        <v/>
      </c>
      <c r="F110" s="140" t="str">
        <f aca="false">ExportRaw!$H110</f>
        <v/>
      </c>
      <c r="G110" s="142" t="str">
        <f aca="false">ExportRaw!$I110</f>
        <v/>
      </c>
      <c r="H110" s="140" t="str">
        <f aca="false">ExportRaw!$A110</f>
        <v/>
      </c>
      <c r="I110" s="140" t="str">
        <f aca="false">ExportRaw!$B110</f>
        <v/>
      </c>
    </row>
    <row r="111" customFormat="false" ht="15.75" hidden="false" customHeight="false" outlineLevel="0" collapsed="false">
      <c r="A111" s="140" t="n">
        <f aca="false">ExportRaw!$F111</f>
        <v>0</v>
      </c>
      <c r="B111" s="140" t="n">
        <f aca="false">ExportRaw!$C111</f>
        <v>0</v>
      </c>
      <c r="C111" s="140" t="n">
        <f aca="false">ExportRaw!$G111</f>
        <v>0</v>
      </c>
      <c r="D111" s="140" t="str">
        <f aca="false">ExportRaw!$E111</f>
        <v/>
      </c>
      <c r="E111" s="141" t="str">
        <f aca="false">ExportRaw!$D111</f>
        <v/>
      </c>
      <c r="F111" s="140" t="str">
        <f aca="false">ExportRaw!$H111</f>
        <v/>
      </c>
      <c r="G111" s="142" t="str">
        <f aca="false">ExportRaw!$I111</f>
        <v/>
      </c>
      <c r="H111" s="140" t="str">
        <f aca="false">ExportRaw!$A111</f>
        <v/>
      </c>
      <c r="I111" s="140" t="str">
        <f aca="false">ExportRaw!$B111</f>
        <v/>
      </c>
    </row>
    <row r="112" customFormat="false" ht="15.75" hidden="false" customHeight="false" outlineLevel="0" collapsed="false">
      <c r="A112" s="140" t="n">
        <f aca="false">ExportRaw!$F112</f>
        <v>0</v>
      </c>
      <c r="B112" s="140" t="n">
        <f aca="false">ExportRaw!$C112</f>
        <v>0</v>
      </c>
      <c r="C112" s="140" t="n">
        <f aca="false">ExportRaw!$G112</f>
        <v>0</v>
      </c>
      <c r="D112" s="140" t="str">
        <f aca="false">ExportRaw!$E112</f>
        <v/>
      </c>
      <c r="E112" s="141" t="str">
        <f aca="false">ExportRaw!$D112</f>
        <v/>
      </c>
      <c r="F112" s="140" t="str">
        <f aca="false">ExportRaw!$H112</f>
        <v/>
      </c>
      <c r="G112" s="142" t="str">
        <f aca="false">ExportRaw!$I112</f>
        <v/>
      </c>
      <c r="H112" s="140" t="str">
        <f aca="false">ExportRaw!$A112</f>
        <v/>
      </c>
      <c r="I112" s="140" t="str">
        <f aca="false">ExportRaw!$B112</f>
        <v/>
      </c>
    </row>
    <row r="113" customFormat="false" ht="15.75" hidden="false" customHeight="false" outlineLevel="0" collapsed="false">
      <c r="A113" s="140" t="n">
        <f aca="false">ExportRaw!$F113</f>
        <v>0</v>
      </c>
      <c r="B113" s="140" t="n">
        <f aca="false">ExportRaw!$C113</f>
        <v>0</v>
      </c>
      <c r="C113" s="140" t="n">
        <f aca="false">ExportRaw!$G113</f>
        <v>0</v>
      </c>
      <c r="D113" s="140" t="str">
        <f aca="false">ExportRaw!$E113</f>
        <v/>
      </c>
      <c r="E113" s="141" t="str">
        <f aca="false">ExportRaw!$D113</f>
        <v/>
      </c>
      <c r="F113" s="140" t="str">
        <f aca="false">ExportRaw!$H113</f>
        <v/>
      </c>
      <c r="G113" s="142" t="str">
        <f aca="false">ExportRaw!$I113</f>
        <v/>
      </c>
      <c r="H113" s="140" t="str">
        <f aca="false">ExportRaw!$A113</f>
        <v/>
      </c>
      <c r="I113" s="140" t="str">
        <f aca="false">ExportRaw!$B113</f>
        <v/>
      </c>
    </row>
    <row r="114" customFormat="false" ht="15.75" hidden="false" customHeight="false" outlineLevel="0" collapsed="false">
      <c r="A114" s="140" t="n">
        <f aca="false">ExportRaw!$F114</f>
        <v>0</v>
      </c>
      <c r="B114" s="140" t="n">
        <f aca="false">ExportRaw!$C114</f>
        <v>0</v>
      </c>
      <c r="C114" s="140" t="n">
        <f aca="false">ExportRaw!$G114</f>
        <v>0</v>
      </c>
      <c r="D114" s="140" t="str">
        <f aca="false">ExportRaw!$E114</f>
        <v/>
      </c>
      <c r="E114" s="141" t="str">
        <f aca="false">ExportRaw!$D114</f>
        <v/>
      </c>
      <c r="F114" s="140" t="str">
        <f aca="false">ExportRaw!$H114</f>
        <v/>
      </c>
      <c r="G114" s="142" t="str">
        <f aca="false">ExportRaw!$I114</f>
        <v/>
      </c>
      <c r="H114" s="140" t="str">
        <f aca="false">ExportRaw!$A114</f>
        <v/>
      </c>
      <c r="I114" s="140" t="str">
        <f aca="false">ExportRaw!$B114</f>
        <v/>
      </c>
    </row>
    <row r="115" customFormat="false" ht="15.75" hidden="false" customHeight="false" outlineLevel="0" collapsed="false">
      <c r="A115" s="140" t="n">
        <f aca="false">ExportRaw!$F115</f>
        <v>0</v>
      </c>
      <c r="B115" s="140" t="n">
        <f aca="false">ExportRaw!$C115</f>
        <v>0</v>
      </c>
      <c r="C115" s="140" t="n">
        <f aca="false">ExportRaw!$G115</f>
        <v>0</v>
      </c>
      <c r="D115" s="140" t="str">
        <f aca="false">ExportRaw!$E115</f>
        <v/>
      </c>
      <c r="E115" s="141" t="str">
        <f aca="false">ExportRaw!$D115</f>
        <v/>
      </c>
      <c r="F115" s="140" t="str">
        <f aca="false">ExportRaw!$H115</f>
        <v/>
      </c>
      <c r="G115" s="142" t="str">
        <f aca="false">ExportRaw!$I115</f>
        <v/>
      </c>
      <c r="H115" s="140" t="str">
        <f aca="false">ExportRaw!$A115</f>
        <v/>
      </c>
      <c r="I115" s="140" t="str">
        <f aca="false">ExportRaw!$B115</f>
        <v/>
      </c>
    </row>
    <row r="116" customFormat="false" ht="15.75" hidden="false" customHeight="false" outlineLevel="0" collapsed="false">
      <c r="A116" s="140" t="n">
        <f aca="false">ExportRaw!$F116</f>
        <v>0</v>
      </c>
      <c r="B116" s="140" t="n">
        <f aca="false">ExportRaw!$C116</f>
        <v>0</v>
      </c>
      <c r="C116" s="140" t="n">
        <f aca="false">ExportRaw!$G116</f>
        <v>0</v>
      </c>
      <c r="D116" s="140" t="str">
        <f aca="false">ExportRaw!$E116</f>
        <v/>
      </c>
      <c r="E116" s="141" t="str">
        <f aca="false">ExportRaw!$D116</f>
        <v/>
      </c>
      <c r="F116" s="140" t="str">
        <f aca="false">ExportRaw!$H116</f>
        <v/>
      </c>
      <c r="G116" s="142" t="str">
        <f aca="false">ExportRaw!$I116</f>
        <v/>
      </c>
      <c r="H116" s="140" t="str">
        <f aca="false">ExportRaw!$A116</f>
        <v/>
      </c>
      <c r="I116" s="140" t="str">
        <f aca="false">ExportRaw!$B116</f>
        <v/>
      </c>
    </row>
    <row r="117" customFormat="false" ht="15.75" hidden="false" customHeight="false" outlineLevel="0" collapsed="false">
      <c r="A117" s="140" t="n">
        <f aca="false">ExportRaw!$F117</f>
        <v>0</v>
      </c>
      <c r="B117" s="140" t="n">
        <f aca="false">ExportRaw!$C117</f>
        <v>0</v>
      </c>
      <c r="C117" s="140" t="n">
        <f aca="false">ExportRaw!$G117</f>
        <v>0</v>
      </c>
      <c r="D117" s="140" t="str">
        <f aca="false">ExportRaw!$E117</f>
        <v/>
      </c>
      <c r="E117" s="141" t="str">
        <f aca="false">ExportRaw!$D117</f>
        <v/>
      </c>
      <c r="F117" s="140" t="str">
        <f aca="false">ExportRaw!$H117</f>
        <v/>
      </c>
      <c r="G117" s="142" t="str">
        <f aca="false">ExportRaw!$I117</f>
        <v/>
      </c>
      <c r="H117" s="140" t="str">
        <f aca="false">ExportRaw!$A117</f>
        <v/>
      </c>
      <c r="I117" s="140" t="str">
        <f aca="false">ExportRaw!$B117</f>
        <v/>
      </c>
    </row>
    <row r="118" customFormat="false" ht="15.75" hidden="false" customHeight="false" outlineLevel="0" collapsed="false">
      <c r="A118" s="140" t="n">
        <f aca="false">ExportRaw!$F118</f>
        <v>0</v>
      </c>
      <c r="B118" s="140" t="n">
        <f aca="false">ExportRaw!$C118</f>
        <v>0</v>
      </c>
      <c r="C118" s="140" t="n">
        <f aca="false">ExportRaw!$G118</f>
        <v>0</v>
      </c>
      <c r="D118" s="140" t="str">
        <f aca="false">ExportRaw!$E118</f>
        <v/>
      </c>
      <c r="E118" s="141" t="str">
        <f aca="false">ExportRaw!$D118</f>
        <v/>
      </c>
      <c r="F118" s="140" t="str">
        <f aca="false">ExportRaw!$H118</f>
        <v/>
      </c>
      <c r="G118" s="142" t="str">
        <f aca="false">ExportRaw!$I118</f>
        <v/>
      </c>
      <c r="H118" s="140" t="str">
        <f aca="false">ExportRaw!$A118</f>
        <v/>
      </c>
      <c r="I118" s="140" t="str">
        <f aca="false">ExportRaw!$B118</f>
        <v/>
      </c>
    </row>
    <row r="119" customFormat="false" ht="15.75" hidden="false" customHeight="false" outlineLevel="0" collapsed="false">
      <c r="A119" s="140" t="n">
        <f aca="false">ExportRaw!$F119</f>
        <v>0</v>
      </c>
      <c r="B119" s="140" t="n">
        <f aca="false">ExportRaw!$C119</f>
        <v>0</v>
      </c>
      <c r="C119" s="140" t="n">
        <f aca="false">ExportRaw!$G119</f>
        <v>0</v>
      </c>
      <c r="D119" s="140" t="str">
        <f aca="false">ExportRaw!$E119</f>
        <v/>
      </c>
      <c r="E119" s="141" t="str">
        <f aca="false">ExportRaw!$D119</f>
        <v/>
      </c>
      <c r="F119" s="140" t="str">
        <f aca="false">ExportRaw!$H119</f>
        <v/>
      </c>
      <c r="G119" s="142" t="str">
        <f aca="false">ExportRaw!$I119</f>
        <v/>
      </c>
      <c r="H119" s="140" t="str">
        <f aca="false">ExportRaw!$A119</f>
        <v/>
      </c>
      <c r="I119" s="140" t="str">
        <f aca="false">ExportRaw!$B119</f>
        <v/>
      </c>
    </row>
    <row r="120" customFormat="false" ht="15.75" hidden="false" customHeight="false" outlineLevel="0" collapsed="false">
      <c r="A120" s="140" t="n">
        <f aca="false">ExportRaw!$F120</f>
        <v>0</v>
      </c>
      <c r="B120" s="140" t="n">
        <f aca="false">ExportRaw!$C120</f>
        <v>0</v>
      </c>
      <c r="C120" s="140" t="n">
        <f aca="false">ExportRaw!$G120</f>
        <v>0</v>
      </c>
      <c r="D120" s="140" t="str">
        <f aca="false">ExportRaw!$E120</f>
        <v/>
      </c>
      <c r="E120" s="141" t="str">
        <f aca="false">ExportRaw!$D120</f>
        <v/>
      </c>
      <c r="F120" s="140" t="str">
        <f aca="false">ExportRaw!$H120</f>
        <v/>
      </c>
      <c r="G120" s="142" t="str">
        <f aca="false">ExportRaw!$I120</f>
        <v/>
      </c>
      <c r="H120" s="140" t="str">
        <f aca="false">ExportRaw!$A120</f>
        <v/>
      </c>
      <c r="I120" s="140" t="str">
        <f aca="false">ExportRaw!$B120</f>
        <v/>
      </c>
    </row>
    <row r="121" customFormat="false" ht="15.75" hidden="false" customHeight="false" outlineLevel="0" collapsed="false">
      <c r="A121" s="140" t="n">
        <f aca="false">ExportRaw!$F121</f>
        <v>0</v>
      </c>
      <c r="B121" s="140" t="n">
        <f aca="false">ExportRaw!$C121</f>
        <v>0</v>
      </c>
      <c r="C121" s="140" t="n">
        <f aca="false">ExportRaw!$G121</f>
        <v>0</v>
      </c>
      <c r="D121" s="140" t="str">
        <f aca="false">ExportRaw!$E121</f>
        <v/>
      </c>
      <c r="E121" s="141" t="str">
        <f aca="false">ExportRaw!$D121</f>
        <v/>
      </c>
      <c r="F121" s="140" t="str">
        <f aca="false">ExportRaw!$H121</f>
        <v/>
      </c>
      <c r="G121" s="142" t="str">
        <f aca="false">ExportRaw!$I121</f>
        <v/>
      </c>
      <c r="H121" s="140" t="str">
        <f aca="false">ExportRaw!$A121</f>
        <v/>
      </c>
      <c r="I121" s="140" t="str">
        <f aca="false">ExportRaw!$B121</f>
        <v/>
      </c>
    </row>
    <row r="122" customFormat="false" ht="15.75" hidden="false" customHeight="false" outlineLevel="0" collapsed="false">
      <c r="A122" s="140" t="n">
        <f aca="false">ExportRaw!$F122</f>
        <v>0</v>
      </c>
      <c r="B122" s="140" t="n">
        <f aca="false">ExportRaw!$C122</f>
        <v>0</v>
      </c>
      <c r="C122" s="140" t="n">
        <f aca="false">ExportRaw!$G122</f>
        <v>0</v>
      </c>
      <c r="D122" s="140" t="str">
        <f aca="false">ExportRaw!$E122</f>
        <v/>
      </c>
      <c r="E122" s="141" t="str">
        <f aca="false">ExportRaw!$D122</f>
        <v/>
      </c>
      <c r="F122" s="140" t="str">
        <f aca="false">ExportRaw!$H122</f>
        <v/>
      </c>
      <c r="G122" s="142" t="str">
        <f aca="false">ExportRaw!$I122</f>
        <v/>
      </c>
      <c r="H122" s="140" t="str">
        <f aca="false">ExportRaw!$A122</f>
        <v/>
      </c>
      <c r="I122" s="140" t="str">
        <f aca="false">ExportRaw!$B122</f>
        <v/>
      </c>
    </row>
    <row r="123" customFormat="false" ht="15.75" hidden="false" customHeight="false" outlineLevel="0" collapsed="false">
      <c r="A123" s="140" t="n">
        <f aca="false">ExportRaw!$F123</f>
        <v>0</v>
      </c>
      <c r="B123" s="140" t="n">
        <f aca="false">ExportRaw!$C123</f>
        <v>0</v>
      </c>
      <c r="C123" s="140" t="n">
        <f aca="false">ExportRaw!$G123</f>
        <v>0</v>
      </c>
      <c r="D123" s="140" t="str">
        <f aca="false">ExportRaw!$E123</f>
        <v/>
      </c>
      <c r="E123" s="141" t="str">
        <f aca="false">ExportRaw!$D123</f>
        <v/>
      </c>
      <c r="F123" s="140" t="str">
        <f aca="false">ExportRaw!$H123</f>
        <v/>
      </c>
      <c r="G123" s="142" t="str">
        <f aca="false">ExportRaw!$I123</f>
        <v/>
      </c>
      <c r="H123" s="140" t="str">
        <f aca="false">ExportRaw!$A123</f>
        <v/>
      </c>
      <c r="I123" s="140" t="str">
        <f aca="false">ExportRaw!$B123</f>
        <v/>
      </c>
    </row>
    <row r="124" customFormat="false" ht="15.75" hidden="false" customHeight="false" outlineLevel="0" collapsed="false">
      <c r="A124" s="140" t="n">
        <f aca="false">ExportRaw!$F124</f>
        <v>0</v>
      </c>
      <c r="B124" s="140" t="n">
        <f aca="false">ExportRaw!$C124</f>
        <v>0</v>
      </c>
      <c r="C124" s="140" t="n">
        <f aca="false">ExportRaw!$G124</f>
        <v>0</v>
      </c>
      <c r="D124" s="140" t="str">
        <f aca="false">ExportRaw!$E124</f>
        <v/>
      </c>
      <c r="E124" s="141" t="str">
        <f aca="false">ExportRaw!$D124</f>
        <v/>
      </c>
      <c r="F124" s="140" t="str">
        <f aca="false">ExportRaw!$H124</f>
        <v/>
      </c>
      <c r="G124" s="142" t="str">
        <f aca="false">ExportRaw!$I124</f>
        <v/>
      </c>
      <c r="H124" s="140" t="str">
        <f aca="false">ExportRaw!$A124</f>
        <v/>
      </c>
      <c r="I124" s="140" t="str">
        <f aca="false">ExportRaw!$B124</f>
        <v/>
      </c>
    </row>
    <row r="125" customFormat="false" ht="15.75" hidden="false" customHeight="false" outlineLevel="0" collapsed="false">
      <c r="A125" s="140" t="n">
        <f aca="false">ExportRaw!$F125</f>
        <v>0</v>
      </c>
      <c r="B125" s="140" t="n">
        <f aca="false">ExportRaw!$C125</f>
        <v>0</v>
      </c>
      <c r="C125" s="140" t="n">
        <f aca="false">ExportRaw!$G125</f>
        <v>0</v>
      </c>
      <c r="D125" s="140" t="str">
        <f aca="false">ExportRaw!$E125</f>
        <v/>
      </c>
      <c r="E125" s="141" t="str">
        <f aca="false">ExportRaw!$D125</f>
        <v/>
      </c>
      <c r="F125" s="140" t="str">
        <f aca="false">ExportRaw!$H125</f>
        <v/>
      </c>
      <c r="G125" s="142" t="str">
        <f aca="false">ExportRaw!$I125</f>
        <v/>
      </c>
      <c r="H125" s="140" t="str">
        <f aca="false">ExportRaw!$A125</f>
        <v/>
      </c>
      <c r="I125" s="140" t="str">
        <f aca="false">ExportRaw!$B125</f>
        <v/>
      </c>
    </row>
    <row r="126" customFormat="false" ht="15.75" hidden="false" customHeight="false" outlineLevel="0" collapsed="false">
      <c r="A126" s="140" t="n">
        <f aca="false">ExportRaw!$F126</f>
        <v>0</v>
      </c>
      <c r="B126" s="140" t="n">
        <f aca="false">ExportRaw!$C126</f>
        <v>0</v>
      </c>
      <c r="C126" s="140" t="n">
        <f aca="false">ExportRaw!$G126</f>
        <v>0</v>
      </c>
      <c r="D126" s="140" t="str">
        <f aca="false">ExportRaw!$E126</f>
        <v/>
      </c>
      <c r="E126" s="141" t="str">
        <f aca="false">ExportRaw!$D126</f>
        <v/>
      </c>
      <c r="F126" s="140" t="str">
        <f aca="false">ExportRaw!$H126</f>
        <v/>
      </c>
      <c r="G126" s="142" t="str">
        <f aca="false">ExportRaw!$I126</f>
        <v/>
      </c>
      <c r="H126" s="140" t="str">
        <f aca="false">ExportRaw!$A126</f>
        <v/>
      </c>
      <c r="I126" s="140" t="str">
        <f aca="false">ExportRaw!$B126</f>
        <v/>
      </c>
    </row>
    <row r="127" customFormat="false" ht="15.75" hidden="false" customHeight="false" outlineLevel="0" collapsed="false">
      <c r="A127" s="140" t="n">
        <f aca="false">ExportRaw!$F127</f>
        <v>0</v>
      </c>
      <c r="B127" s="140" t="n">
        <f aca="false">ExportRaw!$C127</f>
        <v>0</v>
      </c>
      <c r="C127" s="140" t="n">
        <f aca="false">ExportRaw!$G127</f>
        <v>0</v>
      </c>
      <c r="D127" s="140" t="str">
        <f aca="false">ExportRaw!$E127</f>
        <v/>
      </c>
      <c r="E127" s="141" t="str">
        <f aca="false">ExportRaw!$D127</f>
        <v/>
      </c>
      <c r="F127" s="140" t="str">
        <f aca="false">ExportRaw!$H127</f>
        <v/>
      </c>
      <c r="G127" s="142" t="str">
        <f aca="false">ExportRaw!$I127</f>
        <v/>
      </c>
      <c r="H127" s="140" t="str">
        <f aca="false">ExportRaw!$A127</f>
        <v/>
      </c>
      <c r="I127" s="140" t="str">
        <f aca="false">ExportRaw!$B127</f>
        <v/>
      </c>
    </row>
    <row r="128" customFormat="false" ht="15.75" hidden="false" customHeight="false" outlineLevel="0" collapsed="false">
      <c r="A128" s="140" t="n">
        <f aca="false">ExportRaw!$F128</f>
        <v>0</v>
      </c>
      <c r="B128" s="140" t="n">
        <f aca="false">ExportRaw!$C128</f>
        <v>0</v>
      </c>
      <c r="C128" s="140" t="n">
        <f aca="false">ExportRaw!$G128</f>
        <v>0</v>
      </c>
      <c r="D128" s="140" t="str">
        <f aca="false">ExportRaw!$E128</f>
        <v/>
      </c>
      <c r="E128" s="141" t="str">
        <f aca="false">ExportRaw!$D128</f>
        <v/>
      </c>
      <c r="F128" s="140" t="str">
        <f aca="false">ExportRaw!$H128</f>
        <v/>
      </c>
      <c r="G128" s="142" t="str">
        <f aca="false">ExportRaw!$I128</f>
        <v/>
      </c>
      <c r="H128" s="140" t="str">
        <f aca="false">ExportRaw!$A128</f>
        <v/>
      </c>
      <c r="I128" s="140" t="str">
        <f aca="false">ExportRaw!$B128</f>
        <v/>
      </c>
    </row>
    <row r="129" customFormat="false" ht="15.75" hidden="false" customHeight="false" outlineLevel="0" collapsed="false">
      <c r="A129" s="140" t="n">
        <f aca="false">ExportRaw!$F129</f>
        <v>0</v>
      </c>
      <c r="B129" s="140" t="n">
        <f aca="false">ExportRaw!$C129</f>
        <v>0</v>
      </c>
      <c r="C129" s="140" t="n">
        <f aca="false">ExportRaw!$G129</f>
        <v>0</v>
      </c>
      <c r="D129" s="140" t="str">
        <f aca="false">ExportRaw!$E129</f>
        <v/>
      </c>
      <c r="E129" s="141" t="str">
        <f aca="false">ExportRaw!$D129</f>
        <v/>
      </c>
      <c r="F129" s="140" t="str">
        <f aca="false">ExportRaw!$H129</f>
        <v/>
      </c>
      <c r="G129" s="142" t="str">
        <f aca="false">ExportRaw!$I129</f>
        <v/>
      </c>
      <c r="H129" s="140" t="str">
        <f aca="false">ExportRaw!$A129</f>
        <v/>
      </c>
      <c r="I129" s="140" t="str">
        <f aca="false">ExportRaw!$B129</f>
        <v/>
      </c>
    </row>
    <row r="130" customFormat="false" ht="15.75" hidden="false" customHeight="false" outlineLevel="0" collapsed="false">
      <c r="A130" s="140" t="n">
        <f aca="false">ExportRaw!$F130</f>
        <v>0</v>
      </c>
      <c r="B130" s="140" t="n">
        <f aca="false">ExportRaw!$C130</f>
        <v>0</v>
      </c>
      <c r="C130" s="140" t="n">
        <f aca="false">ExportRaw!$G130</f>
        <v>0</v>
      </c>
      <c r="D130" s="140" t="str">
        <f aca="false">ExportRaw!$E130</f>
        <v/>
      </c>
      <c r="E130" s="141" t="str">
        <f aca="false">ExportRaw!$D130</f>
        <v/>
      </c>
      <c r="F130" s="140" t="str">
        <f aca="false">ExportRaw!$H130</f>
        <v/>
      </c>
      <c r="G130" s="142" t="str">
        <f aca="false">ExportRaw!$I130</f>
        <v/>
      </c>
      <c r="H130" s="140" t="str">
        <f aca="false">ExportRaw!$A130</f>
        <v/>
      </c>
      <c r="I130" s="140" t="str">
        <f aca="false">ExportRaw!$B130</f>
        <v/>
      </c>
    </row>
    <row r="131" customFormat="false" ht="15.75" hidden="false" customHeight="false" outlineLevel="0" collapsed="false">
      <c r="A131" s="140" t="n">
        <f aca="false">ExportRaw!$F131</f>
        <v>0</v>
      </c>
      <c r="B131" s="140" t="n">
        <f aca="false">ExportRaw!$C131</f>
        <v>0</v>
      </c>
      <c r="C131" s="140" t="n">
        <f aca="false">ExportRaw!$G131</f>
        <v>0</v>
      </c>
      <c r="D131" s="140" t="str">
        <f aca="false">ExportRaw!$E131</f>
        <v/>
      </c>
      <c r="E131" s="141" t="str">
        <f aca="false">ExportRaw!$D131</f>
        <v/>
      </c>
      <c r="F131" s="140" t="str">
        <f aca="false">ExportRaw!$H131</f>
        <v/>
      </c>
      <c r="G131" s="142" t="str">
        <f aca="false">ExportRaw!$I131</f>
        <v/>
      </c>
      <c r="H131" s="140" t="str">
        <f aca="false">ExportRaw!$A131</f>
        <v/>
      </c>
      <c r="I131" s="140" t="str">
        <f aca="false">ExportRaw!$B131</f>
        <v/>
      </c>
    </row>
    <row r="132" customFormat="false" ht="15.75" hidden="false" customHeight="false" outlineLevel="0" collapsed="false">
      <c r="A132" s="140" t="n">
        <f aca="false">ExportRaw!$F132</f>
        <v>0</v>
      </c>
      <c r="B132" s="140" t="n">
        <f aca="false">ExportRaw!$C132</f>
        <v>0</v>
      </c>
      <c r="C132" s="140" t="n">
        <f aca="false">ExportRaw!$G132</f>
        <v>0</v>
      </c>
      <c r="D132" s="140" t="str">
        <f aca="false">ExportRaw!$E132</f>
        <v/>
      </c>
      <c r="E132" s="141" t="str">
        <f aca="false">ExportRaw!$D132</f>
        <v/>
      </c>
      <c r="F132" s="140" t="str">
        <f aca="false">ExportRaw!$H132</f>
        <v/>
      </c>
      <c r="G132" s="142" t="str">
        <f aca="false">ExportRaw!$I132</f>
        <v/>
      </c>
      <c r="H132" s="140" t="str">
        <f aca="false">ExportRaw!$A132</f>
        <v/>
      </c>
      <c r="I132" s="140" t="str">
        <f aca="false">ExportRaw!$B132</f>
        <v/>
      </c>
    </row>
    <row r="133" customFormat="false" ht="15.75" hidden="false" customHeight="false" outlineLevel="0" collapsed="false">
      <c r="A133" s="140" t="n">
        <f aca="false">ExportRaw!$F133</f>
        <v>0</v>
      </c>
      <c r="B133" s="140" t="n">
        <f aca="false">ExportRaw!$C133</f>
        <v>0</v>
      </c>
      <c r="C133" s="140" t="n">
        <f aca="false">ExportRaw!$G133</f>
        <v>0</v>
      </c>
      <c r="D133" s="140" t="str">
        <f aca="false">ExportRaw!$E133</f>
        <v/>
      </c>
      <c r="E133" s="141" t="str">
        <f aca="false">ExportRaw!$D133</f>
        <v/>
      </c>
      <c r="F133" s="140" t="str">
        <f aca="false">ExportRaw!$H133</f>
        <v/>
      </c>
      <c r="G133" s="142" t="str">
        <f aca="false">ExportRaw!$I133</f>
        <v/>
      </c>
      <c r="H133" s="140" t="str">
        <f aca="false">ExportRaw!$A133</f>
        <v/>
      </c>
      <c r="I133" s="140" t="str">
        <f aca="false">ExportRaw!$B133</f>
        <v/>
      </c>
    </row>
    <row r="134" customFormat="false" ht="15.75" hidden="false" customHeight="false" outlineLevel="0" collapsed="false">
      <c r="A134" s="140" t="n">
        <f aca="false">ExportRaw!$F134</f>
        <v>0</v>
      </c>
      <c r="B134" s="140" t="n">
        <f aca="false">ExportRaw!$C134</f>
        <v>0</v>
      </c>
      <c r="C134" s="140" t="n">
        <f aca="false">ExportRaw!$G134</f>
        <v>0</v>
      </c>
      <c r="D134" s="140" t="str">
        <f aca="false">ExportRaw!$E134</f>
        <v/>
      </c>
      <c r="E134" s="141" t="str">
        <f aca="false">ExportRaw!$D134</f>
        <v/>
      </c>
      <c r="F134" s="140" t="str">
        <f aca="false">ExportRaw!$H134</f>
        <v/>
      </c>
      <c r="G134" s="142" t="str">
        <f aca="false">ExportRaw!$I134</f>
        <v/>
      </c>
      <c r="H134" s="140" t="str">
        <f aca="false">ExportRaw!$A134</f>
        <v/>
      </c>
      <c r="I134" s="140" t="str">
        <f aca="false">ExportRaw!$B134</f>
        <v/>
      </c>
    </row>
    <row r="135" customFormat="false" ht="15.75" hidden="false" customHeight="false" outlineLevel="0" collapsed="false">
      <c r="A135" s="140" t="n">
        <f aca="false">ExportRaw!$F135</f>
        <v>0</v>
      </c>
      <c r="B135" s="140" t="n">
        <f aca="false">ExportRaw!$C135</f>
        <v>0</v>
      </c>
      <c r="C135" s="140" t="n">
        <f aca="false">ExportRaw!$G135</f>
        <v>0</v>
      </c>
      <c r="D135" s="140" t="str">
        <f aca="false">ExportRaw!$E135</f>
        <v/>
      </c>
      <c r="E135" s="141" t="str">
        <f aca="false">ExportRaw!$D135</f>
        <v/>
      </c>
      <c r="F135" s="140" t="str">
        <f aca="false">ExportRaw!$H135</f>
        <v/>
      </c>
      <c r="G135" s="142" t="str">
        <f aca="false">ExportRaw!$I135</f>
        <v/>
      </c>
      <c r="H135" s="140" t="str">
        <f aca="false">ExportRaw!$A135</f>
        <v/>
      </c>
      <c r="I135" s="140" t="str">
        <f aca="false">ExportRaw!$B135</f>
        <v/>
      </c>
    </row>
    <row r="136" customFormat="false" ht="15.75" hidden="false" customHeight="false" outlineLevel="0" collapsed="false">
      <c r="A136" s="140" t="n">
        <f aca="false">ExportRaw!$F136</f>
        <v>0</v>
      </c>
      <c r="B136" s="140" t="n">
        <f aca="false">ExportRaw!$C136</f>
        <v>0</v>
      </c>
      <c r="C136" s="140" t="n">
        <f aca="false">ExportRaw!$G136</f>
        <v>0</v>
      </c>
      <c r="D136" s="140" t="str">
        <f aca="false">ExportRaw!$E136</f>
        <v/>
      </c>
      <c r="E136" s="141" t="str">
        <f aca="false">ExportRaw!$D136</f>
        <v/>
      </c>
      <c r="F136" s="140" t="str">
        <f aca="false">ExportRaw!$H136</f>
        <v/>
      </c>
      <c r="G136" s="142" t="str">
        <f aca="false">ExportRaw!$I136</f>
        <v/>
      </c>
      <c r="H136" s="140" t="str">
        <f aca="false">ExportRaw!$A136</f>
        <v/>
      </c>
      <c r="I136" s="140" t="str">
        <f aca="false">ExportRaw!$B136</f>
        <v/>
      </c>
    </row>
    <row r="137" customFormat="false" ht="15.75" hidden="false" customHeight="false" outlineLevel="0" collapsed="false">
      <c r="A137" s="140" t="n">
        <f aca="false">ExportRaw!$F137</f>
        <v>0</v>
      </c>
      <c r="B137" s="140" t="n">
        <f aca="false">ExportRaw!$C137</f>
        <v>0</v>
      </c>
      <c r="C137" s="140" t="n">
        <f aca="false">ExportRaw!$G137</f>
        <v>0</v>
      </c>
      <c r="D137" s="140" t="str">
        <f aca="false">ExportRaw!$E137</f>
        <v/>
      </c>
      <c r="E137" s="141" t="str">
        <f aca="false">ExportRaw!$D137</f>
        <v/>
      </c>
      <c r="F137" s="140" t="str">
        <f aca="false">ExportRaw!$H137</f>
        <v/>
      </c>
      <c r="G137" s="142" t="str">
        <f aca="false">ExportRaw!$I137</f>
        <v/>
      </c>
      <c r="H137" s="140" t="str">
        <f aca="false">ExportRaw!$A137</f>
        <v/>
      </c>
      <c r="I137" s="140" t="str">
        <f aca="false">ExportRaw!$B137</f>
        <v/>
      </c>
    </row>
    <row r="138" customFormat="false" ht="15.75" hidden="false" customHeight="false" outlineLevel="0" collapsed="false">
      <c r="A138" s="140" t="n">
        <f aca="false">ExportRaw!$F138</f>
        <v>0</v>
      </c>
      <c r="B138" s="140" t="n">
        <f aca="false">ExportRaw!$C138</f>
        <v>0</v>
      </c>
      <c r="C138" s="140" t="n">
        <f aca="false">ExportRaw!$G138</f>
        <v>0</v>
      </c>
      <c r="D138" s="140" t="str">
        <f aca="false">ExportRaw!$E138</f>
        <v/>
      </c>
      <c r="E138" s="141" t="str">
        <f aca="false">ExportRaw!$D138</f>
        <v/>
      </c>
      <c r="F138" s="140" t="str">
        <f aca="false">ExportRaw!$H138</f>
        <v/>
      </c>
      <c r="G138" s="142" t="str">
        <f aca="false">ExportRaw!$I138</f>
        <v/>
      </c>
      <c r="H138" s="140" t="str">
        <f aca="false">ExportRaw!$A138</f>
        <v/>
      </c>
      <c r="I138" s="140" t="str">
        <f aca="false">ExportRaw!$B138</f>
        <v/>
      </c>
    </row>
    <row r="139" customFormat="false" ht="15.75" hidden="false" customHeight="false" outlineLevel="0" collapsed="false">
      <c r="A139" s="140" t="n">
        <f aca="false">ExportRaw!$F139</f>
        <v>0</v>
      </c>
      <c r="B139" s="140" t="n">
        <f aca="false">ExportRaw!$C139</f>
        <v>0</v>
      </c>
      <c r="C139" s="140" t="n">
        <f aca="false">ExportRaw!$G139</f>
        <v>0</v>
      </c>
      <c r="D139" s="140" t="str">
        <f aca="false">ExportRaw!$E139</f>
        <v/>
      </c>
      <c r="E139" s="141" t="str">
        <f aca="false">ExportRaw!$D139</f>
        <v/>
      </c>
      <c r="F139" s="140" t="str">
        <f aca="false">ExportRaw!$H139</f>
        <v/>
      </c>
      <c r="G139" s="142" t="str">
        <f aca="false">ExportRaw!$I139</f>
        <v/>
      </c>
      <c r="H139" s="140" t="str">
        <f aca="false">ExportRaw!$A139</f>
        <v/>
      </c>
      <c r="I139" s="140" t="str">
        <f aca="false">ExportRaw!$B139</f>
        <v/>
      </c>
    </row>
    <row r="140" customFormat="false" ht="15.75" hidden="false" customHeight="false" outlineLevel="0" collapsed="false">
      <c r="A140" s="140" t="n">
        <f aca="false">ExportRaw!$F140</f>
        <v>0</v>
      </c>
      <c r="B140" s="140" t="n">
        <f aca="false">ExportRaw!$C140</f>
        <v>0</v>
      </c>
      <c r="C140" s="140" t="n">
        <f aca="false">ExportRaw!$G140</f>
        <v>0</v>
      </c>
      <c r="D140" s="140" t="str">
        <f aca="false">ExportRaw!$E140</f>
        <v/>
      </c>
      <c r="E140" s="141" t="str">
        <f aca="false">ExportRaw!$D140</f>
        <v/>
      </c>
      <c r="F140" s="140" t="str">
        <f aca="false">ExportRaw!$H140</f>
        <v/>
      </c>
      <c r="G140" s="142" t="str">
        <f aca="false">ExportRaw!$I140</f>
        <v/>
      </c>
      <c r="H140" s="140" t="str">
        <f aca="false">ExportRaw!$A140</f>
        <v/>
      </c>
      <c r="I140" s="140" t="str">
        <f aca="false">ExportRaw!$B140</f>
        <v/>
      </c>
    </row>
    <row r="141" customFormat="false" ht="15.75" hidden="false" customHeight="false" outlineLevel="0" collapsed="false">
      <c r="A141" s="140" t="n">
        <f aca="false">ExportRaw!$F141</f>
        <v>0</v>
      </c>
      <c r="B141" s="140" t="n">
        <f aca="false">ExportRaw!$C141</f>
        <v>0</v>
      </c>
      <c r="C141" s="140" t="n">
        <f aca="false">ExportRaw!$G141</f>
        <v>0</v>
      </c>
      <c r="D141" s="140" t="str">
        <f aca="false">ExportRaw!$E141</f>
        <v/>
      </c>
      <c r="E141" s="141" t="str">
        <f aca="false">ExportRaw!$D141</f>
        <v/>
      </c>
      <c r="F141" s="140" t="str">
        <f aca="false">ExportRaw!$H141</f>
        <v/>
      </c>
      <c r="G141" s="142" t="str">
        <f aca="false">ExportRaw!$I141</f>
        <v/>
      </c>
      <c r="H141" s="140" t="str">
        <f aca="false">ExportRaw!$A141</f>
        <v/>
      </c>
      <c r="I141" s="140" t="str">
        <f aca="false">ExportRaw!$B141</f>
        <v/>
      </c>
    </row>
    <row r="142" customFormat="false" ht="15.75" hidden="false" customHeight="false" outlineLevel="0" collapsed="false">
      <c r="A142" s="140" t="n">
        <f aca="false">ExportRaw!$F142</f>
        <v>0</v>
      </c>
      <c r="B142" s="140" t="n">
        <f aca="false">ExportRaw!$C142</f>
        <v>0</v>
      </c>
      <c r="C142" s="140" t="n">
        <f aca="false">ExportRaw!$G142</f>
        <v>0</v>
      </c>
      <c r="D142" s="140" t="str">
        <f aca="false">ExportRaw!$E142</f>
        <v/>
      </c>
      <c r="E142" s="141" t="str">
        <f aca="false">ExportRaw!$D142</f>
        <v/>
      </c>
      <c r="F142" s="140" t="str">
        <f aca="false">ExportRaw!$H142</f>
        <v/>
      </c>
      <c r="G142" s="142" t="str">
        <f aca="false">ExportRaw!$I142</f>
        <v/>
      </c>
      <c r="H142" s="140" t="str">
        <f aca="false">ExportRaw!$A142</f>
        <v/>
      </c>
      <c r="I142" s="140" t="str">
        <f aca="false">ExportRaw!$B142</f>
        <v/>
      </c>
    </row>
    <row r="143" customFormat="false" ht="15.75" hidden="false" customHeight="false" outlineLevel="0" collapsed="false">
      <c r="A143" s="140" t="n">
        <f aca="false">ExportRaw!$F143</f>
        <v>0</v>
      </c>
      <c r="B143" s="140" t="n">
        <f aca="false">ExportRaw!$C143</f>
        <v>0</v>
      </c>
      <c r="C143" s="140" t="n">
        <f aca="false">ExportRaw!$G143</f>
        <v>0</v>
      </c>
      <c r="D143" s="140" t="str">
        <f aca="false">ExportRaw!$E143</f>
        <v/>
      </c>
      <c r="E143" s="141" t="str">
        <f aca="false">ExportRaw!$D143</f>
        <v/>
      </c>
      <c r="F143" s="140" t="str">
        <f aca="false">ExportRaw!$H143</f>
        <v/>
      </c>
      <c r="G143" s="142" t="str">
        <f aca="false">ExportRaw!$I143</f>
        <v/>
      </c>
      <c r="H143" s="140" t="str">
        <f aca="false">ExportRaw!$A143</f>
        <v/>
      </c>
      <c r="I143" s="140" t="str">
        <f aca="false">ExportRaw!$B143</f>
        <v/>
      </c>
    </row>
    <row r="144" customFormat="false" ht="15.75" hidden="false" customHeight="false" outlineLevel="0" collapsed="false">
      <c r="A144" s="140" t="n">
        <f aca="false">ExportRaw!$F144</f>
        <v>0</v>
      </c>
      <c r="B144" s="140" t="n">
        <f aca="false">ExportRaw!$C144</f>
        <v>0</v>
      </c>
      <c r="C144" s="140" t="n">
        <f aca="false">ExportRaw!$G144</f>
        <v>0</v>
      </c>
      <c r="D144" s="140" t="str">
        <f aca="false">ExportRaw!$E144</f>
        <v/>
      </c>
      <c r="E144" s="141" t="str">
        <f aca="false">ExportRaw!$D144</f>
        <v/>
      </c>
      <c r="F144" s="140" t="str">
        <f aca="false">ExportRaw!$H144</f>
        <v/>
      </c>
      <c r="G144" s="142" t="str">
        <f aca="false">ExportRaw!$I144</f>
        <v/>
      </c>
      <c r="H144" s="140" t="str">
        <f aca="false">ExportRaw!$A144</f>
        <v/>
      </c>
      <c r="I144" s="140" t="str">
        <f aca="false">ExportRaw!$B144</f>
        <v/>
      </c>
    </row>
    <row r="145" customFormat="false" ht="15.75" hidden="false" customHeight="false" outlineLevel="0" collapsed="false">
      <c r="A145" s="140" t="n">
        <f aca="false">ExportRaw!$F145</f>
        <v>0</v>
      </c>
      <c r="B145" s="140" t="n">
        <f aca="false">ExportRaw!$C145</f>
        <v>0</v>
      </c>
      <c r="C145" s="140" t="n">
        <f aca="false">ExportRaw!$G145</f>
        <v>0</v>
      </c>
      <c r="D145" s="140" t="str">
        <f aca="false">ExportRaw!$E145</f>
        <v/>
      </c>
      <c r="E145" s="141" t="str">
        <f aca="false">ExportRaw!$D145</f>
        <v/>
      </c>
      <c r="F145" s="140" t="str">
        <f aca="false">ExportRaw!$H145</f>
        <v/>
      </c>
      <c r="G145" s="142" t="str">
        <f aca="false">ExportRaw!$I145</f>
        <v/>
      </c>
      <c r="H145" s="140" t="str">
        <f aca="false">ExportRaw!$A145</f>
        <v/>
      </c>
      <c r="I145" s="140" t="str">
        <f aca="false">ExportRaw!$B145</f>
        <v/>
      </c>
    </row>
    <row r="146" customFormat="false" ht="15.75" hidden="false" customHeight="false" outlineLevel="0" collapsed="false">
      <c r="A146" s="140" t="n">
        <f aca="false">ExportRaw!$F146</f>
        <v>0</v>
      </c>
      <c r="B146" s="140" t="n">
        <f aca="false">ExportRaw!$C146</f>
        <v>0</v>
      </c>
      <c r="C146" s="140" t="n">
        <f aca="false">ExportRaw!$G146</f>
        <v>0</v>
      </c>
      <c r="D146" s="140" t="str">
        <f aca="false">ExportRaw!$E146</f>
        <v/>
      </c>
      <c r="E146" s="141" t="str">
        <f aca="false">ExportRaw!$D146</f>
        <v/>
      </c>
      <c r="F146" s="140" t="str">
        <f aca="false">ExportRaw!$H146</f>
        <v/>
      </c>
      <c r="G146" s="142" t="str">
        <f aca="false">ExportRaw!$I146</f>
        <v/>
      </c>
      <c r="H146" s="140" t="str">
        <f aca="false">ExportRaw!$A146</f>
        <v/>
      </c>
      <c r="I146" s="140" t="str">
        <f aca="false">ExportRaw!$B146</f>
        <v/>
      </c>
    </row>
    <row r="147" customFormat="false" ht="15.75" hidden="false" customHeight="false" outlineLevel="0" collapsed="false">
      <c r="A147" s="140" t="n">
        <f aca="false">ExportRaw!$F147</f>
        <v>0</v>
      </c>
      <c r="B147" s="140" t="n">
        <f aca="false">ExportRaw!$C147</f>
        <v>0</v>
      </c>
      <c r="C147" s="140" t="n">
        <f aca="false">ExportRaw!$G147</f>
        <v>0</v>
      </c>
      <c r="D147" s="140" t="str">
        <f aca="false">ExportRaw!$E147</f>
        <v/>
      </c>
      <c r="E147" s="141" t="str">
        <f aca="false">ExportRaw!$D147</f>
        <v/>
      </c>
      <c r="F147" s="140" t="str">
        <f aca="false">ExportRaw!$H147</f>
        <v/>
      </c>
      <c r="G147" s="142" t="str">
        <f aca="false">ExportRaw!$I147</f>
        <v/>
      </c>
      <c r="H147" s="140" t="str">
        <f aca="false">ExportRaw!$A147</f>
        <v/>
      </c>
      <c r="I147" s="140" t="str">
        <f aca="false">ExportRaw!$B147</f>
        <v/>
      </c>
    </row>
    <row r="148" customFormat="false" ht="15.75" hidden="false" customHeight="false" outlineLevel="0" collapsed="false">
      <c r="A148" s="140" t="n">
        <f aca="false">ExportRaw!$F148</f>
        <v>0</v>
      </c>
      <c r="B148" s="140" t="n">
        <f aca="false">ExportRaw!$C148</f>
        <v>0</v>
      </c>
      <c r="C148" s="140" t="n">
        <f aca="false">ExportRaw!$G148</f>
        <v>0</v>
      </c>
      <c r="D148" s="140" t="str">
        <f aca="false">ExportRaw!$E148</f>
        <v/>
      </c>
      <c r="E148" s="141" t="str">
        <f aca="false">ExportRaw!$D148</f>
        <v/>
      </c>
      <c r="F148" s="140" t="str">
        <f aca="false">ExportRaw!$H148</f>
        <v/>
      </c>
      <c r="G148" s="142" t="str">
        <f aca="false">ExportRaw!$I148</f>
        <v/>
      </c>
      <c r="H148" s="140" t="str">
        <f aca="false">ExportRaw!$A148</f>
        <v/>
      </c>
      <c r="I148" s="140" t="str">
        <f aca="false">ExportRaw!$B148</f>
        <v/>
      </c>
    </row>
    <row r="149" customFormat="false" ht="15.75" hidden="false" customHeight="false" outlineLevel="0" collapsed="false">
      <c r="A149" s="140" t="n">
        <f aca="false">ExportRaw!$F149</f>
        <v>0</v>
      </c>
      <c r="B149" s="140" t="n">
        <f aca="false">ExportRaw!$C149</f>
        <v>0</v>
      </c>
      <c r="C149" s="140" t="n">
        <f aca="false">ExportRaw!$G149</f>
        <v>0</v>
      </c>
      <c r="D149" s="140" t="str">
        <f aca="false">ExportRaw!$E149</f>
        <v/>
      </c>
      <c r="E149" s="141" t="str">
        <f aca="false">ExportRaw!$D149</f>
        <v/>
      </c>
      <c r="F149" s="140" t="str">
        <f aca="false">ExportRaw!$H149</f>
        <v/>
      </c>
      <c r="G149" s="142" t="str">
        <f aca="false">ExportRaw!$I149</f>
        <v/>
      </c>
      <c r="H149" s="140" t="str">
        <f aca="false">ExportRaw!$A149</f>
        <v/>
      </c>
      <c r="I149" s="140" t="str">
        <f aca="false">ExportRaw!$B149</f>
        <v/>
      </c>
    </row>
    <row r="150" customFormat="false" ht="15.75" hidden="false" customHeight="false" outlineLevel="0" collapsed="false">
      <c r="A150" s="140" t="n">
        <f aca="false">ExportRaw!$F150</f>
        <v>0</v>
      </c>
      <c r="B150" s="140" t="n">
        <f aca="false">ExportRaw!$C150</f>
        <v>0</v>
      </c>
      <c r="C150" s="140" t="n">
        <f aca="false">ExportRaw!$G150</f>
        <v>0</v>
      </c>
      <c r="D150" s="140" t="str">
        <f aca="false">ExportRaw!$E150</f>
        <v/>
      </c>
      <c r="E150" s="141" t="str">
        <f aca="false">ExportRaw!$D150</f>
        <v/>
      </c>
      <c r="F150" s="140" t="str">
        <f aca="false">ExportRaw!$H150</f>
        <v/>
      </c>
      <c r="G150" s="142" t="str">
        <f aca="false">ExportRaw!$I150</f>
        <v/>
      </c>
      <c r="H150" s="140" t="str">
        <f aca="false">ExportRaw!$A150</f>
        <v/>
      </c>
      <c r="I150" s="140" t="str">
        <f aca="false">ExportRaw!$B150</f>
        <v/>
      </c>
    </row>
    <row r="151" customFormat="false" ht="15.75" hidden="false" customHeight="false" outlineLevel="0" collapsed="false">
      <c r="A151" s="140" t="n">
        <f aca="false">ExportRaw!$F151</f>
        <v>0</v>
      </c>
      <c r="B151" s="140" t="n">
        <f aca="false">ExportRaw!$C151</f>
        <v>0</v>
      </c>
      <c r="C151" s="140" t="n">
        <f aca="false">ExportRaw!$G151</f>
        <v>0</v>
      </c>
      <c r="D151" s="140" t="str">
        <f aca="false">ExportRaw!$E151</f>
        <v/>
      </c>
      <c r="E151" s="141" t="str">
        <f aca="false">ExportRaw!$D151</f>
        <v/>
      </c>
      <c r="F151" s="140" t="str">
        <f aca="false">ExportRaw!$H151</f>
        <v/>
      </c>
      <c r="G151" s="142" t="str">
        <f aca="false">ExportRaw!$I151</f>
        <v/>
      </c>
      <c r="H151" s="140" t="str">
        <f aca="false">ExportRaw!$A151</f>
        <v/>
      </c>
      <c r="I151" s="140" t="str">
        <f aca="false">ExportRaw!$B151</f>
        <v/>
      </c>
    </row>
    <row r="152" customFormat="false" ht="15.75" hidden="false" customHeight="false" outlineLevel="0" collapsed="false">
      <c r="A152" s="140" t="n">
        <f aca="false">ExportRaw!$F152</f>
        <v>0</v>
      </c>
      <c r="B152" s="140" t="n">
        <f aca="false">ExportRaw!$C152</f>
        <v>0</v>
      </c>
      <c r="C152" s="140" t="n">
        <f aca="false">ExportRaw!$G152</f>
        <v>0</v>
      </c>
      <c r="D152" s="140" t="str">
        <f aca="false">ExportRaw!$E152</f>
        <v/>
      </c>
      <c r="E152" s="141" t="str">
        <f aca="false">ExportRaw!$D152</f>
        <v/>
      </c>
      <c r="F152" s="140" t="str">
        <f aca="false">ExportRaw!$H152</f>
        <v/>
      </c>
      <c r="G152" s="142" t="str">
        <f aca="false">ExportRaw!$I152</f>
        <v/>
      </c>
      <c r="H152" s="140" t="str">
        <f aca="false">ExportRaw!$A152</f>
        <v/>
      </c>
      <c r="I152" s="140" t="str">
        <f aca="false">ExportRaw!$B152</f>
        <v/>
      </c>
    </row>
    <row r="153" customFormat="false" ht="15.75" hidden="false" customHeight="false" outlineLevel="0" collapsed="false">
      <c r="A153" s="140" t="n">
        <f aca="false">ExportRaw!$F153</f>
        <v>0</v>
      </c>
      <c r="B153" s="140" t="n">
        <f aca="false">ExportRaw!$C153</f>
        <v>0</v>
      </c>
      <c r="C153" s="140" t="n">
        <f aca="false">ExportRaw!$G153</f>
        <v>0</v>
      </c>
      <c r="D153" s="140" t="str">
        <f aca="false">ExportRaw!$E153</f>
        <v/>
      </c>
      <c r="E153" s="141" t="str">
        <f aca="false">ExportRaw!$D153</f>
        <v/>
      </c>
      <c r="F153" s="140" t="str">
        <f aca="false">ExportRaw!$H153</f>
        <v/>
      </c>
      <c r="G153" s="142" t="str">
        <f aca="false">ExportRaw!$I153</f>
        <v/>
      </c>
      <c r="H153" s="140" t="str">
        <f aca="false">ExportRaw!$A153</f>
        <v/>
      </c>
      <c r="I153" s="140" t="str">
        <f aca="false">ExportRaw!$B153</f>
        <v/>
      </c>
    </row>
    <row r="154" customFormat="false" ht="15.75" hidden="false" customHeight="false" outlineLevel="0" collapsed="false">
      <c r="A154" s="140" t="n">
        <f aca="false">ExportRaw!$F154</f>
        <v>0</v>
      </c>
      <c r="B154" s="140" t="n">
        <f aca="false">ExportRaw!$C154</f>
        <v>0</v>
      </c>
      <c r="C154" s="140" t="n">
        <f aca="false">ExportRaw!$G154</f>
        <v>0</v>
      </c>
      <c r="D154" s="140" t="str">
        <f aca="false">ExportRaw!$E154</f>
        <v/>
      </c>
      <c r="E154" s="141" t="str">
        <f aca="false">ExportRaw!$D154</f>
        <v/>
      </c>
      <c r="F154" s="140" t="str">
        <f aca="false">ExportRaw!$H154</f>
        <v/>
      </c>
      <c r="G154" s="142" t="str">
        <f aca="false">ExportRaw!$I154</f>
        <v/>
      </c>
      <c r="H154" s="140" t="str">
        <f aca="false">ExportRaw!$A154</f>
        <v/>
      </c>
      <c r="I154" s="140" t="str">
        <f aca="false">ExportRaw!$B154</f>
        <v/>
      </c>
    </row>
    <row r="155" customFormat="false" ht="15.75" hidden="false" customHeight="false" outlineLevel="0" collapsed="false">
      <c r="A155" s="140" t="n">
        <f aca="false">ExportRaw!$F155</f>
        <v>0</v>
      </c>
      <c r="B155" s="140" t="n">
        <f aca="false">ExportRaw!$C155</f>
        <v>0</v>
      </c>
      <c r="C155" s="140" t="n">
        <f aca="false">ExportRaw!$G155</f>
        <v>0</v>
      </c>
      <c r="D155" s="140" t="str">
        <f aca="false">ExportRaw!$E155</f>
        <v/>
      </c>
      <c r="E155" s="141" t="str">
        <f aca="false">ExportRaw!$D155</f>
        <v/>
      </c>
      <c r="F155" s="140" t="str">
        <f aca="false">ExportRaw!$H155</f>
        <v/>
      </c>
      <c r="G155" s="142" t="str">
        <f aca="false">ExportRaw!$I155</f>
        <v/>
      </c>
      <c r="H155" s="140" t="str">
        <f aca="false">ExportRaw!$A155</f>
        <v/>
      </c>
      <c r="I155" s="140" t="str">
        <f aca="false">ExportRaw!$B155</f>
        <v/>
      </c>
    </row>
    <row r="156" customFormat="false" ht="15.75" hidden="false" customHeight="false" outlineLevel="0" collapsed="false">
      <c r="A156" s="140" t="n">
        <f aca="false">ExportRaw!$F156</f>
        <v>0</v>
      </c>
      <c r="B156" s="140" t="n">
        <f aca="false">ExportRaw!$C156</f>
        <v>0</v>
      </c>
      <c r="C156" s="140" t="n">
        <f aca="false">ExportRaw!$G156</f>
        <v>0</v>
      </c>
      <c r="D156" s="140" t="str">
        <f aca="false">ExportRaw!$E156</f>
        <v/>
      </c>
      <c r="E156" s="141" t="str">
        <f aca="false">ExportRaw!$D156</f>
        <v/>
      </c>
      <c r="F156" s="140" t="str">
        <f aca="false">ExportRaw!$H156</f>
        <v/>
      </c>
      <c r="G156" s="142" t="str">
        <f aca="false">ExportRaw!$I156</f>
        <v/>
      </c>
      <c r="H156" s="140" t="str">
        <f aca="false">ExportRaw!$A156</f>
        <v/>
      </c>
      <c r="I156" s="140" t="str">
        <f aca="false">ExportRaw!$B156</f>
        <v/>
      </c>
    </row>
    <row r="157" customFormat="false" ht="15.75" hidden="false" customHeight="false" outlineLevel="0" collapsed="false">
      <c r="A157" s="140" t="n">
        <f aca="false">ExportRaw!$F157</f>
        <v>0</v>
      </c>
      <c r="B157" s="140" t="n">
        <f aca="false">ExportRaw!$C157</f>
        <v>0</v>
      </c>
      <c r="C157" s="140" t="n">
        <f aca="false">ExportRaw!$G157</f>
        <v>0</v>
      </c>
      <c r="D157" s="140" t="str">
        <f aca="false">ExportRaw!$E157</f>
        <v/>
      </c>
      <c r="E157" s="141" t="str">
        <f aca="false">ExportRaw!$D157</f>
        <v/>
      </c>
      <c r="F157" s="140" t="str">
        <f aca="false">ExportRaw!$H157</f>
        <v/>
      </c>
      <c r="G157" s="142" t="str">
        <f aca="false">ExportRaw!$I157</f>
        <v/>
      </c>
      <c r="H157" s="140" t="str">
        <f aca="false">ExportRaw!$A157</f>
        <v/>
      </c>
      <c r="I157" s="140" t="str">
        <f aca="false">ExportRaw!$B157</f>
        <v/>
      </c>
    </row>
    <row r="158" customFormat="false" ht="15.75" hidden="false" customHeight="false" outlineLevel="0" collapsed="false">
      <c r="A158" s="140" t="n">
        <f aca="false">ExportRaw!$F158</f>
        <v>0</v>
      </c>
      <c r="B158" s="140" t="n">
        <f aca="false">ExportRaw!$C158</f>
        <v>0</v>
      </c>
      <c r="C158" s="140" t="n">
        <f aca="false">ExportRaw!$G158</f>
        <v>0</v>
      </c>
      <c r="D158" s="140" t="str">
        <f aca="false">ExportRaw!$E158</f>
        <v/>
      </c>
      <c r="E158" s="141" t="str">
        <f aca="false">ExportRaw!$D158</f>
        <v/>
      </c>
      <c r="F158" s="140" t="str">
        <f aca="false">ExportRaw!$H158</f>
        <v/>
      </c>
      <c r="G158" s="142" t="str">
        <f aca="false">ExportRaw!$I158</f>
        <v/>
      </c>
      <c r="H158" s="140" t="str">
        <f aca="false">ExportRaw!$A158</f>
        <v/>
      </c>
      <c r="I158" s="140" t="str">
        <f aca="false">ExportRaw!$B158</f>
        <v/>
      </c>
    </row>
    <row r="159" customFormat="false" ht="15.75" hidden="false" customHeight="false" outlineLevel="0" collapsed="false">
      <c r="A159" s="140" t="n">
        <f aca="false">ExportRaw!$F159</f>
        <v>0</v>
      </c>
      <c r="B159" s="140" t="n">
        <f aca="false">ExportRaw!$C159</f>
        <v>0</v>
      </c>
      <c r="C159" s="140" t="n">
        <f aca="false">ExportRaw!$G159</f>
        <v>0</v>
      </c>
      <c r="D159" s="140" t="str">
        <f aca="false">ExportRaw!$E159</f>
        <v/>
      </c>
      <c r="E159" s="141" t="str">
        <f aca="false">ExportRaw!$D159</f>
        <v/>
      </c>
      <c r="F159" s="140" t="str">
        <f aca="false">ExportRaw!$H159</f>
        <v/>
      </c>
      <c r="G159" s="142" t="str">
        <f aca="false">ExportRaw!$I159</f>
        <v/>
      </c>
      <c r="H159" s="140" t="str">
        <f aca="false">ExportRaw!$A159</f>
        <v/>
      </c>
      <c r="I159" s="140" t="str">
        <f aca="false">ExportRaw!$B159</f>
        <v/>
      </c>
    </row>
    <row r="160" customFormat="false" ht="15.75" hidden="false" customHeight="false" outlineLevel="0" collapsed="false">
      <c r="A160" s="140" t="n">
        <f aca="false">ExportRaw!$F160</f>
        <v>0</v>
      </c>
      <c r="B160" s="140" t="n">
        <f aca="false">ExportRaw!$C160</f>
        <v>0</v>
      </c>
      <c r="C160" s="140" t="n">
        <f aca="false">ExportRaw!$G160</f>
        <v>0</v>
      </c>
      <c r="D160" s="140" t="str">
        <f aca="false">ExportRaw!$E160</f>
        <v/>
      </c>
      <c r="E160" s="141" t="str">
        <f aca="false">ExportRaw!$D160</f>
        <v/>
      </c>
      <c r="F160" s="140" t="str">
        <f aca="false">ExportRaw!$H160</f>
        <v/>
      </c>
      <c r="G160" s="142" t="str">
        <f aca="false">ExportRaw!$I160</f>
        <v/>
      </c>
      <c r="H160" s="140" t="str">
        <f aca="false">ExportRaw!$A160</f>
        <v/>
      </c>
      <c r="I160" s="140" t="str">
        <f aca="false">ExportRaw!$B160</f>
        <v/>
      </c>
    </row>
    <row r="161" customFormat="false" ht="15.75" hidden="false" customHeight="false" outlineLevel="0" collapsed="false">
      <c r="A161" s="140" t="n">
        <f aca="false">ExportRaw!$F161</f>
        <v>0</v>
      </c>
      <c r="B161" s="140" t="n">
        <f aca="false">ExportRaw!$C161</f>
        <v>0</v>
      </c>
      <c r="C161" s="140" t="n">
        <f aca="false">ExportRaw!$G161</f>
        <v>0</v>
      </c>
      <c r="D161" s="140" t="str">
        <f aca="false">ExportRaw!$E161</f>
        <v/>
      </c>
      <c r="E161" s="141" t="str">
        <f aca="false">ExportRaw!$D161</f>
        <v/>
      </c>
      <c r="F161" s="140" t="str">
        <f aca="false">ExportRaw!$H161</f>
        <v/>
      </c>
      <c r="G161" s="142" t="str">
        <f aca="false">ExportRaw!$I161</f>
        <v/>
      </c>
      <c r="H161" s="140" t="str">
        <f aca="false">ExportRaw!$A161</f>
        <v/>
      </c>
      <c r="I161" s="140" t="str">
        <f aca="false">ExportRaw!$B161</f>
        <v/>
      </c>
    </row>
    <row r="162" customFormat="false" ht="15.75" hidden="false" customHeight="false" outlineLevel="0" collapsed="false">
      <c r="A162" s="140" t="n">
        <f aca="false">ExportRaw!$F162</f>
        <v>0</v>
      </c>
      <c r="B162" s="140" t="n">
        <f aca="false">ExportRaw!$C162</f>
        <v>0</v>
      </c>
      <c r="C162" s="140" t="n">
        <f aca="false">ExportRaw!$G162</f>
        <v>0</v>
      </c>
      <c r="D162" s="140" t="str">
        <f aca="false">ExportRaw!$E162</f>
        <v/>
      </c>
      <c r="E162" s="141" t="str">
        <f aca="false">ExportRaw!$D162</f>
        <v/>
      </c>
      <c r="F162" s="140" t="str">
        <f aca="false">ExportRaw!$H162</f>
        <v/>
      </c>
      <c r="G162" s="142" t="str">
        <f aca="false">ExportRaw!$I162</f>
        <v/>
      </c>
      <c r="H162" s="140" t="str">
        <f aca="false">ExportRaw!$A162</f>
        <v/>
      </c>
      <c r="I162" s="140" t="str">
        <f aca="false">ExportRaw!$B162</f>
        <v/>
      </c>
    </row>
    <row r="163" customFormat="false" ht="15.75" hidden="false" customHeight="false" outlineLevel="0" collapsed="false">
      <c r="A163" s="140" t="n">
        <f aca="false">ExportRaw!$F163</f>
        <v>0</v>
      </c>
      <c r="B163" s="140" t="n">
        <f aca="false">ExportRaw!$C163</f>
        <v>0</v>
      </c>
      <c r="C163" s="140" t="n">
        <f aca="false">ExportRaw!$G163</f>
        <v>0</v>
      </c>
      <c r="D163" s="140" t="str">
        <f aca="false">ExportRaw!$E163</f>
        <v/>
      </c>
      <c r="E163" s="141" t="str">
        <f aca="false">ExportRaw!$D163</f>
        <v/>
      </c>
      <c r="F163" s="140" t="str">
        <f aca="false">ExportRaw!$H163</f>
        <v/>
      </c>
      <c r="G163" s="142" t="str">
        <f aca="false">ExportRaw!$I163</f>
        <v/>
      </c>
      <c r="H163" s="140" t="str">
        <f aca="false">ExportRaw!$A163</f>
        <v/>
      </c>
      <c r="I163" s="140" t="str">
        <f aca="false">ExportRaw!$B163</f>
        <v/>
      </c>
    </row>
    <row r="164" customFormat="false" ht="15.75" hidden="false" customHeight="false" outlineLevel="0" collapsed="false">
      <c r="A164" s="140" t="n">
        <f aca="false">ExportRaw!$F164</f>
        <v>0</v>
      </c>
      <c r="B164" s="140" t="n">
        <f aca="false">ExportRaw!$C164</f>
        <v>0</v>
      </c>
      <c r="C164" s="140" t="n">
        <f aca="false">ExportRaw!$G164</f>
        <v>0</v>
      </c>
      <c r="D164" s="140" t="str">
        <f aca="false">ExportRaw!$E164</f>
        <v/>
      </c>
      <c r="E164" s="141" t="str">
        <f aca="false">ExportRaw!$D164</f>
        <v/>
      </c>
      <c r="F164" s="140" t="str">
        <f aca="false">ExportRaw!$H164</f>
        <v/>
      </c>
      <c r="G164" s="142" t="str">
        <f aca="false">ExportRaw!$I164</f>
        <v/>
      </c>
      <c r="H164" s="140" t="str">
        <f aca="false">ExportRaw!$A164</f>
        <v/>
      </c>
      <c r="I164" s="140" t="str">
        <f aca="false">ExportRaw!$B164</f>
        <v/>
      </c>
    </row>
    <row r="165" customFormat="false" ht="15.75" hidden="false" customHeight="false" outlineLevel="0" collapsed="false">
      <c r="A165" s="140" t="n">
        <f aca="false">ExportRaw!$F165</f>
        <v>0</v>
      </c>
      <c r="B165" s="140" t="n">
        <f aca="false">ExportRaw!$C165</f>
        <v>0</v>
      </c>
      <c r="C165" s="140" t="n">
        <f aca="false">ExportRaw!$G165</f>
        <v>0</v>
      </c>
      <c r="D165" s="140" t="str">
        <f aca="false">ExportRaw!$E165</f>
        <v/>
      </c>
      <c r="E165" s="141" t="str">
        <f aca="false">ExportRaw!$D165</f>
        <v/>
      </c>
      <c r="F165" s="140" t="str">
        <f aca="false">ExportRaw!$H165</f>
        <v/>
      </c>
      <c r="G165" s="142" t="str">
        <f aca="false">ExportRaw!$I165</f>
        <v/>
      </c>
      <c r="H165" s="140" t="str">
        <f aca="false">ExportRaw!$A165</f>
        <v/>
      </c>
      <c r="I165" s="140" t="str">
        <f aca="false">ExportRaw!$B165</f>
        <v/>
      </c>
    </row>
    <row r="166" customFormat="false" ht="15.75" hidden="false" customHeight="false" outlineLevel="0" collapsed="false">
      <c r="A166" s="140" t="n">
        <f aca="false">ExportRaw!$F166</f>
        <v>0</v>
      </c>
      <c r="B166" s="140" t="n">
        <f aca="false">ExportRaw!$C166</f>
        <v>0</v>
      </c>
      <c r="C166" s="140" t="n">
        <f aca="false">ExportRaw!$G166</f>
        <v>0</v>
      </c>
      <c r="D166" s="140" t="str">
        <f aca="false">ExportRaw!$E166</f>
        <v/>
      </c>
      <c r="E166" s="141" t="str">
        <f aca="false">ExportRaw!$D166</f>
        <v/>
      </c>
      <c r="F166" s="140" t="str">
        <f aca="false">ExportRaw!$H166</f>
        <v/>
      </c>
      <c r="G166" s="142" t="str">
        <f aca="false">ExportRaw!$I166</f>
        <v/>
      </c>
      <c r="H166" s="140" t="str">
        <f aca="false">ExportRaw!$A166</f>
        <v/>
      </c>
      <c r="I166" s="140" t="str">
        <f aca="false">ExportRaw!$B166</f>
        <v/>
      </c>
    </row>
    <row r="167" customFormat="false" ht="15.75" hidden="false" customHeight="false" outlineLevel="0" collapsed="false">
      <c r="A167" s="140" t="n">
        <f aca="false">ExportRaw!$F167</f>
        <v>0</v>
      </c>
      <c r="B167" s="140" t="n">
        <f aca="false">ExportRaw!$C167</f>
        <v>0</v>
      </c>
      <c r="C167" s="140" t="n">
        <f aca="false">ExportRaw!$G167</f>
        <v>0</v>
      </c>
      <c r="D167" s="140" t="str">
        <f aca="false">ExportRaw!$E167</f>
        <v/>
      </c>
      <c r="E167" s="141" t="str">
        <f aca="false">ExportRaw!$D167</f>
        <v/>
      </c>
      <c r="F167" s="140" t="str">
        <f aca="false">ExportRaw!$H167</f>
        <v/>
      </c>
      <c r="G167" s="142" t="str">
        <f aca="false">ExportRaw!$I167</f>
        <v/>
      </c>
      <c r="H167" s="140" t="str">
        <f aca="false">ExportRaw!$A167</f>
        <v/>
      </c>
      <c r="I167" s="140" t="str">
        <f aca="false">ExportRaw!$B167</f>
        <v/>
      </c>
    </row>
    <row r="168" customFormat="false" ht="15.75" hidden="false" customHeight="false" outlineLevel="0" collapsed="false">
      <c r="A168" s="140" t="n">
        <f aca="false">ExportRaw!$F168</f>
        <v>0</v>
      </c>
      <c r="B168" s="140" t="n">
        <f aca="false">ExportRaw!$C168</f>
        <v>0</v>
      </c>
      <c r="C168" s="140" t="n">
        <f aca="false">ExportRaw!$G168</f>
        <v>0</v>
      </c>
      <c r="D168" s="140" t="str">
        <f aca="false">ExportRaw!$E168</f>
        <v/>
      </c>
      <c r="E168" s="141" t="str">
        <f aca="false">ExportRaw!$D168</f>
        <v/>
      </c>
      <c r="F168" s="140" t="str">
        <f aca="false">ExportRaw!$H168</f>
        <v/>
      </c>
      <c r="G168" s="142" t="str">
        <f aca="false">ExportRaw!$I168</f>
        <v/>
      </c>
      <c r="H168" s="140" t="str">
        <f aca="false">ExportRaw!$A168</f>
        <v/>
      </c>
      <c r="I168" s="140" t="str">
        <f aca="false">ExportRaw!$B168</f>
        <v/>
      </c>
    </row>
    <row r="169" customFormat="false" ht="15.75" hidden="false" customHeight="false" outlineLevel="0" collapsed="false">
      <c r="A169" s="140" t="n">
        <f aca="false">ExportRaw!$F169</f>
        <v>0</v>
      </c>
      <c r="B169" s="140" t="n">
        <f aca="false">ExportRaw!$C169</f>
        <v>0</v>
      </c>
      <c r="C169" s="140" t="n">
        <f aca="false">ExportRaw!$G169</f>
        <v>0</v>
      </c>
      <c r="D169" s="140" t="str">
        <f aca="false">ExportRaw!$E169</f>
        <v/>
      </c>
      <c r="E169" s="141" t="str">
        <f aca="false">ExportRaw!$D169</f>
        <v/>
      </c>
      <c r="F169" s="140" t="str">
        <f aca="false">ExportRaw!$H169</f>
        <v/>
      </c>
      <c r="G169" s="142" t="str">
        <f aca="false">ExportRaw!$I169</f>
        <v/>
      </c>
      <c r="H169" s="140" t="str">
        <f aca="false">ExportRaw!$A169</f>
        <v/>
      </c>
      <c r="I169" s="140" t="str">
        <f aca="false">ExportRaw!$B169</f>
        <v/>
      </c>
    </row>
    <row r="170" customFormat="false" ht="15.75" hidden="false" customHeight="false" outlineLevel="0" collapsed="false">
      <c r="A170" s="140" t="n">
        <f aca="false">ExportRaw!$F170</f>
        <v>0</v>
      </c>
      <c r="B170" s="140" t="n">
        <f aca="false">ExportRaw!$C170</f>
        <v>0</v>
      </c>
      <c r="C170" s="140" t="n">
        <f aca="false">ExportRaw!$G170</f>
        <v>0</v>
      </c>
      <c r="D170" s="140" t="str">
        <f aca="false">ExportRaw!$E170</f>
        <v/>
      </c>
      <c r="E170" s="141" t="str">
        <f aca="false">ExportRaw!$D170</f>
        <v/>
      </c>
      <c r="F170" s="140" t="str">
        <f aca="false">ExportRaw!$H170</f>
        <v/>
      </c>
      <c r="G170" s="142" t="str">
        <f aca="false">ExportRaw!$I170</f>
        <v/>
      </c>
      <c r="H170" s="140" t="str">
        <f aca="false">ExportRaw!$A170</f>
        <v/>
      </c>
      <c r="I170" s="140" t="str">
        <f aca="false">ExportRaw!$B170</f>
        <v/>
      </c>
    </row>
    <row r="171" customFormat="false" ht="15.75" hidden="false" customHeight="false" outlineLevel="0" collapsed="false">
      <c r="A171" s="140" t="n">
        <f aca="false">ExportRaw!$F171</f>
        <v>0</v>
      </c>
      <c r="B171" s="140" t="n">
        <f aca="false">ExportRaw!$C171</f>
        <v>0</v>
      </c>
      <c r="C171" s="140" t="n">
        <f aca="false">ExportRaw!$G171</f>
        <v>0</v>
      </c>
      <c r="D171" s="140" t="str">
        <f aca="false">ExportRaw!$E171</f>
        <v/>
      </c>
      <c r="E171" s="141" t="str">
        <f aca="false">ExportRaw!$D171</f>
        <v/>
      </c>
      <c r="F171" s="140" t="str">
        <f aca="false">ExportRaw!$H171</f>
        <v/>
      </c>
      <c r="G171" s="142" t="str">
        <f aca="false">ExportRaw!$I171</f>
        <v/>
      </c>
      <c r="H171" s="140" t="str">
        <f aca="false">ExportRaw!$A171</f>
        <v/>
      </c>
      <c r="I171" s="140" t="str">
        <f aca="false">ExportRaw!$B171</f>
        <v/>
      </c>
    </row>
    <row r="172" customFormat="false" ht="15.75" hidden="false" customHeight="false" outlineLevel="0" collapsed="false">
      <c r="A172" s="140" t="n">
        <f aca="false">ExportRaw!$F172</f>
        <v>0</v>
      </c>
      <c r="B172" s="140" t="n">
        <f aca="false">ExportRaw!$C172</f>
        <v>0</v>
      </c>
      <c r="C172" s="140" t="n">
        <f aca="false">ExportRaw!$G172</f>
        <v>0</v>
      </c>
      <c r="D172" s="140" t="str">
        <f aca="false">ExportRaw!$E172</f>
        <v/>
      </c>
      <c r="E172" s="141" t="str">
        <f aca="false">ExportRaw!$D172</f>
        <v/>
      </c>
      <c r="F172" s="140" t="str">
        <f aca="false">ExportRaw!$H172</f>
        <v/>
      </c>
      <c r="G172" s="142" t="str">
        <f aca="false">ExportRaw!$I172</f>
        <v/>
      </c>
      <c r="H172" s="140" t="str">
        <f aca="false">ExportRaw!$A172</f>
        <v/>
      </c>
      <c r="I172" s="140" t="str">
        <f aca="false">ExportRaw!$B172</f>
        <v/>
      </c>
    </row>
    <row r="173" customFormat="false" ht="15.75" hidden="false" customHeight="false" outlineLevel="0" collapsed="false">
      <c r="A173" s="140" t="n">
        <f aca="false">ExportRaw!$F173</f>
        <v>0</v>
      </c>
      <c r="B173" s="140" t="n">
        <f aca="false">ExportRaw!$C173</f>
        <v>0</v>
      </c>
      <c r="C173" s="140" t="n">
        <f aca="false">ExportRaw!$G173</f>
        <v>0</v>
      </c>
      <c r="D173" s="140" t="str">
        <f aca="false">ExportRaw!$E173</f>
        <v/>
      </c>
      <c r="E173" s="141" t="str">
        <f aca="false">ExportRaw!$D173</f>
        <v/>
      </c>
      <c r="F173" s="140" t="str">
        <f aca="false">ExportRaw!$H173</f>
        <v/>
      </c>
      <c r="G173" s="142" t="str">
        <f aca="false">ExportRaw!$I173</f>
        <v/>
      </c>
      <c r="H173" s="140" t="str">
        <f aca="false">ExportRaw!$A173</f>
        <v/>
      </c>
      <c r="I173" s="140" t="str">
        <f aca="false">ExportRaw!$B173</f>
        <v/>
      </c>
    </row>
    <row r="174" customFormat="false" ht="15.75" hidden="false" customHeight="false" outlineLevel="0" collapsed="false">
      <c r="A174" s="140" t="n">
        <f aca="false">ExportRaw!$F174</f>
        <v>0</v>
      </c>
      <c r="B174" s="140" t="n">
        <f aca="false">ExportRaw!$C174</f>
        <v>0</v>
      </c>
      <c r="C174" s="140" t="n">
        <f aca="false">ExportRaw!$G174</f>
        <v>0</v>
      </c>
      <c r="D174" s="140" t="str">
        <f aca="false">ExportRaw!$E174</f>
        <v/>
      </c>
      <c r="E174" s="141" t="str">
        <f aca="false">ExportRaw!$D174</f>
        <v/>
      </c>
      <c r="F174" s="140" t="str">
        <f aca="false">ExportRaw!$H174</f>
        <v/>
      </c>
      <c r="G174" s="142" t="str">
        <f aca="false">ExportRaw!$I174</f>
        <v/>
      </c>
      <c r="H174" s="140" t="str">
        <f aca="false">ExportRaw!$A174</f>
        <v/>
      </c>
      <c r="I174" s="140" t="str">
        <f aca="false">ExportRaw!$B174</f>
        <v/>
      </c>
    </row>
    <row r="175" customFormat="false" ht="15.75" hidden="false" customHeight="false" outlineLevel="0" collapsed="false">
      <c r="A175" s="140" t="n">
        <f aca="false">ExportRaw!$F175</f>
        <v>0</v>
      </c>
      <c r="B175" s="140" t="n">
        <f aca="false">ExportRaw!$C175</f>
        <v>0</v>
      </c>
      <c r="C175" s="140" t="n">
        <f aca="false">ExportRaw!$G175</f>
        <v>0</v>
      </c>
      <c r="D175" s="140" t="str">
        <f aca="false">ExportRaw!$E175</f>
        <v/>
      </c>
      <c r="E175" s="141" t="str">
        <f aca="false">ExportRaw!$D175</f>
        <v/>
      </c>
      <c r="F175" s="140" t="str">
        <f aca="false">ExportRaw!$H175</f>
        <v/>
      </c>
      <c r="G175" s="142" t="str">
        <f aca="false">ExportRaw!$I175</f>
        <v/>
      </c>
      <c r="H175" s="140" t="str">
        <f aca="false">ExportRaw!$A175</f>
        <v/>
      </c>
      <c r="I175" s="140" t="str">
        <f aca="false">ExportRaw!$B175</f>
        <v/>
      </c>
    </row>
    <row r="176" customFormat="false" ht="15.75" hidden="false" customHeight="false" outlineLevel="0" collapsed="false">
      <c r="A176" s="140" t="n">
        <f aca="false">ExportRaw!$F176</f>
        <v>0</v>
      </c>
      <c r="B176" s="140" t="n">
        <f aca="false">ExportRaw!$C176</f>
        <v>0</v>
      </c>
      <c r="C176" s="140" t="n">
        <f aca="false">ExportRaw!$G176</f>
        <v>0</v>
      </c>
      <c r="D176" s="140" t="str">
        <f aca="false">ExportRaw!$E176</f>
        <v/>
      </c>
      <c r="E176" s="141" t="str">
        <f aca="false">ExportRaw!$D176</f>
        <v/>
      </c>
      <c r="F176" s="140" t="str">
        <f aca="false">ExportRaw!$H176</f>
        <v/>
      </c>
      <c r="G176" s="142" t="str">
        <f aca="false">ExportRaw!$I176</f>
        <v/>
      </c>
      <c r="H176" s="140" t="str">
        <f aca="false">ExportRaw!$A176</f>
        <v/>
      </c>
      <c r="I176" s="140" t="str">
        <f aca="false">ExportRaw!$B176</f>
        <v/>
      </c>
    </row>
    <row r="177" customFormat="false" ht="15.75" hidden="false" customHeight="false" outlineLevel="0" collapsed="false">
      <c r="A177" s="140" t="n">
        <f aca="false">ExportRaw!$F177</f>
        <v>0</v>
      </c>
      <c r="B177" s="140" t="n">
        <f aca="false">ExportRaw!$C177</f>
        <v>0</v>
      </c>
      <c r="C177" s="140" t="n">
        <f aca="false">ExportRaw!$G177</f>
        <v>0</v>
      </c>
      <c r="D177" s="140" t="str">
        <f aca="false">ExportRaw!$E177</f>
        <v/>
      </c>
      <c r="E177" s="141" t="str">
        <f aca="false">ExportRaw!$D177</f>
        <v/>
      </c>
      <c r="F177" s="140" t="str">
        <f aca="false">ExportRaw!$H177</f>
        <v/>
      </c>
      <c r="G177" s="142" t="str">
        <f aca="false">ExportRaw!$I177</f>
        <v/>
      </c>
      <c r="H177" s="140" t="str">
        <f aca="false">ExportRaw!$A177</f>
        <v/>
      </c>
      <c r="I177" s="140" t="str">
        <f aca="false">ExportRaw!$B177</f>
        <v/>
      </c>
    </row>
    <row r="178" customFormat="false" ht="15.75" hidden="false" customHeight="false" outlineLevel="0" collapsed="false">
      <c r="A178" s="140" t="n">
        <f aca="false">ExportRaw!$F178</f>
        <v>0</v>
      </c>
      <c r="B178" s="140" t="n">
        <f aca="false">ExportRaw!$C178</f>
        <v>0</v>
      </c>
      <c r="C178" s="140" t="n">
        <f aca="false">ExportRaw!$G178</f>
        <v>0</v>
      </c>
      <c r="D178" s="140" t="str">
        <f aca="false">ExportRaw!$E178</f>
        <v/>
      </c>
      <c r="E178" s="141" t="str">
        <f aca="false">ExportRaw!$D178</f>
        <v/>
      </c>
      <c r="F178" s="140" t="str">
        <f aca="false">ExportRaw!$H178</f>
        <v/>
      </c>
      <c r="G178" s="142" t="str">
        <f aca="false">ExportRaw!$I178</f>
        <v/>
      </c>
      <c r="H178" s="140" t="str">
        <f aca="false">ExportRaw!$A178</f>
        <v/>
      </c>
      <c r="I178" s="140" t="str">
        <f aca="false">ExportRaw!$B178</f>
        <v/>
      </c>
    </row>
    <row r="179" customFormat="false" ht="15.75" hidden="false" customHeight="false" outlineLevel="0" collapsed="false">
      <c r="A179" s="140" t="n">
        <f aca="false">ExportRaw!$F179</f>
        <v>0</v>
      </c>
      <c r="B179" s="140" t="n">
        <f aca="false">ExportRaw!$C179</f>
        <v>0</v>
      </c>
      <c r="C179" s="140" t="n">
        <f aca="false">ExportRaw!$G179</f>
        <v>0</v>
      </c>
      <c r="D179" s="140" t="str">
        <f aca="false">ExportRaw!$E179</f>
        <v/>
      </c>
      <c r="E179" s="141" t="str">
        <f aca="false">ExportRaw!$D179</f>
        <v/>
      </c>
      <c r="F179" s="140" t="str">
        <f aca="false">ExportRaw!$H179</f>
        <v/>
      </c>
      <c r="G179" s="142" t="str">
        <f aca="false">ExportRaw!$I179</f>
        <v/>
      </c>
      <c r="H179" s="140" t="str">
        <f aca="false">ExportRaw!$A179</f>
        <v/>
      </c>
      <c r="I179" s="140" t="str">
        <f aca="false">ExportRaw!$B179</f>
        <v/>
      </c>
    </row>
    <row r="180" customFormat="false" ht="15.75" hidden="false" customHeight="false" outlineLevel="0" collapsed="false">
      <c r="A180" s="140" t="n">
        <f aca="false">ExportRaw!$F180</f>
        <v>0</v>
      </c>
      <c r="B180" s="140" t="n">
        <f aca="false">ExportRaw!$C180</f>
        <v>0</v>
      </c>
      <c r="C180" s="140" t="n">
        <f aca="false">ExportRaw!$G180</f>
        <v>0</v>
      </c>
      <c r="D180" s="140" t="str">
        <f aca="false">ExportRaw!$E180</f>
        <v/>
      </c>
      <c r="E180" s="141" t="str">
        <f aca="false">ExportRaw!$D180</f>
        <v/>
      </c>
      <c r="F180" s="140" t="str">
        <f aca="false">ExportRaw!$H180</f>
        <v/>
      </c>
      <c r="G180" s="142" t="str">
        <f aca="false">ExportRaw!$I180</f>
        <v/>
      </c>
      <c r="H180" s="140" t="str">
        <f aca="false">ExportRaw!$A180</f>
        <v/>
      </c>
      <c r="I180" s="140" t="str">
        <f aca="false">ExportRaw!$B180</f>
        <v/>
      </c>
    </row>
    <row r="181" customFormat="false" ht="15.75" hidden="false" customHeight="false" outlineLevel="0" collapsed="false">
      <c r="A181" s="140" t="n">
        <f aca="false">ExportRaw!$F181</f>
        <v>0</v>
      </c>
      <c r="B181" s="140" t="n">
        <f aca="false">ExportRaw!$C181</f>
        <v>0</v>
      </c>
      <c r="C181" s="140" t="n">
        <f aca="false">ExportRaw!$G181</f>
        <v>0</v>
      </c>
      <c r="D181" s="140" t="str">
        <f aca="false">ExportRaw!$E181</f>
        <v/>
      </c>
      <c r="E181" s="141" t="str">
        <f aca="false">ExportRaw!$D181</f>
        <v/>
      </c>
      <c r="F181" s="140" t="str">
        <f aca="false">ExportRaw!$H181</f>
        <v/>
      </c>
      <c r="G181" s="142" t="str">
        <f aca="false">ExportRaw!$I181</f>
        <v/>
      </c>
      <c r="H181" s="140" t="str">
        <f aca="false">ExportRaw!$A181</f>
        <v/>
      </c>
      <c r="I181" s="140" t="str">
        <f aca="false">ExportRaw!$B181</f>
        <v/>
      </c>
    </row>
    <row r="182" customFormat="false" ht="15.75" hidden="false" customHeight="false" outlineLevel="0" collapsed="false">
      <c r="A182" s="140" t="n">
        <f aca="false">ExportRaw!$F182</f>
        <v>0</v>
      </c>
      <c r="B182" s="140" t="n">
        <f aca="false">ExportRaw!$C182</f>
        <v>0</v>
      </c>
      <c r="C182" s="140" t="n">
        <f aca="false">ExportRaw!$G182</f>
        <v>0</v>
      </c>
      <c r="D182" s="140" t="str">
        <f aca="false">ExportRaw!$E182</f>
        <v/>
      </c>
      <c r="E182" s="141" t="str">
        <f aca="false">ExportRaw!$D182</f>
        <v/>
      </c>
      <c r="F182" s="140" t="str">
        <f aca="false">ExportRaw!$H182</f>
        <v/>
      </c>
      <c r="G182" s="142" t="str">
        <f aca="false">ExportRaw!$I182</f>
        <v/>
      </c>
      <c r="H182" s="140" t="str">
        <f aca="false">ExportRaw!$A182</f>
        <v/>
      </c>
      <c r="I182" s="140" t="str">
        <f aca="false">ExportRaw!$B182</f>
        <v/>
      </c>
    </row>
    <row r="183" customFormat="false" ht="15.75" hidden="false" customHeight="false" outlineLevel="0" collapsed="false">
      <c r="A183" s="140" t="n">
        <f aca="false">ExportRaw!$F183</f>
        <v>0</v>
      </c>
      <c r="B183" s="140" t="n">
        <f aca="false">ExportRaw!$C183</f>
        <v>0</v>
      </c>
      <c r="C183" s="140" t="n">
        <f aca="false">ExportRaw!$G183</f>
        <v>0</v>
      </c>
      <c r="D183" s="140" t="str">
        <f aca="false">ExportRaw!$E183</f>
        <v/>
      </c>
      <c r="E183" s="141" t="str">
        <f aca="false">ExportRaw!$D183</f>
        <v/>
      </c>
      <c r="F183" s="140" t="str">
        <f aca="false">ExportRaw!$H183</f>
        <v/>
      </c>
      <c r="G183" s="142" t="str">
        <f aca="false">ExportRaw!$I183</f>
        <v/>
      </c>
      <c r="H183" s="140" t="str">
        <f aca="false">ExportRaw!$A183</f>
        <v/>
      </c>
      <c r="I183" s="140" t="str">
        <f aca="false">ExportRaw!$B183</f>
        <v/>
      </c>
    </row>
    <row r="184" customFormat="false" ht="15.75" hidden="false" customHeight="false" outlineLevel="0" collapsed="false">
      <c r="A184" s="140" t="n">
        <f aca="false">ExportRaw!$F184</f>
        <v>0</v>
      </c>
      <c r="B184" s="140" t="n">
        <f aca="false">ExportRaw!$C184</f>
        <v>0</v>
      </c>
      <c r="C184" s="140" t="n">
        <f aca="false">ExportRaw!$G184</f>
        <v>0</v>
      </c>
      <c r="D184" s="140" t="str">
        <f aca="false">ExportRaw!$E184</f>
        <v/>
      </c>
      <c r="E184" s="141" t="str">
        <f aca="false">ExportRaw!$D184</f>
        <v/>
      </c>
      <c r="F184" s="140" t="str">
        <f aca="false">ExportRaw!$H184</f>
        <v/>
      </c>
      <c r="G184" s="142" t="str">
        <f aca="false">ExportRaw!$I184</f>
        <v/>
      </c>
      <c r="H184" s="140" t="str">
        <f aca="false">ExportRaw!$A184</f>
        <v/>
      </c>
      <c r="I184" s="140" t="str">
        <f aca="false">ExportRaw!$B184</f>
        <v/>
      </c>
    </row>
    <row r="185" customFormat="false" ht="15.75" hidden="false" customHeight="false" outlineLevel="0" collapsed="false">
      <c r="A185" s="140" t="n">
        <f aca="false">ExportRaw!$F185</f>
        <v>0</v>
      </c>
      <c r="B185" s="140" t="n">
        <f aca="false">ExportRaw!$C185</f>
        <v>0</v>
      </c>
      <c r="C185" s="140" t="n">
        <f aca="false">ExportRaw!$G185</f>
        <v>0</v>
      </c>
      <c r="D185" s="140" t="str">
        <f aca="false">ExportRaw!$E185</f>
        <v/>
      </c>
      <c r="E185" s="141" t="str">
        <f aca="false">ExportRaw!$D185</f>
        <v/>
      </c>
      <c r="F185" s="140" t="str">
        <f aca="false">ExportRaw!$H185</f>
        <v/>
      </c>
      <c r="G185" s="142" t="str">
        <f aca="false">ExportRaw!$I185</f>
        <v/>
      </c>
      <c r="H185" s="140" t="str">
        <f aca="false">ExportRaw!$A185</f>
        <v/>
      </c>
      <c r="I185" s="140" t="str">
        <f aca="false">ExportRaw!$B185</f>
        <v/>
      </c>
    </row>
    <row r="186" customFormat="false" ht="15.75" hidden="false" customHeight="false" outlineLevel="0" collapsed="false">
      <c r="A186" s="140" t="n">
        <f aca="false">ExportRaw!$F186</f>
        <v>0</v>
      </c>
      <c r="B186" s="140" t="n">
        <f aca="false">ExportRaw!$C186</f>
        <v>0</v>
      </c>
      <c r="C186" s="140" t="n">
        <f aca="false">ExportRaw!$G186</f>
        <v>0</v>
      </c>
      <c r="D186" s="140" t="str">
        <f aca="false">ExportRaw!$E186</f>
        <v/>
      </c>
      <c r="E186" s="141" t="str">
        <f aca="false">ExportRaw!$D186</f>
        <v/>
      </c>
      <c r="F186" s="140" t="str">
        <f aca="false">ExportRaw!$H186</f>
        <v/>
      </c>
      <c r="G186" s="142" t="str">
        <f aca="false">ExportRaw!$I186</f>
        <v/>
      </c>
      <c r="H186" s="140" t="str">
        <f aca="false">ExportRaw!$A186</f>
        <v/>
      </c>
      <c r="I186" s="140" t="str">
        <f aca="false">ExportRaw!$B186</f>
        <v/>
      </c>
    </row>
    <row r="187" customFormat="false" ht="15.75" hidden="false" customHeight="false" outlineLevel="0" collapsed="false">
      <c r="A187" s="140" t="n">
        <f aca="false">ExportRaw!$F187</f>
        <v>0</v>
      </c>
      <c r="B187" s="140" t="n">
        <f aca="false">ExportRaw!$C187</f>
        <v>0</v>
      </c>
      <c r="C187" s="140" t="n">
        <f aca="false">ExportRaw!$G187</f>
        <v>0</v>
      </c>
      <c r="D187" s="140" t="str">
        <f aca="false">ExportRaw!$E187</f>
        <v/>
      </c>
      <c r="E187" s="141" t="str">
        <f aca="false">ExportRaw!$D187</f>
        <v/>
      </c>
      <c r="F187" s="140" t="str">
        <f aca="false">ExportRaw!$H187</f>
        <v/>
      </c>
      <c r="G187" s="142" t="str">
        <f aca="false">ExportRaw!$I187</f>
        <v/>
      </c>
      <c r="H187" s="140" t="str">
        <f aca="false">ExportRaw!$A187</f>
        <v/>
      </c>
      <c r="I187" s="140" t="str">
        <f aca="false">ExportRaw!$B187</f>
        <v/>
      </c>
    </row>
    <row r="188" customFormat="false" ht="15.75" hidden="false" customHeight="false" outlineLevel="0" collapsed="false">
      <c r="A188" s="140" t="n">
        <f aca="false">ExportRaw!$F188</f>
        <v>0</v>
      </c>
      <c r="B188" s="140" t="n">
        <f aca="false">ExportRaw!$C188</f>
        <v>0</v>
      </c>
      <c r="C188" s="140" t="n">
        <f aca="false">ExportRaw!$G188</f>
        <v>0</v>
      </c>
      <c r="D188" s="140" t="str">
        <f aca="false">ExportRaw!$E188</f>
        <v/>
      </c>
      <c r="E188" s="141" t="str">
        <f aca="false">ExportRaw!$D188</f>
        <v/>
      </c>
      <c r="F188" s="140" t="str">
        <f aca="false">ExportRaw!$H188</f>
        <v/>
      </c>
      <c r="G188" s="142" t="str">
        <f aca="false">ExportRaw!$I188</f>
        <v/>
      </c>
      <c r="H188" s="140" t="str">
        <f aca="false">ExportRaw!$A188</f>
        <v/>
      </c>
      <c r="I188" s="140" t="str">
        <f aca="false">ExportRaw!$B188</f>
        <v/>
      </c>
    </row>
    <row r="189" customFormat="false" ht="15.75" hidden="false" customHeight="false" outlineLevel="0" collapsed="false">
      <c r="A189" s="140" t="n">
        <f aca="false">ExportRaw!$F189</f>
        <v>0</v>
      </c>
      <c r="B189" s="140" t="n">
        <f aca="false">ExportRaw!$C189</f>
        <v>0</v>
      </c>
      <c r="C189" s="140" t="n">
        <f aca="false">ExportRaw!$G189</f>
        <v>0</v>
      </c>
      <c r="D189" s="140" t="str">
        <f aca="false">ExportRaw!$E189</f>
        <v/>
      </c>
      <c r="E189" s="141" t="str">
        <f aca="false">ExportRaw!$D189</f>
        <v/>
      </c>
      <c r="F189" s="140" t="str">
        <f aca="false">ExportRaw!$H189</f>
        <v/>
      </c>
      <c r="G189" s="142" t="str">
        <f aca="false">ExportRaw!$I189</f>
        <v/>
      </c>
      <c r="H189" s="140" t="str">
        <f aca="false">ExportRaw!$A189</f>
        <v/>
      </c>
      <c r="I189" s="140" t="str">
        <f aca="false">ExportRaw!$B189</f>
        <v/>
      </c>
    </row>
    <row r="190" customFormat="false" ht="15.75" hidden="false" customHeight="false" outlineLevel="0" collapsed="false">
      <c r="A190" s="140" t="n">
        <f aca="false">ExportRaw!$F190</f>
        <v>0</v>
      </c>
      <c r="B190" s="140" t="n">
        <f aca="false">ExportRaw!$C190</f>
        <v>0</v>
      </c>
      <c r="C190" s="140" t="n">
        <f aca="false">ExportRaw!$G190</f>
        <v>0</v>
      </c>
      <c r="D190" s="140" t="str">
        <f aca="false">ExportRaw!$E190</f>
        <v/>
      </c>
      <c r="E190" s="141" t="str">
        <f aca="false">ExportRaw!$D190</f>
        <v/>
      </c>
      <c r="F190" s="140" t="str">
        <f aca="false">ExportRaw!$H190</f>
        <v/>
      </c>
      <c r="G190" s="142" t="str">
        <f aca="false">ExportRaw!$I190</f>
        <v/>
      </c>
      <c r="H190" s="140" t="str">
        <f aca="false">ExportRaw!$A190</f>
        <v/>
      </c>
      <c r="I190" s="140" t="str">
        <f aca="false">ExportRaw!$B190</f>
        <v/>
      </c>
    </row>
    <row r="191" customFormat="false" ht="15.75" hidden="false" customHeight="false" outlineLevel="0" collapsed="false">
      <c r="A191" s="140" t="n">
        <f aca="false">ExportRaw!$F191</f>
        <v>0</v>
      </c>
      <c r="B191" s="140" t="n">
        <f aca="false">ExportRaw!$C191</f>
        <v>0</v>
      </c>
      <c r="C191" s="140" t="n">
        <f aca="false">ExportRaw!$G191</f>
        <v>0</v>
      </c>
      <c r="D191" s="140" t="str">
        <f aca="false">ExportRaw!$E191</f>
        <v/>
      </c>
      <c r="E191" s="141" t="str">
        <f aca="false">ExportRaw!$D191</f>
        <v/>
      </c>
      <c r="F191" s="140" t="str">
        <f aca="false">ExportRaw!$H191</f>
        <v/>
      </c>
      <c r="G191" s="142" t="str">
        <f aca="false">ExportRaw!$I191</f>
        <v/>
      </c>
      <c r="H191" s="140" t="str">
        <f aca="false">ExportRaw!$A191</f>
        <v/>
      </c>
      <c r="I191" s="140" t="str">
        <f aca="false">ExportRaw!$B191</f>
        <v/>
      </c>
    </row>
    <row r="192" customFormat="false" ht="15.75" hidden="false" customHeight="false" outlineLevel="0" collapsed="false">
      <c r="A192" s="140" t="n">
        <f aca="false">ExportRaw!$F192</f>
        <v>0</v>
      </c>
      <c r="B192" s="140" t="n">
        <f aca="false">ExportRaw!$C192</f>
        <v>0</v>
      </c>
      <c r="C192" s="140" t="n">
        <f aca="false">ExportRaw!$G192</f>
        <v>0</v>
      </c>
      <c r="D192" s="140" t="str">
        <f aca="false">ExportRaw!$E192</f>
        <v/>
      </c>
      <c r="E192" s="141" t="str">
        <f aca="false">ExportRaw!$D192</f>
        <v/>
      </c>
      <c r="F192" s="140" t="str">
        <f aca="false">ExportRaw!$H192</f>
        <v/>
      </c>
      <c r="G192" s="142" t="str">
        <f aca="false">ExportRaw!$I192</f>
        <v/>
      </c>
      <c r="H192" s="140" t="str">
        <f aca="false">ExportRaw!$A192</f>
        <v/>
      </c>
      <c r="I192" s="140" t="str">
        <f aca="false">ExportRaw!$B192</f>
        <v/>
      </c>
    </row>
    <row r="193" customFormat="false" ht="15.75" hidden="false" customHeight="false" outlineLevel="0" collapsed="false">
      <c r="A193" s="140" t="n">
        <f aca="false">ExportRaw!$F193</f>
        <v>0</v>
      </c>
      <c r="B193" s="140" t="n">
        <f aca="false">ExportRaw!$C193</f>
        <v>0</v>
      </c>
      <c r="C193" s="140" t="n">
        <f aca="false">ExportRaw!$G193</f>
        <v>0</v>
      </c>
      <c r="D193" s="140" t="str">
        <f aca="false">ExportRaw!$E193</f>
        <v/>
      </c>
      <c r="E193" s="141" t="str">
        <f aca="false">ExportRaw!$D193</f>
        <v/>
      </c>
      <c r="F193" s="140" t="str">
        <f aca="false">ExportRaw!$H193</f>
        <v/>
      </c>
      <c r="G193" s="142" t="str">
        <f aca="false">ExportRaw!$I193</f>
        <v/>
      </c>
      <c r="H193" s="140" t="str">
        <f aca="false">ExportRaw!$A193</f>
        <v/>
      </c>
      <c r="I193" s="140" t="str">
        <f aca="false">ExportRaw!$B193</f>
        <v/>
      </c>
    </row>
    <row r="194" customFormat="false" ht="15.75" hidden="false" customHeight="false" outlineLevel="0" collapsed="false">
      <c r="A194" s="140" t="n">
        <f aca="false">ExportRaw!$F194</f>
        <v>0</v>
      </c>
      <c r="B194" s="140" t="n">
        <f aca="false">ExportRaw!$C194</f>
        <v>0</v>
      </c>
      <c r="C194" s="140" t="n">
        <f aca="false">ExportRaw!$G194</f>
        <v>0</v>
      </c>
      <c r="D194" s="140" t="str">
        <f aca="false">ExportRaw!$E194</f>
        <v/>
      </c>
      <c r="E194" s="141" t="str">
        <f aca="false">ExportRaw!$D194</f>
        <v/>
      </c>
      <c r="F194" s="140" t="str">
        <f aca="false">ExportRaw!$H194</f>
        <v/>
      </c>
      <c r="G194" s="142" t="str">
        <f aca="false">ExportRaw!$I194</f>
        <v/>
      </c>
      <c r="H194" s="140" t="str">
        <f aca="false">ExportRaw!$A194</f>
        <v/>
      </c>
      <c r="I194" s="140" t="str">
        <f aca="false">ExportRaw!$B194</f>
        <v/>
      </c>
    </row>
    <row r="195" customFormat="false" ht="15.75" hidden="false" customHeight="false" outlineLevel="0" collapsed="false">
      <c r="A195" s="140" t="n">
        <f aca="false">ExportRaw!$F195</f>
        <v>0</v>
      </c>
      <c r="B195" s="140" t="n">
        <f aca="false">ExportRaw!$C195</f>
        <v>0</v>
      </c>
      <c r="C195" s="140" t="n">
        <f aca="false">ExportRaw!$G195</f>
        <v>0</v>
      </c>
      <c r="D195" s="140" t="str">
        <f aca="false">ExportRaw!$E195</f>
        <v/>
      </c>
      <c r="E195" s="141" t="str">
        <f aca="false">ExportRaw!$D195</f>
        <v/>
      </c>
      <c r="F195" s="140" t="str">
        <f aca="false">ExportRaw!$H195</f>
        <v/>
      </c>
      <c r="G195" s="142" t="str">
        <f aca="false">ExportRaw!$I195</f>
        <v/>
      </c>
      <c r="H195" s="140" t="str">
        <f aca="false">ExportRaw!$A195</f>
        <v/>
      </c>
      <c r="I195" s="140" t="str">
        <f aca="false">ExportRaw!$B195</f>
        <v/>
      </c>
    </row>
    <row r="196" customFormat="false" ht="15.75" hidden="false" customHeight="false" outlineLevel="0" collapsed="false">
      <c r="A196" s="140" t="n">
        <f aca="false">ExportRaw!$F196</f>
        <v>0</v>
      </c>
      <c r="B196" s="140" t="n">
        <f aca="false">ExportRaw!$C196</f>
        <v>0</v>
      </c>
      <c r="C196" s="140" t="n">
        <f aca="false">ExportRaw!$G196</f>
        <v>0</v>
      </c>
      <c r="D196" s="140" t="str">
        <f aca="false">ExportRaw!$E196</f>
        <v/>
      </c>
      <c r="E196" s="141" t="str">
        <f aca="false">ExportRaw!$D196</f>
        <v/>
      </c>
      <c r="F196" s="140" t="str">
        <f aca="false">ExportRaw!$H196</f>
        <v/>
      </c>
      <c r="G196" s="142" t="str">
        <f aca="false">ExportRaw!$I196</f>
        <v/>
      </c>
      <c r="H196" s="140" t="str">
        <f aca="false">ExportRaw!$A196</f>
        <v/>
      </c>
      <c r="I196" s="140" t="str">
        <f aca="false">ExportRaw!$B196</f>
        <v/>
      </c>
    </row>
    <row r="197" customFormat="false" ht="15.75" hidden="false" customHeight="false" outlineLevel="0" collapsed="false">
      <c r="A197" s="140" t="n">
        <f aca="false">ExportRaw!$F197</f>
        <v>0</v>
      </c>
      <c r="B197" s="140" t="n">
        <f aca="false">ExportRaw!$C197</f>
        <v>0</v>
      </c>
      <c r="C197" s="140" t="n">
        <f aca="false">ExportRaw!$G197</f>
        <v>0</v>
      </c>
      <c r="D197" s="140" t="str">
        <f aca="false">ExportRaw!$E197</f>
        <v/>
      </c>
      <c r="E197" s="141" t="str">
        <f aca="false">ExportRaw!$D197</f>
        <v/>
      </c>
      <c r="F197" s="140" t="str">
        <f aca="false">ExportRaw!$H197</f>
        <v/>
      </c>
      <c r="G197" s="142" t="str">
        <f aca="false">ExportRaw!$I197</f>
        <v/>
      </c>
      <c r="H197" s="140" t="str">
        <f aca="false">ExportRaw!$A197</f>
        <v/>
      </c>
      <c r="I197" s="140" t="str">
        <f aca="false">ExportRaw!$B197</f>
        <v/>
      </c>
    </row>
    <row r="198" customFormat="false" ht="15.75" hidden="false" customHeight="false" outlineLevel="0" collapsed="false">
      <c r="A198" s="140" t="n">
        <f aca="false">ExportRaw!$F198</f>
        <v>0</v>
      </c>
      <c r="B198" s="140" t="n">
        <f aca="false">ExportRaw!$C198</f>
        <v>0</v>
      </c>
      <c r="C198" s="140" t="n">
        <f aca="false">ExportRaw!$G198</f>
        <v>0</v>
      </c>
      <c r="D198" s="140" t="str">
        <f aca="false">ExportRaw!$E198</f>
        <v/>
      </c>
      <c r="E198" s="141" t="str">
        <f aca="false">ExportRaw!$D198</f>
        <v/>
      </c>
      <c r="F198" s="140" t="str">
        <f aca="false">ExportRaw!$H198</f>
        <v/>
      </c>
      <c r="G198" s="142" t="str">
        <f aca="false">ExportRaw!$I198</f>
        <v/>
      </c>
      <c r="H198" s="140" t="str">
        <f aca="false">ExportRaw!$A198</f>
        <v/>
      </c>
      <c r="I198" s="140" t="str">
        <f aca="false">ExportRaw!$B198</f>
        <v/>
      </c>
    </row>
    <row r="199" customFormat="false" ht="15.75" hidden="false" customHeight="false" outlineLevel="0" collapsed="false">
      <c r="A199" s="140" t="n">
        <f aca="false">ExportRaw!$F199</f>
        <v>0</v>
      </c>
      <c r="B199" s="140" t="n">
        <f aca="false">ExportRaw!$C199</f>
        <v>0</v>
      </c>
      <c r="C199" s="140" t="n">
        <f aca="false">ExportRaw!$G199</f>
        <v>0</v>
      </c>
      <c r="D199" s="140" t="str">
        <f aca="false">ExportRaw!$E199</f>
        <v/>
      </c>
      <c r="E199" s="141" t="str">
        <f aca="false">ExportRaw!$D199</f>
        <v/>
      </c>
      <c r="F199" s="140" t="str">
        <f aca="false">ExportRaw!$H199</f>
        <v/>
      </c>
      <c r="G199" s="142" t="str">
        <f aca="false">ExportRaw!$I199</f>
        <v/>
      </c>
      <c r="H199" s="140" t="str">
        <f aca="false">ExportRaw!$A199</f>
        <v/>
      </c>
      <c r="I199" s="140" t="str">
        <f aca="false">ExportRaw!$B199</f>
        <v/>
      </c>
    </row>
    <row r="200" customFormat="false" ht="15.75" hidden="false" customHeight="false" outlineLevel="0" collapsed="false">
      <c r="A200" s="140" t="n">
        <f aca="false">ExportRaw!$F200</f>
        <v>0</v>
      </c>
      <c r="B200" s="140" t="n">
        <f aca="false">ExportRaw!$C200</f>
        <v>0</v>
      </c>
      <c r="C200" s="140" t="n">
        <f aca="false">ExportRaw!$G200</f>
        <v>0</v>
      </c>
      <c r="D200" s="140" t="str">
        <f aca="false">ExportRaw!$E200</f>
        <v/>
      </c>
      <c r="E200" s="141" t="str">
        <f aca="false">ExportRaw!$D200</f>
        <v/>
      </c>
      <c r="F200" s="140" t="str">
        <f aca="false">ExportRaw!$H200</f>
        <v/>
      </c>
      <c r="G200" s="142" t="str">
        <f aca="false">ExportRaw!$I200</f>
        <v/>
      </c>
      <c r="H200" s="140" t="str">
        <f aca="false">ExportRaw!$A200</f>
        <v/>
      </c>
      <c r="I200" s="140" t="str">
        <f aca="false">ExportRaw!$B200</f>
        <v/>
      </c>
    </row>
    <row r="201" customFormat="false" ht="15.75" hidden="false" customHeight="false" outlineLevel="0" collapsed="false">
      <c r="A201" s="140" t="n">
        <f aca="false">ExportRaw!$F201</f>
        <v>0</v>
      </c>
      <c r="B201" s="140" t="n">
        <f aca="false">ExportRaw!$C201</f>
        <v>0</v>
      </c>
      <c r="C201" s="140" t="n">
        <f aca="false">ExportRaw!$G201</f>
        <v>0</v>
      </c>
      <c r="D201" s="140" t="str">
        <f aca="false">ExportRaw!$E201</f>
        <v/>
      </c>
      <c r="E201" s="141" t="str">
        <f aca="false">ExportRaw!$D201</f>
        <v/>
      </c>
      <c r="F201" s="140" t="str">
        <f aca="false">ExportRaw!$H201</f>
        <v/>
      </c>
      <c r="G201" s="142" t="str">
        <f aca="false">ExportRaw!$I201</f>
        <v/>
      </c>
      <c r="H201" s="140" t="str">
        <f aca="false">ExportRaw!$A201</f>
        <v/>
      </c>
      <c r="I201" s="140" t="str">
        <f aca="false">ExportRaw!$B201</f>
        <v/>
      </c>
    </row>
    <row r="202" customFormat="false" ht="15.75" hidden="false" customHeight="false" outlineLevel="0" collapsed="false">
      <c r="A202" s="140" t="n">
        <f aca="false">ExportRaw!$F202</f>
        <v>0</v>
      </c>
      <c r="B202" s="140" t="n">
        <f aca="false">ExportRaw!$C202</f>
        <v>0</v>
      </c>
      <c r="C202" s="140" t="n">
        <f aca="false">ExportRaw!$G202</f>
        <v>0</v>
      </c>
      <c r="D202" s="140" t="str">
        <f aca="false">ExportRaw!$E202</f>
        <v/>
      </c>
      <c r="E202" s="141" t="str">
        <f aca="false">ExportRaw!$D202</f>
        <v/>
      </c>
      <c r="F202" s="140" t="str">
        <f aca="false">ExportRaw!$H202</f>
        <v/>
      </c>
      <c r="G202" s="142" t="str">
        <f aca="false">ExportRaw!$I202</f>
        <v/>
      </c>
      <c r="H202" s="140" t="str">
        <f aca="false">ExportRaw!$A202</f>
        <v/>
      </c>
      <c r="I202" s="140" t="str">
        <f aca="false">ExportRaw!$B202</f>
        <v/>
      </c>
    </row>
    <row r="203" customFormat="false" ht="15.75" hidden="false" customHeight="false" outlineLevel="0" collapsed="false">
      <c r="A203" s="140" t="n">
        <f aca="false">ExportRaw!$F203</f>
        <v>0</v>
      </c>
      <c r="B203" s="140" t="n">
        <f aca="false">ExportRaw!$C203</f>
        <v>0</v>
      </c>
      <c r="C203" s="140" t="n">
        <f aca="false">ExportRaw!$G203</f>
        <v>0</v>
      </c>
      <c r="D203" s="140" t="str">
        <f aca="false">ExportRaw!$E203</f>
        <v/>
      </c>
      <c r="E203" s="141" t="str">
        <f aca="false">ExportRaw!$D203</f>
        <v/>
      </c>
      <c r="F203" s="140" t="str">
        <f aca="false">ExportRaw!$H203</f>
        <v/>
      </c>
      <c r="G203" s="142" t="str">
        <f aca="false">ExportRaw!$I203</f>
        <v/>
      </c>
      <c r="H203" s="140" t="str">
        <f aca="false">ExportRaw!$A203</f>
        <v/>
      </c>
      <c r="I203" s="140" t="str">
        <f aca="false">ExportRaw!$B203</f>
        <v/>
      </c>
    </row>
    <row r="204" customFormat="false" ht="15.75" hidden="false" customHeight="false" outlineLevel="0" collapsed="false">
      <c r="A204" s="140" t="n">
        <f aca="false">ExportRaw!$F204</f>
        <v>0</v>
      </c>
      <c r="B204" s="140" t="n">
        <f aca="false">ExportRaw!$C204</f>
        <v>0</v>
      </c>
      <c r="C204" s="140" t="n">
        <f aca="false">ExportRaw!$G204</f>
        <v>0</v>
      </c>
      <c r="D204" s="140" t="str">
        <f aca="false">ExportRaw!$E204</f>
        <v/>
      </c>
      <c r="E204" s="141" t="str">
        <f aca="false">ExportRaw!$D204</f>
        <v/>
      </c>
      <c r="F204" s="140" t="str">
        <f aca="false">ExportRaw!$H204</f>
        <v/>
      </c>
      <c r="G204" s="142" t="str">
        <f aca="false">ExportRaw!$I204</f>
        <v/>
      </c>
      <c r="H204" s="140" t="str">
        <f aca="false">ExportRaw!$A204</f>
        <v/>
      </c>
      <c r="I204" s="140" t="str">
        <f aca="false">ExportRaw!$B204</f>
        <v/>
      </c>
    </row>
    <row r="205" customFormat="false" ht="15.75" hidden="false" customHeight="false" outlineLevel="0" collapsed="false">
      <c r="A205" s="140" t="n">
        <f aca="false">ExportRaw!$F205</f>
        <v>0</v>
      </c>
      <c r="B205" s="140" t="n">
        <f aca="false">ExportRaw!$C205</f>
        <v>0</v>
      </c>
      <c r="C205" s="140" t="n">
        <f aca="false">ExportRaw!$G205</f>
        <v>0</v>
      </c>
      <c r="D205" s="140" t="str">
        <f aca="false">ExportRaw!$E205</f>
        <v/>
      </c>
      <c r="E205" s="141" t="str">
        <f aca="false">ExportRaw!$D205</f>
        <v/>
      </c>
      <c r="F205" s="140" t="str">
        <f aca="false">ExportRaw!$H205</f>
        <v/>
      </c>
      <c r="G205" s="142" t="str">
        <f aca="false">ExportRaw!$I205</f>
        <v/>
      </c>
      <c r="H205" s="140" t="str">
        <f aca="false">ExportRaw!$A205</f>
        <v/>
      </c>
      <c r="I205" s="140" t="str">
        <f aca="false">ExportRaw!$B205</f>
        <v/>
      </c>
    </row>
    <row r="206" customFormat="false" ht="15.75" hidden="false" customHeight="false" outlineLevel="0" collapsed="false">
      <c r="A206" s="140" t="n">
        <f aca="false">ExportRaw!$F206</f>
        <v>0</v>
      </c>
      <c r="B206" s="140" t="n">
        <f aca="false">ExportRaw!$C206</f>
        <v>0</v>
      </c>
      <c r="C206" s="140" t="n">
        <f aca="false">ExportRaw!$G206</f>
        <v>0</v>
      </c>
      <c r="D206" s="140" t="str">
        <f aca="false">ExportRaw!$E206</f>
        <v/>
      </c>
      <c r="E206" s="141" t="str">
        <f aca="false">ExportRaw!$D206</f>
        <v/>
      </c>
      <c r="F206" s="140" t="str">
        <f aca="false">ExportRaw!$H206</f>
        <v/>
      </c>
      <c r="G206" s="142" t="str">
        <f aca="false">ExportRaw!$I206</f>
        <v/>
      </c>
      <c r="H206" s="140" t="str">
        <f aca="false">ExportRaw!$A206</f>
        <v/>
      </c>
      <c r="I206" s="140" t="str">
        <f aca="false">ExportRaw!$B206</f>
        <v/>
      </c>
    </row>
    <row r="207" customFormat="false" ht="15.75" hidden="false" customHeight="false" outlineLevel="0" collapsed="false">
      <c r="A207" s="140" t="n">
        <f aca="false">ExportRaw!$F207</f>
        <v>0</v>
      </c>
      <c r="B207" s="140" t="n">
        <f aca="false">ExportRaw!$C207</f>
        <v>0</v>
      </c>
      <c r="C207" s="140" t="n">
        <f aca="false">ExportRaw!$G207</f>
        <v>0</v>
      </c>
      <c r="D207" s="140" t="str">
        <f aca="false">ExportRaw!$E207</f>
        <v/>
      </c>
      <c r="E207" s="141" t="str">
        <f aca="false">ExportRaw!$D207</f>
        <v/>
      </c>
      <c r="F207" s="140" t="str">
        <f aca="false">ExportRaw!$H207</f>
        <v/>
      </c>
      <c r="G207" s="142" t="str">
        <f aca="false">ExportRaw!$I207</f>
        <v/>
      </c>
      <c r="H207" s="140" t="str">
        <f aca="false">ExportRaw!$A207</f>
        <v/>
      </c>
      <c r="I207" s="140" t="str">
        <f aca="false">ExportRaw!$B207</f>
        <v/>
      </c>
    </row>
    <row r="208" customFormat="false" ht="15.75" hidden="false" customHeight="false" outlineLevel="0" collapsed="false">
      <c r="A208" s="140" t="n">
        <f aca="false">ExportRaw!$F208</f>
        <v>0</v>
      </c>
      <c r="B208" s="140" t="n">
        <f aca="false">ExportRaw!$C208</f>
        <v>0</v>
      </c>
      <c r="C208" s="140" t="n">
        <f aca="false">ExportRaw!$G208</f>
        <v>0</v>
      </c>
      <c r="D208" s="140" t="str">
        <f aca="false">ExportRaw!$E208</f>
        <v/>
      </c>
      <c r="E208" s="141" t="str">
        <f aca="false">ExportRaw!$D208</f>
        <v/>
      </c>
      <c r="F208" s="140" t="str">
        <f aca="false">ExportRaw!$H208</f>
        <v/>
      </c>
      <c r="G208" s="142" t="str">
        <f aca="false">ExportRaw!$I208</f>
        <v/>
      </c>
      <c r="H208" s="140" t="str">
        <f aca="false">ExportRaw!$A208</f>
        <v/>
      </c>
      <c r="I208" s="140" t="str">
        <f aca="false">ExportRaw!$B208</f>
        <v/>
      </c>
    </row>
    <row r="209" customFormat="false" ht="15.75" hidden="false" customHeight="false" outlineLevel="0" collapsed="false">
      <c r="A209" s="140" t="n">
        <f aca="false">ExportRaw!$F209</f>
        <v>0</v>
      </c>
      <c r="B209" s="140" t="n">
        <f aca="false">ExportRaw!$C209</f>
        <v>0</v>
      </c>
      <c r="C209" s="140" t="n">
        <f aca="false">ExportRaw!$G209</f>
        <v>0</v>
      </c>
      <c r="D209" s="140" t="str">
        <f aca="false">ExportRaw!$E209</f>
        <v/>
      </c>
      <c r="E209" s="141" t="str">
        <f aca="false">ExportRaw!$D209</f>
        <v/>
      </c>
      <c r="F209" s="140" t="str">
        <f aca="false">ExportRaw!$H209</f>
        <v/>
      </c>
      <c r="G209" s="142" t="str">
        <f aca="false">ExportRaw!$I209</f>
        <v/>
      </c>
      <c r="H209" s="140" t="str">
        <f aca="false">ExportRaw!$A209</f>
        <v/>
      </c>
      <c r="I209" s="140" t="str">
        <f aca="false">ExportRaw!$B209</f>
        <v/>
      </c>
    </row>
    <row r="210" customFormat="false" ht="15.75" hidden="false" customHeight="false" outlineLevel="0" collapsed="false">
      <c r="A210" s="140" t="n">
        <f aca="false">ExportRaw!$F210</f>
        <v>0</v>
      </c>
      <c r="B210" s="140" t="n">
        <f aca="false">ExportRaw!$C210</f>
        <v>0</v>
      </c>
      <c r="C210" s="140" t="n">
        <f aca="false">ExportRaw!$G210</f>
        <v>0</v>
      </c>
      <c r="D210" s="140" t="str">
        <f aca="false">ExportRaw!$E210</f>
        <v/>
      </c>
      <c r="E210" s="141" t="str">
        <f aca="false">ExportRaw!$D210</f>
        <v/>
      </c>
      <c r="F210" s="140" t="str">
        <f aca="false">ExportRaw!$H210</f>
        <v/>
      </c>
      <c r="G210" s="142" t="str">
        <f aca="false">ExportRaw!$I210</f>
        <v/>
      </c>
      <c r="H210" s="140" t="str">
        <f aca="false">ExportRaw!$A210</f>
        <v/>
      </c>
      <c r="I210" s="140" t="str">
        <f aca="false">ExportRaw!$B210</f>
        <v/>
      </c>
    </row>
    <row r="211" customFormat="false" ht="15.75" hidden="false" customHeight="false" outlineLevel="0" collapsed="false">
      <c r="A211" s="140" t="n">
        <f aca="false">ExportRaw!$F211</f>
        <v>0</v>
      </c>
      <c r="B211" s="140" t="n">
        <f aca="false">ExportRaw!$C211</f>
        <v>0</v>
      </c>
      <c r="C211" s="140" t="n">
        <f aca="false">ExportRaw!$G211</f>
        <v>0</v>
      </c>
      <c r="D211" s="140" t="str">
        <f aca="false">ExportRaw!$E211</f>
        <v/>
      </c>
      <c r="E211" s="141" t="str">
        <f aca="false">ExportRaw!$D211</f>
        <v/>
      </c>
      <c r="F211" s="140" t="str">
        <f aca="false">ExportRaw!$H211</f>
        <v/>
      </c>
      <c r="G211" s="142" t="str">
        <f aca="false">ExportRaw!$I211</f>
        <v/>
      </c>
      <c r="H211" s="140" t="str">
        <f aca="false">ExportRaw!$A211</f>
        <v/>
      </c>
      <c r="I211" s="140" t="str">
        <f aca="false">ExportRaw!$B211</f>
        <v/>
      </c>
    </row>
    <row r="212" customFormat="false" ht="15.75" hidden="false" customHeight="false" outlineLevel="0" collapsed="false">
      <c r="A212" s="140" t="n">
        <f aca="false">ExportRaw!$F212</f>
        <v>0</v>
      </c>
      <c r="B212" s="140" t="n">
        <f aca="false">ExportRaw!$C212</f>
        <v>0</v>
      </c>
      <c r="C212" s="140" t="n">
        <f aca="false">ExportRaw!$G212</f>
        <v>0</v>
      </c>
      <c r="D212" s="140" t="str">
        <f aca="false">ExportRaw!$E212</f>
        <v/>
      </c>
      <c r="E212" s="141" t="str">
        <f aca="false">ExportRaw!$D212</f>
        <v/>
      </c>
      <c r="F212" s="140" t="str">
        <f aca="false">ExportRaw!$H212</f>
        <v/>
      </c>
      <c r="G212" s="142" t="str">
        <f aca="false">ExportRaw!$I212</f>
        <v/>
      </c>
      <c r="H212" s="140" t="str">
        <f aca="false">ExportRaw!$A212</f>
        <v/>
      </c>
      <c r="I212" s="140" t="str">
        <f aca="false">ExportRaw!$B212</f>
        <v/>
      </c>
    </row>
    <row r="213" customFormat="false" ht="15.75" hidden="false" customHeight="false" outlineLevel="0" collapsed="false">
      <c r="A213" s="140" t="n">
        <f aca="false">ExportRaw!$F213</f>
        <v>0</v>
      </c>
      <c r="B213" s="140" t="n">
        <f aca="false">ExportRaw!$C213</f>
        <v>0</v>
      </c>
      <c r="C213" s="140" t="n">
        <f aca="false">ExportRaw!$G213</f>
        <v>0</v>
      </c>
      <c r="D213" s="140" t="str">
        <f aca="false">ExportRaw!$E213</f>
        <v/>
      </c>
      <c r="E213" s="141" t="str">
        <f aca="false">ExportRaw!$D213</f>
        <v/>
      </c>
      <c r="F213" s="140" t="str">
        <f aca="false">ExportRaw!$H213</f>
        <v/>
      </c>
      <c r="G213" s="142" t="str">
        <f aca="false">ExportRaw!$I213</f>
        <v/>
      </c>
      <c r="H213" s="140" t="str">
        <f aca="false">ExportRaw!$A213</f>
        <v/>
      </c>
      <c r="I213" s="140" t="str">
        <f aca="false">ExportRaw!$B213</f>
        <v/>
      </c>
    </row>
    <row r="214" customFormat="false" ht="15.75" hidden="false" customHeight="false" outlineLevel="0" collapsed="false">
      <c r="A214" s="140" t="n">
        <f aca="false">ExportRaw!$F214</f>
        <v>0</v>
      </c>
      <c r="B214" s="140" t="n">
        <f aca="false">ExportRaw!$C214</f>
        <v>0</v>
      </c>
      <c r="C214" s="140" t="n">
        <f aca="false">ExportRaw!$G214</f>
        <v>0</v>
      </c>
      <c r="D214" s="140" t="str">
        <f aca="false">ExportRaw!$E214</f>
        <v/>
      </c>
      <c r="E214" s="141" t="str">
        <f aca="false">ExportRaw!$D214</f>
        <v/>
      </c>
      <c r="F214" s="140" t="str">
        <f aca="false">ExportRaw!$H214</f>
        <v/>
      </c>
      <c r="G214" s="142" t="str">
        <f aca="false">ExportRaw!$I214</f>
        <v/>
      </c>
      <c r="H214" s="140" t="str">
        <f aca="false">ExportRaw!$A214</f>
        <v/>
      </c>
      <c r="I214" s="140" t="str">
        <f aca="false">ExportRaw!$B214</f>
        <v/>
      </c>
    </row>
    <row r="215" customFormat="false" ht="15.75" hidden="false" customHeight="false" outlineLevel="0" collapsed="false">
      <c r="A215" s="140" t="n">
        <f aca="false">ExportRaw!$F215</f>
        <v>0</v>
      </c>
      <c r="B215" s="140" t="n">
        <f aca="false">ExportRaw!$C215</f>
        <v>0</v>
      </c>
      <c r="C215" s="140" t="n">
        <f aca="false">ExportRaw!$G215</f>
        <v>0</v>
      </c>
      <c r="D215" s="140" t="str">
        <f aca="false">ExportRaw!$E215</f>
        <v/>
      </c>
      <c r="E215" s="141" t="str">
        <f aca="false">ExportRaw!$D215</f>
        <v/>
      </c>
      <c r="F215" s="140" t="str">
        <f aca="false">ExportRaw!$H215</f>
        <v/>
      </c>
      <c r="G215" s="142" t="str">
        <f aca="false">ExportRaw!$I215</f>
        <v/>
      </c>
      <c r="H215" s="140" t="str">
        <f aca="false">ExportRaw!$A215</f>
        <v/>
      </c>
      <c r="I215" s="140" t="str">
        <f aca="false">ExportRaw!$B215</f>
        <v/>
      </c>
    </row>
    <row r="216" customFormat="false" ht="15.75" hidden="false" customHeight="false" outlineLevel="0" collapsed="false">
      <c r="A216" s="140" t="n">
        <f aca="false">ExportRaw!$F216</f>
        <v>0</v>
      </c>
      <c r="B216" s="140" t="n">
        <f aca="false">ExportRaw!$C216</f>
        <v>0</v>
      </c>
      <c r="C216" s="140" t="n">
        <f aca="false">ExportRaw!$G216</f>
        <v>0</v>
      </c>
      <c r="D216" s="140" t="str">
        <f aca="false">ExportRaw!$E216</f>
        <v/>
      </c>
      <c r="E216" s="141" t="str">
        <f aca="false">ExportRaw!$D216</f>
        <v/>
      </c>
      <c r="F216" s="140" t="str">
        <f aca="false">ExportRaw!$H216</f>
        <v/>
      </c>
      <c r="G216" s="142" t="str">
        <f aca="false">ExportRaw!$I216</f>
        <v/>
      </c>
      <c r="H216" s="140" t="str">
        <f aca="false">ExportRaw!$A216</f>
        <v/>
      </c>
      <c r="I216" s="140" t="str">
        <f aca="false">ExportRaw!$B216</f>
        <v/>
      </c>
    </row>
    <row r="217" customFormat="false" ht="15.75" hidden="false" customHeight="false" outlineLevel="0" collapsed="false">
      <c r="A217" s="140" t="n">
        <f aca="false">ExportRaw!$F217</f>
        <v>0</v>
      </c>
      <c r="B217" s="140" t="n">
        <f aca="false">ExportRaw!$C217</f>
        <v>0</v>
      </c>
      <c r="C217" s="140" t="n">
        <f aca="false">ExportRaw!$G217</f>
        <v>0</v>
      </c>
      <c r="D217" s="140" t="str">
        <f aca="false">ExportRaw!$E217</f>
        <v/>
      </c>
      <c r="E217" s="141" t="str">
        <f aca="false">ExportRaw!$D217</f>
        <v/>
      </c>
      <c r="F217" s="140" t="str">
        <f aca="false">ExportRaw!$H217</f>
        <v/>
      </c>
      <c r="G217" s="142" t="str">
        <f aca="false">ExportRaw!$I217</f>
        <v/>
      </c>
      <c r="H217" s="140" t="str">
        <f aca="false">ExportRaw!$A217</f>
        <v/>
      </c>
      <c r="I217" s="140" t="str">
        <f aca="false">ExportRaw!$B217</f>
        <v/>
      </c>
    </row>
    <row r="218" customFormat="false" ht="15.75" hidden="false" customHeight="false" outlineLevel="0" collapsed="false">
      <c r="A218" s="140" t="n">
        <f aca="false">ExportRaw!$F218</f>
        <v>0</v>
      </c>
      <c r="B218" s="140" t="n">
        <f aca="false">ExportRaw!$C218</f>
        <v>0</v>
      </c>
      <c r="C218" s="140" t="n">
        <f aca="false">ExportRaw!$G218</f>
        <v>0</v>
      </c>
      <c r="D218" s="140" t="str">
        <f aca="false">ExportRaw!$E218</f>
        <v/>
      </c>
      <c r="E218" s="141" t="str">
        <f aca="false">ExportRaw!$D218</f>
        <v/>
      </c>
      <c r="F218" s="140" t="str">
        <f aca="false">ExportRaw!$H218</f>
        <v/>
      </c>
      <c r="G218" s="142" t="str">
        <f aca="false">ExportRaw!$I218</f>
        <v/>
      </c>
      <c r="H218" s="140" t="str">
        <f aca="false">ExportRaw!$A218</f>
        <v/>
      </c>
      <c r="I218" s="140" t="str">
        <f aca="false">ExportRaw!$B218</f>
        <v/>
      </c>
    </row>
    <row r="219" customFormat="false" ht="15.75" hidden="false" customHeight="false" outlineLevel="0" collapsed="false">
      <c r="A219" s="140" t="n">
        <f aca="false">ExportRaw!$F219</f>
        <v>0</v>
      </c>
      <c r="B219" s="140" t="n">
        <f aca="false">ExportRaw!$C219</f>
        <v>0</v>
      </c>
      <c r="C219" s="140" t="n">
        <f aca="false">ExportRaw!$G219</f>
        <v>0</v>
      </c>
      <c r="D219" s="140" t="str">
        <f aca="false">ExportRaw!$E219</f>
        <v/>
      </c>
      <c r="E219" s="141" t="str">
        <f aca="false">ExportRaw!$D219</f>
        <v/>
      </c>
      <c r="F219" s="140" t="str">
        <f aca="false">ExportRaw!$H219</f>
        <v/>
      </c>
      <c r="G219" s="142" t="str">
        <f aca="false">ExportRaw!$I219</f>
        <v/>
      </c>
      <c r="H219" s="140" t="str">
        <f aca="false">ExportRaw!$A219</f>
        <v/>
      </c>
      <c r="I219" s="140" t="str">
        <f aca="false">ExportRaw!$B219</f>
        <v/>
      </c>
    </row>
    <row r="220" customFormat="false" ht="15.75" hidden="false" customHeight="false" outlineLevel="0" collapsed="false">
      <c r="A220" s="140" t="n">
        <f aca="false">ExportRaw!$F220</f>
        <v>0</v>
      </c>
      <c r="B220" s="140" t="n">
        <f aca="false">ExportRaw!$C220</f>
        <v>0</v>
      </c>
      <c r="C220" s="140" t="n">
        <f aca="false">ExportRaw!$G220</f>
        <v>0</v>
      </c>
      <c r="D220" s="140" t="str">
        <f aca="false">ExportRaw!$E220</f>
        <v/>
      </c>
      <c r="E220" s="141" t="str">
        <f aca="false">ExportRaw!$D220</f>
        <v/>
      </c>
      <c r="F220" s="140" t="str">
        <f aca="false">ExportRaw!$H220</f>
        <v/>
      </c>
      <c r="G220" s="142" t="str">
        <f aca="false">ExportRaw!$I220</f>
        <v/>
      </c>
      <c r="H220" s="140" t="str">
        <f aca="false">ExportRaw!$A220</f>
        <v/>
      </c>
      <c r="I220" s="140" t="str">
        <f aca="false">ExportRaw!$B220</f>
        <v/>
      </c>
    </row>
    <row r="221" customFormat="false" ht="15.75" hidden="false" customHeight="false" outlineLevel="0" collapsed="false">
      <c r="A221" s="140" t="n">
        <f aca="false">ExportRaw!$F221</f>
        <v>0</v>
      </c>
      <c r="B221" s="140" t="n">
        <f aca="false">ExportRaw!$C221</f>
        <v>0</v>
      </c>
      <c r="C221" s="140" t="n">
        <f aca="false">ExportRaw!$G221</f>
        <v>0</v>
      </c>
      <c r="D221" s="140" t="str">
        <f aca="false">ExportRaw!$E221</f>
        <v/>
      </c>
      <c r="E221" s="141" t="str">
        <f aca="false">ExportRaw!$D221</f>
        <v/>
      </c>
      <c r="F221" s="140" t="str">
        <f aca="false">ExportRaw!$H221</f>
        <v/>
      </c>
      <c r="G221" s="142" t="str">
        <f aca="false">ExportRaw!$I221</f>
        <v/>
      </c>
      <c r="H221" s="140" t="str">
        <f aca="false">ExportRaw!$A221</f>
        <v/>
      </c>
      <c r="I221" s="140" t="str">
        <f aca="false">ExportRaw!$B221</f>
        <v/>
      </c>
    </row>
    <row r="222" customFormat="false" ht="15.75" hidden="false" customHeight="false" outlineLevel="0" collapsed="false">
      <c r="A222" s="140" t="n">
        <f aca="false">ExportRaw!$F222</f>
        <v>0</v>
      </c>
      <c r="B222" s="140" t="n">
        <f aca="false">ExportRaw!$C222</f>
        <v>0</v>
      </c>
      <c r="C222" s="140" t="n">
        <f aca="false">ExportRaw!$G222</f>
        <v>0</v>
      </c>
      <c r="D222" s="140" t="str">
        <f aca="false">ExportRaw!$E222</f>
        <v/>
      </c>
      <c r="E222" s="141" t="str">
        <f aca="false">ExportRaw!$D222</f>
        <v/>
      </c>
      <c r="F222" s="140" t="str">
        <f aca="false">ExportRaw!$H222</f>
        <v/>
      </c>
      <c r="G222" s="142" t="str">
        <f aca="false">ExportRaw!$I222</f>
        <v/>
      </c>
      <c r="H222" s="140" t="str">
        <f aca="false">ExportRaw!$A222</f>
        <v/>
      </c>
      <c r="I222" s="140" t="str">
        <f aca="false">ExportRaw!$B222</f>
        <v/>
      </c>
    </row>
    <row r="223" customFormat="false" ht="15.75" hidden="false" customHeight="false" outlineLevel="0" collapsed="false">
      <c r="A223" s="140" t="n">
        <f aca="false">ExportRaw!$F223</f>
        <v>0</v>
      </c>
      <c r="B223" s="140" t="n">
        <f aca="false">ExportRaw!$C223</f>
        <v>0</v>
      </c>
      <c r="C223" s="140" t="n">
        <f aca="false">ExportRaw!$G223</f>
        <v>0</v>
      </c>
      <c r="D223" s="140" t="str">
        <f aca="false">ExportRaw!$E223</f>
        <v/>
      </c>
      <c r="E223" s="141" t="str">
        <f aca="false">ExportRaw!$D223</f>
        <v/>
      </c>
      <c r="F223" s="140" t="str">
        <f aca="false">ExportRaw!$H223</f>
        <v/>
      </c>
      <c r="G223" s="142" t="str">
        <f aca="false">ExportRaw!$I223</f>
        <v/>
      </c>
      <c r="H223" s="140" t="str">
        <f aca="false">ExportRaw!$A223</f>
        <v/>
      </c>
      <c r="I223" s="140" t="str">
        <f aca="false">ExportRaw!$B223</f>
        <v/>
      </c>
    </row>
    <row r="224" customFormat="false" ht="15.75" hidden="false" customHeight="false" outlineLevel="0" collapsed="false">
      <c r="A224" s="140" t="n">
        <f aca="false">ExportRaw!$F224</f>
        <v>0</v>
      </c>
      <c r="B224" s="140" t="n">
        <f aca="false">ExportRaw!$C224</f>
        <v>0</v>
      </c>
      <c r="C224" s="140" t="n">
        <f aca="false">ExportRaw!$G224</f>
        <v>0</v>
      </c>
      <c r="D224" s="140" t="str">
        <f aca="false">ExportRaw!$E224</f>
        <v/>
      </c>
      <c r="E224" s="141" t="str">
        <f aca="false">ExportRaw!$D224</f>
        <v/>
      </c>
      <c r="F224" s="140" t="str">
        <f aca="false">ExportRaw!$H224</f>
        <v/>
      </c>
      <c r="G224" s="142" t="str">
        <f aca="false">ExportRaw!$I224</f>
        <v/>
      </c>
      <c r="H224" s="140" t="str">
        <f aca="false">ExportRaw!$A224</f>
        <v/>
      </c>
      <c r="I224" s="140" t="str">
        <f aca="false">ExportRaw!$B224</f>
        <v/>
      </c>
    </row>
    <row r="225" customFormat="false" ht="15.75" hidden="false" customHeight="false" outlineLevel="0" collapsed="false">
      <c r="A225" s="140" t="n">
        <f aca="false">ExportRaw!$F225</f>
        <v>0</v>
      </c>
      <c r="B225" s="140" t="n">
        <f aca="false">ExportRaw!$C225</f>
        <v>0</v>
      </c>
      <c r="C225" s="140" t="n">
        <f aca="false">ExportRaw!$G225</f>
        <v>0</v>
      </c>
      <c r="D225" s="140" t="str">
        <f aca="false">ExportRaw!$E225</f>
        <v/>
      </c>
      <c r="E225" s="141" t="str">
        <f aca="false">ExportRaw!$D225</f>
        <v/>
      </c>
      <c r="F225" s="140" t="str">
        <f aca="false">ExportRaw!$H225</f>
        <v/>
      </c>
      <c r="G225" s="142" t="str">
        <f aca="false">ExportRaw!$I225</f>
        <v/>
      </c>
      <c r="H225" s="140" t="str">
        <f aca="false">ExportRaw!$A225</f>
        <v/>
      </c>
      <c r="I225" s="140" t="str">
        <f aca="false">ExportRaw!$B225</f>
        <v/>
      </c>
    </row>
    <row r="226" customFormat="false" ht="15.75" hidden="false" customHeight="false" outlineLevel="0" collapsed="false">
      <c r="A226" s="140" t="n">
        <f aca="false">ExportRaw!$F226</f>
        <v>0</v>
      </c>
      <c r="B226" s="140" t="n">
        <f aca="false">ExportRaw!$C226</f>
        <v>0</v>
      </c>
      <c r="C226" s="140" t="n">
        <f aca="false">ExportRaw!$G226</f>
        <v>0</v>
      </c>
      <c r="D226" s="140" t="str">
        <f aca="false">ExportRaw!$E226</f>
        <v/>
      </c>
      <c r="E226" s="141" t="str">
        <f aca="false">ExportRaw!$D226</f>
        <v/>
      </c>
      <c r="F226" s="140" t="str">
        <f aca="false">ExportRaw!$H226</f>
        <v/>
      </c>
      <c r="G226" s="142" t="str">
        <f aca="false">ExportRaw!$I226</f>
        <v/>
      </c>
      <c r="H226" s="140" t="str">
        <f aca="false">ExportRaw!$A226</f>
        <v/>
      </c>
      <c r="I226" s="140" t="str">
        <f aca="false">ExportRaw!$B226</f>
        <v/>
      </c>
    </row>
    <row r="227" customFormat="false" ht="15.75" hidden="false" customHeight="false" outlineLevel="0" collapsed="false">
      <c r="A227" s="140" t="n">
        <f aca="false">ExportRaw!$F227</f>
        <v>0</v>
      </c>
      <c r="B227" s="140" t="n">
        <f aca="false">ExportRaw!$C227</f>
        <v>0</v>
      </c>
      <c r="C227" s="140" t="n">
        <f aca="false">ExportRaw!$G227</f>
        <v>0</v>
      </c>
      <c r="D227" s="140" t="str">
        <f aca="false">ExportRaw!$E227</f>
        <v/>
      </c>
      <c r="E227" s="141" t="str">
        <f aca="false">ExportRaw!$D227</f>
        <v/>
      </c>
      <c r="F227" s="140" t="str">
        <f aca="false">ExportRaw!$H227</f>
        <v/>
      </c>
      <c r="G227" s="142" t="str">
        <f aca="false">ExportRaw!$I227</f>
        <v/>
      </c>
      <c r="H227" s="140" t="str">
        <f aca="false">ExportRaw!$A227</f>
        <v/>
      </c>
      <c r="I227" s="140" t="str">
        <f aca="false">ExportRaw!$B227</f>
        <v/>
      </c>
    </row>
    <row r="228" customFormat="false" ht="15.75" hidden="false" customHeight="false" outlineLevel="0" collapsed="false">
      <c r="A228" s="140" t="n">
        <f aca="false">ExportRaw!$F228</f>
        <v>0</v>
      </c>
      <c r="B228" s="140" t="n">
        <f aca="false">ExportRaw!$C228</f>
        <v>0</v>
      </c>
      <c r="C228" s="140" t="n">
        <f aca="false">ExportRaw!$G228</f>
        <v>0</v>
      </c>
      <c r="D228" s="140" t="str">
        <f aca="false">ExportRaw!$E228</f>
        <v/>
      </c>
      <c r="E228" s="141" t="str">
        <f aca="false">ExportRaw!$D228</f>
        <v/>
      </c>
      <c r="F228" s="140" t="str">
        <f aca="false">ExportRaw!$H228</f>
        <v/>
      </c>
      <c r="G228" s="142" t="str">
        <f aca="false">ExportRaw!$I228</f>
        <v/>
      </c>
      <c r="H228" s="140" t="str">
        <f aca="false">ExportRaw!$A228</f>
        <v/>
      </c>
      <c r="I228" s="140" t="str">
        <f aca="false">ExportRaw!$B228</f>
        <v/>
      </c>
    </row>
    <row r="229" customFormat="false" ht="15.75" hidden="false" customHeight="false" outlineLevel="0" collapsed="false">
      <c r="A229" s="140" t="n">
        <f aca="false">ExportRaw!$F229</f>
        <v>0</v>
      </c>
      <c r="B229" s="140" t="n">
        <f aca="false">ExportRaw!$C229</f>
        <v>0</v>
      </c>
      <c r="C229" s="140" t="n">
        <f aca="false">ExportRaw!$G229</f>
        <v>0</v>
      </c>
      <c r="D229" s="140" t="str">
        <f aca="false">ExportRaw!$E229</f>
        <v/>
      </c>
      <c r="E229" s="141" t="str">
        <f aca="false">ExportRaw!$D229</f>
        <v/>
      </c>
      <c r="F229" s="140" t="str">
        <f aca="false">ExportRaw!$H229</f>
        <v/>
      </c>
      <c r="G229" s="142" t="str">
        <f aca="false">ExportRaw!$I229</f>
        <v/>
      </c>
      <c r="H229" s="140" t="str">
        <f aca="false">ExportRaw!$A229</f>
        <v/>
      </c>
      <c r="I229" s="140" t="str">
        <f aca="false">ExportRaw!$B229</f>
        <v/>
      </c>
    </row>
    <row r="230" customFormat="false" ht="15.75" hidden="false" customHeight="false" outlineLevel="0" collapsed="false">
      <c r="A230" s="140" t="n">
        <f aca="false">ExportRaw!$F230</f>
        <v>0</v>
      </c>
      <c r="B230" s="140" t="n">
        <f aca="false">ExportRaw!$C230</f>
        <v>0</v>
      </c>
      <c r="C230" s="140" t="n">
        <f aca="false">ExportRaw!$G230</f>
        <v>0</v>
      </c>
      <c r="D230" s="140" t="str">
        <f aca="false">ExportRaw!$E230</f>
        <v/>
      </c>
      <c r="E230" s="141" t="str">
        <f aca="false">ExportRaw!$D230</f>
        <v/>
      </c>
      <c r="F230" s="140" t="str">
        <f aca="false">ExportRaw!$H230</f>
        <v/>
      </c>
      <c r="G230" s="142" t="str">
        <f aca="false">ExportRaw!$I230</f>
        <v/>
      </c>
      <c r="H230" s="140" t="str">
        <f aca="false">ExportRaw!$A230</f>
        <v/>
      </c>
      <c r="I230" s="140" t="str">
        <f aca="false">ExportRaw!$B230</f>
        <v/>
      </c>
    </row>
    <row r="231" customFormat="false" ht="15.75" hidden="false" customHeight="false" outlineLevel="0" collapsed="false">
      <c r="A231" s="140" t="n">
        <f aca="false">ExportRaw!$F231</f>
        <v>0</v>
      </c>
      <c r="B231" s="140" t="n">
        <f aca="false">ExportRaw!$C231</f>
        <v>0</v>
      </c>
      <c r="C231" s="140" t="n">
        <f aca="false">ExportRaw!$G231</f>
        <v>0</v>
      </c>
      <c r="D231" s="140" t="str">
        <f aca="false">ExportRaw!$E231</f>
        <v/>
      </c>
      <c r="E231" s="141" t="str">
        <f aca="false">ExportRaw!$D231</f>
        <v/>
      </c>
      <c r="F231" s="140" t="str">
        <f aca="false">ExportRaw!$H231</f>
        <v/>
      </c>
      <c r="G231" s="142" t="str">
        <f aca="false">ExportRaw!$I231</f>
        <v/>
      </c>
      <c r="H231" s="140" t="str">
        <f aca="false">ExportRaw!$A231</f>
        <v/>
      </c>
      <c r="I231" s="140" t="str">
        <f aca="false">ExportRaw!$B231</f>
        <v/>
      </c>
    </row>
    <row r="232" customFormat="false" ht="15.75" hidden="false" customHeight="false" outlineLevel="0" collapsed="false">
      <c r="A232" s="140" t="n">
        <f aca="false">ExportRaw!$F232</f>
        <v>0</v>
      </c>
      <c r="B232" s="140" t="n">
        <f aca="false">ExportRaw!$C232</f>
        <v>0</v>
      </c>
      <c r="C232" s="140" t="n">
        <f aca="false">ExportRaw!$G232</f>
        <v>0</v>
      </c>
      <c r="D232" s="140" t="str">
        <f aca="false">ExportRaw!$E232</f>
        <v/>
      </c>
      <c r="E232" s="141" t="str">
        <f aca="false">ExportRaw!$D232</f>
        <v/>
      </c>
      <c r="F232" s="140" t="str">
        <f aca="false">ExportRaw!$H232</f>
        <v/>
      </c>
      <c r="G232" s="142" t="str">
        <f aca="false">ExportRaw!$I232</f>
        <v/>
      </c>
      <c r="H232" s="140" t="str">
        <f aca="false">ExportRaw!$A232</f>
        <v/>
      </c>
      <c r="I232" s="140" t="str">
        <f aca="false">ExportRaw!$B232</f>
        <v/>
      </c>
    </row>
    <row r="233" customFormat="false" ht="15.75" hidden="false" customHeight="false" outlineLevel="0" collapsed="false">
      <c r="A233" s="140" t="n">
        <f aca="false">ExportRaw!$F233</f>
        <v>0</v>
      </c>
      <c r="B233" s="140" t="n">
        <f aca="false">ExportRaw!$C233</f>
        <v>0</v>
      </c>
      <c r="C233" s="140" t="n">
        <f aca="false">ExportRaw!$G233</f>
        <v>0</v>
      </c>
      <c r="D233" s="140" t="str">
        <f aca="false">ExportRaw!$E233</f>
        <v/>
      </c>
      <c r="E233" s="141" t="str">
        <f aca="false">ExportRaw!$D233</f>
        <v/>
      </c>
      <c r="F233" s="140" t="str">
        <f aca="false">ExportRaw!$H233</f>
        <v/>
      </c>
      <c r="G233" s="142" t="str">
        <f aca="false">ExportRaw!$I233</f>
        <v/>
      </c>
      <c r="H233" s="140" t="str">
        <f aca="false">ExportRaw!$A233</f>
        <v/>
      </c>
      <c r="I233" s="140" t="str">
        <f aca="false">ExportRaw!$B233</f>
        <v/>
      </c>
    </row>
    <row r="234" customFormat="false" ht="15.75" hidden="false" customHeight="false" outlineLevel="0" collapsed="false">
      <c r="A234" s="140" t="n">
        <f aca="false">ExportRaw!$F234</f>
        <v>0</v>
      </c>
      <c r="B234" s="140" t="n">
        <f aca="false">ExportRaw!$C234</f>
        <v>0</v>
      </c>
      <c r="C234" s="140" t="n">
        <f aca="false">ExportRaw!$G234</f>
        <v>0</v>
      </c>
      <c r="D234" s="140" t="str">
        <f aca="false">ExportRaw!$E234</f>
        <v/>
      </c>
      <c r="E234" s="141" t="str">
        <f aca="false">ExportRaw!$D234</f>
        <v/>
      </c>
      <c r="F234" s="140" t="str">
        <f aca="false">ExportRaw!$H234</f>
        <v/>
      </c>
      <c r="G234" s="142" t="str">
        <f aca="false">ExportRaw!$I234</f>
        <v/>
      </c>
      <c r="H234" s="140" t="str">
        <f aca="false">ExportRaw!$A234</f>
        <v/>
      </c>
      <c r="I234" s="140" t="str">
        <f aca="false">ExportRaw!$B234</f>
        <v/>
      </c>
    </row>
    <row r="235" customFormat="false" ht="15.75" hidden="false" customHeight="false" outlineLevel="0" collapsed="false">
      <c r="A235" s="140" t="n">
        <f aca="false">ExportRaw!$F235</f>
        <v>0</v>
      </c>
      <c r="B235" s="140" t="n">
        <f aca="false">ExportRaw!$C235</f>
        <v>0</v>
      </c>
      <c r="C235" s="140" t="n">
        <f aca="false">ExportRaw!$G235</f>
        <v>0</v>
      </c>
      <c r="D235" s="140" t="str">
        <f aca="false">ExportRaw!$E235</f>
        <v/>
      </c>
      <c r="E235" s="141" t="str">
        <f aca="false">ExportRaw!$D235</f>
        <v/>
      </c>
      <c r="F235" s="140" t="str">
        <f aca="false">ExportRaw!$H235</f>
        <v/>
      </c>
      <c r="G235" s="142" t="str">
        <f aca="false">ExportRaw!$I235</f>
        <v/>
      </c>
      <c r="H235" s="140" t="str">
        <f aca="false">ExportRaw!$A235</f>
        <v/>
      </c>
      <c r="I235" s="140" t="str">
        <f aca="false">ExportRaw!$B235</f>
        <v/>
      </c>
    </row>
    <row r="236" customFormat="false" ht="15.75" hidden="false" customHeight="false" outlineLevel="0" collapsed="false">
      <c r="A236" s="140" t="n">
        <f aca="false">ExportRaw!$F236</f>
        <v>0</v>
      </c>
      <c r="B236" s="140" t="n">
        <f aca="false">ExportRaw!$C236</f>
        <v>0</v>
      </c>
      <c r="C236" s="140" t="n">
        <f aca="false">ExportRaw!$G236</f>
        <v>0</v>
      </c>
      <c r="D236" s="140" t="str">
        <f aca="false">ExportRaw!$E236</f>
        <v/>
      </c>
      <c r="E236" s="141" t="str">
        <f aca="false">ExportRaw!$D236</f>
        <v/>
      </c>
      <c r="F236" s="140" t="str">
        <f aca="false">ExportRaw!$H236</f>
        <v/>
      </c>
      <c r="G236" s="142" t="str">
        <f aca="false">ExportRaw!$I236</f>
        <v/>
      </c>
      <c r="H236" s="140" t="str">
        <f aca="false">ExportRaw!$A236</f>
        <v/>
      </c>
      <c r="I236" s="140" t="str">
        <f aca="false">ExportRaw!$B236</f>
        <v/>
      </c>
    </row>
    <row r="237" customFormat="false" ht="15.75" hidden="false" customHeight="false" outlineLevel="0" collapsed="false">
      <c r="A237" s="140" t="n">
        <f aca="false">ExportRaw!$F237</f>
        <v>0</v>
      </c>
      <c r="B237" s="140" t="n">
        <f aca="false">ExportRaw!$C237</f>
        <v>0</v>
      </c>
      <c r="C237" s="140" t="n">
        <f aca="false">ExportRaw!$G237</f>
        <v>0</v>
      </c>
      <c r="D237" s="140" t="str">
        <f aca="false">ExportRaw!$E237</f>
        <v/>
      </c>
      <c r="E237" s="141" t="str">
        <f aca="false">ExportRaw!$D237</f>
        <v/>
      </c>
      <c r="F237" s="140" t="str">
        <f aca="false">ExportRaw!$H237</f>
        <v/>
      </c>
      <c r="G237" s="142" t="str">
        <f aca="false">ExportRaw!$I237</f>
        <v/>
      </c>
      <c r="H237" s="140" t="str">
        <f aca="false">ExportRaw!$A237</f>
        <v/>
      </c>
      <c r="I237" s="140" t="str">
        <f aca="false">ExportRaw!$B237</f>
        <v/>
      </c>
    </row>
    <row r="238" customFormat="false" ht="15.75" hidden="false" customHeight="false" outlineLevel="0" collapsed="false">
      <c r="A238" s="140" t="n">
        <f aca="false">ExportRaw!$F238</f>
        <v>0</v>
      </c>
      <c r="B238" s="140" t="n">
        <f aca="false">ExportRaw!$C238</f>
        <v>0</v>
      </c>
      <c r="C238" s="140" t="n">
        <f aca="false">ExportRaw!$G238</f>
        <v>0</v>
      </c>
      <c r="D238" s="140" t="str">
        <f aca="false">ExportRaw!$E238</f>
        <v/>
      </c>
      <c r="E238" s="141" t="str">
        <f aca="false">ExportRaw!$D238</f>
        <v/>
      </c>
      <c r="F238" s="140" t="str">
        <f aca="false">ExportRaw!$H238</f>
        <v/>
      </c>
      <c r="G238" s="142" t="str">
        <f aca="false">ExportRaw!$I238</f>
        <v/>
      </c>
      <c r="H238" s="140" t="str">
        <f aca="false">ExportRaw!$A238</f>
        <v/>
      </c>
      <c r="I238" s="140" t="str">
        <f aca="false">ExportRaw!$B238</f>
        <v/>
      </c>
    </row>
    <row r="239" customFormat="false" ht="15.75" hidden="false" customHeight="false" outlineLevel="0" collapsed="false">
      <c r="A239" s="140" t="n">
        <f aca="false">ExportRaw!$F239</f>
        <v>0</v>
      </c>
      <c r="B239" s="140" t="n">
        <f aca="false">ExportRaw!$C239</f>
        <v>0</v>
      </c>
      <c r="C239" s="140" t="n">
        <f aca="false">ExportRaw!$G239</f>
        <v>0</v>
      </c>
      <c r="D239" s="140" t="str">
        <f aca="false">ExportRaw!$E239</f>
        <v/>
      </c>
      <c r="E239" s="141" t="str">
        <f aca="false">ExportRaw!$D239</f>
        <v/>
      </c>
      <c r="F239" s="140" t="str">
        <f aca="false">ExportRaw!$H239</f>
        <v/>
      </c>
      <c r="G239" s="142" t="str">
        <f aca="false">ExportRaw!$I239</f>
        <v/>
      </c>
      <c r="H239" s="140" t="str">
        <f aca="false">ExportRaw!$A239</f>
        <v/>
      </c>
      <c r="I239" s="140" t="str">
        <f aca="false">ExportRaw!$B239</f>
        <v/>
      </c>
    </row>
    <row r="240" customFormat="false" ht="15.75" hidden="false" customHeight="false" outlineLevel="0" collapsed="false">
      <c r="A240" s="140" t="n">
        <f aca="false">ExportRaw!$F240</f>
        <v>0</v>
      </c>
      <c r="B240" s="140" t="n">
        <f aca="false">ExportRaw!$C240</f>
        <v>0</v>
      </c>
      <c r="C240" s="140" t="n">
        <f aca="false">ExportRaw!$G240</f>
        <v>0</v>
      </c>
      <c r="D240" s="140" t="str">
        <f aca="false">ExportRaw!$E240</f>
        <v/>
      </c>
      <c r="E240" s="141" t="str">
        <f aca="false">ExportRaw!$D240</f>
        <v/>
      </c>
      <c r="F240" s="140" t="str">
        <f aca="false">ExportRaw!$H240</f>
        <v/>
      </c>
      <c r="G240" s="142" t="str">
        <f aca="false">ExportRaw!$I240</f>
        <v/>
      </c>
      <c r="H240" s="140" t="str">
        <f aca="false">ExportRaw!$A240</f>
        <v/>
      </c>
      <c r="I240" s="140" t="str">
        <f aca="false">ExportRaw!$B240</f>
        <v/>
      </c>
    </row>
    <row r="241" customFormat="false" ht="15.75" hidden="false" customHeight="false" outlineLevel="0" collapsed="false">
      <c r="A241" s="140" t="n">
        <f aca="false">ExportRaw!$F241</f>
        <v>0</v>
      </c>
      <c r="B241" s="140" t="n">
        <f aca="false">ExportRaw!$C241</f>
        <v>0</v>
      </c>
      <c r="C241" s="140" t="n">
        <f aca="false">ExportRaw!$G241</f>
        <v>0</v>
      </c>
      <c r="D241" s="140" t="str">
        <f aca="false">ExportRaw!$E241</f>
        <v/>
      </c>
      <c r="E241" s="141" t="str">
        <f aca="false">ExportRaw!$D241</f>
        <v/>
      </c>
      <c r="F241" s="140" t="str">
        <f aca="false">ExportRaw!$H241</f>
        <v/>
      </c>
      <c r="G241" s="142" t="str">
        <f aca="false">ExportRaw!$I241</f>
        <v/>
      </c>
      <c r="H241" s="140" t="str">
        <f aca="false">ExportRaw!$A241</f>
        <v/>
      </c>
      <c r="I241" s="140" t="str">
        <f aca="false">ExportRaw!$B241</f>
        <v/>
      </c>
    </row>
    <row r="242" customFormat="false" ht="15.75" hidden="false" customHeight="false" outlineLevel="0" collapsed="false">
      <c r="A242" s="140" t="n">
        <f aca="false">ExportRaw!$F242</f>
        <v>0</v>
      </c>
      <c r="B242" s="140" t="n">
        <f aca="false">ExportRaw!$C242</f>
        <v>0</v>
      </c>
      <c r="C242" s="140" t="n">
        <f aca="false">ExportRaw!$G242</f>
        <v>0</v>
      </c>
      <c r="D242" s="140" t="str">
        <f aca="false">ExportRaw!$E242</f>
        <v/>
      </c>
      <c r="E242" s="141" t="str">
        <f aca="false">ExportRaw!$D242</f>
        <v/>
      </c>
      <c r="F242" s="140" t="str">
        <f aca="false">ExportRaw!$H242</f>
        <v/>
      </c>
      <c r="G242" s="142" t="str">
        <f aca="false">ExportRaw!$I242</f>
        <v/>
      </c>
      <c r="H242" s="140" t="str">
        <f aca="false">ExportRaw!$A242</f>
        <v/>
      </c>
      <c r="I242" s="140" t="str">
        <f aca="false">ExportRaw!$B242</f>
        <v/>
      </c>
    </row>
    <row r="243" customFormat="false" ht="15.75" hidden="false" customHeight="false" outlineLevel="0" collapsed="false">
      <c r="A243" s="140" t="n">
        <f aca="false">ExportRaw!$F243</f>
        <v>0</v>
      </c>
      <c r="B243" s="140" t="n">
        <f aca="false">ExportRaw!$C243</f>
        <v>0</v>
      </c>
      <c r="C243" s="140" t="n">
        <f aca="false">ExportRaw!$G243</f>
        <v>0</v>
      </c>
      <c r="D243" s="140" t="str">
        <f aca="false">ExportRaw!$E243</f>
        <v/>
      </c>
      <c r="E243" s="141" t="str">
        <f aca="false">ExportRaw!$D243</f>
        <v/>
      </c>
      <c r="F243" s="140" t="str">
        <f aca="false">ExportRaw!$H243</f>
        <v/>
      </c>
      <c r="G243" s="142" t="str">
        <f aca="false">ExportRaw!$I243</f>
        <v/>
      </c>
      <c r="H243" s="140" t="str">
        <f aca="false">ExportRaw!$A243</f>
        <v/>
      </c>
      <c r="I243" s="140" t="str">
        <f aca="false">ExportRaw!$B243</f>
        <v/>
      </c>
    </row>
    <row r="244" customFormat="false" ht="15.75" hidden="false" customHeight="false" outlineLevel="0" collapsed="false">
      <c r="A244" s="140" t="n">
        <f aca="false">ExportRaw!$F244</f>
        <v>0</v>
      </c>
      <c r="B244" s="140" t="n">
        <f aca="false">ExportRaw!$C244</f>
        <v>0</v>
      </c>
      <c r="C244" s="140" t="n">
        <f aca="false">ExportRaw!$G244</f>
        <v>0</v>
      </c>
      <c r="D244" s="140" t="str">
        <f aca="false">ExportRaw!$E244</f>
        <v/>
      </c>
      <c r="E244" s="141" t="str">
        <f aca="false">ExportRaw!$D244</f>
        <v/>
      </c>
      <c r="F244" s="140" t="str">
        <f aca="false">ExportRaw!$H244</f>
        <v/>
      </c>
      <c r="G244" s="142" t="str">
        <f aca="false">ExportRaw!$I244</f>
        <v/>
      </c>
      <c r="H244" s="140" t="str">
        <f aca="false">ExportRaw!$A244</f>
        <v/>
      </c>
      <c r="I244" s="140" t="str">
        <f aca="false">ExportRaw!$B244</f>
        <v/>
      </c>
    </row>
    <row r="245" customFormat="false" ht="15.75" hidden="false" customHeight="false" outlineLevel="0" collapsed="false">
      <c r="A245" s="140" t="n">
        <f aca="false">ExportRaw!$F245</f>
        <v>0</v>
      </c>
      <c r="B245" s="140" t="n">
        <f aca="false">ExportRaw!$C245</f>
        <v>0</v>
      </c>
      <c r="C245" s="140" t="n">
        <f aca="false">ExportRaw!$G245</f>
        <v>0</v>
      </c>
      <c r="D245" s="140" t="str">
        <f aca="false">ExportRaw!$E245</f>
        <v/>
      </c>
      <c r="E245" s="141" t="str">
        <f aca="false">ExportRaw!$D245</f>
        <v/>
      </c>
      <c r="F245" s="140" t="str">
        <f aca="false">ExportRaw!$H245</f>
        <v/>
      </c>
      <c r="G245" s="142" t="str">
        <f aca="false">ExportRaw!$I245</f>
        <v/>
      </c>
      <c r="H245" s="140" t="str">
        <f aca="false">ExportRaw!$A245</f>
        <v/>
      </c>
      <c r="I245" s="140" t="str">
        <f aca="false">ExportRaw!$B245</f>
        <v/>
      </c>
    </row>
    <row r="246" customFormat="false" ht="15.75" hidden="false" customHeight="false" outlineLevel="0" collapsed="false">
      <c r="A246" s="140" t="n">
        <f aca="false">ExportRaw!$F246</f>
        <v>0</v>
      </c>
      <c r="B246" s="140" t="n">
        <f aca="false">ExportRaw!$C246</f>
        <v>0</v>
      </c>
      <c r="C246" s="140" t="n">
        <f aca="false">ExportRaw!$G246</f>
        <v>0</v>
      </c>
      <c r="D246" s="140" t="str">
        <f aca="false">ExportRaw!$E246</f>
        <v/>
      </c>
      <c r="E246" s="141" t="str">
        <f aca="false">ExportRaw!$D246</f>
        <v/>
      </c>
      <c r="F246" s="140" t="str">
        <f aca="false">ExportRaw!$H246</f>
        <v/>
      </c>
      <c r="G246" s="142" t="str">
        <f aca="false">ExportRaw!$I246</f>
        <v/>
      </c>
      <c r="H246" s="140" t="str">
        <f aca="false">ExportRaw!$A246</f>
        <v/>
      </c>
      <c r="I246" s="140" t="str">
        <f aca="false">ExportRaw!$B246</f>
        <v/>
      </c>
    </row>
    <row r="247" customFormat="false" ht="15.75" hidden="false" customHeight="false" outlineLevel="0" collapsed="false">
      <c r="A247" s="140" t="n">
        <f aca="false">ExportRaw!$F247</f>
        <v>0</v>
      </c>
      <c r="B247" s="140" t="n">
        <f aca="false">ExportRaw!$C247</f>
        <v>0</v>
      </c>
      <c r="C247" s="140" t="n">
        <f aca="false">ExportRaw!$G247</f>
        <v>0</v>
      </c>
      <c r="D247" s="140" t="str">
        <f aca="false">ExportRaw!$E247</f>
        <v/>
      </c>
      <c r="E247" s="141" t="str">
        <f aca="false">ExportRaw!$D247</f>
        <v/>
      </c>
      <c r="F247" s="140" t="str">
        <f aca="false">ExportRaw!$H247</f>
        <v/>
      </c>
      <c r="G247" s="142" t="str">
        <f aca="false">ExportRaw!$I247</f>
        <v/>
      </c>
      <c r="H247" s="140" t="str">
        <f aca="false">ExportRaw!$A247</f>
        <v/>
      </c>
      <c r="I247" s="140" t="str">
        <f aca="false">ExportRaw!$B247</f>
        <v/>
      </c>
    </row>
    <row r="248" customFormat="false" ht="15.75" hidden="false" customHeight="false" outlineLevel="0" collapsed="false">
      <c r="A248" s="140" t="n">
        <f aca="false">ExportRaw!$F248</f>
        <v>0</v>
      </c>
      <c r="B248" s="140" t="n">
        <f aca="false">ExportRaw!$C248</f>
        <v>0</v>
      </c>
      <c r="C248" s="140" t="n">
        <f aca="false">ExportRaw!$G248</f>
        <v>0</v>
      </c>
      <c r="D248" s="140" t="str">
        <f aca="false">ExportRaw!$E248</f>
        <v/>
      </c>
      <c r="E248" s="141" t="str">
        <f aca="false">ExportRaw!$D248</f>
        <v/>
      </c>
      <c r="F248" s="140" t="str">
        <f aca="false">ExportRaw!$H248</f>
        <v/>
      </c>
      <c r="G248" s="142" t="str">
        <f aca="false">ExportRaw!$I248</f>
        <v/>
      </c>
      <c r="H248" s="140" t="str">
        <f aca="false">ExportRaw!$A248</f>
        <v/>
      </c>
      <c r="I248" s="140" t="str">
        <f aca="false">ExportRaw!$B248</f>
        <v/>
      </c>
    </row>
    <row r="249" customFormat="false" ht="15.75" hidden="false" customHeight="false" outlineLevel="0" collapsed="false">
      <c r="A249" s="140" t="n">
        <f aca="false">ExportRaw!$F249</f>
        <v>0</v>
      </c>
      <c r="B249" s="140" t="n">
        <f aca="false">ExportRaw!$C249</f>
        <v>0</v>
      </c>
      <c r="C249" s="140" t="n">
        <f aca="false">ExportRaw!$G249</f>
        <v>0</v>
      </c>
      <c r="D249" s="140" t="str">
        <f aca="false">ExportRaw!$E249</f>
        <v/>
      </c>
      <c r="E249" s="141" t="str">
        <f aca="false">ExportRaw!$D249</f>
        <v/>
      </c>
      <c r="F249" s="140" t="str">
        <f aca="false">ExportRaw!$H249</f>
        <v/>
      </c>
      <c r="G249" s="142" t="str">
        <f aca="false">ExportRaw!$I249</f>
        <v/>
      </c>
      <c r="H249" s="140" t="str">
        <f aca="false">ExportRaw!$A249</f>
        <v/>
      </c>
      <c r="I249" s="140" t="str">
        <f aca="false">ExportRaw!$B249</f>
        <v/>
      </c>
    </row>
    <row r="250" customFormat="false" ht="15.75" hidden="false" customHeight="false" outlineLevel="0" collapsed="false">
      <c r="A250" s="140" t="n">
        <f aca="false">ExportRaw!$F250</f>
        <v>0</v>
      </c>
      <c r="B250" s="140" t="n">
        <f aca="false">ExportRaw!$C250</f>
        <v>0</v>
      </c>
      <c r="C250" s="140" t="n">
        <f aca="false">ExportRaw!$G250</f>
        <v>0</v>
      </c>
      <c r="D250" s="140" t="str">
        <f aca="false">ExportRaw!$E250</f>
        <v/>
      </c>
      <c r="E250" s="141" t="str">
        <f aca="false">ExportRaw!$D250</f>
        <v/>
      </c>
      <c r="F250" s="140" t="str">
        <f aca="false">ExportRaw!$H250</f>
        <v/>
      </c>
      <c r="G250" s="142" t="str">
        <f aca="false">ExportRaw!$I250</f>
        <v/>
      </c>
      <c r="H250" s="140" t="str">
        <f aca="false">ExportRaw!$A250</f>
        <v/>
      </c>
      <c r="I250" s="140" t="str">
        <f aca="false">ExportRaw!$B250</f>
        <v/>
      </c>
    </row>
    <row r="251" customFormat="false" ht="15.75" hidden="false" customHeight="false" outlineLevel="0" collapsed="false">
      <c r="A251" s="140" t="n">
        <f aca="false">ExportRaw!$F251</f>
        <v>0</v>
      </c>
      <c r="B251" s="140" t="n">
        <f aca="false">ExportRaw!$C251</f>
        <v>0</v>
      </c>
      <c r="C251" s="140" t="n">
        <f aca="false">ExportRaw!$G251</f>
        <v>0</v>
      </c>
      <c r="D251" s="140" t="str">
        <f aca="false">ExportRaw!$E251</f>
        <v/>
      </c>
      <c r="E251" s="141" t="str">
        <f aca="false">ExportRaw!$D251</f>
        <v/>
      </c>
      <c r="F251" s="140" t="str">
        <f aca="false">ExportRaw!$H251</f>
        <v/>
      </c>
      <c r="G251" s="142" t="str">
        <f aca="false">ExportRaw!$I251</f>
        <v/>
      </c>
      <c r="H251" s="140" t="str">
        <f aca="false">ExportRaw!$A251</f>
        <v/>
      </c>
      <c r="I251" s="140" t="str">
        <f aca="false">ExportRaw!$B251</f>
        <v/>
      </c>
    </row>
    <row r="252" customFormat="false" ht="15.75" hidden="false" customHeight="false" outlineLevel="0" collapsed="false">
      <c r="A252" s="140" t="n">
        <f aca="false">ExportRaw!$F252</f>
        <v>0</v>
      </c>
      <c r="B252" s="140" t="n">
        <f aca="false">ExportRaw!$C252</f>
        <v>0</v>
      </c>
      <c r="C252" s="140" t="n">
        <f aca="false">ExportRaw!$G252</f>
        <v>0</v>
      </c>
      <c r="D252" s="140" t="str">
        <f aca="false">ExportRaw!$E252</f>
        <v/>
      </c>
      <c r="E252" s="141" t="str">
        <f aca="false">ExportRaw!$D252</f>
        <v/>
      </c>
      <c r="F252" s="140" t="str">
        <f aca="false">ExportRaw!$H252</f>
        <v/>
      </c>
      <c r="G252" s="142" t="str">
        <f aca="false">ExportRaw!$I252</f>
        <v/>
      </c>
      <c r="H252" s="140" t="str">
        <f aca="false">ExportRaw!$A252</f>
        <v/>
      </c>
      <c r="I252" s="140" t="str">
        <f aca="false">ExportRaw!$B252</f>
        <v/>
      </c>
    </row>
    <row r="253" customFormat="false" ht="15.75" hidden="false" customHeight="false" outlineLevel="0" collapsed="false">
      <c r="A253" s="140" t="n">
        <f aca="false">ExportRaw!$F253</f>
        <v>0</v>
      </c>
      <c r="B253" s="140" t="n">
        <f aca="false">ExportRaw!$C253</f>
        <v>0</v>
      </c>
      <c r="C253" s="140" t="n">
        <f aca="false">ExportRaw!$G253</f>
        <v>0</v>
      </c>
      <c r="D253" s="140" t="str">
        <f aca="false">ExportRaw!$E253</f>
        <v/>
      </c>
      <c r="E253" s="141" t="str">
        <f aca="false">ExportRaw!$D253</f>
        <v/>
      </c>
      <c r="F253" s="140" t="str">
        <f aca="false">ExportRaw!$H253</f>
        <v/>
      </c>
      <c r="G253" s="142" t="str">
        <f aca="false">ExportRaw!$I253</f>
        <v/>
      </c>
      <c r="H253" s="140" t="str">
        <f aca="false">ExportRaw!$A253</f>
        <v/>
      </c>
      <c r="I253" s="140" t="str">
        <f aca="false">ExportRaw!$B253</f>
        <v/>
      </c>
    </row>
    <row r="254" customFormat="false" ht="15.75" hidden="false" customHeight="false" outlineLevel="0" collapsed="false">
      <c r="A254" s="140" t="n">
        <f aca="false">ExportRaw!$F254</f>
        <v>0</v>
      </c>
      <c r="B254" s="140" t="n">
        <f aca="false">ExportRaw!$C254</f>
        <v>0</v>
      </c>
      <c r="C254" s="140" t="n">
        <f aca="false">ExportRaw!$G254</f>
        <v>0</v>
      </c>
      <c r="D254" s="140" t="str">
        <f aca="false">ExportRaw!$E254</f>
        <v/>
      </c>
      <c r="E254" s="141" t="str">
        <f aca="false">ExportRaw!$D254</f>
        <v/>
      </c>
      <c r="F254" s="140" t="str">
        <f aca="false">ExportRaw!$H254</f>
        <v/>
      </c>
      <c r="G254" s="142" t="str">
        <f aca="false">ExportRaw!$I254</f>
        <v/>
      </c>
      <c r="H254" s="140" t="str">
        <f aca="false">ExportRaw!$A254</f>
        <v/>
      </c>
      <c r="I254" s="140" t="str">
        <f aca="false">ExportRaw!$B254</f>
        <v/>
      </c>
    </row>
    <row r="255" customFormat="false" ht="15.75" hidden="false" customHeight="false" outlineLevel="0" collapsed="false">
      <c r="A255" s="140" t="n">
        <f aca="false">ExportRaw!$F255</f>
        <v>0</v>
      </c>
      <c r="B255" s="140" t="n">
        <f aca="false">ExportRaw!$C255</f>
        <v>0</v>
      </c>
      <c r="C255" s="140" t="n">
        <f aca="false">ExportRaw!$G255</f>
        <v>0</v>
      </c>
      <c r="D255" s="140" t="str">
        <f aca="false">ExportRaw!$E255</f>
        <v/>
      </c>
      <c r="E255" s="141" t="str">
        <f aca="false">ExportRaw!$D255</f>
        <v/>
      </c>
      <c r="F255" s="140" t="str">
        <f aca="false">ExportRaw!$H255</f>
        <v/>
      </c>
      <c r="G255" s="142" t="str">
        <f aca="false">ExportRaw!$I255</f>
        <v/>
      </c>
      <c r="H255" s="140" t="str">
        <f aca="false">ExportRaw!$A255</f>
        <v/>
      </c>
      <c r="I255" s="140" t="str">
        <f aca="false">ExportRaw!$B255</f>
        <v/>
      </c>
    </row>
    <row r="256" customFormat="false" ht="15.75" hidden="false" customHeight="false" outlineLevel="0" collapsed="false">
      <c r="A256" s="140" t="n">
        <f aca="false">ExportRaw!$F256</f>
        <v>0</v>
      </c>
      <c r="B256" s="140" t="n">
        <f aca="false">ExportRaw!$C256</f>
        <v>0</v>
      </c>
      <c r="C256" s="140" t="n">
        <f aca="false">ExportRaw!$G256</f>
        <v>0</v>
      </c>
      <c r="D256" s="140" t="str">
        <f aca="false">ExportRaw!$E256</f>
        <v/>
      </c>
      <c r="E256" s="141" t="str">
        <f aca="false">ExportRaw!$D256</f>
        <v/>
      </c>
      <c r="F256" s="140" t="str">
        <f aca="false">ExportRaw!$H256</f>
        <v/>
      </c>
      <c r="G256" s="142" t="str">
        <f aca="false">ExportRaw!$I256</f>
        <v/>
      </c>
      <c r="H256" s="140" t="str">
        <f aca="false">ExportRaw!$A256</f>
        <v/>
      </c>
      <c r="I256" s="140" t="str">
        <f aca="false">ExportRaw!$B256</f>
        <v/>
      </c>
    </row>
    <row r="257" customFormat="false" ht="15.75" hidden="false" customHeight="false" outlineLevel="0" collapsed="false">
      <c r="A257" s="140" t="n">
        <f aca="false">ExportRaw!$F257</f>
        <v>0</v>
      </c>
      <c r="B257" s="140" t="n">
        <f aca="false">ExportRaw!$C257</f>
        <v>0</v>
      </c>
      <c r="C257" s="140" t="n">
        <f aca="false">ExportRaw!$G257</f>
        <v>0</v>
      </c>
      <c r="D257" s="140" t="str">
        <f aca="false">ExportRaw!$E257</f>
        <v/>
      </c>
      <c r="E257" s="141" t="str">
        <f aca="false">ExportRaw!$D257</f>
        <v/>
      </c>
      <c r="F257" s="140" t="str">
        <f aca="false">ExportRaw!$H257</f>
        <v/>
      </c>
      <c r="G257" s="142" t="str">
        <f aca="false">ExportRaw!$I257</f>
        <v/>
      </c>
      <c r="H257" s="140" t="str">
        <f aca="false">ExportRaw!$A257</f>
        <v/>
      </c>
      <c r="I257" s="140" t="str">
        <f aca="false">ExportRaw!$B257</f>
        <v/>
      </c>
    </row>
    <row r="258" customFormat="false" ht="15.75" hidden="false" customHeight="false" outlineLevel="0" collapsed="false">
      <c r="A258" s="140" t="n">
        <f aca="false">ExportRaw!$F258</f>
        <v>0</v>
      </c>
      <c r="B258" s="140" t="n">
        <f aca="false">ExportRaw!$C258</f>
        <v>0</v>
      </c>
      <c r="C258" s="140" t="n">
        <f aca="false">ExportRaw!$G258</f>
        <v>0</v>
      </c>
      <c r="D258" s="140" t="str">
        <f aca="false">ExportRaw!$E258</f>
        <v/>
      </c>
      <c r="E258" s="141" t="str">
        <f aca="false">ExportRaw!$D258</f>
        <v/>
      </c>
      <c r="F258" s="140" t="str">
        <f aca="false">ExportRaw!$H258</f>
        <v/>
      </c>
      <c r="G258" s="142" t="str">
        <f aca="false">ExportRaw!$I258</f>
        <v/>
      </c>
      <c r="H258" s="140" t="str">
        <f aca="false">ExportRaw!$A258</f>
        <v/>
      </c>
      <c r="I258" s="140" t="str">
        <f aca="false">ExportRaw!$B258</f>
        <v/>
      </c>
    </row>
    <row r="259" customFormat="false" ht="15.75" hidden="false" customHeight="false" outlineLevel="0" collapsed="false">
      <c r="A259" s="140" t="n">
        <f aca="false">ExportRaw!$F259</f>
        <v>0</v>
      </c>
      <c r="B259" s="140" t="n">
        <f aca="false">ExportRaw!$C259</f>
        <v>0</v>
      </c>
      <c r="C259" s="140" t="n">
        <f aca="false">ExportRaw!$G259</f>
        <v>0</v>
      </c>
      <c r="D259" s="140" t="str">
        <f aca="false">ExportRaw!$E259</f>
        <v/>
      </c>
      <c r="E259" s="141" t="str">
        <f aca="false">ExportRaw!$D259</f>
        <v/>
      </c>
      <c r="F259" s="140" t="str">
        <f aca="false">ExportRaw!$H259</f>
        <v/>
      </c>
      <c r="G259" s="142" t="str">
        <f aca="false">ExportRaw!$I259</f>
        <v/>
      </c>
      <c r="H259" s="140" t="str">
        <f aca="false">ExportRaw!$A259</f>
        <v/>
      </c>
      <c r="I259" s="140" t="str">
        <f aca="false">ExportRaw!$B259</f>
        <v/>
      </c>
    </row>
    <row r="260" customFormat="false" ht="15.75" hidden="false" customHeight="false" outlineLevel="0" collapsed="false">
      <c r="A260" s="140" t="n">
        <f aca="false">ExportRaw!$F260</f>
        <v>0</v>
      </c>
      <c r="B260" s="140" t="n">
        <f aca="false">ExportRaw!$C260</f>
        <v>0</v>
      </c>
      <c r="C260" s="140" t="n">
        <f aca="false">ExportRaw!$G260</f>
        <v>0</v>
      </c>
      <c r="D260" s="140" t="str">
        <f aca="false">ExportRaw!$E260</f>
        <v/>
      </c>
      <c r="E260" s="141" t="str">
        <f aca="false">ExportRaw!$D260</f>
        <v/>
      </c>
      <c r="F260" s="140" t="str">
        <f aca="false">ExportRaw!$H260</f>
        <v/>
      </c>
      <c r="G260" s="142" t="str">
        <f aca="false">ExportRaw!$I260</f>
        <v/>
      </c>
      <c r="H260" s="140" t="str">
        <f aca="false">ExportRaw!$A260</f>
        <v/>
      </c>
      <c r="I260" s="140" t="str">
        <f aca="false">ExportRaw!$B260</f>
        <v/>
      </c>
    </row>
    <row r="261" customFormat="false" ht="15.75" hidden="false" customHeight="false" outlineLevel="0" collapsed="false">
      <c r="A261" s="140" t="n">
        <f aca="false">ExportRaw!$F261</f>
        <v>0</v>
      </c>
      <c r="B261" s="140" t="n">
        <f aca="false">ExportRaw!$C261</f>
        <v>0</v>
      </c>
      <c r="C261" s="140" t="n">
        <f aca="false">ExportRaw!$G261</f>
        <v>0</v>
      </c>
      <c r="D261" s="140" t="str">
        <f aca="false">ExportRaw!$E261</f>
        <v/>
      </c>
      <c r="E261" s="141" t="str">
        <f aca="false">ExportRaw!$D261</f>
        <v/>
      </c>
      <c r="F261" s="140" t="str">
        <f aca="false">ExportRaw!$H261</f>
        <v/>
      </c>
      <c r="G261" s="142" t="str">
        <f aca="false">ExportRaw!$I261</f>
        <v/>
      </c>
      <c r="H261" s="140" t="str">
        <f aca="false">ExportRaw!$A261</f>
        <v/>
      </c>
      <c r="I261" s="140" t="str">
        <f aca="false">ExportRaw!$B261</f>
        <v/>
      </c>
    </row>
    <row r="262" customFormat="false" ht="15.75" hidden="false" customHeight="false" outlineLevel="0" collapsed="false">
      <c r="A262" s="140" t="n">
        <f aca="false">ExportRaw!$F262</f>
        <v>0</v>
      </c>
      <c r="B262" s="140" t="n">
        <f aca="false">ExportRaw!$C262</f>
        <v>0</v>
      </c>
      <c r="C262" s="140" t="n">
        <f aca="false">ExportRaw!$G262</f>
        <v>0</v>
      </c>
      <c r="D262" s="140" t="str">
        <f aca="false">ExportRaw!$E262</f>
        <v/>
      </c>
      <c r="E262" s="141" t="str">
        <f aca="false">ExportRaw!$D262</f>
        <v/>
      </c>
      <c r="F262" s="140" t="str">
        <f aca="false">ExportRaw!$H262</f>
        <v/>
      </c>
      <c r="G262" s="142" t="str">
        <f aca="false">ExportRaw!$I262</f>
        <v/>
      </c>
      <c r="H262" s="140" t="str">
        <f aca="false">ExportRaw!$A262</f>
        <v/>
      </c>
      <c r="I262" s="140" t="str">
        <f aca="false">ExportRaw!$B262</f>
        <v/>
      </c>
    </row>
    <row r="263" customFormat="false" ht="15.75" hidden="false" customHeight="false" outlineLevel="0" collapsed="false">
      <c r="A263" s="140" t="n">
        <f aca="false">ExportRaw!$F263</f>
        <v>0</v>
      </c>
      <c r="B263" s="140" t="n">
        <f aca="false">ExportRaw!$C263</f>
        <v>0</v>
      </c>
      <c r="C263" s="140" t="n">
        <f aca="false">ExportRaw!$G263</f>
        <v>0</v>
      </c>
      <c r="D263" s="140" t="str">
        <f aca="false">ExportRaw!$E263</f>
        <v/>
      </c>
      <c r="E263" s="141" t="str">
        <f aca="false">ExportRaw!$D263</f>
        <v/>
      </c>
      <c r="F263" s="140" t="str">
        <f aca="false">ExportRaw!$H263</f>
        <v/>
      </c>
      <c r="G263" s="142" t="str">
        <f aca="false">ExportRaw!$I263</f>
        <v/>
      </c>
      <c r="H263" s="140" t="str">
        <f aca="false">ExportRaw!$A263</f>
        <v/>
      </c>
      <c r="I263" s="140" t="str">
        <f aca="false">ExportRaw!$B263</f>
        <v/>
      </c>
    </row>
    <row r="264" customFormat="false" ht="15.75" hidden="false" customHeight="false" outlineLevel="0" collapsed="false">
      <c r="A264" s="140" t="n">
        <f aca="false">ExportRaw!$F264</f>
        <v>0</v>
      </c>
      <c r="B264" s="140" t="n">
        <f aca="false">ExportRaw!$C264</f>
        <v>0</v>
      </c>
      <c r="C264" s="140" t="n">
        <f aca="false">ExportRaw!$G264</f>
        <v>0</v>
      </c>
      <c r="D264" s="140" t="str">
        <f aca="false">ExportRaw!$E264</f>
        <v/>
      </c>
      <c r="E264" s="141" t="str">
        <f aca="false">ExportRaw!$D264</f>
        <v/>
      </c>
      <c r="F264" s="140" t="str">
        <f aca="false">ExportRaw!$H264</f>
        <v/>
      </c>
      <c r="G264" s="142" t="str">
        <f aca="false">ExportRaw!$I264</f>
        <v/>
      </c>
      <c r="H264" s="140" t="str">
        <f aca="false">ExportRaw!$A264</f>
        <v/>
      </c>
      <c r="I264" s="140" t="str">
        <f aca="false">ExportRaw!$B264</f>
        <v/>
      </c>
    </row>
    <row r="265" customFormat="false" ht="15.75" hidden="false" customHeight="false" outlineLevel="0" collapsed="false">
      <c r="A265" s="140" t="n">
        <f aca="false">ExportRaw!$F265</f>
        <v>0</v>
      </c>
      <c r="B265" s="140" t="n">
        <f aca="false">ExportRaw!$C265</f>
        <v>0</v>
      </c>
      <c r="C265" s="140" t="n">
        <f aca="false">ExportRaw!$G265</f>
        <v>0</v>
      </c>
      <c r="D265" s="140" t="str">
        <f aca="false">ExportRaw!$E265</f>
        <v/>
      </c>
      <c r="E265" s="141" t="str">
        <f aca="false">ExportRaw!$D265</f>
        <v/>
      </c>
      <c r="F265" s="140" t="str">
        <f aca="false">ExportRaw!$H265</f>
        <v/>
      </c>
      <c r="G265" s="142" t="str">
        <f aca="false">ExportRaw!$I265</f>
        <v/>
      </c>
      <c r="H265" s="140" t="str">
        <f aca="false">ExportRaw!$A265</f>
        <v/>
      </c>
      <c r="I265" s="140" t="str">
        <f aca="false">ExportRaw!$B265</f>
        <v/>
      </c>
    </row>
    <row r="266" customFormat="false" ht="15.75" hidden="false" customHeight="false" outlineLevel="0" collapsed="false">
      <c r="A266" s="140" t="n">
        <f aca="false">ExportRaw!$F266</f>
        <v>0</v>
      </c>
      <c r="B266" s="140" t="n">
        <f aca="false">ExportRaw!$C266</f>
        <v>0</v>
      </c>
      <c r="C266" s="140" t="n">
        <f aca="false">ExportRaw!$G266</f>
        <v>0</v>
      </c>
      <c r="D266" s="140" t="str">
        <f aca="false">ExportRaw!$E266</f>
        <v/>
      </c>
      <c r="E266" s="141" t="str">
        <f aca="false">ExportRaw!$D266</f>
        <v/>
      </c>
      <c r="F266" s="140" t="str">
        <f aca="false">ExportRaw!$H266</f>
        <v/>
      </c>
      <c r="G266" s="142" t="str">
        <f aca="false">ExportRaw!$I266</f>
        <v/>
      </c>
      <c r="H266" s="140" t="str">
        <f aca="false">ExportRaw!$A266</f>
        <v/>
      </c>
      <c r="I266" s="140" t="str">
        <f aca="false">ExportRaw!$B266</f>
        <v/>
      </c>
    </row>
    <row r="267" customFormat="false" ht="15.75" hidden="false" customHeight="false" outlineLevel="0" collapsed="false">
      <c r="A267" s="140" t="n">
        <f aca="false">ExportRaw!$F267</f>
        <v>0</v>
      </c>
      <c r="B267" s="140" t="n">
        <f aca="false">ExportRaw!$C267</f>
        <v>0</v>
      </c>
      <c r="C267" s="140" t="n">
        <f aca="false">ExportRaw!$G267</f>
        <v>0</v>
      </c>
      <c r="D267" s="140" t="str">
        <f aca="false">ExportRaw!$E267</f>
        <v/>
      </c>
      <c r="E267" s="141" t="str">
        <f aca="false">ExportRaw!$D267</f>
        <v/>
      </c>
      <c r="F267" s="140" t="str">
        <f aca="false">ExportRaw!$H267</f>
        <v/>
      </c>
      <c r="G267" s="142" t="str">
        <f aca="false">ExportRaw!$I267</f>
        <v/>
      </c>
      <c r="H267" s="140" t="str">
        <f aca="false">ExportRaw!$A267</f>
        <v/>
      </c>
      <c r="I267" s="140" t="str">
        <f aca="false">ExportRaw!$B267</f>
        <v/>
      </c>
    </row>
    <row r="268" customFormat="false" ht="15.75" hidden="false" customHeight="false" outlineLevel="0" collapsed="false">
      <c r="A268" s="140" t="n">
        <f aca="false">ExportRaw!$F268</f>
        <v>0</v>
      </c>
      <c r="B268" s="140" t="n">
        <f aca="false">ExportRaw!$C268</f>
        <v>0</v>
      </c>
      <c r="C268" s="140" t="n">
        <f aca="false">ExportRaw!$G268</f>
        <v>0</v>
      </c>
      <c r="D268" s="140" t="str">
        <f aca="false">ExportRaw!$E268</f>
        <v/>
      </c>
      <c r="E268" s="141" t="str">
        <f aca="false">ExportRaw!$D268</f>
        <v/>
      </c>
      <c r="F268" s="140" t="str">
        <f aca="false">ExportRaw!$H268</f>
        <v/>
      </c>
      <c r="G268" s="142" t="str">
        <f aca="false">ExportRaw!$I268</f>
        <v/>
      </c>
      <c r="H268" s="140" t="str">
        <f aca="false">ExportRaw!$A268</f>
        <v/>
      </c>
      <c r="I268" s="140" t="str">
        <f aca="false">ExportRaw!$B268</f>
        <v/>
      </c>
    </row>
    <row r="269" customFormat="false" ht="15.75" hidden="false" customHeight="false" outlineLevel="0" collapsed="false">
      <c r="A269" s="140" t="n">
        <f aca="false">ExportRaw!$F269</f>
        <v>0</v>
      </c>
      <c r="B269" s="140" t="n">
        <f aca="false">ExportRaw!$C269</f>
        <v>0</v>
      </c>
      <c r="C269" s="140" t="n">
        <f aca="false">ExportRaw!$G269</f>
        <v>0</v>
      </c>
      <c r="D269" s="140" t="str">
        <f aca="false">ExportRaw!$E269</f>
        <v/>
      </c>
      <c r="E269" s="141" t="str">
        <f aca="false">ExportRaw!$D269</f>
        <v/>
      </c>
      <c r="F269" s="140" t="str">
        <f aca="false">ExportRaw!$H269</f>
        <v/>
      </c>
      <c r="G269" s="142" t="str">
        <f aca="false">ExportRaw!$I269</f>
        <v/>
      </c>
      <c r="H269" s="140" t="str">
        <f aca="false">ExportRaw!$A269</f>
        <v/>
      </c>
      <c r="I269" s="140" t="str">
        <f aca="false">ExportRaw!$B269</f>
        <v/>
      </c>
    </row>
    <row r="270" customFormat="false" ht="15.75" hidden="false" customHeight="false" outlineLevel="0" collapsed="false">
      <c r="A270" s="140" t="n">
        <f aca="false">ExportRaw!$F270</f>
        <v>0</v>
      </c>
      <c r="B270" s="140" t="n">
        <f aca="false">ExportRaw!$C270</f>
        <v>0</v>
      </c>
      <c r="C270" s="140" t="n">
        <f aca="false">ExportRaw!$G270</f>
        <v>0</v>
      </c>
      <c r="D270" s="140" t="str">
        <f aca="false">ExportRaw!$E270</f>
        <v/>
      </c>
      <c r="E270" s="141" t="str">
        <f aca="false">ExportRaw!$D270</f>
        <v/>
      </c>
      <c r="F270" s="140" t="str">
        <f aca="false">ExportRaw!$H270</f>
        <v/>
      </c>
      <c r="G270" s="142" t="str">
        <f aca="false">ExportRaw!$I270</f>
        <v/>
      </c>
      <c r="H270" s="140" t="str">
        <f aca="false">ExportRaw!$A270</f>
        <v/>
      </c>
      <c r="I270" s="140" t="str">
        <f aca="false">ExportRaw!$B270</f>
        <v/>
      </c>
    </row>
    <row r="271" customFormat="false" ht="15.75" hidden="false" customHeight="false" outlineLevel="0" collapsed="false">
      <c r="A271" s="140" t="n">
        <f aca="false">ExportRaw!$F271</f>
        <v>0</v>
      </c>
      <c r="B271" s="140" t="n">
        <f aca="false">ExportRaw!$C271</f>
        <v>0</v>
      </c>
      <c r="C271" s="140" t="n">
        <f aca="false">ExportRaw!$G271</f>
        <v>0</v>
      </c>
      <c r="D271" s="140" t="str">
        <f aca="false">ExportRaw!$E271</f>
        <v/>
      </c>
      <c r="E271" s="141" t="str">
        <f aca="false">ExportRaw!$D271</f>
        <v/>
      </c>
      <c r="F271" s="140" t="str">
        <f aca="false">ExportRaw!$H271</f>
        <v/>
      </c>
      <c r="G271" s="142" t="str">
        <f aca="false">ExportRaw!$I271</f>
        <v/>
      </c>
      <c r="H271" s="140" t="str">
        <f aca="false">ExportRaw!$A271</f>
        <v/>
      </c>
      <c r="I271" s="140" t="str">
        <f aca="false">ExportRaw!$B271</f>
        <v/>
      </c>
    </row>
    <row r="272" customFormat="false" ht="15.75" hidden="false" customHeight="false" outlineLevel="0" collapsed="false">
      <c r="A272" s="140" t="n">
        <f aca="false">ExportRaw!$F272</f>
        <v>0</v>
      </c>
      <c r="B272" s="140" t="n">
        <f aca="false">ExportRaw!$C272</f>
        <v>0</v>
      </c>
      <c r="C272" s="140" t="n">
        <f aca="false">ExportRaw!$G272</f>
        <v>0</v>
      </c>
      <c r="D272" s="140" t="str">
        <f aca="false">ExportRaw!$E272</f>
        <v/>
      </c>
      <c r="E272" s="141" t="str">
        <f aca="false">ExportRaw!$D272</f>
        <v/>
      </c>
      <c r="F272" s="140" t="str">
        <f aca="false">ExportRaw!$H272</f>
        <v/>
      </c>
      <c r="G272" s="142" t="str">
        <f aca="false">ExportRaw!$I272</f>
        <v/>
      </c>
      <c r="H272" s="140" t="str">
        <f aca="false">ExportRaw!$A272</f>
        <v/>
      </c>
      <c r="I272" s="140" t="str">
        <f aca="false">ExportRaw!$B272</f>
        <v/>
      </c>
    </row>
    <row r="273" customFormat="false" ht="15.75" hidden="false" customHeight="false" outlineLevel="0" collapsed="false">
      <c r="A273" s="140" t="n">
        <f aca="false">ExportRaw!$F273</f>
        <v>0</v>
      </c>
      <c r="B273" s="140" t="n">
        <f aca="false">ExportRaw!$C273</f>
        <v>0</v>
      </c>
      <c r="C273" s="140" t="n">
        <f aca="false">ExportRaw!$G273</f>
        <v>0</v>
      </c>
      <c r="D273" s="140" t="str">
        <f aca="false">ExportRaw!$E273</f>
        <v/>
      </c>
      <c r="E273" s="141" t="str">
        <f aca="false">ExportRaw!$D273</f>
        <v/>
      </c>
      <c r="F273" s="140" t="str">
        <f aca="false">ExportRaw!$H273</f>
        <v/>
      </c>
      <c r="G273" s="142" t="str">
        <f aca="false">ExportRaw!$I273</f>
        <v/>
      </c>
      <c r="H273" s="140" t="str">
        <f aca="false">ExportRaw!$A273</f>
        <v/>
      </c>
      <c r="I273" s="140" t="str">
        <f aca="false">ExportRaw!$B273</f>
        <v/>
      </c>
    </row>
    <row r="274" customFormat="false" ht="15.75" hidden="false" customHeight="false" outlineLevel="0" collapsed="false">
      <c r="A274" s="140" t="n">
        <f aca="false">ExportRaw!$F274</f>
        <v>0</v>
      </c>
      <c r="B274" s="140" t="n">
        <f aca="false">ExportRaw!$C274</f>
        <v>0</v>
      </c>
      <c r="C274" s="140" t="n">
        <f aca="false">ExportRaw!$G274</f>
        <v>0</v>
      </c>
      <c r="D274" s="140" t="str">
        <f aca="false">ExportRaw!$E274</f>
        <v/>
      </c>
      <c r="E274" s="141" t="str">
        <f aca="false">ExportRaw!$D274</f>
        <v/>
      </c>
      <c r="F274" s="140" t="str">
        <f aca="false">ExportRaw!$H274</f>
        <v/>
      </c>
      <c r="G274" s="142" t="str">
        <f aca="false">ExportRaw!$I274</f>
        <v/>
      </c>
      <c r="H274" s="140" t="str">
        <f aca="false">ExportRaw!$A274</f>
        <v/>
      </c>
      <c r="I274" s="140" t="str">
        <f aca="false">ExportRaw!$B274</f>
        <v/>
      </c>
    </row>
    <row r="275" customFormat="false" ht="15.75" hidden="false" customHeight="false" outlineLevel="0" collapsed="false">
      <c r="A275" s="140" t="n">
        <f aca="false">ExportRaw!$F275</f>
        <v>0</v>
      </c>
      <c r="B275" s="140" t="n">
        <f aca="false">ExportRaw!$C275</f>
        <v>0</v>
      </c>
      <c r="C275" s="140" t="n">
        <f aca="false">ExportRaw!$G275</f>
        <v>0</v>
      </c>
      <c r="D275" s="140" t="str">
        <f aca="false">ExportRaw!$E275</f>
        <v/>
      </c>
      <c r="E275" s="141" t="str">
        <f aca="false">ExportRaw!$D275</f>
        <v/>
      </c>
      <c r="F275" s="140" t="str">
        <f aca="false">ExportRaw!$H275</f>
        <v/>
      </c>
      <c r="G275" s="142" t="str">
        <f aca="false">ExportRaw!$I275</f>
        <v/>
      </c>
      <c r="H275" s="140" t="str">
        <f aca="false">ExportRaw!$A275</f>
        <v/>
      </c>
      <c r="I275" s="140" t="str">
        <f aca="false">ExportRaw!$B275</f>
        <v/>
      </c>
    </row>
    <row r="276" customFormat="false" ht="15.75" hidden="false" customHeight="false" outlineLevel="0" collapsed="false">
      <c r="A276" s="140" t="n">
        <f aca="false">ExportRaw!$F276</f>
        <v>0</v>
      </c>
      <c r="B276" s="140" t="n">
        <f aca="false">ExportRaw!$C276</f>
        <v>0</v>
      </c>
      <c r="C276" s="140" t="n">
        <f aca="false">ExportRaw!$G276</f>
        <v>0</v>
      </c>
      <c r="D276" s="140" t="str">
        <f aca="false">ExportRaw!$E276</f>
        <v/>
      </c>
      <c r="E276" s="141" t="str">
        <f aca="false">ExportRaw!$D276</f>
        <v/>
      </c>
      <c r="F276" s="140" t="str">
        <f aca="false">ExportRaw!$H276</f>
        <v/>
      </c>
      <c r="G276" s="142" t="str">
        <f aca="false">ExportRaw!$I276</f>
        <v/>
      </c>
      <c r="H276" s="140" t="str">
        <f aca="false">ExportRaw!$A276</f>
        <v/>
      </c>
      <c r="I276" s="140" t="str">
        <f aca="false">ExportRaw!$B276</f>
        <v/>
      </c>
    </row>
    <row r="277" customFormat="false" ht="15.75" hidden="false" customHeight="false" outlineLevel="0" collapsed="false">
      <c r="A277" s="140" t="n">
        <f aca="false">ExportRaw!$F277</f>
        <v>0</v>
      </c>
      <c r="B277" s="140" t="n">
        <f aca="false">ExportRaw!$C277</f>
        <v>0</v>
      </c>
      <c r="C277" s="140" t="n">
        <f aca="false">ExportRaw!$G277</f>
        <v>0</v>
      </c>
      <c r="D277" s="140" t="str">
        <f aca="false">ExportRaw!$E277</f>
        <v/>
      </c>
      <c r="E277" s="141" t="str">
        <f aca="false">ExportRaw!$D277</f>
        <v/>
      </c>
      <c r="F277" s="140" t="str">
        <f aca="false">ExportRaw!$H277</f>
        <v/>
      </c>
      <c r="G277" s="142" t="str">
        <f aca="false">ExportRaw!$I277</f>
        <v/>
      </c>
      <c r="H277" s="140" t="str">
        <f aca="false">ExportRaw!$A277</f>
        <v/>
      </c>
      <c r="I277" s="140" t="str">
        <f aca="false">ExportRaw!$B277</f>
        <v/>
      </c>
    </row>
    <row r="278" customFormat="false" ht="15.75" hidden="false" customHeight="false" outlineLevel="0" collapsed="false">
      <c r="A278" s="140" t="n">
        <f aca="false">ExportRaw!$F278</f>
        <v>0</v>
      </c>
      <c r="B278" s="140" t="n">
        <f aca="false">ExportRaw!$C278</f>
        <v>0</v>
      </c>
      <c r="C278" s="140" t="n">
        <f aca="false">ExportRaw!$G278</f>
        <v>0</v>
      </c>
      <c r="D278" s="140" t="str">
        <f aca="false">ExportRaw!$E278</f>
        <v/>
      </c>
      <c r="E278" s="141" t="str">
        <f aca="false">ExportRaw!$D278</f>
        <v/>
      </c>
      <c r="F278" s="140" t="str">
        <f aca="false">ExportRaw!$H278</f>
        <v/>
      </c>
      <c r="G278" s="142" t="str">
        <f aca="false">ExportRaw!$I278</f>
        <v/>
      </c>
      <c r="H278" s="140" t="str">
        <f aca="false">ExportRaw!$A278</f>
        <v/>
      </c>
      <c r="I278" s="140" t="str">
        <f aca="false">ExportRaw!$B278</f>
        <v/>
      </c>
    </row>
    <row r="279" customFormat="false" ht="15.75" hidden="false" customHeight="false" outlineLevel="0" collapsed="false">
      <c r="A279" s="140" t="n">
        <f aca="false">ExportRaw!$F279</f>
        <v>0</v>
      </c>
      <c r="B279" s="140" t="n">
        <f aca="false">ExportRaw!$C279</f>
        <v>0</v>
      </c>
      <c r="C279" s="140" t="n">
        <f aca="false">ExportRaw!$G279</f>
        <v>0</v>
      </c>
      <c r="D279" s="140" t="str">
        <f aca="false">ExportRaw!$E279</f>
        <v/>
      </c>
      <c r="E279" s="141" t="str">
        <f aca="false">ExportRaw!$D279</f>
        <v/>
      </c>
      <c r="F279" s="140" t="str">
        <f aca="false">ExportRaw!$H279</f>
        <v/>
      </c>
      <c r="G279" s="142" t="str">
        <f aca="false">ExportRaw!$I279</f>
        <v/>
      </c>
      <c r="H279" s="140" t="str">
        <f aca="false">ExportRaw!$A279</f>
        <v/>
      </c>
      <c r="I279" s="140" t="str">
        <f aca="false">ExportRaw!$B279</f>
        <v/>
      </c>
    </row>
    <row r="280" customFormat="false" ht="15.75" hidden="false" customHeight="false" outlineLevel="0" collapsed="false">
      <c r="A280" s="140" t="n">
        <f aca="false">ExportRaw!$F280</f>
        <v>0</v>
      </c>
      <c r="B280" s="140" t="n">
        <f aca="false">ExportRaw!$C280</f>
        <v>0</v>
      </c>
      <c r="C280" s="140" t="n">
        <f aca="false">ExportRaw!$G280</f>
        <v>0</v>
      </c>
      <c r="D280" s="140" t="str">
        <f aca="false">ExportRaw!$E280</f>
        <v/>
      </c>
      <c r="E280" s="141" t="str">
        <f aca="false">ExportRaw!$D280</f>
        <v/>
      </c>
      <c r="F280" s="140" t="str">
        <f aca="false">ExportRaw!$H280</f>
        <v/>
      </c>
      <c r="G280" s="142" t="str">
        <f aca="false">ExportRaw!$I280</f>
        <v/>
      </c>
      <c r="H280" s="140" t="str">
        <f aca="false">ExportRaw!$A280</f>
        <v/>
      </c>
      <c r="I280" s="140" t="str">
        <f aca="false">ExportRaw!$B280</f>
        <v/>
      </c>
    </row>
    <row r="281" customFormat="false" ht="15.75" hidden="false" customHeight="false" outlineLevel="0" collapsed="false">
      <c r="A281" s="140" t="n">
        <f aca="false">ExportRaw!$F281</f>
        <v>0</v>
      </c>
      <c r="B281" s="140" t="n">
        <f aca="false">ExportRaw!$C281</f>
        <v>0</v>
      </c>
      <c r="C281" s="140" t="n">
        <f aca="false">ExportRaw!$G281</f>
        <v>0</v>
      </c>
      <c r="D281" s="140" t="str">
        <f aca="false">ExportRaw!$E281</f>
        <v/>
      </c>
      <c r="E281" s="141" t="str">
        <f aca="false">ExportRaw!$D281</f>
        <v/>
      </c>
      <c r="F281" s="140" t="str">
        <f aca="false">ExportRaw!$H281</f>
        <v/>
      </c>
      <c r="G281" s="142" t="str">
        <f aca="false">ExportRaw!$I281</f>
        <v/>
      </c>
      <c r="H281" s="140" t="str">
        <f aca="false">ExportRaw!$A281</f>
        <v/>
      </c>
      <c r="I281" s="140" t="str">
        <f aca="false">ExportRaw!$B281</f>
        <v/>
      </c>
    </row>
    <row r="282" customFormat="false" ht="15.75" hidden="false" customHeight="false" outlineLevel="0" collapsed="false">
      <c r="A282" s="140" t="n">
        <f aca="false">ExportRaw!$F282</f>
        <v>0</v>
      </c>
      <c r="B282" s="140" t="n">
        <f aca="false">ExportRaw!$C282</f>
        <v>0</v>
      </c>
      <c r="C282" s="140" t="n">
        <f aca="false">ExportRaw!$G282</f>
        <v>0</v>
      </c>
      <c r="D282" s="140" t="str">
        <f aca="false">ExportRaw!$E282</f>
        <v/>
      </c>
      <c r="E282" s="141" t="str">
        <f aca="false">ExportRaw!$D282</f>
        <v/>
      </c>
      <c r="F282" s="140" t="str">
        <f aca="false">ExportRaw!$H282</f>
        <v/>
      </c>
      <c r="G282" s="142" t="str">
        <f aca="false">ExportRaw!$I282</f>
        <v/>
      </c>
      <c r="H282" s="140" t="str">
        <f aca="false">ExportRaw!$A282</f>
        <v/>
      </c>
      <c r="I282" s="140" t="str">
        <f aca="false">ExportRaw!$B282</f>
        <v/>
      </c>
    </row>
    <row r="283" customFormat="false" ht="15.75" hidden="false" customHeight="false" outlineLevel="0" collapsed="false">
      <c r="A283" s="140" t="n">
        <f aca="false">ExportRaw!$F283</f>
        <v>0</v>
      </c>
      <c r="B283" s="140" t="n">
        <f aca="false">ExportRaw!$C283</f>
        <v>0</v>
      </c>
      <c r="C283" s="140" t="n">
        <f aca="false">ExportRaw!$G283</f>
        <v>0</v>
      </c>
      <c r="D283" s="140" t="str">
        <f aca="false">ExportRaw!$E283</f>
        <v/>
      </c>
      <c r="E283" s="141" t="str">
        <f aca="false">ExportRaw!$D283</f>
        <v/>
      </c>
      <c r="F283" s="140" t="str">
        <f aca="false">ExportRaw!$H283</f>
        <v/>
      </c>
      <c r="G283" s="142" t="str">
        <f aca="false">ExportRaw!$I283</f>
        <v/>
      </c>
      <c r="H283" s="140" t="str">
        <f aca="false">ExportRaw!$A283</f>
        <v/>
      </c>
      <c r="I283" s="140" t="str">
        <f aca="false">ExportRaw!$B283</f>
        <v/>
      </c>
    </row>
    <row r="284" customFormat="false" ht="15.75" hidden="false" customHeight="false" outlineLevel="0" collapsed="false">
      <c r="A284" s="140" t="n">
        <f aca="false">ExportRaw!$F284</f>
        <v>0</v>
      </c>
      <c r="B284" s="140" t="n">
        <f aca="false">ExportRaw!$C284</f>
        <v>0</v>
      </c>
      <c r="C284" s="140" t="n">
        <f aca="false">ExportRaw!$G284</f>
        <v>0</v>
      </c>
      <c r="D284" s="140" t="str">
        <f aca="false">ExportRaw!$E284</f>
        <v/>
      </c>
      <c r="E284" s="141" t="str">
        <f aca="false">ExportRaw!$D284</f>
        <v/>
      </c>
      <c r="F284" s="140" t="str">
        <f aca="false">ExportRaw!$H284</f>
        <v/>
      </c>
      <c r="G284" s="142" t="str">
        <f aca="false">ExportRaw!$I284</f>
        <v/>
      </c>
      <c r="H284" s="140" t="str">
        <f aca="false">ExportRaw!$A284</f>
        <v/>
      </c>
      <c r="I284" s="140" t="str">
        <f aca="false">ExportRaw!$B284</f>
        <v/>
      </c>
    </row>
    <row r="285" customFormat="false" ht="15.75" hidden="false" customHeight="false" outlineLevel="0" collapsed="false">
      <c r="A285" s="140" t="n">
        <f aca="false">ExportRaw!$F285</f>
        <v>0</v>
      </c>
      <c r="B285" s="140" t="n">
        <f aca="false">ExportRaw!$C285</f>
        <v>0</v>
      </c>
      <c r="C285" s="140" t="n">
        <f aca="false">ExportRaw!$G285</f>
        <v>0</v>
      </c>
      <c r="D285" s="140" t="str">
        <f aca="false">ExportRaw!$E285</f>
        <v/>
      </c>
      <c r="E285" s="141" t="str">
        <f aca="false">ExportRaw!$D285</f>
        <v/>
      </c>
      <c r="F285" s="140" t="str">
        <f aca="false">ExportRaw!$H285</f>
        <v/>
      </c>
      <c r="G285" s="142" t="str">
        <f aca="false">ExportRaw!$I285</f>
        <v/>
      </c>
      <c r="H285" s="140" t="str">
        <f aca="false">ExportRaw!$A285</f>
        <v/>
      </c>
      <c r="I285" s="140" t="str">
        <f aca="false">ExportRaw!$B285</f>
        <v/>
      </c>
    </row>
    <row r="286" customFormat="false" ht="15.75" hidden="false" customHeight="false" outlineLevel="0" collapsed="false">
      <c r="A286" s="140" t="n">
        <f aca="false">ExportRaw!$F286</f>
        <v>0</v>
      </c>
      <c r="B286" s="140" t="n">
        <f aca="false">ExportRaw!$C286</f>
        <v>0</v>
      </c>
      <c r="C286" s="140" t="n">
        <f aca="false">ExportRaw!$G286</f>
        <v>0</v>
      </c>
      <c r="D286" s="140" t="str">
        <f aca="false">ExportRaw!$E286</f>
        <v/>
      </c>
      <c r="E286" s="141" t="str">
        <f aca="false">ExportRaw!$D286</f>
        <v/>
      </c>
      <c r="F286" s="140" t="str">
        <f aca="false">ExportRaw!$H286</f>
        <v/>
      </c>
      <c r="G286" s="142" t="str">
        <f aca="false">ExportRaw!$I286</f>
        <v/>
      </c>
      <c r="H286" s="140" t="str">
        <f aca="false">ExportRaw!$A286</f>
        <v/>
      </c>
      <c r="I286" s="140" t="str">
        <f aca="false">ExportRaw!$B286</f>
        <v/>
      </c>
    </row>
    <row r="287" customFormat="false" ht="15.75" hidden="false" customHeight="false" outlineLevel="0" collapsed="false">
      <c r="A287" s="140" t="n">
        <f aca="false">ExportRaw!$F287</f>
        <v>0</v>
      </c>
      <c r="B287" s="140" t="n">
        <f aca="false">ExportRaw!$C287</f>
        <v>0</v>
      </c>
      <c r="C287" s="140" t="n">
        <f aca="false">ExportRaw!$G287</f>
        <v>0</v>
      </c>
      <c r="D287" s="140" t="str">
        <f aca="false">ExportRaw!$E287</f>
        <v/>
      </c>
      <c r="E287" s="141" t="str">
        <f aca="false">ExportRaw!$D287</f>
        <v/>
      </c>
      <c r="F287" s="140" t="str">
        <f aca="false">ExportRaw!$H287</f>
        <v/>
      </c>
      <c r="G287" s="142" t="str">
        <f aca="false">ExportRaw!$I287</f>
        <v/>
      </c>
      <c r="H287" s="140" t="str">
        <f aca="false">ExportRaw!$A287</f>
        <v/>
      </c>
      <c r="I287" s="140" t="str">
        <f aca="false">ExportRaw!$B287</f>
        <v/>
      </c>
    </row>
    <row r="288" customFormat="false" ht="15.75" hidden="false" customHeight="false" outlineLevel="0" collapsed="false">
      <c r="A288" s="140" t="n">
        <f aca="false">ExportRaw!$F288</f>
        <v>0</v>
      </c>
      <c r="B288" s="140" t="n">
        <f aca="false">ExportRaw!$C288</f>
        <v>0</v>
      </c>
      <c r="C288" s="140" t="n">
        <f aca="false">ExportRaw!$G288</f>
        <v>0</v>
      </c>
      <c r="D288" s="140" t="str">
        <f aca="false">ExportRaw!$E288</f>
        <v/>
      </c>
      <c r="E288" s="141" t="str">
        <f aca="false">ExportRaw!$D288</f>
        <v/>
      </c>
      <c r="F288" s="140" t="str">
        <f aca="false">ExportRaw!$H288</f>
        <v/>
      </c>
      <c r="G288" s="142" t="str">
        <f aca="false">ExportRaw!$I288</f>
        <v/>
      </c>
      <c r="H288" s="140" t="str">
        <f aca="false">ExportRaw!$A288</f>
        <v/>
      </c>
      <c r="I288" s="140" t="str">
        <f aca="false">ExportRaw!$B288</f>
        <v/>
      </c>
    </row>
    <row r="289" customFormat="false" ht="15.75" hidden="false" customHeight="false" outlineLevel="0" collapsed="false">
      <c r="A289" s="140" t="n">
        <f aca="false">ExportRaw!$F289</f>
        <v>0</v>
      </c>
      <c r="B289" s="140" t="n">
        <f aca="false">ExportRaw!$C289</f>
        <v>0</v>
      </c>
      <c r="C289" s="140" t="n">
        <f aca="false">ExportRaw!$G289</f>
        <v>0</v>
      </c>
      <c r="D289" s="140" t="str">
        <f aca="false">ExportRaw!$E289</f>
        <v/>
      </c>
      <c r="E289" s="141" t="str">
        <f aca="false">ExportRaw!$D289</f>
        <v/>
      </c>
      <c r="F289" s="140" t="str">
        <f aca="false">ExportRaw!$H289</f>
        <v/>
      </c>
      <c r="G289" s="142" t="str">
        <f aca="false">ExportRaw!$I289</f>
        <v/>
      </c>
      <c r="H289" s="140" t="str">
        <f aca="false">ExportRaw!$A289</f>
        <v/>
      </c>
      <c r="I289" s="140" t="str">
        <f aca="false">ExportRaw!$B289</f>
        <v/>
      </c>
    </row>
    <row r="290" customFormat="false" ht="15.75" hidden="false" customHeight="false" outlineLevel="0" collapsed="false">
      <c r="A290" s="140" t="n">
        <f aca="false">ExportRaw!$F290</f>
        <v>0</v>
      </c>
      <c r="B290" s="140" t="n">
        <f aca="false">ExportRaw!$C290</f>
        <v>0</v>
      </c>
      <c r="C290" s="140" t="n">
        <f aca="false">ExportRaw!$G290</f>
        <v>0</v>
      </c>
      <c r="D290" s="140" t="str">
        <f aca="false">ExportRaw!$E290</f>
        <v/>
      </c>
      <c r="E290" s="141" t="str">
        <f aca="false">ExportRaw!$D290</f>
        <v/>
      </c>
      <c r="F290" s="140" t="str">
        <f aca="false">ExportRaw!$H290</f>
        <v/>
      </c>
      <c r="G290" s="142" t="str">
        <f aca="false">ExportRaw!$I290</f>
        <v/>
      </c>
      <c r="H290" s="140" t="str">
        <f aca="false">ExportRaw!$A290</f>
        <v/>
      </c>
      <c r="I290" s="140" t="str">
        <f aca="false">ExportRaw!$B290</f>
        <v/>
      </c>
    </row>
    <row r="291" customFormat="false" ht="15.75" hidden="false" customHeight="false" outlineLevel="0" collapsed="false">
      <c r="A291" s="140" t="n">
        <f aca="false">ExportRaw!$F291</f>
        <v>0</v>
      </c>
      <c r="B291" s="140" t="n">
        <f aca="false">ExportRaw!$C291</f>
        <v>0</v>
      </c>
      <c r="C291" s="140" t="n">
        <f aca="false">ExportRaw!$G291</f>
        <v>0</v>
      </c>
      <c r="D291" s="140" t="str">
        <f aca="false">ExportRaw!$E291</f>
        <v/>
      </c>
      <c r="E291" s="141" t="str">
        <f aca="false">ExportRaw!$D291</f>
        <v/>
      </c>
      <c r="F291" s="140" t="str">
        <f aca="false">ExportRaw!$H291</f>
        <v/>
      </c>
      <c r="G291" s="142" t="str">
        <f aca="false">ExportRaw!$I291</f>
        <v/>
      </c>
      <c r="H291" s="140" t="str">
        <f aca="false">ExportRaw!$A291</f>
        <v/>
      </c>
      <c r="I291" s="140" t="str">
        <f aca="false">ExportRaw!$B291</f>
        <v/>
      </c>
    </row>
    <row r="292" customFormat="false" ht="15.75" hidden="false" customHeight="false" outlineLevel="0" collapsed="false">
      <c r="A292" s="140" t="n">
        <f aca="false">ExportRaw!$F292</f>
        <v>0</v>
      </c>
      <c r="B292" s="140" t="n">
        <f aca="false">ExportRaw!$C292</f>
        <v>0</v>
      </c>
      <c r="C292" s="140" t="n">
        <f aca="false">ExportRaw!$G292</f>
        <v>0</v>
      </c>
      <c r="D292" s="140" t="str">
        <f aca="false">ExportRaw!$E292</f>
        <v/>
      </c>
      <c r="E292" s="141" t="str">
        <f aca="false">ExportRaw!$D292</f>
        <v/>
      </c>
      <c r="F292" s="140" t="str">
        <f aca="false">ExportRaw!$H292</f>
        <v/>
      </c>
      <c r="G292" s="142" t="str">
        <f aca="false">ExportRaw!$I292</f>
        <v/>
      </c>
      <c r="H292" s="140" t="str">
        <f aca="false">ExportRaw!$A292</f>
        <v/>
      </c>
      <c r="I292" s="140" t="str">
        <f aca="false">ExportRaw!$B292</f>
        <v/>
      </c>
    </row>
    <row r="293" customFormat="false" ht="15.75" hidden="false" customHeight="false" outlineLevel="0" collapsed="false">
      <c r="A293" s="140" t="n">
        <f aca="false">ExportRaw!$F293</f>
        <v>0</v>
      </c>
      <c r="B293" s="140" t="n">
        <f aca="false">ExportRaw!$C293</f>
        <v>0</v>
      </c>
      <c r="C293" s="140" t="n">
        <f aca="false">ExportRaw!$G293</f>
        <v>0</v>
      </c>
      <c r="D293" s="140" t="str">
        <f aca="false">ExportRaw!$E293</f>
        <v/>
      </c>
      <c r="E293" s="141" t="str">
        <f aca="false">ExportRaw!$D293</f>
        <v/>
      </c>
      <c r="F293" s="140" t="str">
        <f aca="false">ExportRaw!$H293</f>
        <v/>
      </c>
      <c r="G293" s="142" t="str">
        <f aca="false">ExportRaw!$I293</f>
        <v/>
      </c>
      <c r="H293" s="140" t="str">
        <f aca="false">ExportRaw!$A293</f>
        <v/>
      </c>
      <c r="I293" s="140" t="str">
        <f aca="false">ExportRaw!$B293</f>
        <v/>
      </c>
    </row>
    <row r="294" customFormat="false" ht="15.75" hidden="false" customHeight="false" outlineLevel="0" collapsed="false">
      <c r="A294" s="140" t="n">
        <f aca="false">ExportRaw!$F294</f>
        <v>0</v>
      </c>
      <c r="B294" s="140" t="n">
        <f aca="false">ExportRaw!$C294</f>
        <v>0</v>
      </c>
      <c r="C294" s="140" t="n">
        <f aca="false">ExportRaw!$G294</f>
        <v>0</v>
      </c>
      <c r="D294" s="140" t="str">
        <f aca="false">ExportRaw!$E294</f>
        <v/>
      </c>
      <c r="E294" s="141" t="str">
        <f aca="false">ExportRaw!$D294</f>
        <v/>
      </c>
      <c r="F294" s="140" t="str">
        <f aca="false">ExportRaw!$H294</f>
        <v/>
      </c>
      <c r="G294" s="142" t="str">
        <f aca="false">ExportRaw!$I294</f>
        <v/>
      </c>
      <c r="H294" s="140" t="str">
        <f aca="false">ExportRaw!$A294</f>
        <v/>
      </c>
      <c r="I294" s="140" t="str">
        <f aca="false">ExportRaw!$B294</f>
        <v/>
      </c>
    </row>
    <row r="295" customFormat="false" ht="15.75" hidden="false" customHeight="false" outlineLevel="0" collapsed="false">
      <c r="A295" s="140" t="n">
        <f aca="false">ExportRaw!$F295</f>
        <v>0</v>
      </c>
      <c r="B295" s="140" t="n">
        <f aca="false">ExportRaw!$C295</f>
        <v>0</v>
      </c>
      <c r="C295" s="140" t="n">
        <f aca="false">ExportRaw!$G295</f>
        <v>0</v>
      </c>
      <c r="D295" s="140" t="str">
        <f aca="false">ExportRaw!$E295</f>
        <v/>
      </c>
      <c r="E295" s="141" t="str">
        <f aca="false">ExportRaw!$D295</f>
        <v/>
      </c>
      <c r="F295" s="140" t="str">
        <f aca="false">ExportRaw!$H295</f>
        <v/>
      </c>
      <c r="G295" s="142" t="str">
        <f aca="false">ExportRaw!$I295</f>
        <v/>
      </c>
      <c r="H295" s="140" t="str">
        <f aca="false">ExportRaw!$A295</f>
        <v/>
      </c>
      <c r="I295" s="140" t="str">
        <f aca="false">ExportRaw!$B295</f>
        <v/>
      </c>
    </row>
    <row r="296" customFormat="false" ht="15.75" hidden="false" customHeight="false" outlineLevel="0" collapsed="false">
      <c r="A296" s="140" t="n">
        <f aca="false">ExportRaw!$F296</f>
        <v>0</v>
      </c>
      <c r="B296" s="140" t="n">
        <f aca="false">ExportRaw!$C296</f>
        <v>0</v>
      </c>
      <c r="C296" s="140" t="n">
        <f aca="false">ExportRaw!$G296</f>
        <v>0</v>
      </c>
      <c r="D296" s="140" t="str">
        <f aca="false">ExportRaw!$E296</f>
        <v/>
      </c>
      <c r="E296" s="141" t="str">
        <f aca="false">ExportRaw!$D296</f>
        <v/>
      </c>
      <c r="F296" s="140" t="str">
        <f aca="false">ExportRaw!$H296</f>
        <v/>
      </c>
      <c r="G296" s="142" t="str">
        <f aca="false">ExportRaw!$I296</f>
        <v/>
      </c>
      <c r="H296" s="140" t="str">
        <f aca="false">ExportRaw!$A296</f>
        <v/>
      </c>
      <c r="I296" s="140" t="str">
        <f aca="false">ExportRaw!$B296</f>
        <v/>
      </c>
    </row>
    <row r="297" customFormat="false" ht="15.75" hidden="false" customHeight="false" outlineLevel="0" collapsed="false">
      <c r="A297" s="140" t="n">
        <f aca="false">ExportRaw!$F297</f>
        <v>0</v>
      </c>
      <c r="B297" s="140" t="n">
        <f aca="false">ExportRaw!$C297</f>
        <v>0</v>
      </c>
      <c r="C297" s="140" t="n">
        <f aca="false">ExportRaw!$G297</f>
        <v>0</v>
      </c>
      <c r="D297" s="140" t="str">
        <f aca="false">ExportRaw!$E297</f>
        <v/>
      </c>
      <c r="E297" s="141" t="str">
        <f aca="false">ExportRaw!$D297</f>
        <v/>
      </c>
      <c r="F297" s="140" t="str">
        <f aca="false">ExportRaw!$H297</f>
        <v/>
      </c>
      <c r="G297" s="142" t="str">
        <f aca="false">ExportRaw!$I297</f>
        <v/>
      </c>
      <c r="H297" s="140" t="str">
        <f aca="false">ExportRaw!$A297</f>
        <v/>
      </c>
      <c r="I297" s="140" t="str">
        <f aca="false">ExportRaw!$B297</f>
        <v/>
      </c>
    </row>
    <row r="298" customFormat="false" ht="15.75" hidden="false" customHeight="false" outlineLevel="0" collapsed="false">
      <c r="A298" s="140" t="n">
        <f aca="false">ExportRaw!$F298</f>
        <v>0</v>
      </c>
      <c r="B298" s="140" t="n">
        <f aca="false">ExportRaw!$C298</f>
        <v>0</v>
      </c>
      <c r="C298" s="140" t="n">
        <f aca="false">ExportRaw!$G298</f>
        <v>0</v>
      </c>
      <c r="D298" s="140" t="str">
        <f aca="false">ExportRaw!$E298</f>
        <v/>
      </c>
      <c r="E298" s="141" t="str">
        <f aca="false">ExportRaw!$D298</f>
        <v/>
      </c>
      <c r="F298" s="140" t="str">
        <f aca="false">ExportRaw!$H298</f>
        <v/>
      </c>
      <c r="G298" s="142" t="str">
        <f aca="false">ExportRaw!$I298</f>
        <v/>
      </c>
      <c r="H298" s="140" t="str">
        <f aca="false">ExportRaw!$A298</f>
        <v/>
      </c>
      <c r="I298" s="140" t="str">
        <f aca="false">ExportRaw!$B298</f>
        <v/>
      </c>
    </row>
    <row r="299" customFormat="false" ht="15.75" hidden="false" customHeight="false" outlineLevel="0" collapsed="false">
      <c r="A299" s="140" t="n">
        <f aca="false">ExportRaw!$F299</f>
        <v>0</v>
      </c>
      <c r="B299" s="140" t="n">
        <f aca="false">ExportRaw!$C299</f>
        <v>0</v>
      </c>
      <c r="C299" s="140" t="n">
        <f aca="false">ExportRaw!$G299</f>
        <v>0</v>
      </c>
      <c r="D299" s="140" t="str">
        <f aca="false">ExportRaw!$E299</f>
        <v/>
      </c>
      <c r="E299" s="141" t="str">
        <f aca="false">ExportRaw!$D299</f>
        <v/>
      </c>
      <c r="F299" s="140" t="str">
        <f aca="false">ExportRaw!$H299</f>
        <v/>
      </c>
      <c r="G299" s="142" t="str">
        <f aca="false">ExportRaw!$I299</f>
        <v/>
      </c>
      <c r="H299" s="140" t="str">
        <f aca="false">ExportRaw!$A299</f>
        <v/>
      </c>
      <c r="I299" s="140" t="str">
        <f aca="false">ExportRaw!$B299</f>
        <v/>
      </c>
    </row>
    <row r="300" customFormat="false" ht="15.75" hidden="false" customHeight="false" outlineLevel="0" collapsed="false">
      <c r="A300" s="140" t="n">
        <f aca="false">ExportRaw!$F300</f>
        <v>0</v>
      </c>
      <c r="B300" s="140" t="n">
        <f aca="false">ExportRaw!$C300</f>
        <v>0</v>
      </c>
      <c r="C300" s="140" t="n">
        <f aca="false">ExportRaw!$G300</f>
        <v>0</v>
      </c>
      <c r="D300" s="140" t="str">
        <f aca="false">ExportRaw!$E300</f>
        <v/>
      </c>
      <c r="E300" s="141" t="str">
        <f aca="false">ExportRaw!$D300</f>
        <v/>
      </c>
      <c r="F300" s="140" t="str">
        <f aca="false">ExportRaw!$H300</f>
        <v/>
      </c>
      <c r="G300" s="142" t="str">
        <f aca="false">ExportRaw!$I300</f>
        <v/>
      </c>
      <c r="H300" s="140" t="str">
        <f aca="false">ExportRaw!$A300</f>
        <v/>
      </c>
      <c r="I300" s="140" t="str">
        <f aca="false">ExportRaw!$B300</f>
        <v/>
      </c>
    </row>
    <row r="301" customFormat="false" ht="15.75" hidden="false" customHeight="false" outlineLevel="0" collapsed="false">
      <c r="A301" s="140" t="n">
        <f aca="false">ExportRaw!$F301</f>
        <v>0</v>
      </c>
      <c r="B301" s="140" t="n">
        <f aca="false">ExportRaw!$C301</f>
        <v>0</v>
      </c>
      <c r="C301" s="140" t="n">
        <f aca="false">ExportRaw!$G301</f>
        <v>0</v>
      </c>
      <c r="D301" s="140" t="str">
        <f aca="false">ExportRaw!$E301</f>
        <v/>
      </c>
      <c r="E301" s="141" t="str">
        <f aca="false">ExportRaw!$D301</f>
        <v/>
      </c>
      <c r="F301" s="140" t="str">
        <f aca="false">ExportRaw!$H301</f>
        <v/>
      </c>
      <c r="G301" s="142" t="str">
        <f aca="false">ExportRaw!$I301</f>
        <v/>
      </c>
      <c r="H301" s="140" t="str">
        <f aca="false">ExportRaw!$A301</f>
        <v/>
      </c>
      <c r="I301" s="140" t="str">
        <f aca="false">ExportRaw!$B301</f>
        <v/>
      </c>
    </row>
    <row r="302" customFormat="false" ht="15.75" hidden="false" customHeight="false" outlineLevel="0" collapsed="false">
      <c r="A302" s="140" t="n">
        <f aca="false">ExportRaw!$F302</f>
        <v>0</v>
      </c>
      <c r="B302" s="140" t="n">
        <f aca="false">ExportRaw!$C302</f>
        <v>0</v>
      </c>
      <c r="C302" s="140" t="n">
        <f aca="false">ExportRaw!$G302</f>
        <v>0</v>
      </c>
      <c r="D302" s="140" t="str">
        <f aca="false">ExportRaw!$E302</f>
        <v/>
      </c>
      <c r="E302" s="141" t="str">
        <f aca="false">ExportRaw!$D302</f>
        <v/>
      </c>
      <c r="F302" s="140" t="str">
        <f aca="false">ExportRaw!$H302</f>
        <v/>
      </c>
      <c r="G302" s="142" t="str">
        <f aca="false">ExportRaw!$I302</f>
        <v/>
      </c>
      <c r="H302" s="140" t="str">
        <f aca="false">ExportRaw!$A302</f>
        <v/>
      </c>
      <c r="I302" s="140" t="str">
        <f aca="false">ExportRaw!$B302</f>
        <v/>
      </c>
    </row>
    <row r="303" customFormat="false" ht="15.75" hidden="false" customHeight="false" outlineLevel="0" collapsed="false">
      <c r="A303" s="140" t="n">
        <f aca="false">ExportRaw!$F303</f>
        <v>0</v>
      </c>
      <c r="B303" s="140" t="n">
        <f aca="false">ExportRaw!$C303</f>
        <v>0</v>
      </c>
      <c r="C303" s="140" t="n">
        <f aca="false">ExportRaw!$G303</f>
        <v>0</v>
      </c>
      <c r="D303" s="140" t="str">
        <f aca="false">ExportRaw!$E303</f>
        <v/>
      </c>
      <c r="E303" s="141" t="str">
        <f aca="false">ExportRaw!$D303</f>
        <v/>
      </c>
      <c r="F303" s="140" t="str">
        <f aca="false">ExportRaw!$H303</f>
        <v/>
      </c>
      <c r="G303" s="142" t="str">
        <f aca="false">ExportRaw!$I303</f>
        <v/>
      </c>
      <c r="H303" s="140" t="str">
        <f aca="false">ExportRaw!$A303</f>
        <v/>
      </c>
      <c r="I303" s="140" t="str">
        <f aca="false">ExportRaw!$B303</f>
        <v/>
      </c>
    </row>
    <row r="304" customFormat="false" ht="15.75" hidden="false" customHeight="false" outlineLevel="0" collapsed="false">
      <c r="A304" s="140" t="n">
        <f aca="false">ExportRaw!$F304</f>
        <v>0</v>
      </c>
      <c r="B304" s="140" t="n">
        <f aca="false">ExportRaw!$C304</f>
        <v>0</v>
      </c>
      <c r="C304" s="140" t="n">
        <f aca="false">ExportRaw!$G304</f>
        <v>0</v>
      </c>
      <c r="D304" s="140" t="str">
        <f aca="false">ExportRaw!$E304</f>
        <v/>
      </c>
      <c r="E304" s="141" t="str">
        <f aca="false">ExportRaw!$D304</f>
        <v/>
      </c>
      <c r="F304" s="140" t="str">
        <f aca="false">ExportRaw!$H304</f>
        <v/>
      </c>
      <c r="G304" s="142" t="str">
        <f aca="false">ExportRaw!$I304</f>
        <v/>
      </c>
      <c r="H304" s="140" t="str">
        <f aca="false">ExportRaw!$A304</f>
        <v/>
      </c>
      <c r="I304" s="140" t="str">
        <f aca="false">ExportRaw!$B304</f>
        <v/>
      </c>
    </row>
    <row r="305" customFormat="false" ht="15.75" hidden="false" customHeight="false" outlineLevel="0" collapsed="false">
      <c r="A305" s="140" t="n">
        <f aca="false">ExportRaw!$F305</f>
        <v>0</v>
      </c>
      <c r="B305" s="140" t="n">
        <f aca="false">ExportRaw!$C305</f>
        <v>0</v>
      </c>
      <c r="C305" s="140" t="n">
        <f aca="false">ExportRaw!$G305</f>
        <v>0</v>
      </c>
      <c r="D305" s="140" t="str">
        <f aca="false">ExportRaw!$E305</f>
        <v/>
      </c>
      <c r="E305" s="141" t="str">
        <f aca="false">ExportRaw!$D305</f>
        <v/>
      </c>
      <c r="F305" s="140" t="str">
        <f aca="false">ExportRaw!$H305</f>
        <v/>
      </c>
      <c r="G305" s="142" t="str">
        <f aca="false">ExportRaw!$I305</f>
        <v/>
      </c>
      <c r="H305" s="140" t="str">
        <f aca="false">ExportRaw!$A305</f>
        <v/>
      </c>
      <c r="I305" s="140" t="str">
        <f aca="false">ExportRaw!$B305</f>
        <v/>
      </c>
    </row>
    <row r="306" customFormat="false" ht="15.75" hidden="false" customHeight="false" outlineLevel="0" collapsed="false">
      <c r="A306" s="140" t="n">
        <f aca="false">ExportRaw!$F306</f>
        <v>0</v>
      </c>
      <c r="B306" s="140" t="n">
        <f aca="false">ExportRaw!$C306</f>
        <v>0</v>
      </c>
      <c r="C306" s="140" t="n">
        <f aca="false">ExportRaw!$G306</f>
        <v>0</v>
      </c>
      <c r="D306" s="140" t="str">
        <f aca="false">ExportRaw!$E306</f>
        <v/>
      </c>
      <c r="E306" s="141" t="str">
        <f aca="false">ExportRaw!$D306</f>
        <v/>
      </c>
      <c r="F306" s="140" t="str">
        <f aca="false">ExportRaw!$H306</f>
        <v/>
      </c>
      <c r="G306" s="142" t="str">
        <f aca="false">ExportRaw!$I306</f>
        <v/>
      </c>
      <c r="H306" s="140" t="str">
        <f aca="false">ExportRaw!$A306</f>
        <v/>
      </c>
      <c r="I306" s="140" t="str">
        <f aca="false">ExportRaw!$B306</f>
        <v/>
      </c>
    </row>
    <row r="307" customFormat="false" ht="15.75" hidden="false" customHeight="false" outlineLevel="0" collapsed="false">
      <c r="A307" s="140" t="n">
        <f aca="false">ExportRaw!$F307</f>
        <v>0</v>
      </c>
      <c r="B307" s="140" t="n">
        <f aca="false">ExportRaw!$C307</f>
        <v>0</v>
      </c>
      <c r="C307" s="140" t="n">
        <f aca="false">ExportRaw!$G307</f>
        <v>0</v>
      </c>
      <c r="D307" s="140" t="str">
        <f aca="false">ExportRaw!$E307</f>
        <v/>
      </c>
      <c r="E307" s="141" t="str">
        <f aca="false">ExportRaw!$D307</f>
        <v/>
      </c>
      <c r="F307" s="140" t="str">
        <f aca="false">ExportRaw!$H307</f>
        <v/>
      </c>
      <c r="G307" s="142" t="str">
        <f aca="false">ExportRaw!$I307</f>
        <v/>
      </c>
      <c r="H307" s="140" t="str">
        <f aca="false">ExportRaw!$A307</f>
        <v/>
      </c>
      <c r="I307" s="140" t="str">
        <f aca="false">ExportRaw!$B307</f>
        <v/>
      </c>
    </row>
    <row r="308" customFormat="false" ht="15.75" hidden="false" customHeight="false" outlineLevel="0" collapsed="false">
      <c r="A308" s="140" t="n">
        <f aca="false">ExportRaw!$F308</f>
        <v>0</v>
      </c>
      <c r="B308" s="140" t="n">
        <f aca="false">ExportRaw!$C308</f>
        <v>0</v>
      </c>
      <c r="C308" s="140" t="n">
        <f aca="false">ExportRaw!$G308</f>
        <v>0</v>
      </c>
      <c r="D308" s="140" t="str">
        <f aca="false">ExportRaw!$E308</f>
        <v/>
      </c>
      <c r="E308" s="141" t="str">
        <f aca="false">ExportRaw!$D308</f>
        <v/>
      </c>
      <c r="F308" s="140" t="str">
        <f aca="false">ExportRaw!$H308</f>
        <v/>
      </c>
      <c r="G308" s="142" t="str">
        <f aca="false">ExportRaw!$I308</f>
        <v/>
      </c>
      <c r="H308" s="140" t="str">
        <f aca="false">ExportRaw!$A308</f>
        <v/>
      </c>
      <c r="I308" s="140" t="str">
        <f aca="false">ExportRaw!$B308</f>
        <v/>
      </c>
    </row>
    <row r="309" customFormat="false" ht="15.75" hidden="false" customHeight="false" outlineLevel="0" collapsed="false">
      <c r="A309" s="140" t="n">
        <f aca="false">ExportRaw!$F309</f>
        <v>0</v>
      </c>
      <c r="B309" s="140" t="n">
        <f aca="false">ExportRaw!$C309</f>
        <v>0</v>
      </c>
      <c r="C309" s="140" t="n">
        <f aca="false">ExportRaw!$G309</f>
        <v>0</v>
      </c>
      <c r="D309" s="140" t="str">
        <f aca="false">ExportRaw!$E309</f>
        <v/>
      </c>
      <c r="E309" s="141" t="str">
        <f aca="false">ExportRaw!$D309</f>
        <v/>
      </c>
      <c r="F309" s="140" t="str">
        <f aca="false">ExportRaw!$H309</f>
        <v/>
      </c>
      <c r="G309" s="142" t="str">
        <f aca="false">ExportRaw!$I309</f>
        <v/>
      </c>
      <c r="H309" s="140" t="str">
        <f aca="false">ExportRaw!$A309</f>
        <v/>
      </c>
      <c r="I309" s="140" t="str">
        <f aca="false">ExportRaw!$B309</f>
        <v/>
      </c>
    </row>
    <row r="310" customFormat="false" ht="15.75" hidden="false" customHeight="false" outlineLevel="0" collapsed="false">
      <c r="A310" s="140" t="n">
        <f aca="false">ExportRaw!$F310</f>
        <v>0</v>
      </c>
      <c r="B310" s="140" t="n">
        <f aca="false">ExportRaw!$C310</f>
        <v>0</v>
      </c>
      <c r="C310" s="140" t="n">
        <f aca="false">ExportRaw!$G310</f>
        <v>0</v>
      </c>
      <c r="D310" s="140" t="str">
        <f aca="false">ExportRaw!$E310</f>
        <v/>
      </c>
      <c r="E310" s="141" t="str">
        <f aca="false">ExportRaw!$D310</f>
        <v/>
      </c>
      <c r="F310" s="140" t="str">
        <f aca="false">ExportRaw!$H310</f>
        <v/>
      </c>
      <c r="G310" s="142" t="str">
        <f aca="false">ExportRaw!$I310</f>
        <v/>
      </c>
      <c r="H310" s="140" t="str">
        <f aca="false">ExportRaw!$A310</f>
        <v/>
      </c>
      <c r="I310" s="140" t="str">
        <f aca="false">ExportRaw!$B310</f>
        <v/>
      </c>
    </row>
    <row r="311" customFormat="false" ht="15.75" hidden="false" customHeight="false" outlineLevel="0" collapsed="false">
      <c r="A311" s="140" t="n">
        <f aca="false">ExportRaw!$F311</f>
        <v>0</v>
      </c>
      <c r="B311" s="140" t="n">
        <f aca="false">ExportRaw!$C311</f>
        <v>0</v>
      </c>
      <c r="C311" s="140" t="n">
        <f aca="false">ExportRaw!$G311</f>
        <v>0</v>
      </c>
      <c r="D311" s="140" t="str">
        <f aca="false">ExportRaw!$E311</f>
        <v/>
      </c>
      <c r="E311" s="141" t="str">
        <f aca="false">ExportRaw!$D311</f>
        <v/>
      </c>
      <c r="F311" s="140" t="str">
        <f aca="false">ExportRaw!$H311</f>
        <v/>
      </c>
      <c r="G311" s="142" t="str">
        <f aca="false">ExportRaw!$I311</f>
        <v/>
      </c>
      <c r="H311" s="140" t="str">
        <f aca="false">ExportRaw!$A311</f>
        <v/>
      </c>
      <c r="I311" s="140" t="str">
        <f aca="false">ExportRaw!$B311</f>
        <v/>
      </c>
    </row>
    <row r="312" customFormat="false" ht="15.75" hidden="false" customHeight="false" outlineLevel="0" collapsed="false">
      <c r="A312" s="140" t="n">
        <f aca="false">ExportRaw!$F312</f>
        <v>0</v>
      </c>
      <c r="B312" s="140" t="n">
        <f aca="false">ExportRaw!$C312</f>
        <v>0</v>
      </c>
      <c r="C312" s="140" t="n">
        <f aca="false">ExportRaw!$G312</f>
        <v>0</v>
      </c>
      <c r="D312" s="140" t="str">
        <f aca="false">ExportRaw!$E312</f>
        <v/>
      </c>
      <c r="E312" s="141" t="str">
        <f aca="false">ExportRaw!$D312</f>
        <v/>
      </c>
      <c r="F312" s="140" t="str">
        <f aca="false">ExportRaw!$H312</f>
        <v/>
      </c>
      <c r="G312" s="142" t="str">
        <f aca="false">ExportRaw!$I312</f>
        <v/>
      </c>
      <c r="H312" s="140" t="str">
        <f aca="false">ExportRaw!$A312</f>
        <v/>
      </c>
      <c r="I312" s="140" t="str">
        <f aca="false">ExportRaw!$B312</f>
        <v/>
      </c>
    </row>
    <row r="313" customFormat="false" ht="15.75" hidden="false" customHeight="false" outlineLevel="0" collapsed="false">
      <c r="A313" s="140" t="n">
        <f aca="false">ExportRaw!$F313</f>
        <v>0</v>
      </c>
      <c r="B313" s="140" t="n">
        <f aca="false">ExportRaw!$C313</f>
        <v>0</v>
      </c>
      <c r="C313" s="140" t="n">
        <f aca="false">ExportRaw!$G313</f>
        <v>0</v>
      </c>
      <c r="D313" s="140" t="str">
        <f aca="false">ExportRaw!$E313</f>
        <v/>
      </c>
      <c r="E313" s="141" t="str">
        <f aca="false">ExportRaw!$D313</f>
        <v/>
      </c>
      <c r="F313" s="140" t="str">
        <f aca="false">ExportRaw!$H313</f>
        <v/>
      </c>
      <c r="G313" s="142" t="str">
        <f aca="false">ExportRaw!$I313</f>
        <v/>
      </c>
      <c r="H313" s="140" t="str">
        <f aca="false">ExportRaw!$A313</f>
        <v/>
      </c>
      <c r="I313" s="140" t="str">
        <f aca="false">ExportRaw!$B313</f>
        <v/>
      </c>
    </row>
    <row r="314" customFormat="false" ht="15.75" hidden="false" customHeight="false" outlineLevel="0" collapsed="false">
      <c r="A314" s="140" t="n">
        <f aca="false">ExportRaw!$F314</f>
        <v>0</v>
      </c>
      <c r="B314" s="140" t="n">
        <f aca="false">ExportRaw!$C314</f>
        <v>0</v>
      </c>
      <c r="C314" s="140" t="n">
        <f aca="false">ExportRaw!$G314</f>
        <v>0</v>
      </c>
      <c r="D314" s="140" t="str">
        <f aca="false">ExportRaw!$E314</f>
        <v/>
      </c>
      <c r="E314" s="141" t="str">
        <f aca="false">ExportRaw!$D314</f>
        <v/>
      </c>
      <c r="F314" s="140" t="str">
        <f aca="false">ExportRaw!$H314</f>
        <v/>
      </c>
      <c r="G314" s="142" t="str">
        <f aca="false">ExportRaw!$I314</f>
        <v/>
      </c>
      <c r="H314" s="140" t="str">
        <f aca="false">ExportRaw!$A314</f>
        <v/>
      </c>
      <c r="I314" s="140" t="str">
        <f aca="false">ExportRaw!$B314</f>
        <v/>
      </c>
    </row>
    <row r="315" customFormat="false" ht="15.75" hidden="false" customHeight="false" outlineLevel="0" collapsed="false">
      <c r="A315" s="140" t="n">
        <f aca="false">ExportRaw!$F315</f>
        <v>0</v>
      </c>
      <c r="B315" s="140" t="n">
        <f aca="false">ExportRaw!$C315</f>
        <v>0</v>
      </c>
      <c r="C315" s="140" t="n">
        <f aca="false">ExportRaw!$G315</f>
        <v>0</v>
      </c>
      <c r="D315" s="140" t="str">
        <f aca="false">ExportRaw!$E315</f>
        <v/>
      </c>
      <c r="E315" s="141" t="str">
        <f aca="false">ExportRaw!$D315</f>
        <v/>
      </c>
      <c r="F315" s="140" t="str">
        <f aca="false">ExportRaw!$H315</f>
        <v/>
      </c>
      <c r="G315" s="142" t="str">
        <f aca="false">ExportRaw!$I315</f>
        <v/>
      </c>
      <c r="H315" s="140" t="str">
        <f aca="false">ExportRaw!$A315</f>
        <v/>
      </c>
      <c r="I315" s="140" t="str">
        <f aca="false">ExportRaw!$B315</f>
        <v/>
      </c>
    </row>
    <row r="316" customFormat="false" ht="15.75" hidden="false" customHeight="false" outlineLevel="0" collapsed="false">
      <c r="A316" s="140" t="n">
        <f aca="false">ExportRaw!$F316</f>
        <v>0</v>
      </c>
      <c r="B316" s="140" t="n">
        <f aca="false">ExportRaw!$C316</f>
        <v>0</v>
      </c>
      <c r="C316" s="140" t="n">
        <f aca="false">ExportRaw!$G316</f>
        <v>0</v>
      </c>
      <c r="D316" s="140" t="str">
        <f aca="false">ExportRaw!$E316</f>
        <v/>
      </c>
      <c r="E316" s="141" t="str">
        <f aca="false">ExportRaw!$D316</f>
        <v/>
      </c>
      <c r="F316" s="140" t="str">
        <f aca="false">ExportRaw!$H316</f>
        <v/>
      </c>
      <c r="G316" s="142" t="str">
        <f aca="false">ExportRaw!$I316</f>
        <v/>
      </c>
      <c r="H316" s="140" t="str">
        <f aca="false">ExportRaw!$A316</f>
        <v/>
      </c>
      <c r="I316" s="140" t="str">
        <f aca="false">ExportRaw!$B316</f>
        <v/>
      </c>
    </row>
    <row r="317" customFormat="false" ht="15.75" hidden="false" customHeight="false" outlineLevel="0" collapsed="false">
      <c r="A317" s="140" t="n">
        <f aca="false">ExportRaw!$F317</f>
        <v>0</v>
      </c>
      <c r="B317" s="140" t="n">
        <f aca="false">ExportRaw!$C317</f>
        <v>0</v>
      </c>
      <c r="C317" s="140" t="n">
        <f aca="false">ExportRaw!$G317</f>
        <v>0</v>
      </c>
      <c r="D317" s="140" t="str">
        <f aca="false">ExportRaw!$E317</f>
        <v/>
      </c>
      <c r="E317" s="141" t="str">
        <f aca="false">ExportRaw!$D317</f>
        <v/>
      </c>
      <c r="F317" s="140" t="str">
        <f aca="false">ExportRaw!$H317</f>
        <v/>
      </c>
      <c r="G317" s="142" t="str">
        <f aca="false">ExportRaw!$I317</f>
        <v/>
      </c>
      <c r="H317" s="140" t="str">
        <f aca="false">ExportRaw!$A317</f>
        <v/>
      </c>
      <c r="I317" s="140" t="str">
        <f aca="false">ExportRaw!$B317</f>
        <v/>
      </c>
    </row>
    <row r="318" customFormat="false" ht="15.75" hidden="false" customHeight="false" outlineLevel="0" collapsed="false">
      <c r="A318" s="140" t="n">
        <f aca="false">ExportRaw!$F318</f>
        <v>0</v>
      </c>
      <c r="B318" s="140" t="n">
        <f aca="false">ExportRaw!$C318</f>
        <v>0</v>
      </c>
      <c r="C318" s="140" t="n">
        <f aca="false">ExportRaw!$G318</f>
        <v>0</v>
      </c>
      <c r="D318" s="140" t="str">
        <f aca="false">ExportRaw!$E318</f>
        <v/>
      </c>
      <c r="E318" s="141" t="str">
        <f aca="false">ExportRaw!$D318</f>
        <v/>
      </c>
      <c r="F318" s="140" t="str">
        <f aca="false">ExportRaw!$H318</f>
        <v/>
      </c>
      <c r="G318" s="142" t="str">
        <f aca="false">ExportRaw!$I318</f>
        <v/>
      </c>
      <c r="H318" s="140" t="str">
        <f aca="false">ExportRaw!$A318</f>
        <v/>
      </c>
      <c r="I318" s="140" t="str">
        <f aca="false">ExportRaw!$B318</f>
        <v/>
      </c>
    </row>
    <row r="319" customFormat="false" ht="15.75" hidden="false" customHeight="false" outlineLevel="0" collapsed="false">
      <c r="A319" s="140" t="n">
        <f aca="false">ExportRaw!$F319</f>
        <v>0</v>
      </c>
      <c r="B319" s="140" t="n">
        <f aca="false">ExportRaw!$C319</f>
        <v>0</v>
      </c>
      <c r="C319" s="140" t="n">
        <f aca="false">ExportRaw!$G319</f>
        <v>0</v>
      </c>
      <c r="D319" s="140" t="str">
        <f aca="false">ExportRaw!$E319</f>
        <v/>
      </c>
      <c r="E319" s="141" t="str">
        <f aca="false">ExportRaw!$D319</f>
        <v/>
      </c>
      <c r="F319" s="140" t="str">
        <f aca="false">ExportRaw!$H319</f>
        <v/>
      </c>
      <c r="G319" s="142" t="str">
        <f aca="false">ExportRaw!$I319</f>
        <v/>
      </c>
      <c r="H319" s="140" t="str">
        <f aca="false">ExportRaw!$A319</f>
        <v/>
      </c>
      <c r="I319" s="140" t="str">
        <f aca="false">ExportRaw!$B319</f>
        <v/>
      </c>
    </row>
    <row r="320" customFormat="false" ht="15.75" hidden="false" customHeight="false" outlineLevel="0" collapsed="false">
      <c r="A320" s="140" t="n">
        <f aca="false">ExportRaw!$F320</f>
        <v>0</v>
      </c>
      <c r="B320" s="140" t="n">
        <f aca="false">ExportRaw!$C320</f>
        <v>0</v>
      </c>
      <c r="C320" s="140" t="n">
        <f aca="false">ExportRaw!$G320</f>
        <v>0</v>
      </c>
      <c r="D320" s="140" t="str">
        <f aca="false">ExportRaw!$E320</f>
        <v/>
      </c>
      <c r="E320" s="141" t="str">
        <f aca="false">ExportRaw!$D320</f>
        <v/>
      </c>
      <c r="F320" s="140" t="str">
        <f aca="false">ExportRaw!$H320</f>
        <v/>
      </c>
      <c r="G320" s="142" t="str">
        <f aca="false">ExportRaw!$I320</f>
        <v/>
      </c>
      <c r="H320" s="140" t="str">
        <f aca="false">ExportRaw!$A320</f>
        <v/>
      </c>
      <c r="I320" s="140" t="str">
        <f aca="false">ExportRaw!$B320</f>
        <v/>
      </c>
    </row>
    <row r="321" customFormat="false" ht="15.75" hidden="false" customHeight="false" outlineLevel="0" collapsed="false">
      <c r="A321" s="140" t="n">
        <f aca="false">ExportRaw!$F321</f>
        <v>0</v>
      </c>
      <c r="B321" s="140" t="n">
        <f aca="false">ExportRaw!$C321</f>
        <v>0</v>
      </c>
      <c r="C321" s="140" t="n">
        <f aca="false">ExportRaw!$G321</f>
        <v>0</v>
      </c>
      <c r="D321" s="140" t="str">
        <f aca="false">ExportRaw!$E321</f>
        <v/>
      </c>
      <c r="E321" s="141" t="str">
        <f aca="false">ExportRaw!$D321</f>
        <v/>
      </c>
      <c r="F321" s="140" t="str">
        <f aca="false">ExportRaw!$H321</f>
        <v/>
      </c>
      <c r="G321" s="142" t="str">
        <f aca="false">ExportRaw!$I321</f>
        <v/>
      </c>
      <c r="H321" s="140" t="str">
        <f aca="false">ExportRaw!$A321</f>
        <v/>
      </c>
      <c r="I321" s="140" t="str">
        <f aca="false">ExportRaw!$B321</f>
        <v/>
      </c>
    </row>
    <row r="322" customFormat="false" ht="15.75" hidden="false" customHeight="false" outlineLevel="0" collapsed="false">
      <c r="A322" s="140" t="n">
        <f aca="false">ExportRaw!$F322</f>
        <v>0</v>
      </c>
      <c r="B322" s="140" t="n">
        <f aca="false">ExportRaw!$C322</f>
        <v>0</v>
      </c>
      <c r="C322" s="140" t="n">
        <f aca="false">ExportRaw!$G322</f>
        <v>0</v>
      </c>
      <c r="D322" s="140" t="str">
        <f aca="false">ExportRaw!$E322</f>
        <v/>
      </c>
      <c r="E322" s="141" t="str">
        <f aca="false">ExportRaw!$D322</f>
        <v/>
      </c>
      <c r="F322" s="140" t="str">
        <f aca="false">ExportRaw!$H322</f>
        <v/>
      </c>
      <c r="G322" s="142" t="str">
        <f aca="false">ExportRaw!$I322</f>
        <v/>
      </c>
      <c r="H322" s="140" t="str">
        <f aca="false">ExportRaw!$A322</f>
        <v/>
      </c>
      <c r="I322" s="140" t="str">
        <f aca="false">ExportRaw!$B322</f>
        <v/>
      </c>
    </row>
    <row r="323" customFormat="false" ht="15.75" hidden="false" customHeight="false" outlineLevel="0" collapsed="false">
      <c r="A323" s="140" t="n">
        <f aca="false">ExportRaw!$F323</f>
        <v>0</v>
      </c>
      <c r="B323" s="140" t="n">
        <f aca="false">ExportRaw!$C323</f>
        <v>0</v>
      </c>
      <c r="C323" s="140" t="n">
        <f aca="false">ExportRaw!$G323</f>
        <v>0</v>
      </c>
      <c r="D323" s="140" t="str">
        <f aca="false">ExportRaw!$E323</f>
        <v/>
      </c>
      <c r="E323" s="141" t="str">
        <f aca="false">ExportRaw!$D323</f>
        <v/>
      </c>
      <c r="F323" s="140" t="str">
        <f aca="false">ExportRaw!$H323</f>
        <v/>
      </c>
      <c r="G323" s="142" t="str">
        <f aca="false">ExportRaw!$I323</f>
        <v/>
      </c>
      <c r="H323" s="140" t="str">
        <f aca="false">ExportRaw!$A323</f>
        <v/>
      </c>
      <c r="I323" s="140" t="str">
        <f aca="false">ExportRaw!$B323</f>
        <v/>
      </c>
    </row>
    <row r="324" customFormat="false" ht="15.75" hidden="false" customHeight="false" outlineLevel="0" collapsed="false">
      <c r="A324" s="140" t="n">
        <f aca="false">ExportRaw!$F324</f>
        <v>0</v>
      </c>
      <c r="B324" s="140" t="n">
        <f aca="false">ExportRaw!$C324</f>
        <v>0</v>
      </c>
      <c r="C324" s="140" t="n">
        <f aca="false">ExportRaw!$G324</f>
        <v>0</v>
      </c>
      <c r="D324" s="140" t="str">
        <f aca="false">ExportRaw!$E324</f>
        <v/>
      </c>
      <c r="E324" s="141" t="str">
        <f aca="false">ExportRaw!$D324</f>
        <v/>
      </c>
      <c r="F324" s="140" t="str">
        <f aca="false">ExportRaw!$H324</f>
        <v/>
      </c>
      <c r="G324" s="142" t="str">
        <f aca="false">ExportRaw!$I324</f>
        <v/>
      </c>
      <c r="H324" s="140" t="str">
        <f aca="false">ExportRaw!$A324</f>
        <v/>
      </c>
      <c r="I324" s="140" t="str">
        <f aca="false">ExportRaw!$B324</f>
        <v/>
      </c>
    </row>
    <row r="325" customFormat="false" ht="15.75" hidden="false" customHeight="false" outlineLevel="0" collapsed="false">
      <c r="A325" s="140" t="n">
        <f aca="false">ExportRaw!$F325</f>
        <v>0</v>
      </c>
      <c r="B325" s="140" t="n">
        <f aca="false">ExportRaw!$C325</f>
        <v>0</v>
      </c>
      <c r="C325" s="140" t="n">
        <f aca="false">ExportRaw!$G325</f>
        <v>0</v>
      </c>
      <c r="D325" s="140" t="str">
        <f aca="false">ExportRaw!$E325</f>
        <v/>
      </c>
      <c r="E325" s="141" t="str">
        <f aca="false">ExportRaw!$D325</f>
        <v/>
      </c>
      <c r="F325" s="140" t="str">
        <f aca="false">ExportRaw!$H325</f>
        <v/>
      </c>
      <c r="G325" s="142" t="str">
        <f aca="false">ExportRaw!$I325</f>
        <v/>
      </c>
      <c r="H325" s="140" t="str">
        <f aca="false">ExportRaw!$A325</f>
        <v/>
      </c>
      <c r="I325" s="140" t="str">
        <f aca="false">ExportRaw!$B325</f>
        <v/>
      </c>
    </row>
    <row r="326" customFormat="false" ht="15.75" hidden="false" customHeight="false" outlineLevel="0" collapsed="false">
      <c r="A326" s="140" t="n">
        <f aca="false">ExportRaw!$F326</f>
        <v>0</v>
      </c>
      <c r="B326" s="140" t="n">
        <f aca="false">ExportRaw!$C326</f>
        <v>0</v>
      </c>
      <c r="C326" s="140" t="n">
        <f aca="false">ExportRaw!$G326</f>
        <v>0</v>
      </c>
      <c r="D326" s="140" t="str">
        <f aca="false">ExportRaw!$E326</f>
        <v/>
      </c>
      <c r="E326" s="141" t="str">
        <f aca="false">ExportRaw!$D326</f>
        <v/>
      </c>
      <c r="F326" s="140" t="str">
        <f aca="false">ExportRaw!$H326</f>
        <v/>
      </c>
      <c r="G326" s="142" t="str">
        <f aca="false">ExportRaw!$I326</f>
        <v/>
      </c>
      <c r="H326" s="140" t="str">
        <f aca="false">ExportRaw!$A326</f>
        <v/>
      </c>
      <c r="I326" s="140" t="str">
        <f aca="false">ExportRaw!$B326</f>
        <v/>
      </c>
    </row>
    <row r="327" customFormat="false" ht="15.75" hidden="false" customHeight="false" outlineLevel="0" collapsed="false">
      <c r="A327" s="140" t="n">
        <f aca="false">ExportRaw!$F327</f>
        <v>0</v>
      </c>
      <c r="B327" s="140" t="n">
        <f aca="false">ExportRaw!$C327</f>
        <v>0</v>
      </c>
      <c r="C327" s="140" t="n">
        <f aca="false">ExportRaw!$G327</f>
        <v>0</v>
      </c>
      <c r="D327" s="140" t="str">
        <f aca="false">ExportRaw!$E327</f>
        <v/>
      </c>
      <c r="E327" s="141" t="str">
        <f aca="false">ExportRaw!$D327</f>
        <v/>
      </c>
      <c r="F327" s="140" t="str">
        <f aca="false">ExportRaw!$H327</f>
        <v/>
      </c>
      <c r="G327" s="142" t="str">
        <f aca="false">ExportRaw!$I327</f>
        <v/>
      </c>
      <c r="H327" s="140" t="str">
        <f aca="false">ExportRaw!$A327</f>
        <v/>
      </c>
      <c r="I327" s="140" t="str">
        <f aca="false">ExportRaw!$B327</f>
        <v/>
      </c>
    </row>
    <row r="328" customFormat="false" ht="15.75" hidden="false" customHeight="false" outlineLevel="0" collapsed="false">
      <c r="A328" s="140" t="n">
        <f aca="false">ExportRaw!$F328</f>
        <v>0</v>
      </c>
      <c r="B328" s="140" t="n">
        <f aca="false">ExportRaw!$C328</f>
        <v>0</v>
      </c>
      <c r="C328" s="140" t="n">
        <f aca="false">ExportRaw!$G328</f>
        <v>0</v>
      </c>
      <c r="D328" s="140" t="str">
        <f aca="false">ExportRaw!$E328</f>
        <v/>
      </c>
      <c r="E328" s="141" t="str">
        <f aca="false">ExportRaw!$D328</f>
        <v/>
      </c>
      <c r="F328" s="140" t="str">
        <f aca="false">ExportRaw!$H328</f>
        <v/>
      </c>
      <c r="G328" s="142" t="str">
        <f aca="false">ExportRaw!$I328</f>
        <v/>
      </c>
      <c r="H328" s="140" t="str">
        <f aca="false">ExportRaw!$A328</f>
        <v/>
      </c>
      <c r="I328" s="140" t="str">
        <f aca="false">ExportRaw!$B328</f>
        <v/>
      </c>
    </row>
    <row r="329" customFormat="false" ht="15.75" hidden="false" customHeight="false" outlineLevel="0" collapsed="false">
      <c r="A329" s="140" t="n">
        <f aca="false">ExportRaw!$F329</f>
        <v>0</v>
      </c>
      <c r="B329" s="140" t="n">
        <f aca="false">ExportRaw!$C329</f>
        <v>0</v>
      </c>
      <c r="C329" s="140" t="n">
        <f aca="false">ExportRaw!$G329</f>
        <v>0</v>
      </c>
      <c r="D329" s="140" t="str">
        <f aca="false">ExportRaw!$E329</f>
        <v/>
      </c>
      <c r="E329" s="141" t="str">
        <f aca="false">ExportRaw!$D329</f>
        <v/>
      </c>
      <c r="F329" s="140" t="str">
        <f aca="false">ExportRaw!$H329</f>
        <v/>
      </c>
      <c r="G329" s="142" t="str">
        <f aca="false">ExportRaw!$I329</f>
        <v/>
      </c>
      <c r="H329" s="140" t="str">
        <f aca="false">ExportRaw!$A329</f>
        <v/>
      </c>
      <c r="I329" s="140" t="str">
        <f aca="false">ExportRaw!$B329</f>
        <v/>
      </c>
    </row>
    <row r="330" customFormat="false" ht="15.75" hidden="false" customHeight="false" outlineLevel="0" collapsed="false">
      <c r="A330" s="140" t="n">
        <f aca="false">ExportRaw!$F330</f>
        <v>0</v>
      </c>
      <c r="B330" s="140" t="n">
        <f aca="false">ExportRaw!$C330</f>
        <v>0</v>
      </c>
      <c r="C330" s="140" t="n">
        <f aca="false">ExportRaw!$G330</f>
        <v>0</v>
      </c>
      <c r="D330" s="140" t="str">
        <f aca="false">ExportRaw!$E330</f>
        <v/>
      </c>
      <c r="E330" s="141" t="str">
        <f aca="false">ExportRaw!$D330</f>
        <v/>
      </c>
      <c r="F330" s="140" t="str">
        <f aca="false">ExportRaw!$H330</f>
        <v/>
      </c>
      <c r="G330" s="142" t="str">
        <f aca="false">ExportRaw!$I330</f>
        <v/>
      </c>
      <c r="H330" s="140" t="str">
        <f aca="false">ExportRaw!$A330</f>
        <v/>
      </c>
      <c r="I330" s="140" t="str">
        <f aca="false">ExportRaw!$B330</f>
        <v/>
      </c>
    </row>
    <row r="331" customFormat="false" ht="15.75" hidden="false" customHeight="false" outlineLevel="0" collapsed="false">
      <c r="A331" s="140" t="n">
        <f aca="false">ExportRaw!$F331</f>
        <v>0</v>
      </c>
      <c r="B331" s="140" t="n">
        <f aca="false">ExportRaw!$C331</f>
        <v>0</v>
      </c>
      <c r="C331" s="140" t="n">
        <f aca="false">ExportRaw!$G331</f>
        <v>0</v>
      </c>
      <c r="D331" s="140" t="str">
        <f aca="false">ExportRaw!$E331</f>
        <v/>
      </c>
      <c r="E331" s="141" t="str">
        <f aca="false">ExportRaw!$D331</f>
        <v/>
      </c>
      <c r="F331" s="140" t="str">
        <f aca="false">ExportRaw!$H331</f>
        <v/>
      </c>
      <c r="G331" s="142" t="str">
        <f aca="false">ExportRaw!$I331</f>
        <v/>
      </c>
      <c r="H331" s="140" t="str">
        <f aca="false">ExportRaw!$A331</f>
        <v/>
      </c>
      <c r="I331" s="140" t="str">
        <f aca="false">ExportRaw!$B331</f>
        <v/>
      </c>
    </row>
    <row r="332" customFormat="false" ht="15.75" hidden="false" customHeight="false" outlineLevel="0" collapsed="false">
      <c r="A332" s="140" t="n">
        <f aca="false">ExportRaw!$F332</f>
        <v>0</v>
      </c>
      <c r="B332" s="140" t="n">
        <f aca="false">ExportRaw!$C332</f>
        <v>0</v>
      </c>
      <c r="C332" s="140" t="n">
        <f aca="false">ExportRaw!$G332</f>
        <v>0</v>
      </c>
      <c r="D332" s="140" t="str">
        <f aca="false">ExportRaw!$E332</f>
        <v/>
      </c>
      <c r="E332" s="141" t="str">
        <f aca="false">ExportRaw!$D332</f>
        <v/>
      </c>
      <c r="F332" s="140" t="str">
        <f aca="false">ExportRaw!$H332</f>
        <v/>
      </c>
      <c r="G332" s="142" t="str">
        <f aca="false">ExportRaw!$I332</f>
        <v/>
      </c>
      <c r="H332" s="140" t="str">
        <f aca="false">ExportRaw!$A332</f>
        <v/>
      </c>
      <c r="I332" s="140" t="str">
        <f aca="false">ExportRaw!$B332</f>
        <v/>
      </c>
    </row>
    <row r="333" customFormat="false" ht="15.75" hidden="false" customHeight="false" outlineLevel="0" collapsed="false">
      <c r="A333" s="140" t="n">
        <f aca="false">ExportRaw!$F333</f>
        <v>0</v>
      </c>
      <c r="B333" s="140" t="n">
        <f aca="false">ExportRaw!$C333</f>
        <v>0</v>
      </c>
      <c r="C333" s="140" t="n">
        <f aca="false">ExportRaw!$G333</f>
        <v>0</v>
      </c>
      <c r="D333" s="140" t="str">
        <f aca="false">ExportRaw!$E333</f>
        <v/>
      </c>
      <c r="E333" s="141" t="str">
        <f aca="false">ExportRaw!$D333</f>
        <v/>
      </c>
      <c r="F333" s="140" t="str">
        <f aca="false">ExportRaw!$H333</f>
        <v/>
      </c>
      <c r="G333" s="142" t="str">
        <f aca="false">ExportRaw!$I333</f>
        <v/>
      </c>
      <c r="H333" s="140" t="str">
        <f aca="false">ExportRaw!$A333</f>
        <v/>
      </c>
      <c r="I333" s="140" t="str">
        <f aca="false">ExportRaw!$B333</f>
        <v/>
      </c>
    </row>
    <row r="334" customFormat="false" ht="15.75" hidden="false" customHeight="false" outlineLevel="0" collapsed="false">
      <c r="A334" s="140" t="n">
        <f aca="false">ExportRaw!$F334</f>
        <v>0</v>
      </c>
      <c r="B334" s="140" t="n">
        <f aca="false">ExportRaw!$C334</f>
        <v>0</v>
      </c>
      <c r="C334" s="140" t="n">
        <f aca="false">ExportRaw!$G334</f>
        <v>0</v>
      </c>
      <c r="D334" s="140" t="str">
        <f aca="false">ExportRaw!$E334</f>
        <v/>
      </c>
      <c r="E334" s="141" t="str">
        <f aca="false">ExportRaw!$D334</f>
        <v/>
      </c>
      <c r="F334" s="140" t="str">
        <f aca="false">ExportRaw!$H334</f>
        <v/>
      </c>
      <c r="G334" s="142" t="str">
        <f aca="false">ExportRaw!$I334</f>
        <v/>
      </c>
      <c r="H334" s="140" t="str">
        <f aca="false">ExportRaw!$A334</f>
        <v/>
      </c>
      <c r="I334" s="140" t="str">
        <f aca="false">ExportRaw!$B334</f>
        <v/>
      </c>
    </row>
    <row r="335" customFormat="false" ht="15.75" hidden="false" customHeight="false" outlineLevel="0" collapsed="false">
      <c r="A335" s="140" t="n">
        <f aca="false">ExportRaw!$F335</f>
        <v>0</v>
      </c>
      <c r="B335" s="140" t="n">
        <f aca="false">ExportRaw!$C335</f>
        <v>0</v>
      </c>
      <c r="C335" s="140" t="n">
        <f aca="false">ExportRaw!$G335</f>
        <v>0</v>
      </c>
      <c r="D335" s="140" t="str">
        <f aca="false">ExportRaw!$E335</f>
        <v/>
      </c>
      <c r="E335" s="141" t="str">
        <f aca="false">ExportRaw!$D335</f>
        <v/>
      </c>
      <c r="F335" s="140" t="str">
        <f aca="false">ExportRaw!$H335</f>
        <v/>
      </c>
      <c r="G335" s="142" t="str">
        <f aca="false">ExportRaw!$I335</f>
        <v/>
      </c>
      <c r="H335" s="140" t="str">
        <f aca="false">ExportRaw!$A335</f>
        <v/>
      </c>
      <c r="I335" s="140" t="str">
        <f aca="false">ExportRaw!$B335</f>
        <v/>
      </c>
    </row>
    <row r="336" customFormat="false" ht="15.75" hidden="false" customHeight="false" outlineLevel="0" collapsed="false">
      <c r="A336" s="140" t="n">
        <f aca="false">ExportRaw!$F336</f>
        <v>0</v>
      </c>
      <c r="B336" s="140" t="n">
        <f aca="false">ExportRaw!$C336</f>
        <v>0</v>
      </c>
      <c r="C336" s="140" t="n">
        <f aca="false">ExportRaw!$G336</f>
        <v>0</v>
      </c>
      <c r="D336" s="140" t="str">
        <f aca="false">ExportRaw!$E336</f>
        <v/>
      </c>
      <c r="E336" s="141" t="str">
        <f aca="false">ExportRaw!$D336</f>
        <v/>
      </c>
      <c r="F336" s="140" t="str">
        <f aca="false">ExportRaw!$H336</f>
        <v/>
      </c>
      <c r="G336" s="142" t="str">
        <f aca="false">ExportRaw!$I336</f>
        <v/>
      </c>
      <c r="H336" s="140" t="str">
        <f aca="false">ExportRaw!$A336</f>
        <v/>
      </c>
      <c r="I336" s="140" t="str">
        <f aca="false">ExportRaw!$B336</f>
        <v/>
      </c>
    </row>
    <row r="337" customFormat="false" ht="15.75" hidden="false" customHeight="false" outlineLevel="0" collapsed="false">
      <c r="A337" s="140" t="n">
        <f aca="false">ExportRaw!$F337</f>
        <v>0</v>
      </c>
      <c r="B337" s="140" t="n">
        <f aca="false">ExportRaw!$C337</f>
        <v>0</v>
      </c>
      <c r="C337" s="140" t="n">
        <f aca="false">ExportRaw!$G337</f>
        <v>0</v>
      </c>
      <c r="D337" s="140" t="str">
        <f aca="false">ExportRaw!$E337</f>
        <v/>
      </c>
      <c r="E337" s="141" t="str">
        <f aca="false">ExportRaw!$D337</f>
        <v/>
      </c>
      <c r="F337" s="140" t="str">
        <f aca="false">ExportRaw!$H337</f>
        <v/>
      </c>
      <c r="G337" s="142" t="str">
        <f aca="false">ExportRaw!$I337</f>
        <v/>
      </c>
      <c r="H337" s="140" t="str">
        <f aca="false">ExportRaw!$A337</f>
        <v/>
      </c>
      <c r="I337" s="140" t="str">
        <f aca="false">ExportRaw!$B337</f>
        <v/>
      </c>
    </row>
    <row r="338" customFormat="false" ht="15.75" hidden="false" customHeight="false" outlineLevel="0" collapsed="false">
      <c r="A338" s="140" t="n">
        <f aca="false">ExportRaw!$F338</f>
        <v>0</v>
      </c>
      <c r="B338" s="140" t="n">
        <f aca="false">ExportRaw!$C338</f>
        <v>0</v>
      </c>
      <c r="C338" s="140" t="n">
        <f aca="false">ExportRaw!$G338</f>
        <v>0</v>
      </c>
      <c r="D338" s="140" t="str">
        <f aca="false">ExportRaw!$E338</f>
        <v/>
      </c>
      <c r="E338" s="141" t="str">
        <f aca="false">ExportRaw!$D338</f>
        <v/>
      </c>
      <c r="F338" s="140" t="str">
        <f aca="false">ExportRaw!$H338</f>
        <v/>
      </c>
      <c r="G338" s="142" t="str">
        <f aca="false">ExportRaw!$I338</f>
        <v/>
      </c>
      <c r="H338" s="140" t="str">
        <f aca="false">ExportRaw!$A338</f>
        <v/>
      </c>
      <c r="I338" s="140" t="str">
        <f aca="false">ExportRaw!$B338</f>
        <v/>
      </c>
    </row>
    <row r="339" customFormat="false" ht="15.75" hidden="false" customHeight="false" outlineLevel="0" collapsed="false">
      <c r="A339" s="140" t="n">
        <f aca="false">ExportRaw!$F339</f>
        <v>0</v>
      </c>
      <c r="B339" s="140" t="n">
        <f aca="false">ExportRaw!$C339</f>
        <v>0</v>
      </c>
      <c r="C339" s="140" t="n">
        <f aca="false">ExportRaw!$G339</f>
        <v>0</v>
      </c>
      <c r="D339" s="140" t="str">
        <f aca="false">ExportRaw!$E339</f>
        <v/>
      </c>
      <c r="E339" s="141" t="str">
        <f aca="false">ExportRaw!$D339</f>
        <v/>
      </c>
      <c r="F339" s="140" t="str">
        <f aca="false">ExportRaw!$H339</f>
        <v/>
      </c>
      <c r="G339" s="142" t="str">
        <f aca="false">ExportRaw!$I339</f>
        <v/>
      </c>
      <c r="H339" s="140" t="str">
        <f aca="false">ExportRaw!$A339</f>
        <v/>
      </c>
      <c r="I339" s="140" t="str">
        <f aca="false">ExportRaw!$B339</f>
        <v/>
      </c>
    </row>
    <row r="340" customFormat="false" ht="15.75" hidden="false" customHeight="false" outlineLevel="0" collapsed="false">
      <c r="A340" s="140" t="n">
        <f aca="false">ExportRaw!$F340</f>
        <v>0</v>
      </c>
      <c r="B340" s="140" t="n">
        <f aca="false">ExportRaw!$C340</f>
        <v>0</v>
      </c>
      <c r="C340" s="140" t="n">
        <f aca="false">ExportRaw!$G340</f>
        <v>0</v>
      </c>
      <c r="D340" s="140" t="str">
        <f aca="false">ExportRaw!$E340</f>
        <v/>
      </c>
      <c r="E340" s="141" t="str">
        <f aca="false">ExportRaw!$D340</f>
        <v/>
      </c>
      <c r="F340" s="140" t="str">
        <f aca="false">ExportRaw!$H340</f>
        <v/>
      </c>
      <c r="G340" s="142" t="str">
        <f aca="false">ExportRaw!$I340</f>
        <v/>
      </c>
      <c r="H340" s="140" t="str">
        <f aca="false">ExportRaw!$A340</f>
        <v/>
      </c>
      <c r="I340" s="140" t="str">
        <f aca="false">ExportRaw!$B340</f>
        <v/>
      </c>
    </row>
    <row r="341" customFormat="false" ht="15.75" hidden="false" customHeight="false" outlineLevel="0" collapsed="false">
      <c r="A341" s="140" t="n">
        <f aca="false">ExportRaw!$F341</f>
        <v>0</v>
      </c>
      <c r="B341" s="140" t="n">
        <f aca="false">ExportRaw!$C341</f>
        <v>0</v>
      </c>
      <c r="C341" s="140" t="n">
        <f aca="false">ExportRaw!$G341</f>
        <v>0</v>
      </c>
      <c r="D341" s="140" t="str">
        <f aca="false">ExportRaw!$E341</f>
        <v/>
      </c>
      <c r="E341" s="141" t="str">
        <f aca="false">ExportRaw!$D341</f>
        <v/>
      </c>
      <c r="F341" s="140" t="str">
        <f aca="false">ExportRaw!$H341</f>
        <v/>
      </c>
      <c r="G341" s="142" t="str">
        <f aca="false">ExportRaw!$I341</f>
        <v/>
      </c>
      <c r="H341" s="140" t="str">
        <f aca="false">ExportRaw!$A341</f>
        <v/>
      </c>
      <c r="I341" s="140" t="str">
        <f aca="false">ExportRaw!$B341</f>
        <v/>
      </c>
    </row>
    <row r="342" customFormat="false" ht="15.75" hidden="false" customHeight="false" outlineLevel="0" collapsed="false">
      <c r="A342" s="140" t="n">
        <f aca="false">ExportRaw!$F342</f>
        <v>0</v>
      </c>
      <c r="B342" s="140" t="n">
        <f aca="false">ExportRaw!$C342</f>
        <v>0</v>
      </c>
      <c r="C342" s="140" t="n">
        <f aca="false">ExportRaw!$G342</f>
        <v>0</v>
      </c>
      <c r="D342" s="140" t="str">
        <f aca="false">ExportRaw!$E342</f>
        <v/>
      </c>
      <c r="E342" s="141" t="str">
        <f aca="false">ExportRaw!$D342</f>
        <v/>
      </c>
      <c r="F342" s="140" t="str">
        <f aca="false">ExportRaw!$H342</f>
        <v/>
      </c>
      <c r="G342" s="142" t="str">
        <f aca="false">ExportRaw!$I342</f>
        <v/>
      </c>
      <c r="H342" s="140" t="str">
        <f aca="false">ExportRaw!$A342</f>
        <v/>
      </c>
      <c r="I342" s="140" t="str">
        <f aca="false">ExportRaw!$B342</f>
        <v/>
      </c>
    </row>
    <row r="343" customFormat="false" ht="15.75" hidden="false" customHeight="false" outlineLevel="0" collapsed="false">
      <c r="A343" s="140" t="n">
        <f aca="false">ExportRaw!$F343</f>
        <v>0</v>
      </c>
      <c r="B343" s="140" t="n">
        <f aca="false">ExportRaw!$C343</f>
        <v>0</v>
      </c>
      <c r="C343" s="140" t="n">
        <f aca="false">ExportRaw!$G343</f>
        <v>0</v>
      </c>
      <c r="D343" s="140" t="str">
        <f aca="false">ExportRaw!$E343</f>
        <v/>
      </c>
      <c r="E343" s="141" t="str">
        <f aca="false">ExportRaw!$D343</f>
        <v/>
      </c>
      <c r="F343" s="140" t="str">
        <f aca="false">ExportRaw!$H343</f>
        <v/>
      </c>
      <c r="G343" s="142" t="str">
        <f aca="false">ExportRaw!$I343</f>
        <v/>
      </c>
      <c r="H343" s="140" t="str">
        <f aca="false">ExportRaw!$A343</f>
        <v/>
      </c>
      <c r="I343" s="140" t="str">
        <f aca="false">ExportRaw!$B343</f>
        <v/>
      </c>
    </row>
    <row r="344" customFormat="false" ht="15.75" hidden="false" customHeight="false" outlineLevel="0" collapsed="false">
      <c r="A344" s="140" t="n">
        <f aca="false">ExportRaw!$F344</f>
        <v>0</v>
      </c>
      <c r="B344" s="140" t="n">
        <f aca="false">ExportRaw!$C344</f>
        <v>0</v>
      </c>
      <c r="C344" s="140" t="n">
        <f aca="false">ExportRaw!$G344</f>
        <v>0</v>
      </c>
      <c r="D344" s="140" t="str">
        <f aca="false">ExportRaw!$E344</f>
        <v/>
      </c>
      <c r="E344" s="141" t="str">
        <f aca="false">ExportRaw!$D344</f>
        <v/>
      </c>
      <c r="F344" s="140" t="str">
        <f aca="false">ExportRaw!$H344</f>
        <v/>
      </c>
      <c r="G344" s="142" t="str">
        <f aca="false">ExportRaw!$I344</f>
        <v/>
      </c>
      <c r="H344" s="140" t="str">
        <f aca="false">ExportRaw!$A344</f>
        <v/>
      </c>
      <c r="I344" s="140" t="str">
        <f aca="false">ExportRaw!$B344</f>
        <v/>
      </c>
    </row>
    <row r="345" customFormat="false" ht="15.75" hidden="false" customHeight="false" outlineLevel="0" collapsed="false">
      <c r="A345" s="140" t="n">
        <f aca="false">ExportRaw!$F345</f>
        <v>0</v>
      </c>
      <c r="B345" s="140" t="n">
        <f aca="false">ExportRaw!$C345</f>
        <v>0</v>
      </c>
      <c r="C345" s="140" t="n">
        <f aca="false">ExportRaw!$G345</f>
        <v>0</v>
      </c>
      <c r="D345" s="140" t="str">
        <f aca="false">ExportRaw!$E345</f>
        <v/>
      </c>
      <c r="E345" s="141" t="str">
        <f aca="false">ExportRaw!$D345</f>
        <v/>
      </c>
      <c r="F345" s="140" t="str">
        <f aca="false">ExportRaw!$H345</f>
        <v/>
      </c>
      <c r="G345" s="142" t="str">
        <f aca="false">ExportRaw!$I345</f>
        <v/>
      </c>
      <c r="H345" s="140" t="str">
        <f aca="false">ExportRaw!$A345</f>
        <v/>
      </c>
      <c r="I345" s="140" t="str">
        <f aca="false">ExportRaw!$B345</f>
        <v/>
      </c>
    </row>
    <row r="346" customFormat="false" ht="15.75" hidden="false" customHeight="false" outlineLevel="0" collapsed="false">
      <c r="A346" s="140" t="n">
        <f aca="false">ExportRaw!$F346</f>
        <v>0</v>
      </c>
      <c r="B346" s="140" t="n">
        <f aca="false">ExportRaw!$C346</f>
        <v>0</v>
      </c>
      <c r="C346" s="140" t="n">
        <f aca="false">ExportRaw!$G346</f>
        <v>0</v>
      </c>
      <c r="D346" s="140" t="str">
        <f aca="false">ExportRaw!$E346</f>
        <v/>
      </c>
      <c r="E346" s="141" t="str">
        <f aca="false">ExportRaw!$D346</f>
        <v/>
      </c>
      <c r="F346" s="140" t="str">
        <f aca="false">ExportRaw!$H346</f>
        <v/>
      </c>
      <c r="G346" s="142" t="str">
        <f aca="false">ExportRaw!$I346</f>
        <v/>
      </c>
      <c r="H346" s="140" t="str">
        <f aca="false">ExportRaw!$A346</f>
        <v/>
      </c>
      <c r="I346" s="140" t="str">
        <f aca="false">ExportRaw!$B346</f>
        <v/>
      </c>
    </row>
    <row r="347" customFormat="false" ht="15.75" hidden="false" customHeight="false" outlineLevel="0" collapsed="false">
      <c r="A347" s="140" t="n">
        <f aca="false">ExportRaw!$F347</f>
        <v>0</v>
      </c>
      <c r="B347" s="140" t="n">
        <f aca="false">ExportRaw!$C347</f>
        <v>0</v>
      </c>
      <c r="C347" s="140" t="n">
        <f aca="false">ExportRaw!$G347</f>
        <v>0</v>
      </c>
      <c r="D347" s="140" t="str">
        <f aca="false">ExportRaw!$E347</f>
        <v/>
      </c>
      <c r="E347" s="141" t="str">
        <f aca="false">ExportRaw!$D347</f>
        <v/>
      </c>
      <c r="F347" s="140" t="str">
        <f aca="false">ExportRaw!$H347</f>
        <v/>
      </c>
      <c r="G347" s="142" t="str">
        <f aca="false">ExportRaw!$I347</f>
        <v/>
      </c>
      <c r="H347" s="140" t="str">
        <f aca="false">ExportRaw!$A347</f>
        <v/>
      </c>
      <c r="I347" s="140" t="str">
        <f aca="false">ExportRaw!$B347</f>
        <v/>
      </c>
    </row>
    <row r="348" customFormat="false" ht="15.75" hidden="false" customHeight="false" outlineLevel="0" collapsed="false">
      <c r="A348" s="140" t="n">
        <f aca="false">ExportRaw!$F348</f>
        <v>0</v>
      </c>
      <c r="B348" s="140" t="n">
        <f aca="false">ExportRaw!$C348</f>
        <v>0</v>
      </c>
      <c r="C348" s="140" t="n">
        <f aca="false">ExportRaw!$G348</f>
        <v>0</v>
      </c>
      <c r="D348" s="140" t="str">
        <f aca="false">ExportRaw!$E348</f>
        <v/>
      </c>
      <c r="E348" s="141" t="str">
        <f aca="false">ExportRaw!$D348</f>
        <v/>
      </c>
      <c r="F348" s="140" t="str">
        <f aca="false">ExportRaw!$H348</f>
        <v/>
      </c>
      <c r="G348" s="142" t="str">
        <f aca="false">ExportRaw!$I348</f>
        <v/>
      </c>
      <c r="H348" s="140" t="str">
        <f aca="false">ExportRaw!$A348</f>
        <v/>
      </c>
      <c r="I348" s="140" t="str">
        <f aca="false">ExportRaw!$B348</f>
        <v/>
      </c>
    </row>
    <row r="349" customFormat="false" ht="15.75" hidden="false" customHeight="false" outlineLevel="0" collapsed="false">
      <c r="A349" s="140" t="n">
        <f aca="false">ExportRaw!$F349</f>
        <v>0</v>
      </c>
      <c r="B349" s="140" t="n">
        <f aca="false">ExportRaw!$C349</f>
        <v>0</v>
      </c>
      <c r="C349" s="140" t="n">
        <f aca="false">ExportRaw!$G349</f>
        <v>0</v>
      </c>
      <c r="D349" s="140" t="str">
        <f aca="false">ExportRaw!$E349</f>
        <v/>
      </c>
      <c r="E349" s="141" t="str">
        <f aca="false">ExportRaw!$D349</f>
        <v/>
      </c>
      <c r="F349" s="140" t="str">
        <f aca="false">ExportRaw!$H349</f>
        <v/>
      </c>
      <c r="G349" s="142" t="str">
        <f aca="false">ExportRaw!$I349</f>
        <v/>
      </c>
      <c r="H349" s="140" t="str">
        <f aca="false">ExportRaw!$A349</f>
        <v/>
      </c>
      <c r="I349" s="140" t="str">
        <f aca="false">ExportRaw!$B349</f>
        <v/>
      </c>
    </row>
    <row r="350" customFormat="false" ht="15.75" hidden="false" customHeight="false" outlineLevel="0" collapsed="false">
      <c r="A350" s="140" t="n">
        <f aca="false">ExportRaw!$F350</f>
        <v>0</v>
      </c>
      <c r="B350" s="140" t="n">
        <f aca="false">ExportRaw!$C350</f>
        <v>0</v>
      </c>
      <c r="C350" s="140" t="n">
        <f aca="false">ExportRaw!$G350</f>
        <v>0</v>
      </c>
      <c r="D350" s="140" t="str">
        <f aca="false">ExportRaw!$E350</f>
        <v/>
      </c>
      <c r="E350" s="141" t="str">
        <f aca="false">ExportRaw!$D350</f>
        <v/>
      </c>
      <c r="F350" s="140" t="str">
        <f aca="false">ExportRaw!$H350</f>
        <v/>
      </c>
      <c r="G350" s="142" t="str">
        <f aca="false">ExportRaw!$I350</f>
        <v/>
      </c>
      <c r="H350" s="140" t="str">
        <f aca="false">ExportRaw!$A350</f>
        <v/>
      </c>
      <c r="I350" s="140" t="str">
        <f aca="false">ExportRaw!$B350</f>
        <v/>
      </c>
    </row>
    <row r="351" customFormat="false" ht="15.75" hidden="false" customHeight="false" outlineLevel="0" collapsed="false">
      <c r="A351" s="140" t="n">
        <f aca="false">ExportRaw!$F351</f>
        <v>0</v>
      </c>
      <c r="B351" s="140" t="n">
        <f aca="false">ExportRaw!$C351</f>
        <v>0</v>
      </c>
      <c r="C351" s="140" t="n">
        <f aca="false">ExportRaw!$G351</f>
        <v>0</v>
      </c>
      <c r="D351" s="140" t="str">
        <f aca="false">ExportRaw!$E351</f>
        <v/>
      </c>
      <c r="E351" s="141" t="str">
        <f aca="false">ExportRaw!$D351</f>
        <v/>
      </c>
      <c r="F351" s="140" t="str">
        <f aca="false">ExportRaw!$H351</f>
        <v/>
      </c>
      <c r="G351" s="142" t="str">
        <f aca="false">ExportRaw!$I351</f>
        <v/>
      </c>
      <c r="H351" s="140" t="str">
        <f aca="false">ExportRaw!$A351</f>
        <v/>
      </c>
      <c r="I351" s="140" t="str">
        <f aca="false">ExportRaw!$B351</f>
        <v/>
      </c>
    </row>
    <row r="352" customFormat="false" ht="15.75" hidden="false" customHeight="false" outlineLevel="0" collapsed="false">
      <c r="A352" s="140" t="n">
        <f aca="false">ExportRaw!$F352</f>
        <v>0</v>
      </c>
      <c r="B352" s="140" t="n">
        <f aca="false">ExportRaw!$C352</f>
        <v>0</v>
      </c>
      <c r="C352" s="140" t="n">
        <f aca="false">ExportRaw!$G352</f>
        <v>0</v>
      </c>
      <c r="D352" s="140" t="str">
        <f aca="false">ExportRaw!$E352</f>
        <v/>
      </c>
      <c r="E352" s="141" t="str">
        <f aca="false">ExportRaw!$D352</f>
        <v/>
      </c>
      <c r="F352" s="140" t="str">
        <f aca="false">ExportRaw!$H352</f>
        <v/>
      </c>
      <c r="G352" s="142" t="str">
        <f aca="false">ExportRaw!$I352</f>
        <v/>
      </c>
      <c r="H352" s="140" t="str">
        <f aca="false">ExportRaw!$A352</f>
        <v/>
      </c>
      <c r="I352" s="140" t="str">
        <f aca="false">ExportRaw!$B352</f>
        <v/>
      </c>
    </row>
    <row r="353" customFormat="false" ht="15.75" hidden="false" customHeight="false" outlineLevel="0" collapsed="false">
      <c r="A353" s="140" t="n">
        <f aca="false">ExportRaw!$F353</f>
        <v>0</v>
      </c>
      <c r="B353" s="140" t="n">
        <f aca="false">ExportRaw!$C353</f>
        <v>0</v>
      </c>
      <c r="C353" s="140" t="n">
        <f aca="false">ExportRaw!$G353</f>
        <v>0</v>
      </c>
      <c r="D353" s="140" t="str">
        <f aca="false">ExportRaw!$E353</f>
        <v/>
      </c>
      <c r="E353" s="141" t="str">
        <f aca="false">ExportRaw!$D353</f>
        <v/>
      </c>
      <c r="F353" s="140" t="str">
        <f aca="false">ExportRaw!$H353</f>
        <v/>
      </c>
      <c r="G353" s="142" t="str">
        <f aca="false">ExportRaw!$I353</f>
        <v/>
      </c>
      <c r="H353" s="140" t="str">
        <f aca="false">ExportRaw!$A353</f>
        <v/>
      </c>
      <c r="I353" s="140" t="str">
        <f aca="false">ExportRaw!$B353</f>
        <v/>
      </c>
    </row>
    <row r="354" customFormat="false" ht="15.75" hidden="false" customHeight="false" outlineLevel="0" collapsed="false">
      <c r="A354" s="140" t="n">
        <f aca="false">ExportRaw!$F354</f>
        <v>0</v>
      </c>
      <c r="B354" s="140" t="n">
        <f aca="false">ExportRaw!$C354</f>
        <v>0</v>
      </c>
      <c r="C354" s="140" t="n">
        <f aca="false">ExportRaw!$G354</f>
        <v>0</v>
      </c>
      <c r="D354" s="140" t="str">
        <f aca="false">ExportRaw!$E354</f>
        <v/>
      </c>
      <c r="E354" s="141" t="str">
        <f aca="false">ExportRaw!$D354</f>
        <v/>
      </c>
      <c r="F354" s="140" t="str">
        <f aca="false">ExportRaw!$H354</f>
        <v/>
      </c>
      <c r="G354" s="142" t="str">
        <f aca="false">ExportRaw!$I354</f>
        <v/>
      </c>
      <c r="H354" s="140" t="str">
        <f aca="false">ExportRaw!$A354</f>
        <v/>
      </c>
      <c r="I354" s="140" t="str">
        <f aca="false">ExportRaw!$B354</f>
        <v/>
      </c>
    </row>
    <row r="355" customFormat="false" ht="15.75" hidden="false" customHeight="false" outlineLevel="0" collapsed="false">
      <c r="A355" s="140" t="n">
        <f aca="false">ExportRaw!$F355</f>
        <v>0</v>
      </c>
      <c r="B355" s="140" t="n">
        <f aca="false">ExportRaw!$C355</f>
        <v>0</v>
      </c>
      <c r="C355" s="140" t="n">
        <f aca="false">ExportRaw!$G355</f>
        <v>0</v>
      </c>
      <c r="D355" s="140" t="str">
        <f aca="false">ExportRaw!$E355</f>
        <v/>
      </c>
      <c r="E355" s="141" t="str">
        <f aca="false">ExportRaw!$D355</f>
        <v/>
      </c>
      <c r="F355" s="140" t="str">
        <f aca="false">ExportRaw!$H355</f>
        <v/>
      </c>
      <c r="G355" s="142" t="str">
        <f aca="false">ExportRaw!$I355</f>
        <v/>
      </c>
      <c r="H355" s="140" t="str">
        <f aca="false">ExportRaw!$A355</f>
        <v/>
      </c>
      <c r="I355" s="140" t="str">
        <f aca="false">ExportRaw!$B355</f>
        <v/>
      </c>
    </row>
    <row r="356" customFormat="false" ht="15.75" hidden="false" customHeight="false" outlineLevel="0" collapsed="false">
      <c r="A356" s="140" t="n">
        <f aca="false">ExportRaw!$F356</f>
        <v>0</v>
      </c>
      <c r="B356" s="140" t="n">
        <f aca="false">ExportRaw!$C356</f>
        <v>0</v>
      </c>
      <c r="C356" s="140" t="n">
        <f aca="false">ExportRaw!$G356</f>
        <v>0</v>
      </c>
      <c r="D356" s="140" t="str">
        <f aca="false">ExportRaw!$E356</f>
        <v/>
      </c>
      <c r="E356" s="141" t="str">
        <f aca="false">ExportRaw!$D356</f>
        <v/>
      </c>
      <c r="F356" s="140" t="str">
        <f aca="false">ExportRaw!$H356</f>
        <v/>
      </c>
      <c r="G356" s="142" t="str">
        <f aca="false">ExportRaw!$I356</f>
        <v/>
      </c>
      <c r="H356" s="140" t="str">
        <f aca="false">ExportRaw!$A356</f>
        <v/>
      </c>
      <c r="I356" s="140" t="str">
        <f aca="false">ExportRaw!$B356</f>
        <v/>
      </c>
    </row>
    <row r="357" customFormat="false" ht="15.75" hidden="false" customHeight="false" outlineLevel="0" collapsed="false">
      <c r="A357" s="140" t="n">
        <f aca="false">ExportRaw!$F357</f>
        <v>0</v>
      </c>
      <c r="B357" s="140" t="n">
        <f aca="false">ExportRaw!$C357</f>
        <v>0</v>
      </c>
      <c r="C357" s="140" t="n">
        <f aca="false">ExportRaw!$G357</f>
        <v>0</v>
      </c>
      <c r="D357" s="140" t="str">
        <f aca="false">ExportRaw!$E357</f>
        <v/>
      </c>
      <c r="E357" s="141" t="str">
        <f aca="false">ExportRaw!$D357</f>
        <v/>
      </c>
      <c r="F357" s="140" t="str">
        <f aca="false">ExportRaw!$H357</f>
        <v/>
      </c>
      <c r="G357" s="142" t="str">
        <f aca="false">ExportRaw!$I357</f>
        <v/>
      </c>
      <c r="H357" s="140" t="str">
        <f aca="false">ExportRaw!$A357</f>
        <v/>
      </c>
      <c r="I357" s="140" t="str">
        <f aca="false">ExportRaw!$B357</f>
        <v/>
      </c>
    </row>
    <row r="358" customFormat="false" ht="15.75" hidden="false" customHeight="false" outlineLevel="0" collapsed="false">
      <c r="A358" s="140" t="n">
        <f aca="false">ExportRaw!$F358</f>
        <v>0</v>
      </c>
      <c r="B358" s="140" t="n">
        <f aca="false">ExportRaw!$C358</f>
        <v>0</v>
      </c>
      <c r="C358" s="140" t="n">
        <f aca="false">ExportRaw!$G358</f>
        <v>0</v>
      </c>
      <c r="D358" s="140" t="str">
        <f aca="false">ExportRaw!$E358</f>
        <v/>
      </c>
      <c r="E358" s="141" t="str">
        <f aca="false">ExportRaw!$D358</f>
        <v/>
      </c>
      <c r="F358" s="140" t="str">
        <f aca="false">ExportRaw!$H358</f>
        <v/>
      </c>
      <c r="G358" s="142" t="str">
        <f aca="false">ExportRaw!$I358</f>
        <v/>
      </c>
      <c r="H358" s="140" t="str">
        <f aca="false">ExportRaw!$A358</f>
        <v/>
      </c>
      <c r="I358" s="140" t="str">
        <f aca="false">ExportRaw!$B358</f>
        <v/>
      </c>
    </row>
    <row r="359" customFormat="false" ht="15.75" hidden="false" customHeight="false" outlineLevel="0" collapsed="false">
      <c r="A359" s="140" t="n">
        <f aca="false">ExportRaw!$F359</f>
        <v>0</v>
      </c>
      <c r="B359" s="140" t="n">
        <f aca="false">ExportRaw!$C359</f>
        <v>0</v>
      </c>
      <c r="C359" s="140" t="n">
        <f aca="false">ExportRaw!$G359</f>
        <v>0</v>
      </c>
      <c r="D359" s="140" t="str">
        <f aca="false">ExportRaw!$E359</f>
        <v/>
      </c>
      <c r="E359" s="141" t="str">
        <f aca="false">ExportRaw!$D359</f>
        <v/>
      </c>
      <c r="F359" s="140" t="str">
        <f aca="false">ExportRaw!$H359</f>
        <v/>
      </c>
      <c r="G359" s="142" t="str">
        <f aca="false">ExportRaw!$I359</f>
        <v/>
      </c>
      <c r="H359" s="140" t="str">
        <f aca="false">ExportRaw!$A359</f>
        <v/>
      </c>
      <c r="I359" s="140" t="str">
        <f aca="false">ExportRaw!$B359</f>
        <v/>
      </c>
    </row>
    <row r="360" customFormat="false" ht="15.75" hidden="false" customHeight="false" outlineLevel="0" collapsed="false">
      <c r="A360" s="140" t="n">
        <f aca="false">ExportRaw!$F360</f>
        <v>0</v>
      </c>
      <c r="B360" s="140" t="n">
        <f aca="false">ExportRaw!$C360</f>
        <v>0</v>
      </c>
      <c r="C360" s="140" t="n">
        <f aca="false">ExportRaw!$G360</f>
        <v>0</v>
      </c>
      <c r="D360" s="140" t="str">
        <f aca="false">ExportRaw!$E360</f>
        <v/>
      </c>
      <c r="E360" s="141" t="str">
        <f aca="false">ExportRaw!$D360</f>
        <v/>
      </c>
      <c r="F360" s="140" t="str">
        <f aca="false">ExportRaw!$H360</f>
        <v/>
      </c>
      <c r="G360" s="142" t="str">
        <f aca="false">ExportRaw!$I360</f>
        <v/>
      </c>
      <c r="H360" s="140" t="str">
        <f aca="false">ExportRaw!$A360</f>
        <v/>
      </c>
      <c r="I360" s="140" t="str">
        <f aca="false">ExportRaw!$B360</f>
        <v/>
      </c>
    </row>
    <row r="361" customFormat="false" ht="15.75" hidden="false" customHeight="false" outlineLevel="0" collapsed="false">
      <c r="A361" s="140" t="n">
        <f aca="false">ExportRaw!$F361</f>
        <v>0</v>
      </c>
      <c r="B361" s="140" t="n">
        <f aca="false">ExportRaw!$C361</f>
        <v>0</v>
      </c>
      <c r="C361" s="140" t="n">
        <f aca="false">ExportRaw!$G361</f>
        <v>0</v>
      </c>
      <c r="D361" s="140" t="str">
        <f aca="false">ExportRaw!$E361</f>
        <v/>
      </c>
      <c r="E361" s="141" t="str">
        <f aca="false">ExportRaw!$D361</f>
        <v/>
      </c>
      <c r="F361" s="140" t="str">
        <f aca="false">ExportRaw!$H361</f>
        <v/>
      </c>
      <c r="G361" s="142" t="str">
        <f aca="false">ExportRaw!$I361</f>
        <v/>
      </c>
      <c r="H361" s="140" t="str">
        <f aca="false">ExportRaw!$A361</f>
        <v/>
      </c>
      <c r="I361" s="140" t="str">
        <f aca="false">ExportRaw!$B361</f>
        <v/>
      </c>
    </row>
    <row r="362" customFormat="false" ht="15.75" hidden="false" customHeight="false" outlineLevel="0" collapsed="false">
      <c r="A362" s="140" t="n">
        <f aca="false">ExportRaw!$F362</f>
        <v>0</v>
      </c>
      <c r="B362" s="140" t="n">
        <f aca="false">ExportRaw!$C362</f>
        <v>0</v>
      </c>
      <c r="C362" s="140" t="n">
        <f aca="false">ExportRaw!$G362</f>
        <v>0</v>
      </c>
      <c r="D362" s="140" t="str">
        <f aca="false">ExportRaw!$E362</f>
        <v/>
      </c>
      <c r="E362" s="141" t="str">
        <f aca="false">ExportRaw!$D362</f>
        <v/>
      </c>
      <c r="F362" s="140" t="str">
        <f aca="false">ExportRaw!$H362</f>
        <v/>
      </c>
      <c r="G362" s="142" t="str">
        <f aca="false">ExportRaw!$I362</f>
        <v/>
      </c>
      <c r="H362" s="140" t="str">
        <f aca="false">ExportRaw!$A362</f>
        <v/>
      </c>
      <c r="I362" s="140" t="str">
        <f aca="false">ExportRaw!$B362</f>
        <v/>
      </c>
    </row>
    <row r="363" customFormat="false" ht="15.75" hidden="false" customHeight="false" outlineLevel="0" collapsed="false">
      <c r="A363" s="140" t="n">
        <f aca="false">ExportRaw!$F363</f>
        <v>0</v>
      </c>
      <c r="B363" s="140" t="n">
        <f aca="false">ExportRaw!$C363</f>
        <v>0</v>
      </c>
      <c r="C363" s="140" t="n">
        <f aca="false">ExportRaw!$G363</f>
        <v>0</v>
      </c>
      <c r="D363" s="140" t="str">
        <f aca="false">ExportRaw!$E363</f>
        <v/>
      </c>
      <c r="E363" s="141" t="str">
        <f aca="false">ExportRaw!$D363</f>
        <v/>
      </c>
      <c r="F363" s="140" t="str">
        <f aca="false">ExportRaw!$H363</f>
        <v/>
      </c>
      <c r="G363" s="142" t="str">
        <f aca="false">ExportRaw!$I363</f>
        <v/>
      </c>
      <c r="H363" s="140" t="str">
        <f aca="false">ExportRaw!$A363</f>
        <v/>
      </c>
      <c r="I363" s="140" t="str">
        <f aca="false">ExportRaw!$B363</f>
        <v/>
      </c>
    </row>
    <row r="364" customFormat="false" ht="15.75" hidden="false" customHeight="false" outlineLevel="0" collapsed="false">
      <c r="A364" s="140" t="n">
        <f aca="false">ExportRaw!$F364</f>
        <v>0</v>
      </c>
      <c r="B364" s="140" t="n">
        <f aca="false">ExportRaw!$C364</f>
        <v>0</v>
      </c>
      <c r="C364" s="140" t="n">
        <f aca="false">ExportRaw!$G364</f>
        <v>0</v>
      </c>
      <c r="D364" s="140" t="str">
        <f aca="false">ExportRaw!$E364</f>
        <v/>
      </c>
      <c r="E364" s="141" t="str">
        <f aca="false">ExportRaw!$D364</f>
        <v/>
      </c>
      <c r="F364" s="140" t="str">
        <f aca="false">ExportRaw!$H364</f>
        <v/>
      </c>
      <c r="G364" s="142" t="str">
        <f aca="false">ExportRaw!$I364</f>
        <v/>
      </c>
      <c r="H364" s="140" t="str">
        <f aca="false">ExportRaw!$A364</f>
        <v/>
      </c>
      <c r="I364" s="140" t="str">
        <f aca="false">ExportRaw!$B364</f>
        <v/>
      </c>
    </row>
    <row r="365" customFormat="false" ht="15.75" hidden="false" customHeight="false" outlineLevel="0" collapsed="false">
      <c r="A365" s="140" t="n">
        <f aca="false">ExportRaw!$F365</f>
        <v>0</v>
      </c>
      <c r="B365" s="140" t="n">
        <f aca="false">ExportRaw!$C365</f>
        <v>0</v>
      </c>
      <c r="C365" s="140" t="n">
        <f aca="false">ExportRaw!$G365</f>
        <v>0</v>
      </c>
      <c r="D365" s="140" t="str">
        <f aca="false">ExportRaw!$E365</f>
        <v/>
      </c>
      <c r="E365" s="141" t="str">
        <f aca="false">ExportRaw!$D365</f>
        <v/>
      </c>
      <c r="F365" s="140" t="str">
        <f aca="false">ExportRaw!$H365</f>
        <v/>
      </c>
      <c r="G365" s="142" t="str">
        <f aca="false">ExportRaw!$I365</f>
        <v/>
      </c>
      <c r="H365" s="140" t="str">
        <f aca="false">ExportRaw!$A365</f>
        <v/>
      </c>
      <c r="I365" s="140" t="str">
        <f aca="false">ExportRaw!$B365</f>
        <v/>
      </c>
    </row>
    <row r="366" customFormat="false" ht="15.75" hidden="false" customHeight="false" outlineLevel="0" collapsed="false">
      <c r="A366" s="140" t="n">
        <f aca="false">ExportRaw!$F366</f>
        <v>0</v>
      </c>
      <c r="B366" s="140" t="n">
        <f aca="false">ExportRaw!$C366</f>
        <v>0</v>
      </c>
      <c r="C366" s="140" t="n">
        <f aca="false">ExportRaw!$G366</f>
        <v>0</v>
      </c>
      <c r="D366" s="140" t="str">
        <f aca="false">ExportRaw!$E366</f>
        <v/>
      </c>
      <c r="E366" s="141" t="str">
        <f aca="false">ExportRaw!$D366</f>
        <v/>
      </c>
      <c r="F366" s="140" t="str">
        <f aca="false">ExportRaw!$H366</f>
        <v/>
      </c>
      <c r="G366" s="142" t="str">
        <f aca="false">ExportRaw!$I366</f>
        <v/>
      </c>
      <c r="H366" s="140" t="str">
        <f aca="false">ExportRaw!$A366</f>
        <v/>
      </c>
      <c r="I366" s="140" t="str">
        <f aca="false">ExportRaw!$B366</f>
        <v/>
      </c>
    </row>
    <row r="367" customFormat="false" ht="15.75" hidden="false" customHeight="false" outlineLevel="0" collapsed="false">
      <c r="A367" s="140" t="n">
        <f aca="false">ExportRaw!$F367</f>
        <v>0</v>
      </c>
      <c r="B367" s="140" t="n">
        <f aca="false">ExportRaw!$C367</f>
        <v>0</v>
      </c>
      <c r="C367" s="140" t="n">
        <f aca="false">ExportRaw!$G367</f>
        <v>0</v>
      </c>
      <c r="D367" s="140" t="str">
        <f aca="false">ExportRaw!$E367</f>
        <v/>
      </c>
      <c r="E367" s="141" t="str">
        <f aca="false">ExportRaw!$D367</f>
        <v/>
      </c>
      <c r="F367" s="140" t="str">
        <f aca="false">ExportRaw!$H367</f>
        <v/>
      </c>
      <c r="G367" s="142" t="str">
        <f aca="false">ExportRaw!$I367</f>
        <v/>
      </c>
      <c r="H367" s="140" t="str">
        <f aca="false">ExportRaw!$A367</f>
        <v/>
      </c>
      <c r="I367" s="140" t="str">
        <f aca="false">ExportRaw!$B367</f>
        <v/>
      </c>
    </row>
    <row r="368" customFormat="false" ht="15.75" hidden="false" customHeight="false" outlineLevel="0" collapsed="false">
      <c r="A368" s="140" t="n">
        <f aca="false">ExportRaw!$F368</f>
        <v>0</v>
      </c>
      <c r="B368" s="140" t="n">
        <f aca="false">ExportRaw!$C368</f>
        <v>0</v>
      </c>
      <c r="C368" s="140" t="n">
        <f aca="false">ExportRaw!$G368</f>
        <v>0</v>
      </c>
      <c r="D368" s="140" t="str">
        <f aca="false">ExportRaw!$E368</f>
        <v/>
      </c>
      <c r="E368" s="141" t="str">
        <f aca="false">ExportRaw!$D368</f>
        <v/>
      </c>
      <c r="F368" s="140" t="str">
        <f aca="false">ExportRaw!$H368</f>
        <v/>
      </c>
      <c r="G368" s="142" t="str">
        <f aca="false">ExportRaw!$I368</f>
        <v/>
      </c>
      <c r="H368" s="140" t="str">
        <f aca="false">ExportRaw!$A368</f>
        <v/>
      </c>
      <c r="I368" s="140" t="str">
        <f aca="false">ExportRaw!$B368</f>
        <v/>
      </c>
    </row>
    <row r="369" customFormat="false" ht="15.75" hidden="false" customHeight="false" outlineLevel="0" collapsed="false">
      <c r="A369" s="140" t="n">
        <f aca="false">ExportRaw!$F369</f>
        <v>0</v>
      </c>
      <c r="B369" s="140" t="n">
        <f aca="false">ExportRaw!$C369</f>
        <v>0</v>
      </c>
      <c r="C369" s="140" t="n">
        <f aca="false">ExportRaw!$G369</f>
        <v>0</v>
      </c>
      <c r="D369" s="140" t="str">
        <f aca="false">ExportRaw!$E369</f>
        <v/>
      </c>
      <c r="E369" s="141" t="str">
        <f aca="false">ExportRaw!$D369</f>
        <v/>
      </c>
      <c r="F369" s="140" t="str">
        <f aca="false">ExportRaw!$H369</f>
        <v/>
      </c>
      <c r="G369" s="142" t="str">
        <f aca="false">ExportRaw!$I369</f>
        <v/>
      </c>
      <c r="H369" s="140" t="str">
        <f aca="false">ExportRaw!$A369</f>
        <v/>
      </c>
      <c r="I369" s="140" t="str">
        <f aca="false">ExportRaw!$B369</f>
        <v/>
      </c>
    </row>
    <row r="370" customFormat="false" ht="15.75" hidden="false" customHeight="false" outlineLevel="0" collapsed="false">
      <c r="A370" s="140" t="n">
        <f aca="false">ExportRaw!$F370</f>
        <v>0</v>
      </c>
      <c r="B370" s="140" t="n">
        <f aca="false">ExportRaw!$C370</f>
        <v>0</v>
      </c>
      <c r="C370" s="140" t="n">
        <f aca="false">ExportRaw!$G370</f>
        <v>0</v>
      </c>
      <c r="D370" s="140" t="str">
        <f aca="false">ExportRaw!$E370</f>
        <v/>
      </c>
      <c r="E370" s="141" t="str">
        <f aca="false">ExportRaw!$D370</f>
        <v/>
      </c>
      <c r="F370" s="140" t="str">
        <f aca="false">ExportRaw!$H370</f>
        <v/>
      </c>
      <c r="G370" s="142" t="str">
        <f aca="false">ExportRaw!$I370</f>
        <v/>
      </c>
      <c r="H370" s="140" t="str">
        <f aca="false">ExportRaw!$A370</f>
        <v/>
      </c>
      <c r="I370" s="140" t="str">
        <f aca="false">ExportRaw!$B370</f>
        <v/>
      </c>
    </row>
    <row r="371" customFormat="false" ht="15.75" hidden="false" customHeight="false" outlineLevel="0" collapsed="false">
      <c r="A371" s="140" t="n">
        <f aca="false">ExportRaw!$F371</f>
        <v>0</v>
      </c>
      <c r="B371" s="140" t="n">
        <f aca="false">ExportRaw!$C371</f>
        <v>0</v>
      </c>
      <c r="C371" s="140" t="n">
        <f aca="false">ExportRaw!$G371</f>
        <v>0</v>
      </c>
      <c r="D371" s="140" t="str">
        <f aca="false">ExportRaw!$E371</f>
        <v/>
      </c>
      <c r="E371" s="141" t="str">
        <f aca="false">ExportRaw!$D371</f>
        <v/>
      </c>
      <c r="F371" s="140" t="str">
        <f aca="false">ExportRaw!$H371</f>
        <v/>
      </c>
      <c r="G371" s="142" t="str">
        <f aca="false">ExportRaw!$I371</f>
        <v/>
      </c>
      <c r="H371" s="140" t="str">
        <f aca="false">ExportRaw!$A371</f>
        <v/>
      </c>
      <c r="I371" s="140" t="str">
        <f aca="false">ExportRaw!$B371</f>
        <v/>
      </c>
    </row>
    <row r="372" customFormat="false" ht="15.75" hidden="false" customHeight="false" outlineLevel="0" collapsed="false">
      <c r="A372" s="140" t="n">
        <f aca="false">ExportRaw!$F372</f>
        <v>0</v>
      </c>
      <c r="B372" s="140" t="n">
        <f aca="false">ExportRaw!$C372</f>
        <v>0</v>
      </c>
      <c r="C372" s="140" t="n">
        <f aca="false">ExportRaw!$G372</f>
        <v>0</v>
      </c>
      <c r="D372" s="140" t="str">
        <f aca="false">ExportRaw!$E372</f>
        <v/>
      </c>
      <c r="E372" s="141" t="str">
        <f aca="false">ExportRaw!$D372</f>
        <v/>
      </c>
      <c r="F372" s="140" t="str">
        <f aca="false">ExportRaw!$H372</f>
        <v/>
      </c>
      <c r="G372" s="142" t="str">
        <f aca="false">ExportRaw!$I372</f>
        <v/>
      </c>
      <c r="H372" s="140" t="str">
        <f aca="false">ExportRaw!$A372</f>
        <v/>
      </c>
      <c r="I372" s="140" t="str">
        <f aca="false">ExportRaw!$B372</f>
        <v/>
      </c>
    </row>
    <row r="373" customFormat="false" ht="15.75" hidden="false" customHeight="false" outlineLevel="0" collapsed="false">
      <c r="A373" s="140" t="n">
        <f aca="false">ExportRaw!$F373</f>
        <v>0</v>
      </c>
      <c r="B373" s="140" t="n">
        <f aca="false">ExportRaw!$C373</f>
        <v>0</v>
      </c>
      <c r="C373" s="140" t="n">
        <f aca="false">ExportRaw!$G373</f>
        <v>0</v>
      </c>
      <c r="D373" s="140" t="str">
        <f aca="false">ExportRaw!$E373</f>
        <v/>
      </c>
      <c r="E373" s="141" t="str">
        <f aca="false">ExportRaw!$D373</f>
        <v/>
      </c>
      <c r="F373" s="140" t="str">
        <f aca="false">ExportRaw!$H373</f>
        <v/>
      </c>
      <c r="G373" s="142" t="str">
        <f aca="false">ExportRaw!$I373</f>
        <v/>
      </c>
      <c r="H373" s="140" t="str">
        <f aca="false">ExportRaw!$A373</f>
        <v/>
      </c>
      <c r="I373" s="140" t="str">
        <f aca="false">ExportRaw!$B373</f>
        <v/>
      </c>
    </row>
    <row r="374" customFormat="false" ht="15.75" hidden="false" customHeight="false" outlineLevel="0" collapsed="false">
      <c r="A374" s="140" t="n">
        <f aca="false">ExportRaw!$F374</f>
        <v>0</v>
      </c>
      <c r="B374" s="140" t="n">
        <f aca="false">ExportRaw!$C374</f>
        <v>0</v>
      </c>
      <c r="C374" s="140" t="n">
        <f aca="false">ExportRaw!$G374</f>
        <v>0</v>
      </c>
      <c r="D374" s="140" t="str">
        <f aca="false">ExportRaw!$E374</f>
        <v/>
      </c>
      <c r="E374" s="141" t="str">
        <f aca="false">ExportRaw!$D374</f>
        <v/>
      </c>
      <c r="F374" s="140" t="str">
        <f aca="false">ExportRaw!$H374</f>
        <v/>
      </c>
      <c r="G374" s="142" t="str">
        <f aca="false">ExportRaw!$I374</f>
        <v/>
      </c>
      <c r="H374" s="140" t="str">
        <f aca="false">ExportRaw!$A374</f>
        <v/>
      </c>
      <c r="I374" s="140" t="str">
        <f aca="false">ExportRaw!$B374</f>
        <v/>
      </c>
    </row>
    <row r="375" customFormat="false" ht="15.75" hidden="false" customHeight="false" outlineLevel="0" collapsed="false">
      <c r="A375" s="140" t="n">
        <f aca="false">ExportRaw!$F375</f>
        <v>0</v>
      </c>
      <c r="B375" s="140" t="n">
        <f aca="false">ExportRaw!$C375</f>
        <v>0</v>
      </c>
      <c r="C375" s="140" t="n">
        <f aca="false">ExportRaw!$G375</f>
        <v>0</v>
      </c>
      <c r="D375" s="140" t="str">
        <f aca="false">ExportRaw!$E375</f>
        <v/>
      </c>
      <c r="E375" s="141" t="str">
        <f aca="false">ExportRaw!$D375</f>
        <v/>
      </c>
      <c r="F375" s="140" t="str">
        <f aca="false">ExportRaw!$H375</f>
        <v/>
      </c>
      <c r="G375" s="142" t="str">
        <f aca="false">ExportRaw!$I375</f>
        <v/>
      </c>
      <c r="H375" s="140" t="str">
        <f aca="false">ExportRaw!$A375</f>
        <v/>
      </c>
      <c r="I375" s="140" t="str">
        <f aca="false">ExportRaw!$B375</f>
        <v/>
      </c>
    </row>
    <row r="376" customFormat="false" ht="15.75" hidden="false" customHeight="false" outlineLevel="0" collapsed="false">
      <c r="A376" s="140" t="n">
        <f aca="false">ExportRaw!$F376</f>
        <v>0</v>
      </c>
      <c r="B376" s="140" t="n">
        <f aca="false">ExportRaw!$C376</f>
        <v>0</v>
      </c>
      <c r="C376" s="140" t="n">
        <f aca="false">ExportRaw!$G376</f>
        <v>0</v>
      </c>
      <c r="D376" s="140" t="str">
        <f aca="false">ExportRaw!$E376</f>
        <v/>
      </c>
      <c r="E376" s="141" t="str">
        <f aca="false">ExportRaw!$D376</f>
        <v/>
      </c>
      <c r="F376" s="140" t="str">
        <f aca="false">ExportRaw!$H376</f>
        <v/>
      </c>
      <c r="G376" s="142" t="str">
        <f aca="false">ExportRaw!$I376</f>
        <v/>
      </c>
      <c r="H376" s="140" t="str">
        <f aca="false">ExportRaw!$A376</f>
        <v/>
      </c>
      <c r="I376" s="140" t="str">
        <f aca="false">ExportRaw!$B376</f>
        <v/>
      </c>
    </row>
    <row r="377" customFormat="false" ht="15.75" hidden="false" customHeight="false" outlineLevel="0" collapsed="false">
      <c r="A377" s="140" t="n">
        <f aca="false">ExportRaw!$F377</f>
        <v>0</v>
      </c>
      <c r="B377" s="140" t="n">
        <f aca="false">ExportRaw!$C377</f>
        <v>0</v>
      </c>
      <c r="C377" s="140" t="n">
        <f aca="false">ExportRaw!$G377</f>
        <v>0</v>
      </c>
      <c r="D377" s="140" t="str">
        <f aca="false">ExportRaw!$E377</f>
        <v/>
      </c>
      <c r="E377" s="141" t="str">
        <f aca="false">ExportRaw!$D377</f>
        <v/>
      </c>
      <c r="F377" s="140" t="str">
        <f aca="false">ExportRaw!$H377</f>
        <v/>
      </c>
      <c r="G377" s="142" t="str">
        <f aca="false">ExportRaw!$I377</f>
        <v/>
      </c>
      <c r="H377" s="140" t="str">
        <f aca="false">ExportRaw!$A377</f>
        <v/>
      </c>
      <c r="I377" s="140" t="str">
        <f aca="false">ExportRaw!$B377</f>
        <v/>
      </c>
    </row>
    <row r="378" customFormat="false" ht="15.75" hidden="false" customHeight="false" outlineLevel="0" collapsed="false">
      <c r="A378" s="140" t="n">
        <f aca="false">ExportRaw!$F378</f>
        <v>0</v>
      </c>
      <c r="B378" s="140" t="n">
        <f aca="false">ExportRaw!$C378</f>
        <v>0</v>
      </c>
      <c r="C378" s="140" t="n">
        <f aca="false">ExportRaw!$G378</f>
        <v>0</v>
      </c>
      <c r="D378" s="140" t="str">
        <f aca="false">ExportRaw!$E378</f>
        <v/>
      </c>
      <c r="E378" s="141" t="str">
        <f aca="false">ExportRaw!$D378</f>
        <v/>
      </c>
      <c r="F378" s="140" t="str">
        <f aca="false">ExportRaw!$H378</f>
        <v/>
      </c>
      <c r="G378" s="142" t="str">
        <f aca="false">ExportRaw!$I378</f>
        <v/>
      </c>
      <c r="H378" s="140" t="str">
        <f aca="false">ExportRaw!$A378</f>
        <v/>
      </c>
      <c r="I378" s="140" t="str">
        <f aca="false">ExportRaw!$B378</f>
        <v/>
      </c>
    </row>
    <row r="379" customFormat="false" ht="15.75" hidden="false" customHeight="false" outlineLevel="0" collapsed="false">
      <c r="A379" s="140" t="n">
        <f aca="false">ExportRaw!$F379</f>
        <v>0</v>
      </c>
      <c r="B379" s="140" t="n">
        <f aca="false">ExportRaw!$C379</f>
        <v>0</v>
      </c>
      <c r="C379" s="140" t="n">
        <f aca="false">ExportRaw!$G379</f>
        <v>0</v>
      </c>
      <c r="D379" s="140" t="str">
        <f aca="false">ExportRaw!$E379</f>
        <v/>
      </c>
      <c r="E379" s="141" t="str">
        <f aca="false">ExportRaw!$D379</f>
        <v/>
      </c>
      <c r="F379" s="140" t="str">
        <f aca="false">ExportRaw!$H379</f>
        <v/>
      </c>
      <c r="G379" s="142" t="str">
        <f aca="false">ExportRaw!$I379</f>
        <v/>
      </c>
      <c r="H379" s="140" t="str">
        <f aca="false">ExportRaw!$A379</f>
        <v/>
      </c>
      <c r="I379" s="140" t="str">
        <f aca="false">ExportRaw!$B379</f>
        <v/>
      </c>
    </row>
    <row r="380" customFormat="false" ht="15.75" hidden="false" customHeight="false" outlineLevel="0" collapsed="false">
      <c r="A380" s="140" t="n">
        <f aca="false">ExportRaw!$F380</f>
        <v>0</v>
      </c>
      <c r="B380" s="140" t="n">
        <f aca="false">ExportRaw!$C380</f>
        <v>0</v>
      </c>
      <c r="C380" s="140" t="n">
        <f aca="false">ExportRaw!$G380</f>
        <v>0</v>
      </c>
      <c r="D380" s="140" t="str">
        <f aca="false">ExportRaw!$E380</f>
        <v/>
      </c>
      <c r="E380" s="141" t="str">
        <f aca="false">ExportRaw!$D380</f>
        <v/>
      </c>
      <c r="F380" s="140" t="str">
        <f aca="false">ExportRaw!$H380</f>
        <v/>
      </c>
      <c r="G380" s="142" t="str">
        <f aca="false">ExportRaw!$I380</f>
        <v/>
      </c>
      <c r="H380" s="140" t="str">
        <f aca="false">ExportRaw!$A380</f>
        <v/>
      </c>
      <c r="I380" s="140" t="str">
        <f aca="false">ExportRaw!$B380</f>
        <v/>
      </c>
    </row>
    <row r="381" customFormat="false" ht="15.75" hidden="false" customHeight="false" outlineLevel="0" collapsed="false">
      <c r="A381" s="140" t="n">
        <f aca="false">ExportRaw!$F381</f>
        <v>0</v>
      </c>
      <c r="B381" s="140" t="n">
        <f aca="false">ExportRaw!$C381</f>
        <v>0</v>
      </c>
      <c r="C381" s="140" t="n">
        <f aca="false">ExportRaw!$G381</f>
        <v>0</v>
      </c>
      <c r="D381" s="140" t="str">
        <f aca="false">ExportRaw!$E381</f>
        <v/>
      </c>
      <c r="E381" s="141" t="str">
        <f aca="false">ExportRaw!$D381</f>
        <v/>
      </c>
      <c r="F381" s="140" t="str">
        <f aca="false">ExportRaw!$H381</f>
        <v/>
      </c>
      <c r="G381" s="142" t="str">
        <f aca="false">ExportRaw!$I381</f>
        <v/>
      </c>
      <c r="H381" s="140" t="str">
        <f aca="false">ExportRaw!$A381</f>
        <v/>
      </c>
      <c r="I381" s="140" t="str">
        <f aca="false">ExportRaw!$B381</f>
        <v/>
      </c>
    </row>
    <row r="382" customFormat="false" ht="15.75" hidden="false" customHeight="false" outlineLevel="0" collapsed="false">
      <c r="A382" s="140" t="n">
        <f aca="false">ExportRaw!$F382</f>
        <v>0</v>
      </c>
      <c r="B382" s="140" t="n">
        <f aca="false">ExportRaw!$C382</f>
        <v>0</v>
      </c>
      <c r="C382" s="140" t="n">
        <f aca="false">ExportRaw!$G382</f>
        <v>0</v>
      </c>
      <c r="D382" s="140" t="str">
        <f aca="false">ExportRaw!$E382</f>
        <v/>
      </c>
      <c r="E382" s="141" t="str">
        <f aca="false">ExportRaw!$D382</f>
        <v/>
      </c>
      <c r="F382" s="140" t="str">
        <f aca="false">ExportRaw!$H382</f>
        <v/>
      </c>
      <c r="G382" s="142" t="str">
        <f aca="false">ExportRaw!$I382</f>
        <v/>
      </c>
      <c r="H382" s="140" t="str">
        <f aca="false">ExportRaw!$A382</f>
        <v/>
      </c>
      <c r="I382" s="140" t="str">
        <f aca="false">ExportRaw!$B382</f>
        <v/>
      </c>
    </row>
    <row r="383" customFormat="false" ht="15.75" hidden="false" customHeight="false" outlineLevel="0" collapsed="false">
      <c r="A383" s="140" t="n">
        <f aca="false">ExportRaw!$F383</f>
        <v>0</v>
      </c>
      <c r="B383" s="140" t="n">
        <f aca="false">ExportRaw!$C383</f>
        <v>0</v>
      </c>
      <c r="C383" s="140" t="n">
        <f aca="false">ExportRaw!$G383</f>
        <v>0</v>
      </c>
      <c r="D383" s="140" t="str">
        <f aca="false">ExportRaw!$E383</f>
        <v/>
      </c>
      <c r="E383" s="141" t="str">
        <f aca="false">ExportRaw!$D383</f>
        <v/>
      </c>
      <c r="F383" s="140" t="str">
        <f aca="false">ExportRaw!$H383</f>
        <v/>
      </c>
      <c r="G383" s="142" t="str">
        <f aca="false">ExportRaw!$I383</f>
        <v/>
      </c>
      <c r="H383" s="140" t="str">
        <f aca="false">ExportRaw!$A383</f>
        <v/>
      </c>
      <c r="I383" s="140" t="str">
        <f aca="false">ExportRaw!$B383</f>
        <v/>
      </c>
    </row>
    <row r="384" customFormat="false" ht="15.75" hidden="false" customHeight="false" outlineLevel="0" collapsed="false">
      <c r="A384" s="140" t="n">
        <f aca="false">ExportRaw!$F384</f>
        <v>0</v>
      </c>
      <c r="B384" s="140" t="n">
        <f aca="false">ExportRaw!$C384</f>
        <v>0</v>
      </c>
      <c r="C384" s="140" t="n">
        <f aca="false">ExportRaw!$G384</f>
        <v>0</v>
      </c>
      <c r="D384" s="140" t="str">
        <f aca="false">ExportRaw!$E384</f>
        <v/>
      </c>
      <c r="E384" s="141" t="str">
        <f aca="false">ExportRaw!$D384</f>
        <v/>
      </c>
      <c r="F384" s="140" t="str">
        <f aca="false">ExportRaw!$H384</f>
        <v/>
      </c>
      <c r="G384" s="142" t="str">
        <f aca="false">ExportRaw!$I384</f>
        <v/>
      </c>
      <c r="H384" s="140" t="str">
        <f aca="false">ExportRaw!$A384</f>
        <v/>
      </c>
      <c r="I384" s="140" t="str">
        <f aca="false">ExportRaw!$B384</f>
        <v/>
      </c>
    </row>
    <row r="385" customFormat="false" ht="15.75" hidden="false" customHeight="false" outlineLevel="0" collapsed="false">
      <c r="A385" s="140" t="n">
        <f aca="false">ExportRaw!$F385</f>
        <v>0</v>
      </c>
      <c r="B385" s="140" t="n">
        <f aca="false">ExportRaw!$C385</f>
        <v>0</v>
      </c>
      <c r="C385" s="140" t="n">
        <f aca="false">ExportRaw!$G385</f>
        <v>0</v>
      </c>
      <c r="D385" s="140" t="str">
        <f aca="false">ExportRaw!$E385</f>
        <v/>
      </c>
      <c r="E385" s="141" t="str">
        <f aca="false">ExportRaw!$D385</f>
        <v/>
      </c>
      <c r="F385" s="140" t="str">
        <f aca="false">ExportRaw!$H385</f>
        <v/>
      </c>
      <c r="G385" s="142" t="str">
        <f aca="false">ExportRaw!$I385</f>
        <v/>
      </c>
      <c r="H385" s="140" t="str">
        <f aca="false">ExportRaw!$A385</f>
        <v/>
      </c>
      <c r="I385" s="140" t="str">
        <f aca="false">ExportRaw!$B385</f>
        <v/>
      </c>
    </row>
    <row r="386" customFormat="false" ht="15.75" hidden="false" customHeight="false" outlineLevel="0" collapsed="false">
      <c r="A386" s="140" t="n">
        <f aca="false">ExportRaw!$F386</f>
        <v>0</v>
      </c>
      <c r="B386" s="140" t="n">
        <f aca="false">ExportRaw!$C386</f>
        <v>0</v>
      </c>
      <c r="C386" s="140" t="n">
        <f aca="false">ExportRaw!$G386</f>
        <v>0</v>
      </c>
      <c r="D386" s="140" t="str">
        <f aca="false">ExportRaw!$E386</f>
        <v/>
      </c>
      <c r="E386" s="141" t="str">
        <f aca="false">ExportRaw!$D386</f>
        <v/>
      </c>
      <c r="F386" s="140" t="str">
        <f aca="false">ExportRaw!$H386</f>
        <v/>
      </c>
      <c r="G386" s="142" t="str">
        <f aca="false">ExportRaw!$I386</f>
        <v/>
      </c>
      <c r="H386" s="140" t="str">
        <f aca="false">ExportRaw!$A386</f>
        <v/>
      </c>
      <c r="I386" s="140" t="str">
        <f aca="false">ExportRaw!$B386</f>
        <v/>
      </c>
    </row>
    <row r="387" customFormat="false" ht="15.75" hidden="false" customHeight="false" outlineLevel="0" collapsed="false">
      <c r="A387" s="140" t="n">
        <f aca="false">ExportRaw!$F387</f>
        <v>0</v>
      </c>
      <c r="B387" s="140" t="n">
        <f aca="false">ExportRaw!$C387</f>
        <v>0</v>
      </c>
      <c r="C387" s="140" t="n">
        <f aca="false">ExportRaw!$G387</f>
        <v>0</v>
      </c>
      <c r="D387" s="140" t="str">
        <f aca="false">ExportRaw!$E387</f>
        <v/>
      </c>
      <c r="E387" s="141" t="str">
        <f aca="false">ExportRaw!$D387</f>
        <v/>
      </c>
      <c r="F387" s="140" t="str">
        <f aca="false">ExportRaw!$H387</f>
        <v/>
      </c>
      <c r="G387" s="142" t="str">
        <f aca="false">ExportRaw!$I387</f>
        <v/>
      </c>
      <c r="H387" s="140" t="str">
        <f aca="false">ExportRaw!$A387</f>
        <v/>
      </c>
      <c r="I387" s="140" t="str">
        <f aca="false">ExportRaw!$B387</f>
        <v/>
      </c>
    </row>
    <row r="388" customFormat="false" ht="15.75" hidden="false" customHeight="false" outlineLevel="0" collapsed="false">
      <c r="A388" s="140" t="n">
        <f aca="false">ExportRaw!$F388</f>
        <v>0</v>
      </c>
      <c r="B388" s="140" t="n">
        <f aca="false">ExportRaw!$C388</f>
        <v>0</v>
      </c>
      <c r="C388" s="140" t="n">
        <f aca="false">ExportRaw!$G388</f>
        <v>0</v>
      </c>
      <c r="D388" s="140" t="str">
        <f aca="false">ExportRaw!$E388</f>
        <v/>
      </c>
      <c r="E388" s="141" t="str">
        <f aca="false">ExportRaw!$D388</f>
        <v/>
      </c>
      <c r="F388" s="140" t="str">
        <f aca="false">ExportRaw!$H388</f>
        <v/>
      </c>
      <c r="G388" s="142" t="str">
        <f aca="false">ExportRaw!$I388</f>
        <v/>
      </c>
      <c r="H388" s="140" t="str">
        <f aca="false">ExportRaw!$A388</f>
        <v/>
      </c>
      <c r="I388" s="140" t="str">
        <f aca="false">ExportRaw!$B388</f>
        <v/>
      </c>
    </row>
    <row r="389" customFormat="false" ht="15.75" hidden="false" customHeight="false" outlineLevel="0" collapsed="false">
      <c r="A389" s="140" t="n">
        <f aca="false">ExportRaw!$F389</f>
        <v>0</v>
      </c>
      <c r="B389" s="140" t="n">
        <f aca="false">ExportRaw!$C389</f>
        <v>0</v>
      </c>
      <c r="C389" s="140" t="n">
        <f aca="false">ExportRaw!$G389</f>
        <v>0</v>
      </c>
      <c r="D389" s="140" t="str">
        <f aca="false">ExportRaw!$E389</f>
        <v/>
      </c>
      <c r="E389" s="141" t="str">
        <f aca="false">ExportRaw!$D389</f>
        <v/>
      </c>
      <c r="F389" s="140" t="str">
        <f aca="false">ExportRaw!$H389</f>
        <v/>
      </c>
      <c r="G389" s="142" t="str">
        <f aca="false">ExportRaw!$I389</f>
        <v/>
      </c>
      <c r="H389" s="140" t="str">
        <f aca="false">ExportRaw!$A389</f>
        <v/>
      </c>
      <c r="I389" s="140" t="str">
        <f aca="false">ExportRaw!$B389</f>
        <v/>
      </c>
    </row>
    <row r="390" customFormat="false" ht="15.75" hidden="false" customHeight="false" outlineLevel="0" collapsed="false">
      <c r="A390" s="140" t="n">
        <f aca="false">ExportRaw!$F390</f>
        <v>0</v>
      </c>
      <c r="B390" s="140" t="n">
        <f aca="false">ExportRaw!$C390</f>
        <v>0</v>
      </c>
      <c r="C390" s="140" t="n">
        <f aca="false">ExportRaw!$G390</f>
        <v>0</v>
      </c>
      <c r="D390" s="140" t="str">
        <f aca="false">ExportRaw!$E390</f>
        <v/>
      </c>
      <c r="E390" s="141" t="str">
        <f aca="false">ExportRaw!$D390</f>
        <v/>
      </c>
      <c r="F390" s="140" t="str">
        <f aca="false">ExportRaw!$H390</f>
        <v/>
      </c>
      <c r="G390" s="142" t="str">
        <f aca="false">ExportRaw!$I390</f>
        <v/>
      </c>
      <c r="H390" s="140" t="str">
        <f aca="false">ExportRaw!$A390</f>
        <v/>
      </c>
      <c r="I390" s="140" t="str">
        <f aca="false">ExportRaw!$B390</f>
        <v/>
      </c>
    </row>
    <row r="391" customFormat="false" ht="15.75" hidden="false" customHeight="false" outlineLevel="0" collapsed="false">
      <c r="A391" s="140" t="n">
        <f aca="false">ExportRaw!$F391</f>
        <v>0</v>
      </c>
      <c r="B391" s="140" t="n">
        <f aca="false">ExportRaw!$C391</f>
        <v>0</v>
      </c>
      <c r="C391" s="140" t="n">
        <f aca="false">ExportRaw!$G391</f>
        <v>0</v>
      </c>
      <c r="D391" s="140" t="str">
        <f aca="false">ExportRaw!$E391</f>
        <v/>
      </c>
      <c r="E391" s="141" t="str">
        <f aca="false">ExportRaw!$D391</f>
        <v/>
      </c>
      <c r="F391" s="140" t="str">
        <f aca="false">ExportRaw!$H391</f>
        <v/>
      </c>
      <c r="G391" s="142" t="str">
        <f aca="false">ExportRaw!$I391</f>
        <v/>
      </c>
      <c r="H391" s="140" t="str">
        <f aca="false">ExportRaw!$A391</f>
        <v/>
      </c>
      <c r="I391" s="140" t="str">
        <f aca="false">ExportRaw!$B391</f>
        <v/>
      </c>
    </row>
    <row r="392" customFormat="false" ht="15.75" hidden="false" customHeight="false" outlineLevel="0" collapsed="false">
      <c r="A392" s="140" t="n">
        <f aca="false">ExportRaw!$F392</f>
        <v>0</v>
      </c>
      <c r="B392" s="140" t="n">
        <f aca="false">ExportRaw!$C392</f>
        <v>0</v>
      </c>
      <c r="C392" s="140" t="n">
        <f aca="false">ExportRaw!$G392</f>
        <v>0</v>
      </c>
      <c r="D392" s="140" t="str">
        <f aca="false">ExportRaw!$E392</f>
        <v/>
      </c>
      <c r="E392" s="141" t="str">
        <f aca="false">ExportRaw!$D392</f>
        <v/>
      </c>
      <c r="F392" s="140" t="str">
        <f aca="false">ExportRaw!$H392</f>
        <v/>
      </c>
      <c r="G392" s="142" t="str">
        <f aca="false">ExportRaw!$I392</f>
        <v/>
      </c>
      <c r="H392" s="140" t="str">
        <f aca="false">ExportRaw!$A392</f>
        <v/>
      </c>
      <c r="I392" s="140" t="str">
        <f aca="false">ExportRaw!$B392</f>
        <v/>
      </c>
    </row>
    <row r="393" customFormat="false" ht="15.75" hidden="false" customHeight="false" outlineLevel="0" collapsed="false">
      <c r="A393" s="140" t="n">
        <f aca="false">ExportRaw!$F393</f>
        <v>0</v>
      </c>
      <c r="B393" s="140" t="n">
        <f aca="false">ExportRaw!$C393</f>
        <v>0</v>
      </c>
      <c r="C393" s="140" t="n">
        <f aca="false">ExportRaw!$G393</f>
        <v>0</v>
      </c>
      <c r="D393" s="140" t="str">
        <f aca="false">ExportRaw!$E393</f>
        <v/>
      </c>
      <c r="E393" s="141" t="str">
        <f aca="false">ExportRaw!$D393</f>
        <v/>
      </c>
      <c r="F393" s="140" t="str">
        <f aca="false">ExportRaw!$H393</f>
        <v/>
      </c>
      <c r="G393" s="142" t="str">
        <f aca="false">ExportRaw!$I393</f>
        <v/>
      </c>
      <c r="H393" s="140" t="str">
        <f aca="false">ExportRaw!$A393</f>
        <v/>
      </c>
      <c r="I393" s="140" t="str">
        <f aca="false">ExportRaw!$B393</f>
        <v/>
      </c>
    </row>
    <row r="394" customFormat="false" ht="15.75" hidden="false" customHeight="false" outlineLevel="0" collapsed="false">
      <c r="A394" s="140" t="n">
        <f aca="false">ExportRaw!$F394</f>
        <v>0</v>
      </c>
      <c r="B394" s="140" t="n">
        <f aca="false">ExportRaw!$C394</f>
        <v>0</v>
      </c>
      <c r="C394" s="140" t="n">
        <f aca="false">ExportRaw!$G394</f>
        <v>0</v>
      </c>
      <c r="D394" s="140" t="str">
        <f aca="false">ExportRaw!$E394</f>
        <v/>
      </c>
      <c r="E394" s="141" t="str">
        <f aca="false">ExportRaw!$D394</f>
        <v/>
      </c>
      <c r="F394" s="140" t="str">
        <f aca="false">ExportRaw!$H394</f>
        <v/>
      </c>
      <c r="G394" s="142" t="str">
        <f aca="false">ExportRaw!$I394</f>
        <v/>
      </c>
      <c r="H394" s="140" t="str">
        <f aca="false">ExportRaw!$A394</f>
        <v/>
      </c>
      <c r="I394" s="140" t="str">
        <f aca="false">ExportRaw!$B394</f>
        <v/>
      </c>
    </row>
    <row r="395" customFormat="false" ht="15.75" hidden="false" customHeight="false" outlineLevel="0" collapsed="false">
      <c r="A395" s="140" t="n">
        <f aca="false">ExportRaw!$F395</f>
        <v>0</v>
      </c>
      <c r="B395" s="140" t="n">
        <f aca="false">ExportRaw!$C395</f>
        <v>0</v>
      </c>
      <c r="C395" s="140" t="n">
        <f aca="false">ExportRaw!$G395</f>
        <v>0</v>
      </c>
      <c r="D395" s="140" t="str">
        <f aca="false">ExportRaw!$E395</f>
        <v/>
      </c>
      <c r="E395" s="141" t="str">
        <f aca="false">ExportRaw!$D395</f>
        <v/>
      </c>
      <c r="F395" s="140" t="str">
        <f aca="false">ExportRaw!$H395</f>
        <v/>
      </c>
      <c r="G395" s="142" t="str">
        <f aca="false">ExportRaw!$I395</f>
        <v/>
      </c>
      <c r="H395" s="140" t="str">
        <f aca="false">ExportRaw!$A395</f>
        <v/>
      </c>
      <c r="I395" s="140" t="str">
        <f aca="false">ExportRaw!$B395</f>
        <v/>
      </c>
    </row>
    <row r="396" customFormat="false" ht="15.75" hidden="false" customHeight="false" outlineLevel="0" collapsed="false">
      <c r="A396" s="140" t="n">
        <f aca="false">ExportRaw!$F396</f>
        <v>0</v>
      </c>
      <c r="B396" s="140" t="n">
        <f aca="false">ExportRaw!$C396</f>
        <v>0</v>
      </c>
      <c r="C396" s="140" t="n">
        <f aca="false">ExportRaw!$G396</f>
        <v>0</v>
      </c>
      <c r="D396" s="140" t="str">
        <f aca="false">ExportRaw!$E396</f>
        <v/>
      </c>
      <c r="E396" s="141" t="str">
        <f aca="false">ExportRaw!$D396</f>
        <v/>
      </c>
      <c r="F396" s="140" t="str">
        <f aca="false">ExportRaw!$H396</f>
        <v/>
      </c>
      <c r="G396" s="142" t="str">
        <f aca="false">ExportRaw!$I396</f>
        <v/>
      </c>
      <c r="H396" s="140" t="str">
        <f aca="false">ExportRaw!$A396</f>
        <v/>
      </c>
      <c r="I396" s="140" t="str">
        <f aca="false">ExportRaw!$B396</f>
        <v/>
      </c>
    </row>
    <row r="397" customFormat="false" ht="15.75" hidden="false" customHeight="false" outlineLevel="0" collapsed="false">
      <c r="A397" s="140" t="n">
        <f aca="false">ExportRaw!$F397</f>
        <v>0</v>
      </c>
      <c r="B397" s="140" t="n">
        <f aca="false">ExportRaw!$C397</f>
        <v>0</v>
      </c>
      <c r="C397" s="140" t="n">
        <f aca="false">ExportRaw!$G397</f>
        <v>0</v>
      </c>
      <c r="D397" s="140" t="str">
        <f aca="false">ExportRaw!$E397</f>
        <v/>
      </c>
      <c r="E397" s="141" t="str">
        <f aca="false">ExportRaw!$D397</f>
        <v/>
      </c>
      <c r="F397" s="140" t="str">
        <f aca="false">ExportRaw!$H397</f>
        <v/>
      </c>
      <c r="G397" s="142" t="str">
        <f aca="false">ExportRaw!$I397</f>
        <v/>
      </c>
      <c r="H397" s="140" t="str">
        <f aca="false">ExportRaw!$A397</f>
        <v/>
      </c>
      <c r="I397" s="140" t="str">
        <f aca="false">ExportRaw!$B397</f>
        <v/>
      </c>
    </row>
    <row r="398" customFormat="false" ht="15.75" hidden="false" customHeight="false" outlineLevel="0" collapsed="false">
      <c r="A398" s="140" t="n">
        <f aca="false">ExportRaw!$F398</f>
        <v>0</v>
      </c>
      <c r="B398" s="140" t="n">
        <f aca="false">ExportRaw!$C398</f>
        <v>0</v>
      </c>
      <c r="C398" s="140" t="n">
        <f aca="false">ExportRaw!$G398</f>
        <v>0</v>
      </c>
      <c r="D398" s="140" t="str">
        <f aca="false">ExportRaw!$E398</f>
        <v/>
      </c>
      <c r="E398" s="141" t="str">
        <f aca="false">ExportRaw!$D398</f>
        <v/>
      </c>
      <c r="F398" s="140" t="str">
        <f aca="false">ExportRaw!$H398</f>
        <v/>
      </c>
      <c r="G398" s="142" t="str">
        <f aca="false">ExportRaw!$I398</f>
        <v/>
      </c>
      <c r="H398" s="140" t="str">
        <f aca="false">ExportRaw!$A398</f>
        <v/>
      </c>
      <c r="I398" s="140" t="str">
        <f aca="false">ExportRaw!$B398</f>
        <v/>
      </c>
    </row>
    <row r="399" customFormat="false" ht="15.75" hidden="false" customHeight="false" outlineLevel="0" collapsed="false">
      <c r="A399" s="140" t="n">
        <f aca="false">ExportRaw!$F399</f>
        <v>0</v>
      </c>
      <c r="B399" s="140" t="n">
        <f aca="false">ExportRaw!$C399</f>
        <v>0</v>
      </c>
      <c r="C399" s="140" t="n">
        <f aca="false">ExportRaw!$G399</f>
        <v>0</v>
      </c>
      <c r="D399" s="140" t="str">
        <f aca="false">ExportRaw!$E399</f>
        <v/>
      </c>
      <c r="E399" s="141" t="str">
        <f aca="false">ExportRaw!$D399</f>
        <v/>
      </c>
      <c r="F399" s="140" t="str">
        <f aca="false">ExportRaw!$H399</f>
        <v/>
      </c>
      <c r="G399" s="142" t="str">
        <f aca="false">ExportRaw!$I399</f>
        <v/>
      </c>
      <c r="H399" s="140" t="str">
        <f aca="false">ExportRaw!$A399</f>
        <v/>
      </c>
      <c r="I399" s="140" t="str">
        <f aca="false">ExportRaw!$B399</f>
        <v/>
      </c>
    </row>
    <row r="400" customFormat="false" ht="15.75" hidden="false" customHeight="false" outlineLevel="0" collapsed="false">
      <c r="A400" s="140" t="n">
        <f aca="false">ExportRaw!$F400</f>
        <v>0</v>
      </c>
      <c r="B400" s="140" t="n">
        <f aca="false">ExportRaw!$C400</f>
        <v>0</v>
      </c>
      <c r="C400" s="140" t="n">
        <f aca="false">ExportRaw!$G400</f>
        <v>0</v>
      </c>
      <c r="D400" s="140" t="str">
        <f aca="false">ExportRaw!$E400</f>
        <v/>
      </c>
      <c r="E400" s="141" t="str">
        <f aca="false">ExportRaw!$D400</f>
        <v/>
      </c>
      <c r="F400" s="140" t="str">
        <f aca="false">ExportRaw!$H400</f>
        <v/>
      </c>
      <c r="G400" s="142" t="str">
        <f aca="false">ExportRaw!$I400</f>
        <v/>
      </c>
      <c r="H400" s="140" t="str">
        <f aca="false">ExportRaw!$A400</f>
        <v/>
      </c>
      <c r="I400" s="140" t="str">
        <f aca="false">ExportRaw!$B400</f>
        <v/>
      </c>
    </row>
    <row r="401" customFormat="false" ht="15.75" hidden="false" customHeight="false" outlineLevel="0" collapsed="false">
      <c r="A401" s="140" t="n">
        <f aca="false">ExportRaw!$F401</f>
        <v>0</v>
      </c>
      <c r="B401" s="140" t="n">
        <f aca="false">ExportRaw!$C401</f>
        <v>0</v>
      </c>
      <c r="C401" s="140" t="n">
        <f aca="false">ExportRaw!$G401</f>
        <v>0</v>
      </c>
      <c r="D401" s="140" t="str">
        <f aca="false">ExportRaw!$E401</f>
        <v/>
      </c>
      <c r="E401" s="141" t="str">
        <f aca="false">ExportRaw!$D401</f>
        <v/>
      </c>
      <c r="F401" s="140" t="str">
        <f aca="false">ExportRaw!$H401</f>
        <v/>
      </c>
      <c r="G401" s="142" t="str">
        <f aca="false">ExportRaw!$I401</f>
        <v/>
      </c>
      <c r="H401" s="140" t="str">
        <f aca="false">ExportRaw!$A401</f>
        <v/>
      </c>
      <c r="I401" s="140" t="str">
        <f aca="false">ExportRaw!$B401</f>
        <v/>
      </c>
    </row>
    <row r="402" customFormat="false" ht="15.75" hidden="false" customHeight="false" outlineLevel="0" collapsed="false">
      <c r="A402" s="140" t="n">
        <f aca="false">ExportRaw!$F402</f>
        <v>0</v>
      </c>
      <c r="B402" s="140" t="n">
        <f aca="false">ExportRaw!$C402</f>
        <v>0</v>
      </c>
      <c r="C402" s="140" t="n">
        <f aca="false">ExportRaw!$G402</f>
        <v>0</v>
      </c>
      <c r="D402" s="140" t="str">
        <f aca="false">ExportRaw!$E402</f>
        <v/>
      </c>
      <c r="E402" s="141" t="str">
        <f aca="false">ExportRaw!$D402</f>
        <v/>
      </c>
      <c r="F402" s="140" t="str">
        <f aca="false">ExportRaw!$H402</f>
        <v/>
      </c>
      <c r="G402" s="142" t="str">
        <f aca="false">ExportRaw!$I402</f>
        <v/>
      </c>
      <c r="H402" s="140" t="str">
        <f aca="false">ExportRaw!$A402</f>
        <v/>
      </c>
      <c r="I402" s="140" t="str">
        <f aca="false">ExportRaw!$B402</f>
        <v/>
      </c>
    </row>
    <row r="403" customFormat="false" ht="15.75" hidden="false" customHeight="false" outlineLevel="0" collapsed="false">
      <c r="A403" s="140" t="n">
        <f aca="false">ExportRaw!$F403</f>
        <v>0</v>
      </c>
      <c r="B403" s="140" t="n">
        <f aca="false">ExportRaw!$C403</f>
        <v>0</v>
      </c>
      <c r="C403" s="140" t="n">
        <f aca="false">ExportRaw!$G403</f>
        <v>0</v>
      </c>
      <c r="D403" s="140" t="str">
        <f aca="false">ExportRaw!$E403</f>
        <v/>
      </c>
      <c r="E403" s="141" t="str">
        <f aca="false">ExportRaw!$D403</f>
        <v/>
      </c>
      <c r="F403" s="140" t="str">
        <f aca="false">ExportRaw!$H403</f>
        <v/>
      </c>
      <c r="G403" s="142" t="str">
        <f aca="false">ExportRaw!$I403</f>
        <v/>
      </c>
      <c r="H403" s="140" t="str">
        <f aca="false">ExportRaw!$A403</f>
        <v/>
      </c>
      <c r="I403" s="140" t="str">
        <f aca="false">ExportRaw!$B403</f>
        <v/>
      </c>
    </row>
    <row r="404" customFormat="false" ht="15.75" hidden="false" customHeight="false" outlineLevel="0" collapsed="false">
      <c r="A404" s="140" t="n">
        <f aca="false">ExportRaw!$F404</f>
        <v>0</v>
      </c>
      <c r="B404" s="140" t="n">
        <f aca="false">ExportRaw!$C404</f>
        <v>0</v>
      </c>
      <c r="C404" s="140" t="n">
        <f aca="false">ExportRaw!$G404</f>
        <v>0</v>
      </c>
      <c r="D404" s="140" t="str">
        <f aca="false">ExportRaw!$E404</f>
        <v/>
      </c>
      <c r="E404" s="141" t="str">
        <f aca="false">ExportRaw!$D404</f>
        <v/>
      </c>
      <c r="F404" s="140" t="str">
        <f aca="false">ExportRaw!$H404</f>
        <v/>
      </c>
      <c r="G404" s="142" t="str">
        <f aca="false">ExportRaw!$I404</f>
        <v/>
      </c>
      <c r="H404" s="140" t="str">
        <f aca="false">ExportRaw!$A404</f>
        <v/>
      </c>
      <c r="I404" s="140" t="str">
        <f aca="false">ExportRaw!$B404</f>
        <v/>
      </c>
    </row>
    <row r="405" customFormat="false" ht="15.75" hidden="false" customHeight="false" outlineLevel="0" collapsed="false">
      <c r="A405" s="140" t="n">
        <f aca="false">ExportRaw!$F405</f>
        <v>0</v>
      </c>
      <c r="B405" s="140" t="n">
        <f aca="false">ExportRaw!$C405</f>
        <v>0</v>
      </c>
      <c r="C405" s="140" t="n">
        <f aca="false">ExportRaw!$G405</f>
        <v>0</v>
      </c>
      <c r="D405" s="140" t="str">
        <f aca="false">ExportRaw!$E405</f>
        <v/>
      </c>
      <c r="E405" s="141" t="str">
        <f aca="false">ExportRaw!$D405</f>
        <v/>
      </c>
      <c r="F405" s="140" t="str">
        <f aca="false">ExportRaw!$H405</f>
        <v/>
      </c>
      <c r="G405" s="142" t="str">
        <f aca="false">ExportRaw!$I405</f>
        <v/>
      </c>
      <c r="H405" s="140" t="str">
        <f aca="false">ExportRaw!$A405</f>
        <v/>
      </c>
      <c r="I405" s="140" t="str">
        <f aca="false">ExportRaw!$B405</f>
        <v/>
      </c>
    </row>
    <row r="406" customFormat="false" ht="15.75" hidden="false" customHeight="false" outlineLevel="0" collapsed="false">
      <c r="A406" s="140" t="n">
        <f aca="false">ExportRaw!$F406</f>
        <v>0</v>
      </c>
      <c r="B406" s="140" t="n">
        <f aca="false">ExportRaw!$C406</f>
        <v>0</v>
      </c>
      <c r="C406" s="140" t="n">
        <f aca="false">ExportRaw!$G406</f>
        <v>0</v>
      </c>
      <c r="D406" s="140" t="str">
        <f aca="false">ExportRaw!$E406</f>
        <v/>
      </c>
      <c r="E406" s="141" t="str">
        <f aca="false">ExportRaw!$D406</f>
        <v/>
      </c>
      <c r="F406" s="140" t="str">
        <f aca="false">ExportRaw!$H406</f>
        <v/>
      </c>
      <c r="G406" s="142" t="str">
        <f aca="false">ExportRaw!$I406</f>
        <v/>
      </c>
      <c r="H406" s="140" t="str">
        <f aca="false">ExportRaw!$A406</f>
        <v/>
      </c>
      <c r="I406" s="140" t="str">
        <f aca="false">ExportRaw!$B406</f>
        <v/>
      </c>
    </row>
    <row r="407" customFormat="false" ht="15.75" hidden="false" customHeight="false" outlineLevel="0" collapsed="false">
      <c r="A407" s="140" t="n">
        <f aca="false">ExportRaw!$F407</f>
        <v>0</v>
      </c>
      <c r="B407" s="140" t="n">
        <f aca="false">ExportRaw!$C407</f>
        <v>0</v>
      </c>
      <c r="C407" s="140" t="n">
        <f aca="false">ExportRaw!$G407</f>
        <v>0</v>
      </c>
      <c r="D407" s="140" t="str">
        <f aca="false">ExportRaw!$E407</f>
        <v/>
      </c>
      <c r="E407" s="141" t="str">
        <f aca="false">ExportRaw!$D407</f>
        <v/>
      </c>
      <c r="F407" s="140" t="str">
        <f aca="false">ExportRaw!$H407</f>
        <v/>
      </c>
      <c r="G407" s="142" t="str">
        <f aca="false">ExportRaw!$I407</f>
        <v/>
      </c>
      <c r="H407" s="140" t="str">
        <f aca="false">ExportRaw!$A407</f>
        <v/>
      </c>
      <c r="I407" s="140" t="str">
        <f aca="false">ExportRaw!$B407</f>
        <v/>
      </c>
    </row>
    <row r="408" customFormat="false" ht="15.75" hidden="false" customHeight="false" outlineLevel="0" collapsed="false">
      <c r="A408" s="140" t="n">
        <f aca="false">ExportRaw!$F408</f>
        <v>0</v>
      </c>
      <c r="B408" s="140" t="n">
        <f aca="false">ExportRaw!$C408</f>
        <v>0</v>
      </c>
      <c r="C408" s="140" t="n">
        <f aca="false">ExportRaw!$G408</f>
        <v>0</v>
      </c>
      <c r="D408" s="140" t="str">
        <f aca="false">ExportRaw!$E408</f>
        <v/>
      </c>
      <c r="E408" s="141" t="str">
        <f aca="false">ExportRaw!$D408</f>
        <v/>
      </c>
      <c r="F408" s="140" t="str">
        <f aca="false">ExportRaw!$H408</f>
        <v/>
      </c>
      <c r="G408" s="142" t="str">
        <f aca="false">ExportRaw!$I408</f>
        <v/>
      </c>
      <c r="H408" s="140" t="str">
        <f aca="false">ExportRaw!$A408</f>
        <v/>
      </c>
      <c r="I408" s="140" t="str">
        <f aca="false">ExportRaw!$B408</f>
        <v/>
      </c>
    </row>
    <row r="409" customFormat="false" ht="15.75" hidden="false" customHeight="false" outlineLevel="0" collapsed="false">
      <c r="A409" s="140" t="n">
        <f aca="false">ExportRaw!$F409</f>
        <v>0</v>
      </c>
      <c r="B409" s="140" t="n">
        <f aca="false">ExportRaw!$C409</f>
        <v>0</v>
      </c>
      <c r="C409" s="140" t="n">
        <f aca="false">ExportRaw!$G409</f>
        <v>0</v>
      </c>
      <c r="D409" s="140" t="str">
        <f aca="false">ExportRaw!$E409</f>
        <v/>
      </c>
      <c r="E409" s="141" t="str">
        <f aca="false">ExportRaw!$D409</f>
        <v/>
      </c>
      <c r="F409" s="140" t="str">
        <f aca="false">ExportRaw!$H409</f>
        <v/>
      </c>
      <c r="G409" s="142" t="str">
        <f aca="false">ExportRaw!$I409</f>
        <v/>
      </c>
      <c r="H409" s="140" t="str">
        <f aca="false">ExportRaw!$A409</f>
        <v/>
      </c>
      <c r="I409" s="140" t="str">
        <f aca="false">ExportRaw!$B409</f>
        <v/>
      </c>
    </row>
    <row r="410" customFormat="false" ht="15.75" hidden="false" customHeight="false" outlineLevel="0" collapsed="false">
      <c r="A410" s="140" t="n">
        <f aca="false">ExportRaw!$F410</f>
        <v>0</v>
      </c>
      <c r="B410" s="140" t="n">
        <f aca="false">ExportRaw!$C410</f>
        <v>0</v>
      </c>
      <c r="C410" s="140" t="n">
        <f aca="false">ExportRaw!$G410</f>
        <v>0</v>
      </c>
      <c r="D410" s="140" t="str">
        <f aca="false">ExportRaw!$E410</f>
        <v/>
      </c>
      <c r="E410" s="141" t="str">
        <f aca="false">ExportRaw!$D410</f>
        <v/>
      </c>
      <c r="F410" s="140" t="str">
        <f aca="false">ExportRaw!$H410</f>
        <v/>
      </c>
      <c r="G410" s="142" t="str">
        <f aca="false">ExportRaw!$I410</f>
        <v/>
      </c>
      <c r="H410" s="140" t="str">
        <f aca="false">ExportRaw!$A410</f>
        <v/>
      </c>
      <c r="I410" s="140" t="str">
        <f aca="false">ExportRaw!$B410</f>
        <v/>
      </c>
    </row>
    <row r="411" customFormat="false" ht="15.75" hidden="false" customHeight="false" outlineLevel="0" collapsed="false">
      <c r="A411" s="140" t="n">
        <f aca="false">ExportRaw!$F411</f>
        <v>0</v>
      </c>
      <c r="B411" s="140" t="n">
        <f aca="false">ExportRaw!$C411</f>
        <v>0</v>
      </c>
      <c r="C411" s="140" t="n">
        <f aca="false">ExportRaw!$G411</f>
        <v>0</v>
      </c>
      <c r="D411" s="140" t="str">
        <f aca="false">ExportRaw!$E411</f>
        <v/>
      </c>
      <c r="E411" s="141" t="str">
        <f aca="false">ExportRaw!$D411</f>
        <v/>
      </c>
      <c r="F411" s="140" t="str">
        <f aca="false">ExportRaw!$H411</f>
        <v/>
      </c>
      <c r="G411" s="142" t="str">
        <f aca="false">ExportRaw!$I411</f>
        <v/>
      </c>
      <c r="H411" s="140" t="str">
        <f aca="false">ExportRaw!$A411</f>
        <v/>
      </c>
      <c r="I411" s="140" t="str">
        <f aca="false">ExportRaw!$B411</f>
        <v/>
      </c>
    </row>
    <row r="412" customFormat="false" ht="15.75" hidden="false" customHeight="false" outlineLevel="0" collapsed="false">
      <c r="A412" s="140" t="n">
        <f aca="false">ExportRaw!$F412</f>
        <v>0</v>
      </c>
      <c r="B412" s="140" t="n">
        <f aca="false">ExportRaw!$C412</f>
        <v>0</v>
      </c>
      <c r="C412" s="140" t="n">
        <f aca="false">ExportRaw!$G412</f>
        <v>0</v>
      </c>
      <c r="D412" s="140" t="str">
        <f aca="false">ExportRaw!$E412</f>
        <v/>
      </c>
      <c r="E412" s="141" t="str">
        <f aca="false">ExportRaw!$D412</f>
        <v/>
      </c>
      <c r="F412" s="140" t="str">
        <f aca="false">ExportRaw!$H412</f>
        <v/>
      </c>
      <c r="G412" s="142" t="str">
        <f aca="false">ExportRaw!$I412</f>
        <v/>
      </c>
      <c r="H412" s="140" t="str">
        <f aca="false">ExportRaw!$A412</f>
        <v/>
      </c>
      <c r="I412" s="140" t="str">
        <f aca="false">ExportRaw!$B412</f>
        <v/>
      </c>
    </row>
    <row r="413" customFormat="false" ht="15.75" hidden="false" customHeight="false" outlineLevel="0" collapsed="false">
      <c r="A413" s="140" t="n">
        <f aca="false">ExportRaw!$F413</f>
        <v>0</v>
      </c>
      <c r="B413" s="140" t="n">
        <f aca="false">ExportRaw!$C413</f>
        <v>0</v>
      </c>
      <c r="C413" s="140" t="n">
        <f aca="false">ExportRaw!$G413</f>
        <v>0</v>
      </c>
      <c r="D413" s="140" t="str">
        <f aca="false">ExportRaw!$E413</f>
        <v/>
      </c>
      <c r="E413" s="141" t="str">
        <f aca="false">ExportRaw!$D413</f>
        <v/>
      </c>
      <c r="F413" s="140" t="str">
        <f aca="false">ExportRaw!$H413</f>
        <v/>
      </c>
      <c r="G413" s="142" t="str">
        <f aca="false">ExportRaw!$I413</f>
        <v/>
      </c>
      <c r="H413" s="140" t="str">
        <f aca="false">ExportRaw!$A413</f>
        <v/>
      </c>
      <c r="I413" s="140" t="str">
        <f aca="false">ExportRaw!$B413</f>
        <v/>
      </c>
    </row>
    <row r="414" customFormat="false" ht="15.75" hidden="false" customHeight="false" outlineLevel="0" collapsed="false">
      <c r="A414" s="140" t="n">
        <f aca="false">ExportRaw!$F414</f>
        <v>0</v>
      </c>
      <c r="B414" s="140" t="n">
        <f aca="false">ExportRaw!$C414</f>
        <v>0</v>
      </c>
      <c r="C414" s="140" t="n">
        <f aca="false">ExportRaw!$G414</f>
        <v>0</v>
      </c>
      <c r="D414" s="140" t="str">
        <f aca="false">ExportRaw!$E414</f>
        <v/>
      </c>
      <c r="E414" s="141" t="str">
        <f aca="false">ExportRaw!$D414</f>
        <v/>
      </c>
      <c r="F414" s="140" t="str">
        <f aca="false">ExportRaw!$H414</f>
        <v/>
      </c>
      <c r="G414" s="142" t="str">
        <f aca="false">ExportRaw!$I414</f>
        <v/>
      </c>
      <c r="H414" s="140" t="str">
        <f aca="false">ExportRaw!$A414</f>
        <v/>
      </c>
      <c r="I414" s="140" t="str">
        <f aca="false">ExportRaw!$B414</f>
        <v/>
      </c>
    </row>
    <row r="415" customFormat="false" ht="15.75" hidden="false" customHeight="false" outlineLevel="0" collapsed="false">
      <c r="A415" s="140" t="n">
        <f aca="false">ExportRaw!$F415</f>
        <v>0</v>
      </c>
      <c r="B415" s="140" t="n">
        <f aca="false">ExportRaw!$C415</f>
        <v>0</v>
      </c>
      <c r="C415" s="140" t="n">
        <f aca="false">ExportRaw!$G415</f>
        <v>0</v>
      </c>
      <c r="D415" s="140" t="str">
        <f aca="false">ExportRaw!$E415</f>
        <v/>
      </c>
      <c r="E415" s="141" t="str">
        <f aca="false">ExportRaw!$D415</f>
        <v/>
      </c>
      <c r="F415" s="140" t="str">
        <f aca="false">ExportRaw!$H415</f>
        <v/>
      </c>
      <c r="G415" s="142" t="str">
        <f aca="false">ExportRaw!$I415</f>
        <v/>
      </c>
      <c r="H415" s="140" t="str">
        <f aca="false">ExportRaw!$A415</f>
        <v/>
      </c>
      <c r="I415" s="140" t="str">
        <f aca="false">ExportRaw!$B415</f>
        <v/>
      </c>
    </row>
    <row r="416" customFormat="false" ht="15.75" hidden="false" customHeight="false" outlineLevel="0" collapsed="false">
      <c r="A416" s="140" t="n">
        <f aca="false">ExportRaw!$F416</f>
        <v>0</v>
      </c>
      <c r="B416" s="140" t="n">
        <f aca="false">ExportRaw!$C416</f>
        <v>0</v>
      </c>
      <c r="C416" s="140" t="n">
        <f aca="false">ExportRaw!$G416</f>
        <v>0</v>
      </c>
      <c r="D416" s="140" t="str">
        <f aca="false">ExportRaw!$E416</f>
        <v/>
      </c>
      <c r="E416" s="141" t="str">
        <f aca="false">ExportRaw!$D416</f>
        <v/>
      </c>
      <c r="F416" s="140" t="str">
        <f aca="false">ExportRaw!$H416</f>
        <v/>
      </c>
      <c r="G416" s="142" t="str">
        <f aca="false">ExportRaw!$I416</f>
        <v/>
      </c>
      <c r="H416" s="140" t="str">
        <f aca="false">ExportRaw!$A416</f>
        <v/>
      </c>
      <c r="I416" s="140" t="str">
        <f aca="false">ExportRaw!$B416</f>
        <v/>
      </c>
    </row>
    <row r="417" customFormat="false" ht="15.75" hidden="false" customHeight="false" outlineLevel="0" collapsed="false">
      <c r="A417" s="140" t="n">
        <f aca="false">ExportRaw!$F417</f>
        <v>0</v>
      </c>
      <c r="B417" s="140" t="n">
        <f aca="false">ExportRaw!$C417</f>
        <v>0</v>
      </c>
      <c r="C417" s="140" t="n">
        <f aca="false">ExportRaw!$G417</f>
        <v>0</v>
      </c>
      <c r="D417" s="140" t="str">
        <f aca="false">ExportRaw!$E417</f>
        <v/>
      </c>
      <c r="E417" s="141" t="str">
        <f aca="false">ExportRaw!$D417</f>
        <v/>
      </c>
      <c r="F417" s="140" t="str">
        <f aca="false">ExportRaw!$H417</f>
        <v/>
      </c>
      <c r="G417" s="142" t="str">
        <f aca="false">ExportRaw!$I417</f>
        <v/>
      </c>
      <c r="H417" s="140" t="str">
        <f aca="false">ExportRaw!$A417</f>
        <v/>
      </c>
      <c r="I417" s="140" t="str">
        <f aca="false">ExportRaw!$B417</f>
        <v/>
      </c>
    </row>
    <row r="418" customFormat="false" ht="15.75" hidden="false" customHeight="false" outlineLevel="0" collapsed="false">
      <c r="A418" s="140" t="n">
        <f aca="false">ExportRaw!$F418</f>
        <v>0</v>
      </c>
      <c r="B418" s="140" t="n">
        <f aca="false">ExportRaw!$C418</f>
        <v>0</v>
      </c>
      <c r="C418" s="140" t="n">
        <f aca="false">ExportRaw!$G418</f>
        <v>0</v>
      </c>
      <c r="D418" s="140" t="str">
        <f aca="false">ExportRaw!$E418</f>
        <v/>
      </c>
      <c r="E418" s="141" t="str">
        <f aca="false">ExportRaw!$D418</f>
        <v/>
      </c>
      <c r="F418" s="140" t="str">
        <f aca="false">ExportRaw!$H418</f>
        <v/>
      </c>
      <c r="G418" s="142" t="str">
        <f aca="false">ExportRaw!$I418</f>
        <v/>
      </c>
      <c r="H418" s="140" t="str">
        <f aca="false">ExportRaw!$A418</f>
        <v/>
      </c>
      <c r="I418" s="140" t="str">
        <f aca="false">ExportRaw!$B418</f>
        <v/>
      </c>
    </row>
    <row r="419" customFormat="false" ht="15.75" hidden="false" customHeight="false" outlineLevel="0" collapsed="false">
      <c r="A419" s="140" t="n">
        <f aca="false">ExportRaw!$F419</f>
        <v>0</v>
      </c>
      <c r="B419" s="140" t="n">
        <f aca="false">ExportRaw!$C419</f>
        <v>0</v>
      </c>
      <c r="C419" s="140" t="n">
        <f aca="false">ExportRaw!$G419</f>
        <v>0</v>
      </c>
      <c r="D419" s="140" t="str">
        <f aca="false">ExportRaw!$E419</f>
        <v/>
      </c>
      <c r="E419" s="141" t="str">
        <f aca="false">ExportRaw!$D419</f>
        <v/>
      </c>
      <c r="F419" s="140" t="str">
        <f aca="false">ExportRaw!$H419</f>
        <v/>
      </c>
      <c r="G419" s="142" t="str">
        <f aca="false">ExportRaw!$I419</f>
        <v/>
      </c>
      <c r="H419" s="140" t="str">
        <f aca="false">ExportRaw!$A419</f>
        <v/>
      </c>
      <c r="I419" s="140" t="str">
        <f aca="false">ExportRaw!$B419</f>
        <v/>
      </c>
    </row>
    <row r="420" customFormat="false" ht="15.75" hidden="false" customHeight="false" outlineLevel="0" collapsed="false">
      <c r="A420" s="140" t="n">
        <f aca="false">ExportRaw!$F420</f>
        <v>0</v>
      </c>
      <c r="B420" s="140" t="n">
        <f aca="false">ExportRaw!$C420</f>
        <v>0</v>
      </c>
      <c r="C420" s="140" t="n">
        <f aca="false">ExportRaw!$G420</f>
        <v>0</v>
      </c>
      <c r="D420" s="140" t="str">
        <f aca="false">ExportRaw!$E420</f>
        <v/>
      </c>
      <c r="E420" s="141" t="str">
        <f aca="false">ExportRaw!$D420</f>
        <v/>
      </c>
      <c r="F420" s="140" t="str">
        <f aca="false">ExportRaw!$H420</f>
        <v/>
      </c>
      <c r="G420" s="142" t="str">
        <f aca="false">ExportRaw!$I420</f>
        <v/>
      </c>
      <c r="H420" s="140" t="str">
        <f aca="false">ExportRaw!$A420</f>
        <v/>
      </c>
      <c r="I420" s="140" t="str">
        <f aca="false">ExportRaw!$B420</f>
        <v/>
      </c>
    </row>
    <row r="421" customFormat="false" ht="15.75" hidden="false" customHeight="false" outlineLevel="0" collapsed="false">
      <c r="A421" s="140" t="n">
        <f aca="false">ExportRaw!$F421</f>
        <v>0</v>
      </c>
      <c r="B421" s="140" t="n">
        <f aca="false">ExportRaw!$C421</f>
        <v>0</v>
      </c>
      <c r="C421" s="140" t="n">
        <f aca="false">ExportRaw!$G421</f>
        <v>0</v>
      </c>
      <c r="D421" s="140" t="str">
        <f aca="false">ExportRaw!$E421</f>
        <v/>
      </c>
      <c r="E421" s="141" t="str">
        <f aca="false">ExportRaw!$D421</f>
        <v/>
      </c>
      <c r="F421" s="140" t="str">
        <f aca="false">ExportRaw!$H421</f>
        <v/>
      </c>
      <c r="G421" s="142" t="str">
        <f aca="false">ExportRaw!$I421</f>
        <v/>
      </c>
      <c r="H421" s="140" t="str">
        <f aca="false">ExportRaw!$A421</f>
        <v/>
      </c>
      <c r="I421" s="140" t="str">
        <f aca="false">ExportRaw!$B421</f>
        <v/>
      </c>
    </row>
    <row r="422" customFormat="false" ht="15.75" hidden="false" customHeight="false" outlineLevel="0" collapsed="false">
      <c r="A422" s="140" t="n">
        <f aca="false">ExportRaw!$F422</f>
        <v>0</v>
      </c>
      <c r="B422" s="140" t="n">
        <f aca="false">ExportRaw!$C422</f>
        <v>0</v>
      </c>
      <c r="C422" s="140" t="n">
        <f aca="false">ExportRaw!$G422</f>
        <v>0</v>
      </c>
      <c r="D422" s="140" t="str">
        <f aca="false">ExportRaw!$E422</f>
        <v/>
      </c>
      <c r="E422" s="141" t="str">
        <f aca="false">ExportRaw!$D422</f>
        <v/>
      </c>
      <c r="F422" s="140" t="str">
        <f aca="false">ExportRaw!$H422</f>
        <v/>
      </c>
      <c r="G422" s="142" t="str">
        <f aca="false">ExportRaw!$I422</f>
        <v/>
      </c>
      <c r="H422" s="140" t="str">
        <f aca="false">ExportRaw!$A422</f>
        <v/>
      </c>
      <c r="I422" s="140" t="str">
        <f aca="false">ExportRaw!$B422</f>
        <v/>
      </c>
    </row>
    <row r="423" customFormat="false" ht="15.75" hidden="false" customHeight="false" outlineLevel="0" collapsed="false">
      <c r="A423" s="140" t="n">
        <f aca="false">ExportRaw!$F423</f>
        <v>0</v>
      </c>
      <c r="B423" s="140" t="n">
        <f aca="false">ExportRaw!$C423</f>
        <v>0</v>
      </c>
      <c r="C423" s="140" t="n">
        <f aca="false">ExportRaw!$G423</f>
        <v>0</v>
      </c>
      <c r="D423" s="140" t="str">
        <f aca="false">ExportRaw!$E423</f>
        <v/>
      </c>
      <c r="E423" s="141" t="str">
        <f aca="false">ExportRaw!$D423</f>
        <v/>
      </c>
      <c r="F423" s="140" t="str">
        <f aca="false">ExportRaw!$H423</f>
        <v/>
      </c>
      <c r="G423" s="142" t="str">
        <f aca="false">ExportRaw!$I423</f>
        <v/>
      </c>
      <c r="H423" s="140" t="str">
        <f aca="false">ExportRaw!$A423</f>
        <v/>
      </c>
      <c r="I423" s="140" t="str">
        <f aca="false">ExportRaw!$B423</f>
        <v/>
      </c>
    </row>
    <row r="424" customFormat="false" ht="15.75" hidden="false" customHeight="false" outlineLevel="0" collapsed="false">
      <c r="A424" s="140" t="n">
        <f aca="false">ExportRaw!$F424</f>
        <v>0</v>
      </c>
      <c r="B424" s="140" t="n">
        <f aca="false">ExportRaw!$C424</f>
        <v>0</v>
      </c>
      <c r="C424" s="140" t="n">
        <f aca="false">ExportRaw!$G424</f>
        <v>0</v>
      </c>
      <c r="D424" s="140" t="str">
        <f aca="false">ExportRaw!$E424</f>
        <v/>
      </c>
      <c r="E424" s="141" t="str">
        <f aca="false">ExportRaw!$D424</f>
        <v/>
      </c>
      <c r="F424" s="140" t="str">
        <f aca="false">ExportRaw!$H424</f>
        <v/>
      </c>
      <c r="G424" s="142" t="str">
        <f aca="false">ExportRaw!$I424</f>
        <v/>
      </c>
      <c r="H424" s="140" t="str">
        <f aca="false">ExportRaw!$A424</f>
        <v/>
      </c>
      <c r="I424" s="140" t="str">
        <f aca="false">ExportRaw!$B424</f>
        <v/>
      </c>
    </row>
    <row r="425" customFormat="false" ht="15.75" hidden="false" customHeight="false" outlineLevel="0" collapsed="false">
      <c r="A425" s="140" t="n">
        <f aca="false">ExportRaw!$F425</f>
        <v>0</v>
      </c>
      <c r="B425" s="140" t="n">
        <f aca="false">ExportRaw!$C425</f>
        <v>0</v>
      </c>
      <c r="C425" s="140" t="n">
        <f aca="false">ExportRaw!$G425</f>
        <v>0</v>
      </c>
      <c r="D425" s="140" t="str">
        <f aca="false">ExportRaw!$E425</f>
        <v/>
      </c>
      <c r="E425" s="141" t="str">
        <f aca="false">ExportRaw!$D425</f>
        <v/>
      </c>
      <c r="F425" s="140" t="str">
        <f aca="false">ExportRaw!$H425</f>
        <v/>
      </c>
      <c r="G425" s="142" t="str">
        <f aca="false">ExportRaw!$I425</f>
        <v/>
      </c>
      <c r="H425" s="140" t="str">
        <f aca="false">ExportRaw!$A425</f>
        <v/>
      </c>
      <c r="I425" s="140" t="str">
        <f aca="false">ExportRaw!$B425</f>
        <v/>
      </c>
    </row>
    <row r="426" customFormat="false" ht="15.75" hidden="false" customHeight="false" outlineLevel="0" collapsed="false">
      <c r="A426" s="140" t="n">
        <f aca="false">ExportRaw!$F426</f>
        <v>0</v>
      </c>
      <c r="B426" s="140" t="n">
        <f aca="false">ExportRaw!$C426</f>
        <v>0</v>
      </c>
      <c r="C426" s="140" t="n">
        <f aca="false">ExportRaw!$G426</f>
        <v>0</v>
      </c>
      <c r="D426" s="140" t="str">
        <f aca="false">ExportRaw!$E426</f>
        <v/>
      </c>
      <c r="E426" s="141" t="str">
        <f aca="false">ExportRaw!$D426</f>
        <v/>
      </c>
      <c r="F426" s="140" t="str">
        <f aca="false">ExportRaw!$H426</f>
        <v/>
      </c>
      <c r="G426" s="142" t="str">
        <f aca="false">ExportRaw!$I426</f>
        <v/>
      </c>
      <c r="H426" s="140" t="str">
        <f aca="false">ExportRaw!$A426</f>
        <v/>
      </c>
      <c r="I426" s="140" t="str">
        <f aca="false">ExportRaw!$B426</f>
        <v/>
      </c>
    </row>
    <row r="427" customFormat="false" ht="15.75" hidden="false" customHeight="false" outlineLevel="0" collapsed="false">
      <c r="A427" s="140" t="n">
        <f aca="false">ExportRaw!$F427</f>
        <v>0</v>
      </c>
      <c r="B427" s="140" t="n">
        <f aca="false">ExportRaw!$C427</f>
        <v>0</v>
      </c>
      <c r="C427" s="140" t="n">
        <f aca="false">ExportRaw!$G427</f>
        <v>0</v>
      </c>
      <c r="D427" s="140" t="str">
        <f aca="false">ExportRaw!$E427</f>
        <v/>
      </c>
      <c r="E427" s="141" t="str">
        <f aca="false">ExportRaw!$D427</f>
        <v/>
      </c>
      <c r="F427" s="140" t="str">
        <f aca="false">ExportRaw!$H427</f>
        <v/>
      </c>
      <c r="G427" s="142" t="str">
        <f aca="false">ExportRaw!$I427</f>
        <v/>
      </c>
      <c r="H427" s="140" t="str">
        <f aca="false">ExportRaw!$A427</f>
        <v/>
      </c>
      <c r="I427" s="140" t="str">
        <f aca="false">ExportRaw!$B427</f>
        <v/>
      </c>
    </row>
    <row r="428" customFormat="false" ht="15.75" hidden="false" customHeight="false" outlineLevel="0" collapsed="false">
      <c r="A428" s="140" t="n">
        <f aca="false">ExportRaw!$F428</f>
        <v>0</v>
      </c>
      <c r="B428" s="140" t="n">
        <f aca="false">ExportRaw!$C428</f>
        <v>0</v>
      </c>
      <c r="C428" s="140" t="n">
        <f aca="false">ExportRaw!$G428</f>
        <v>0</v>
      </c>
      <c r="D428" s="140" t="str">
        <f aca="false">ExportRaw!$E428</f>
        <v/>
      </c>
      <c r="E428" s="141" t="str">
        <f aca="false">ExportRaw!$D428</f>
        <v/>
      </c>
      <c r="F428" s="140" t="str">
        <f aca="false">ExportRaw!$H428</f>
        <v/>
      </c>
      <c r="G428" s="142" t="str">
        <f aca="false">ExportRaw!$I428</f>
        <v/>
      </c>
      <c r="H428" s="140" t="str">
        <f aca="false">ExportRaw!$A428</f>
        <v/>
      </c>
      <c r="I428" s="140" t="str">
        <f aca="false">ExportRaw!$B428</f>
        <v/>
      </c>
    </row>
    <row r="429" customFormat="false" ht="15.75" hidden="false" customHeight="false" outlineLevel="0" collapsed="false">
      <c r="A429" s="140" t="n">
        <f aca="false">ExportRaw!$F429</f>
        <v>0</v>
      </c>
      <c r="B429" s="140" t="n">
        <f aca="false">ExportRaw!$C429</f>
        <v>0</v>
      </c>
      <c r="C429" s="140" t="n">
        <f aca="false">ExportRaw!$G429</f>
        <v>0</v>
      </c>
      <c r="D429" s="140" t="str">
        <f aca="false">ExportRaw!$E429</f>
        <v/>
      </c>
      <c r="E429" s="141" t="str">
        <f aca="false">ExportRaw!$D429</f>
        <v/>
      </c>
      <c r="F429" s="140" t="str">
        <f aca="false">ExportRaw!$H429</f>
        <v/>
      </c>
      <c r="G429" s="142" t="str">
        <f aca="false">ExportRaw!$I429</f>
        <v/>
      </c>
      <c r="H429" s="140" t="str">
        <f aca="false">ExportRaw!$A429</f>
        <v/>
      </c>
      <c r="I429" s="140" t="str">
        <f aca="false">ExportRaw!$B429</f>
        <v/>
      </c>
    </row>
    <row r="430" customFormat="false" ht="15.75" hidden="false" customHeight="false" outlineLevel="0" collapsed="false">
      <c r="A430" s="140" t="n">
        <f aca="false">ExportRaw!$F430</f>
        <v>0</v>
      </c>
      <c r="B430" s="140" t="n">
        <f aca="false">ExportRaw!$C430</f>
        <v>0</v>
      </c>
      <c r="C430" s="140" t="n">
        <f aca="false">ExportRaw!$G430</f>
        <v>0</v>
      </c>
      <c r="D430" s="140" t="str">
        <f aca="false">ExportRaw!$E430</f>
        <v/>
      </c>
      <c r="E430" s="141" t="str">
        <f aca="false">ExportRaw!$D430</f>
        <v/>
      </c>
      <c r="F430" s="140" t="str">
        <f aca="false">ExportRaw!$H430</f>
        <v/>
      </c>
      <c r="G430" s="142" t="str">
        <f aca="false">ExportRaw!$I430</f>
        <v/>
      </c>
      <c r="H430" s="140" t="str">
        <f aca="false">ExportRaw!$A430</f>
        <v/>
      </c>
      <c r="I430" s="140" t="str">
        <f aca="false">ExportRaw!$B430</f>
        <v/>
      </c>
    </row>
    <row r="431" customFormat="false" ht="15.75" hidden="false" customHeight="false" outlineLevel="0" collapsed="false">
      <c r="A431" s="140" t="n">
        <f aca="false">ExportRaw!$F431</f>
        <v>0</v>
      </c>
      <c r="B431" s="140" t="n">
        <f aca="false">ExportRaw!$C431</f>
        <v>0</v>
      </c>
      <c r="C431" s="140" t="n">
        <f aca="false">ExportRaw!$G431</f>
        <v>0</v>
      </c>
      <c r="D431" s="140" t="str">
        <f aca="false">ExportRaw!$E431</f>
        <v/>
      </c>
      <c r="E431" s="141" t="str">
        <f aca="false">ExportRaw!$D431</f>
        <v/>
      </c>
      <c r="F431" s="140" t="str">
        <f aca="false">ExportRaw!$H431</f>
        <v/>
      </c>
      <c r="G431" s="142" t="str">
        <f aca="false">ExportRaw!$I431</f>
        <v/>
      </c>
      <c r="H431" s="140" t="str">
        <f aca="false">ExportRaw!$A431</f>
        <v/>
      </c>
      <c r="I431" s="140" t="str">
        <f aca="false">ExportRaw!$B431</f>
        <v/>
      </c>
    </row>
    <row r="432" customFormat="false" ht="15.75" hidden="false" customHeight="false" outlineLevel="0" collapsed="false">
      <c r="A432" s="140" t="n">
        <f aca="false">ExportRaw!$F432</f>
        <v>0</v>
      </c>
      <c r="B432" s="140" t="n">
        <f aca="false">ExportRaw!$C432</f>
        <v>0</v>
      </c>
      <c r="C432" s="140" t="n">
        <f aca="false">ExportRaw!$G432</f>
        <v>0</v>
      </c>
      <c r="D432" s="140" t="str">
        <f aca="false">ExportRaw!$E432</f>
        <v/>
      </c>
      <c r="E432" s="141" t="str">
        <f aca="false">ExportRaw!$D432</f>
        <v/>
      </c>
      <c r="F432" s="140" t="str">
        <f aca="false">ExportRaw!$H432</f>
        <v/>
      </c>
      <c r="G432" s="142" t="str">
        <f aca="false">ExportRaw!$I432</f>
        <v/>
      </c>
      <c r="H432" s="140" t="str">
        <f aca="false">ExportRaw!$A432</f>
        <v/>
      </c>
      <c r="I432" s="140" t="str">
        <f aca="false">ExportRaw!$B432</f>
        <v/>
      </c>
    </row>
    <row r="433" customFormat="false" ht="15.75" hidden="false" customHeight="false" outlineLevel="0" collapsed="false">
      <c r="A433" s="140" t="n">
        <f aca="false">ExportRaw!$F433</f>
        <v>0</v>
      </c>
      <c r="B433" s="140" t="n">
        <f aca="false">ExportRaw!$C433</f>
        <v>0</v>
      </c>
      <c r="C433" s="140" t="n">
        <f aca="false">ExportRaw!$G433</f>
        <v>0</v>
      </c>
      <c r="D433" s="140" t="str">
        <f aca="false">ExportRaw!$E433</f>
        <v/>
      </c>
      <c r="E433" s="141" t="str">
        <f aca="false">ExportRaw!$D433</f>
        <v/>
      </c>
      <c r="F433" s="140" t="str">
        <f aca="false">ExportRaw!$H433</f>
        <v/>
      </c>
      <c r="G433" s="142" t="str">
        <f aca="false">ExportRaw!$I433</f>
        <v/>
      </c>
      <c r="H433" s="140" t="str">
        <f aca="false">ExportRaw!$A433</f>
        <v/>
      </c>
      <c r="I433" s="140" t="str">
        <f aca="false">ExportRaw!$B433</f>
        <v/>
      </c>
    </row>
    <row r="434" customFormat="false" ht="15.75" hidden="false" customHeight="false" outlineLevel="0" collapsed="false">
      <c r="A434" s="140" t="n">
        <f aca="false">ExportRaw!$F434</f>
        <v>0</v>
      </c>
      <c r="B434" s="140" t="n">
        <f aca="false">ExportRaw!$C434</f>
        <v>0</v>
      </c>
      <c r="C434" s="140" t="n">
        <f aca="false">ExportRaw!$G434</f>
        <v>0</v>
      </c>
      <c r="D434" s="140" t="str">
        <f aca="false">ExportRaw!$E434</f>
        <v/>
      </c>
      <c r="E434" s="141" t="str">
        <f aca="false">ExportRaw!$D434</f>
        <v/>
      </c>
      <c r="F434" s="140" t="str">
        <f aca="false">ExportRaw!$H434</f>
        <v/>
      </c>
      <c r="G434" s="142" t="str">
        <f aca="false">ExportRaw!$I434</f>
        <v/>
      </c>
      <c r="H434" s="140" t="str">
        <f aca="false">ExportRaw!$A434</f>
        <v/>
      </c>
      <c r="I434" s="140" t="str">
        <f aca="false">ExportRaw!$B434</f>
        <v/>
      </c>
    </row>
    <row r="435" customFormat="false" ht="15.75" hidden="false" customHeight="false" outlineLevel="0" collapsed="false">
      <c r="A435" s="140" t="n">
        <f aca="false">ExportRaw!$F435</f>
        <v>0</v>
      </c>
      <c r="B435" s="140" t="n">
        <f aca="false">ExportRaw!$C435</f>
        <v>0</v>
      </c>
      <c r="C435" s="140" t="n">
        <f aca="false">ExportRaw!$G435</f>
        <v>0</v>
      </c>
      <c r="D435" s="140" t="str">
        <f aca="false">ExportRaw!$E435</f>
        <v/>
      </c>
      <c r="E435" s="141" t="str">
        <f aca="false">ExportRaw!$D435</f>
        <v/>
      </c>
      <c r="F435" s="140" t="str">
        <f aca="false">ExportRaw!$H435</f>
        <v/>
      </c>
      <c r="G435" s="142" t="str">
        <f aca="false">ExportRaw!$I435</f>
        <v/>
      </c>
      <c r="H435" s="140" t="str">
        <f aca="false">ExportRaw!$A435</f>
        <v/>
      </c>
      <c r="I435" s="140" t="str">
        <f aca="false">ExportRaw!$B435</f>
        <v/>
      </c>
    </row>
    <row r="436" customFormat="false" ht="15.75" hidden="false" customHeight="false" outlineLevel="0" collapsed="false">
      <c r="A436" s="140" t="n">
        <f aca="false">ExportRaw!$F436</f>
        <v>0</v>
      </c>
      <c r="B436" s="140" t="n">
        <f aca="false">ExportRaw!$C436</f>
        <v>0</v>
      </c>
      <c r="C436" s="140" t="n">
        <f aca="false">ExportRaw!$G436</f>
        <v>0</v>
      </c>
      <c r="D436" s="140" t="str">
        <f aca="false">ExportRaw!$E436</f>
        <v/>
      </c>
      <c r="E436" s="141" t="str">
        <f aca="false">ExportRaw!$D436</f>
        <v/>
      </c>
      <c r="F436" s="140" t="str">
        <f aca="false">ExportRaw!$H436</f>
        <v/>
      </c>
      <c r="G436" s="142" t="str">
        <f aca="false">ExportRaw!$I436</f>
        <v/>
      </c>
      <c r="H436" s="140" t="str">
        <f aca="false">ExportRaw!$A436</f>
        <v/>
      </c>
      <c r="I436" s="140" t="str">
        <f aca="false">ExportRaw!$B436</f>
        <v/>
      </c>
    </row>
    <row r="437" customFormat="false" ht="15.75" hidden="false" customHeight="false" outlineLevel="0" collapsed="false">
      <c r="A437" s="140" t="n">
        <f aca="false">ExportRaw!$F437</f>
        <v>0</v>
      </c>
      <c r="B437" s="140" t="n">
        <f aca="false">ExportRaw!$C437</f>
        <v>0</v>
      </c>
      <c r="C437" s="140" t="n">
        <f aca="false">ExportRaw!$G437</f>
        <v>0</v>
      </c>
      <c r="D437" s="140" t="str">
        <f aca="false">ExportRaw!$E437</f>
        <v/>
      </c>
      <c r="E437" s="141" t="str">
        <f aca="false">ExportRaw!$D437</f>
        <v/>
      </c>
      <c r="F437" s="140" t="str">
        <f aca="false">ExportRaw!$H437</f>
        <v/>
      </c>
      <c r="G437" s="142" t="str">
        <f aca="false">ExportRaw!$I437</f>
        <v/>
      </c>
      <c r="H437" s="140" t="str">
        <f aca="false">ExportRaw!$A437</f>
        <v/>
      </c>
      <c r="I437" s="140" t="str">
        <f aca="false">ExportRaw!$B437</f>
        <v/>
      </c>
    </row>
    <row r="438" customFormat="false" ht="15.75" hidden="false" customHeight="false" outlineLevel="0" collapsed="false">
      <c r="A438" s="140" t="n">
        <f aca="false">ExportRaw!$F438</f>
        <v>0</v>
      </c>
      <c r="B438" s="140" t="n">
        <f aca="false">ExportRaw!$C438</f>
        <v>0</v>
      </c>
      <c r="C438" s="140" t="n">
        <f aca="false">ExportRaw!$G438</f>
        <v>0</v>
      </c>
      <c r="D438" s="140" t="str">
        <f aca="false">ExportRaw!$E438</f>
        <v/>
      </c>
      <c r="E438" s="141" t="str">
        <f aca="false">ExportRaw!$D438</f>
        <v/>
      </c>
      <c r="F438" s="140" t="str">
        <f aca="false">ExportRaw!$H438</f>
        <v/>
      </c>
      <c r="G438" s="142" t="str">
        <f aca="false">ExportRaw!$I438</f>
        <v/>
      </c>
      <c r="H438" s="140" t="str">
        <f aca="false">ExportRaw!$A438</f>
        <v/>
      </c>
      <c r="I438" s="140" t="str">
        <f aca="false">ExportRaw!$B438</f>
        <v/>
      </c>
    </row>
    <row r="439" customFormat="false" ht="15.75" hidden="false" customHeight="false" outlineLevel="0" collapsed="false">
      <c r="A439" s="140" t="n">
        <f aca="false">ExportRaw!$F439</f>
        <v>0</v>
      </c>
      <c r="B439" s="140" t="n">
        <f aca="false">ExportRaw!$C439</f>
        <v>0</v>
      </c>
      <c r="C439" s="140" t="n">
        <f aca="false">ExportRaw!$G439</f>
        <v>0</v>
      </c>
      <c r="D439" s="140" t="str">
        <f aca="false">ExportRaw!$E439</f>
        <v/>
      </c>
      <c r="E439" s="141" t="str">
        <f aca="false">ExportRaw!$D439</f>
        <v/>
      </c>
      <c r="F439" s="140" t="str">
        <f aca="false">ExportRaw!$H439</f>
        <v/>
      </c>
      <c r="G439" s="142" t="str">
        <f aca="false">ExportRaw!$I439</f>
        <v/>
      </c>
      <c r="H439" s="140" t="str">
        <f aca="false">ExportRaw!$A439</f>
        <v/>
      </c>
      <c r="I439" s="140" t="str">
        <f aca="false">ExportRaw!$B439</f>
        <v/>
      </c>
    </row>
    <row r="440" customFormat="false" ht="15.75" hidden="false" customHeight="false" outlineLevel="0" collapsed="false">
      <c r="A440" s="140" t="n">
        <f aca="false">ExportRaw!$F440</f>
        <v>0</v>
      </c>
      <c r="B440" s="140" t="n">
        <f aca="false">ExportRaw!$C440</f>
        <v>0</v>
      </c>
      <c r="C440" s="140" t="n">
        <f aca="false">ExportRaw!$G440</f>
        <v>0</v>
      </c>
      <c r="D440" s="140" t="str">
        <f aca="false">ExportRaw!$E440</f>
        <v/>
      </c>
      <c r="E440" s="141" t="str">
        <f aca="false">ExportRaw!$D440</f>
        <v/>
      </c>
      <c r="F440" s="140" t="str">
        <f aca="false">ExportRaw!$H440</f>
        <v/>
      </c>
      <c r="G440" s="142" t="str">
        <f aca="false">ExportRaw!$I440</f>
        <v/>
      </c>
      <c r="H440" s="140" t="str">
        <f aca="false">ExportRaw!$A440</f>
        <v/>
      </c>
      <c r="I440" s="140" t="str">
        <f aca="false">ExportRaw!$B440</f>
        <v/>
      </c>
    </row>
    <row r="441" customFormat="false" ht="15.75" hidden="false" customHeight="false" outlineLevel="0" collapsed="false">
      <c r="A441" s="140" t="n">
        <f aca="false">ExportRaw!$F441</f>
        <v>0</v>
      </c>
      <c r="B441" s="140" t="n">
        <f aca="false">ExportRaw!$C441</f>
        <v>0</v>
      </c>
      <c r="C441" s="140" t="n">
        <f aca="false">ExportRaw!$G441</f>
        <v>0</v>
      </c>
      <c r="D441" s="140" t="str">
        <f aca="false">ExportRaw!$E441</f>
        <v/>
      </c>
      <c r="E441" s="141" t="str">
        <f aca="false">ExportRaw!$D441</f>
        <v/>
      </c>
      <c r="F441" s="140" t="str">
        <f aca="false">ExportRaw!$H441</f>
        <v/>
      </c>
      <c r="G441" s="142" t="str">
        <f aca="false">ExportRaw!$I441</f>
        <v/>
      </c>
      <c r="H441" s="140" t="str">
        <f aca="false">ExportRaw!$A441</f>
        <v/>
      </c>
      <c r="I441" s="140" t="str">
        <f aca="false">ExportRaw!$B441</f>
        <v/>
      </c>
    </row>
    <row r="442" customFormat="false" ht="15.75" hidden="false" customHeight="false" outlineLevel="0" collapsed="false">
      <c r="A442" s="140" t="n">
        <f aca="false">ExportRaw!$F442</f>
        <v>0</v>
      </c>
      <c r="B442" s="140" t="n">
        <f aca="false">ExportRaw!$C442</f>
        <v>0</v>
      </c>
      <c r="C442" s="140" t="n">
        <f aca="false">ExportRaw!$G442</f>
        <v>0</v>
      </c>
      <c r="D442" s="140" t="str">
        <f aca="false">ExportRaw!$E442</f>
        <v/>
      </c>
      <c r="E442" s="141" t="str">
        <f aca="false">ExportRaw!$D442</f>
        <v/>
      </c>
      <c r="F442" s="140" t="str">
        <f aca="false">ExportRaw!$H442</f>
        <v/>
      </c>
      <c r="G442" s="142" t="str">
        <f aca="false">ExportRaw!$I442</f>
        <v/>
      </c>
      <c r="H442" s="140" t="str">
        <f aca="false">ExportRaw!$A442</f>
        <v/>
      </c>
      <c r="I442" s="140" t="str">
        <f aca="false">ExportRaw!$B442</f>
        <v/>
      </c>
    </row>
    <row r="443" customFormat="false" ht="15.75" hidden="false" customHeight="false" outlineLevel="0" collapsed="false">
      <c r="A443" s="140" t="n">
        <f aca="false">ExportRaw!$F443</f>
        <v>0</v>
      </c>
      <c r="B443" s="140" t="n">
        <f aca="false">ExportRaw!$C443</f>
        <v>0</v>
      </c>
      <c r="C443" s="140" t="n">
        <f aca="false">ExportRaw!$G443</f>
        <v>0</v>
      </c>
      <c r="D443" s="140" t="str">
        <f aca="false">ExportRaw!$E443</f>
        <v/>
      </c>
      <c r="E443" s="141" t="str">
        <f aca="false">ExportRaw!$D443</f>
        <v/>
      </c>
      <c r="F443" s="140" t="str">
        <f aca="false">ExportRaw!$H443</f>
        <v/>
      </c>
      <c r="G443" s="142" t="str">
        <f aca="false">ExportRaw!$I443</f>
        <v/>
      </c>
      <c r="H443" s="140" t="str">
        <f aca="false">ExportRaw!$A443</f>
        <v/>
      </c>
      <c r="I443" s="140" t="str">
        <f aca="false">ExportRaw!$B443</f>
        <v/>
      </c>
    </row>
    <row r="444" customFormat="false" ht="15.75" hidden="false" customHeight="false" outlineLevel="0" collapsed="false">
      <c r="A444" s="140" t="n">
        <f aca="false">ExportRaw!$F444</f>
        <v>0</v>
      </c>
      <c r="B444" s="140" t="n">
        <f aca="false">ExportRaw!$C444</f>
        <v>0</v>
      </c>
      <c r="C444" s="140" t="n">
        <f aca="false">ExportRaw!$G444</f>
        <v>0</v>
      </c>
      <c r="D444" s="140" t="str">
        <f aca="false">ExportRaw!$E444</f>
        <v/>
      </c>
      <c r="E444" s="141" t="str">
        <f aca="false">ExportRaw!$D444</f>
        <v/>
      </c>
      <c r="F444" s="140" t="str">
        <f aca="false">ExportRaw!$H444</f>
        <v/>
      </c>
      <c r="G444" s="142" t="str">
        <f aca="false">ExportRaw!$I444</f>
        <v/>
      </c>
      <c r="H444" s="140" t="str">
        <f aca="false">ExportRaw!$A444</f>
        <v/>
      </c>
      <c r="I444" s="140" t="str">
        <f aca="false">ExportRaw!$B444</f>
        <v/>
      </c>
    </row>
    <row r="445" customFormat="false" ht="15.75" hidden="false" customHeight="false" outlineLevel="0" collapsed="false">
      <c r="A445" s="140" t="n">
        <f aca="false">ExportRaw!$F445</f>
        <v>0</v>
      </c>
      <c r="B445" s="140" t="n">
        <f aca="false">ExportRaw!$C445</f>
        <v>0</v>
      </c>
      <c r="C445" s="140" t="n">
        <f aca="false">ExportRaw!$G445</f>
        <v>0</v>
      </c>
      <c r="D445" s="140" t="str">
        <f aca="false">ExportRaw!$E445</f>
        <v/>
      </c>
      <c r="E445" s="141" t="str">
        <f aca="false">ExportRaw!$D445</f>
        <v/>
      </c>
      <c r="F445" s="140" t="str">
        <f aca="false">ExportRaw!$H445</f>
        <v/>
      </c>
      <c r="G445" s="142" t="str">
        <f aca="false">ExportRaw!$I445</f>
        <v/>
      </c>
      <c r="H445" s="140" t="str">
        <f aca="false">ExportRaw!$A445</f>
        <v/>
      </c>
      <c r="I445" s="140" t="str">
        <f aca="false">ExportRaw!$B445</f>
        <v/>
      </c>
    </row>
    <row r="446" customFormat="false" ht="15.75" hidden="false" customHeight="false" outlineLevel="0" collapsed="false">
      <c r="A446" s="140" t="n">
        <f aca="false">ExportRaw!$F446</f>
        <v>0</v>
      </c>
      <c r="B446" s="140" t="n">
        <f aca="false">ExportRaw!$C446</f>
        <v>0</v>
      </c>
      <c r="C446" s="140" t="n">
        <f aca="false">ExportRaw!$G446</f>
        <v>0</v>
      </c>
      <c r="D446" s="140" t="str">
        <f aca="false">ExportRaw!$E446</f>
        <v/>
      </c>
      <c r="E446" s="141" t="str">
        <f aca="false">ExportRaw!$D446</f>
        <v/>
      </c>
      <c r="F446" s="140" t="str">
        <f aca="false">ExportRaw!$H446</f>
        <v/>
      </c>
      <c r="G446" s="142" t="str">
        <f aca="false">ExportRaw!$I446</f>
        <v/>
      </c>
      <c r="H446" s="140" t="str">
        <f aca="false">ExportRaw!$A446</f>
        <v/>
      </c>
      <c r="I446" s="140" t="str">
        <f aca="false">ExportRaw!$B446</f>
        <v/>
      </c>
    </row>
    <row r="447" customFormat="false" ht="15.75" hidden="false" customHeight="false" outlineLevel="0" collapsed="false">
      <c r="A447" s="140" t="n">
        <f aca="false">ExportRaw!$F447</f>
        <v>0</v>
      </c>
      <c r="B447" s="140" t="n">
        <f aca="false">ExportRaw!$C447</f>
        <v>0</v>
      </c>
      <c r="C447" s="140" t="n">
        <f aca="false">ExportRaw!$G447</f>
        <v>0</v>
      </c>
      <c r="D447" s="140" t="str">
        <f aca="false">ExportRaw!$E447</f>
        <v/>
      </c>
      <c r="E447" s="141" t="str">
        <f aca="false">ExportRaw!$D447</f>
        <v/>
      </c>
      <c r="F447" s="140" t="str">
        <f aca="false">ExportRaw!$H447</f>
        <v/>
      </c>
      <c r="G447" s="142" t="str">
        <f aca="false">ExportRaw!$I447</f>
        <v/>
      </c>
      <c r="H447" s="140" t="str">
        <f aca="false">ExportRaw!$A447</f>
        <v/>
      </c>
      <c r="I447" s="140" t="str">
        <f aca="false">ExportRaw!$B447</f>
        <v/>
      </c>
    </row>
    <row r="448" customFormat="false" ht="15.75" hidden="false" customHeight="false" outlineLevel="0" collapsed="false">
      <c r="A448" s="140" t="n">
        <f aca="false">ExportRaw!$F448</f>
        <v>0</v>
      </c>
      <c r="B448" s="140" t="n">
        <f aca="false">ExportRaw!$C448</f>
        <v>0</v>
      </c>
      <c r="C448" s="140" t="n">
        <f aca="false">ExportRaw!$G448</f>
        <v>0</v>
      </c>
      <c r="D448" s="140" t="str">
        <f aca="false">ExportRaw!$E448</f>
        <v/>
      </c>
      <c r="E448" s="141" t="str">
        <f aca="false">ExportRaw!$D448</f>
        <v/>
      </c>
      <c r="F448" s="140" t="str">
        <f aca="false">ExportRaw!$H448</f>
        <v/>
      </c>
      <c r="G448" s="142" t="str">
        <f aca="false">ExportRaw!$I448</f>
        <v/>
      </c>
      <c r="H448" s="140" t="str">
        <f aca="false">ExportRaw!$A448</f>
        <v/>
      </c>
      <c r="I448" s="140" t="str">
        <f aca="false">ExportRaw!$B448</f>
        <v/>
      </c>
    </row>
    <row r="449" customFormat="false" ht="15.75" hidden="false" customHeight="false" outlineLevel="0" collapsed="false">
      <c r="A449" s="140" t="n">
        <f aca="false">ExportRaw!$F449</f>
        <v>0</v>
      </c>
      <c r="B449" s="140" t="n">
        <f aca="false">ExportRaw!$C449</f>
        <v>0</v>
      </c>
      <c r="C449" s="140" t="n">
        <f aca="false">ExportRaw!$G449</f>
        <v>0</v>
      </c>
      <c r="D449" s="140" t="str">
        <f aca="false">ExportRaw!$E449</f>
        <v/>
      </c>
      <c r="E449" s="141" t="str">
        <f aca="false">ExportRaw!$D449</f>
        <v/>
      </c>
      <c r="F449" s="140" t="str">
        <f aca="false">ExportRaw!$H449</f>
        <v/>
      </c>
      <c r="G449" s="142" t="str">
        <f aca="false">ExportRaw!$I449</f>
        <v/>
      </c>
      <c r="H449" s="140" t="str">
        <f aca="false">ExportRaw!$A449</f>
        <v/>
      </c>
      <c r="I449" s="140" t="str">
        <f aca="false">ExportRaw!$B449</f>
        <v/>
      </c>
    </row>
    <row r="450" customFormat="false" ht="15.75" hidden="false" customHeight="false" outlineLevel="0" collapsed="false">
      <c r="A450" s="140" t="n">
        <f aca="false">ExportRaw!$F450</f>
        <v>0</v>
      </c>
      <c r="B450" s="140" t="n">
        <f aca="false">ExportRaw!$C450</f>
        <v>0</v>
      </c>
      <c r="C450" s="140" t="n">
        <f aca="false">ExportRaw!$G450</f>
        <v>0</v>
      </c>
      <c r="D450" s="140" t="str">
        <f aca="false">ExportRaw!$E450</f>
        <v/>
      </c>
      <c r="E450" s="141" t="str">
        <f aca="false">ExportRaw!$D450</f>
        <v/>
      </c>
      <c r="F450" s="140" t="str">
        <f aca="false">ExportRaw!$H450</f>
        <v/>
      </c>
      <c r="G450" s="142" t="str">
        <f aca="false">ExportRaw!$I450</f>
        <v/>
      </c>
      <c r="H450" s="140" t="str">
        <f aca="false">ExportRaw!$A450</f>
        <v/>
      </c>
      <c r="I450" s="140" t="str">
        <f aca="false">ExportRaw!$B450</f>
        <v/>
      </c>
    </row>
    <row r="451" customFormat="false" ht="15.75" hidden="false" customHeight="false" outlineLevel="0" collapsed="false">
      <c r="A451" s="140" t="n">
        <f aca="false">ExportRaw!$F451</f>
        <v>0</v>
      </c>
      <c r="B451" s="140" t="n">
        <f aca="false">ExportRaw!$C451</f>
        <v>0</v>
      </c>
      <c r="C451" s="140" t="n">
        <f aca="false">ExportRaw!$G451</f>
        <v>0</v>
      </c>
      <c r="D451" s="140" t="str">
        <f aca="false">ExportRaw!$E451</f>
        <v/>
      </c>
      <c r="E451" s="141" t="str">
        <f aca="false">ExportRaw!$D451</f>
        <v/>
      </c>
      <c r="F451" s="140" t="str">
        <f aca="false">ExportRaw!$H451</f>
        <v/>
      </c>
      <c r="G451" s="142" t="str">
        <f aca="false">ExportRaw!$I451</f>
        <v/>
      </c>
      <c r="H451" s="140" t="str">
        <f aca="false">ExportRaw!$A451</f>
        <v/>
      </c>
      <c r="I451" s="140" t="str">
        <f aca="false">ExportRaw!$B451</f>
        <v/>
      </c>
    </row>
    <row r="452" customFormat="false" ht="15.75" hidden="false" customHeight="false" outlineLevel="0" collapsed="false">
      <c r="A452" s="140" t="n">
        <f aca="false">ExportRaw!$F452</f>
        <v>0</v>
      </c>
      <c r="B452" s="140" t="n">
        <f aca="false">ExportRaw!$C452</f>
        <v>0</v>
      </c>
      <c r="C452" s="140" t="n">
        <f aca="false">ExportRaw!$G452</f>
        <v>0</v>
      </c>
      <c r="D452" s="140" t="str">
        <f aca="false">ExportRaw!$E452</f>
        <v/>
      </c>
      <c r="E452" s="141" t="str">
        <f aca="false">ExportRaw!$D452</f>
        <v/>
      </c>
      <c r="F452" s="140" t="str">
        <f aca="false">ExportRaw!$H452</f>
        <v/>
      </c>
      <c r="G452" s="142" t="str">
        <f aca="false">ExportRaw!$I452</f>
        <v/>
      </c>
      <c r="H452" s="140" t="str">
        <f aca="false">ExportRaw!$A452</f>
        <v/>
      </c>
      <c r="I452" s="140" t="str">
        <f aca="false">ExportRaw!$B452</f>
        <v/>
      </c>
    </row>
    <row r="453" customFormat="false" ht="15.75" hidden="false" customHeight="false" outlineLevel="0" collapsed="false">
      <c r="A453" s="140" t="n">
        <f aca="false">ExportRaw!$F453</f>
        <v>0</v>
      </c>
      <c r="B453" s="140" t="n">
        <f aca="false">ExportRaw!$C453</f>
        <v>0</v>
      </c>
      <c r="C453" s="140" t="n">
        <f aca="false">ExportRaw!$G453</f>
        <v>0</v>
      </c>
      <c r="D453" s="140" t="str">
        <f aca="false">ExportRaw!$E453</f>
        <v/>
      </c>
      <c r="E453" s="141" t="str">
        <f aca="false">ExportRaw!$D453</f>
        <v/>
      </c>
      <c r="F453" s="140" t="str">
        <f aca="false">ExportRaw!$H453</f>
        <v/>
      </c>
      <c r="G453" s="142" t="str">
        <f aca="false">ExportRaw!$I453</f>
        <v/>
      </c>
      <c r="H453" s="140" t="str">
        <f aca="false">ExportRaw!$A453</f>
        <v/>
      </c>
      <c r="I453" s="140" t="str">
        <f aca="false">ExportRaw!$B453</f>
        <v/>
      </c>
    </row>
    <row r="454" customFormat="false" ht="15.75" hidden="false" customHeight="false" outlineLevel="0" collapsed="false">
      <c r="A454" s="140" t="n">
        <f aca="false">ExportRaw!$F454</f>
        <v>0</v>
      </c>
      <c r="B454" s="140" t="n">
        <f aca="false">ExportRaw!$C454</f>
        <v>0</v>
      </c>
      <c r="C454" s="140" t="n">
        <f aca="false">ExportRaw!$G454</f>
        <v>0</v>
      </c>
      <c r="D454" s="140" t="str">
        <f aca="false">ExportRaw!$E454</f>
        <v/>
      </c>
      <c r="E454" s="141" t="str">
        <f aca="false">ExportRaw!$D454</f>
        <v/>
      </c>
      <c r="F454" s="140" t="str">
        <f aca="false">ExportRaw!$H454</f>
        <v/>
      </c>
      <c r="G454" s="142" t="str">
        <f aca="false">ExportRaw!$I454</f>
        <v/>
      </c>
      <c r="H454" s="140" t="str">
        <f aca="false">ExportRaw!$A454</f>
        <v/>
      </c>
      <c r="I454" s="140" t="str">
        <f aca="false">ExportRaw!$B454</f>
        <v/>
      </c>
    </row>
    <row r="455" customFormat="false" ht="15.75" hidden="false" customHeight="false" outlineLevel="0" collapsed="false">
      <c r="A455" s="140" t="n">
        <f aca="false">ExportRaw!$F455</f>
        <v>0</v>
      </c>
      <c r="B455" s="140" t="n">
        <f aca="false">ExportRaw!$C455</f>
        <v>0</v>
      </c>
      <c r="C455" s="140" t="n">
        <f aca="false">ExportRaw!$G455</f>
        <v>0</v>
      </c>
      <c r="D455" s="140" t="str">
        <f aca="false">ExportRaw!$E455</f>
        <v/>
      </c>
      <c r="E455" s="141" t="str">
        <f aca="false">ExportRaw!$D455</f>
        <v/>
      </c>
      <c r="F455" s="140" t="str">
        <f aca="false">ExportRaw!$H455</f>
        <v/>
      </c>
      <c r="G455" s="142" t="str">
        <f aca="false">ExportRaw!$I455</f>
        <v/>
      </c>
      <c r="H455" s="140" t="str">
        <f aca="false">ExportRaw!$A455</f>
        <v/>
      </c>
      <c r="I455" s="140" t="str">
        <f aca="false">ExportRaw!$B455</f>
        <v/>
      </c>
    </row>
    <row r="456" customFormat="false" ht="15.75" hidden="false" customHeight="false" outlineLevel="0" collapsed="false">
      <c r="A456" s="140" t="n">
        <f aca="false">ExportRaw!$F456</f>
        <v>0</v>
      </c>
      <c r="B456" s="140" t="n">
        <f aca="false">ExportRaw!$C456</f>
        <v>0</v>
      </c>
      <c r="C456" s="140" t="n">
        <f aca="false">ExportRaw!$G456</f>
        <v>0</v>
      </c>
      <c r="D456" s="140" t="str">
        <f aca="false">ExportRaw!$E456</f>
        <v/>
      </c>
      <c r="E456" s="141" t="str">
        <f aca="false">ExportRaw!$D456</f>
        <v/>
      </c>
      <c r="F456" s="140" t="str">
        <f aca="false">ExportRaw!$H456</f>
        <v/>
      </c>
      <c r="G456" s="142" t="str">
        <f aca="false">ExportRaw!$I456</f>
        <v/>
      </c>
      <c r="H456" s="140" t="str">
        <f aca="false">ExportRaw!$A456</f>
        <v/>
      </c>
      <c r="I456" s="140" t="str">
        <f aca="false">ExportRaw!$B456</f>
        <v/>
      </c>
    </row>
    <row r="457" customFormat="false" ht="15.75" hidden="false" customHeight="false" outlineLevel="0" collapsed="false">
      <c r="A457" s="140" t="n">
        <f aca="false">ExportRaw!$F457</f>
        <v>0</v>
      </c>
      <c r="B457" s="140" t="n">
        <f aca="false">ExportRaw!$C457</f>
        <v>0</v>
      </c>
      <c r="C457" s="140" t="n">
        <f aca="false">ExportRaw!$G457</f>
        <v>0</v>
      </c>
      <c r="D457" s="140" t="str">
        <f aca="false">ExportRaw!$E457</f>
        <v/>
      </c>
      <c r="E457" s="141" t="str">
        <f aca="false">ExportRaw!$D457</f>
        <v/>
      </c>
      <c r="F457" s="140" t="str">
        <f aca="false">ExportRaw!$H457</f>
        <v/>
      </c>
      <c r="G457" s="142" t="str">
        <f aca="false">ExportRaw!$I457</f>
        <v/>
      </c>
      <c r="H457" s="140" t="str">
        <f aca="false">ExportRaw!$A457</f>
        <v/>
      </c>
      <c r="I457" s="140" t="str">
        <f aca="false">ExportRaw!$B457</f>
        <v/>
      </c>
    </row>
    <row r="458" customFormat="false" ht="15.75" hidden="false" customHeight="false" outlineLevel="0" collapsed="false">
      <c r="A458" s="140" t="n">
        <f aca="false">ExportRaw!$F458</f>
        <v>0</v>
      </c>
      <c r="B458" s="140" t="n">
        <f aca="false">ExportRaw!$C458</f>
        <v>0</v>
      </c>
      <c r="C458" s="140" t="n">
        <f aca="false">ExportRaw!$G458</f>
        <v>0</v>
      </c>
      <c r="D458" s="140" t="str">
        <f aca="false">ExportRaw!$E458</f>
        <v/>
      </c>
      <c r="E458" s="141" t="str">
        <f aca="false">ExportRaw!$D458</f>
        <v/>
      </c>
      <c r="F458" s="140" t="str">
        <f aca="false">ExportRaw!$H458</f>
        <v/>
      </c>
      <c r="G458" s="142" t="str">
        <f aca="false">ExportRaw!$I458</f>
        <v/>
      </c>
      <c r="H458" s="140" t="str">
        <f aca="false">ExportRaw!$A458</f>
        <v/>
      </c>
      <c r="I458" s="140" t="str">
        <f aca="false">ExportRaw!$B458</f>
        <v/>
      </c>
    </row>
    <row r="459" customFormat="false" ht="15.75" hidden="false" customHeight="false" outlineLevel="0" collapsed="false">
      <c r="A459" s="140" t="n">
        <f aca="false">ExportRaw!$F459</f>
        <v>0</v>
      </c>
      <c r="B459" s="140" t="n">
        <f aca="false">ExportRaw!$C459</f>
        <v>0</v>
      </c>
      <c r="C459" s="140" t="n">
        <f aca="false">ExportRaw!$G459</f>
        <v>0</v>
      </c>
      <c r="D459" s="140" t="str">
        <f aca="false">ExportRaw!$E459</f>
        <v/>
      </c>
      <c r="E459" s="141" t="str">
        <f aca="false">ExportRaw!$D459</f>
        <v/>
      </c>
      <c r="F459" s="140" t="str">
        <f aca="false">ExportRaw!$H459</f>
        <v/>
      </c>
      <c r="G459" s="142" t="str">
        <f aca="false">ExportRaw!$I459</f>
        <v/>
      </c>
      <c r="H459" s="140" t="str">
        <f aca="false">ExportRaw!$A459</f>
        <v/>
      </c>
      <c r="I459" s="140" t="str">
        <f aca="false">ExportRaw!$B459</f>
        <v/>
      </c>
    </row>
    <row r="460" customFormat="false" ht="15.75" hidden="false" customHeight="false" outlineLevel="0" collapsed="false">
      <c r="A460" s="140" t="n">
        <f aca="false">ExportRaw!$F460</f>
        <v>0</v>
      </c>
      <c r="B460" s="140" t="n">
        <f aca="false">ExportRaw!$C460</f>
        <v>0</v>
      </c>
      <c r="C460" s="140" t="n">
        <f aca="false">ExportRaw!$G460</f>
        <v>0</v>
      </c>
      <c r="D460" s="140" t="str">
        <f aca="false">ExportRaw!$E460</f>
        <v/>
      </c>
      <c r="E460" s="141" t="str">
        <f aca="false">ExportRaw!$D460</f>
        <v/>
      </c>
      <c r="F460" s="140" t="str">
        <f aca="false">ExportRaw!$H460</f>
        <v/>
      </c>
      <c r="G460" s="142" t="str">
        <f aca="false">ExportRaw!$I460</f>
        <v/>
      </c>
      <c r="H460" s="140" t="str">
        <f aca="false">ExportRaw!$A460</f>
        <v/>
      </c>
      <c r="I460" s="140" t="str">
        <f aca="false">ExportRaw!$B460</f>
        <v/>
      </c>
    </row>
    <row r="461" customFormat="false" ht="15.75" hidden="false" customHeight="false" outlineLevel="0" collapsed="false">
      <c r="A461" s="140" t="n">
        <f aca="false">ExportRaw!$F461</f>
        <v>0</v>
      </c>
      <c r="B461" s="140" t="n">
        <f aca="false">ExportRaw!$C461</f>
        <v>0</v>
      </c>
      <c r="C461" s="140" t="n">
        <f aca="false">ExportRaw!$G461</f>
        <v>0</v>
      </c>
      <c r="D461" s="140" t="str">
        <f aca="false">ExportRaw!$E461</f>
        <v/>
      </c>
      <c r="E461" s="141" t="str">
        <f aca="false">ExportRaw!$D461</f>
        <v/>
      </c>
      <c r="F461" s="140" t="str">
        <f aca="false">ExportRaw!$H461</f>
        <v/>
      </c>
      <c r="G461" s="142" t="str">
        <f aca="false">ExportRaw!$I461</f>
        <v/>
      </c>
      <c r="H461" s="140" t="str">
        <f aca="false">ExportRaw!$A461</f>
        <v/>
      </c>
      <c r="I461" s="140" t="str">
        <f aca="false">ExportRaw!$B461</f>
        <v/>
      </c>
    </row>
    <row r="462" customFormat="false" ht="15.75" hidden="false" customHeight="false" outlineLevel="0" collapsed="false">
      <c r="A462" s="140" t="n">
        <f aca="false">ExportRaw!$F462</f>
        <v>0</v>
      </c>
      <c r="B462" s="140" t="n">
        <f aca="false">ExportRaw!$C462</f>
        <v>0</v>
      </c>
      <c r="C462" s="140" t="n">
        <f aca="false">ExportRaw!$G462</f>
        <v>0</v>
      </c>
      <c r="D462" s="140" t="str">
        <f aca="false">ExportRaw!$E462</f>
        <v/>
      </c>
      <c r="E462" s="141" t="str">
        <f aca="false">ExportRaw!$D462</f>
        <v/>
      </c>
      <c r="F462" s="140" t="str">
        <f aca="false">ExportRaw!$H462</f>
        <v/>
      </c>
      <c r="G462" s="142" t="str">
        <f aca="false">ExportRaw!$I462</f>
        <v/>
      </c>
      <c r="H462" s="140" t="str">
        <f aca="false">ExportRaw!$A462</f>
        <v/>
      </c>
      <c r="I462" s="140" t="str">
        <f aca="false">ExportRaw!$B462</f>
        <v/>
      </c>
    </row>
    <row r="463" customFormat="false" ht="15.75" hidden="false" customHeight="false" outlineLevel="0" collapsed="false">
      <c r="A463" s="140" t="n">
        <f aca="false">ExportRaw!$F463</f>
        <v>0</v>
      </c>
      <c r="B463" s="140" t="n">
        <f aca="false">ExportRaw!$C463</f>
        <v>0</v>
      </c>
      <c r="C463" s="140" t="n">
        <f aca="false">ExportRaw!$G463</f>
        <v>0</v>
      </c>
      <c r="D463" s="140" t="str">
        <f aca="false">ExportRaw!$E463</f>
        <v/>
      </c>
      <c r="E463" s="141" t="str">
        <f aca="false">ExportRaw!$D463</f>
        <v/>
      </c>
      <c r="F463" s="140" t="str">
        <f aca="false">ExportRaw!$H463</f>
        <v/>
      </c>
      <c r="G463" s="142" t="str">
        <f aca="false">ExportRaw!$I463</f>
        <v/>
      </c>
      <c r="H463" s="140" t="str">
        <f aca="false">ExportRaw!$A463</f>
        <v/>
      </c>
      <c r="I463" s="140" t="str">
        <f aca="false">ExportRaw!$B463</f>
        <v/>
      </c>
    </row>
    <row r="464" customFormat="false" ht="15.75" hidden="false" customHeight="false" outlineLevel="0" collapsed="false">
      <c r="A464" s="140" t="n">
        <f aca="false">ExportRaw!$F464</f>
        <v>0</v>
      </c>
      <c r="B464" s="140" t="n">
        <f aca="false">ExportRaw!$C464</f>
        <v>0</v>
      </c>
      <c r="C464" s="140" t="n">
        <f aca="false">ExportRaw!$G464</f>
        <v>0</v>
      </c>
      <c r="D464" s="140" t="str">
        <f aca="false">ExportRaw!$E464</f>
        <v/>
      </c>
      <c r="E464" s="141" t="str">
        <f aca="false">ExportRaw!$D464</f>
        <v/>
      </c>
      <c r="F464" s="140" t="str">
        <f aca="false">ExportRaw!$H464</f>
        <v/>
      </c>
      <c r="G464" s="142" t="str">
        <f aca="false">ExportRaw!$I464</f>
        <v/>
      </c>
      <c r="H464" s="140" t="str">
        <f aca="false">ExportRaw!$A464</f>
        <v/>
      </c>
      <c r="I464" s="140" t="str">
        <f aca="false">ExportRaw!$B464</f>
        <v/>
      </c>
    </row>
    <row r="465" customFormat="false" ht="15.75" hidden="false" customHeight="false" outlineLevel="0" collapsed="false">
      <c r="A465" s="140" t="n">
        <f aca="false">ExportRaw!$F465</f>
        <v>0</v>
      </c>
      <c r="B465" s="140" t="n">
        <f aca="false">ExportRaw!$C465</f>
        <v>0</v>
      </c>
      <c r="C465" s="140" t="n">
        <f aca="false">ExportRaw!$G465</f>
        <v>0</v>
      </c>
      <c r="D465" s="140" t="str">
        <f aca="false">ExportRaw!$E465</f>
        <v/>
      </c>
      <c r="E465" s="141" t="str">
        <f aca="false">ExportRaw!$D465</f>
        <v/>
      </c>
      <c r="F465" s="140" t="str">
        <f aca="false">ExportRaw!$H465</f>
        <v/>
      </c>
      <c r="G465" s="142" t="str">
        <f aca="false">ExportRaw!$I465</f>
        <v/>
      </c>
      <c r="H465" s="140" t="str">
        <f aca="false">ExportRaw!$A465</f>
        <v/>
      </c>
      <c r="I465" s="140" t="str">
        <f aca="false">ExportRaw!$B465</f>
        <v/>
      </c>
    </row>
    <row r="466" customFormat="false" ht="15.75" hidden="false" customHeight="false" outlineLevel="0" collapsed="false">
      <c r="A466" s="140" t="n">
        <f aca="false">ExportRaw!$F466</f>
        <v>0</v>
      </c>
      <c r="B466" s="140" t="n">
        <f aca="false">ExportRaw!$C466</f>
        <v>0</v>
      </c>
      <c r="C466" s="140" t="n">
        <f aca="false">ExportRaw!$G466</f>
        <v>0</v>
      </c>
      <c r="D466" s="140" t="str">
        <f aca="false">ExportRaw!$E466</f>
        <v/>
      </c>
      <c r="E466" s="141" t="str">
        <f aca="false">ExportRaw!$D466</f>
        <v/>
      </c>
      <c r="F466" s="140" t="str">
        <f aca="false">ExportRaw!$H466</f>
        <v/>
      </c>
      <c r="G466" s="142" t="str">
        <f aca="false">ExportRaw!$I466</f>
        <v/>
      </c>
      <c r="H466" s="140" t="str">
        <f aca="false">ExportRaw!$A466</f>
        <v/>
      </c>
      <c r="I466" s="140" t="str">
        <f aca="false">ExportRaw!$B466</f>
        <v/>
      </c>
    </row>
    <row r="467" customFormat="false" ht="15.75" hidden="false" customHeight="false" outlineLevel="0" collapsed="false">
      <c r="A467" s="140" t="n">
        <f aca="false">ExportRaw!$F467</f>
        <v>0</v>
      </c>
      <c r="B467" s="140" t="n">
        <f aca="false">ExportRaw!$C467</f>
        <v>0</v>
      </c>
      <c r="C467" s="140" t="n">
        <f aca="false">ExportRaw!$G467</f>
        <v>0</v>
      </c>
      <c r="D467" s="140" t="str">
        <f aca="false">ExportRaw!$E467</f>
        <v/>
      </c>
      <c r="E467" s="141" t="str">
        <f aca="false">ExportRaw!$D467</f>
        <v/>
      </c>
      <c r="F467" s="140" t="str">
        <f aca="false">ExportRaw!$H467</f>
        <v/>
      </c>
      <c r="G467" s="142" t="str">
        <f aca="false">ExportRaw!$I467</f>
        <v/>
      </c>
      <c r="H467" s="140" t="str">
        <f aca="false">ExportRaw!$A467</f>
        <v/>
      </c>
      <c r="I467" s="140" t="str">
        <f aca="false">ExportRaw!$B467</f>
        <v/>
      </c>
    </row>
    <row r="468" customFormat="false" ht="15.75" hidden="false" customHeight="false" outlineLevel="0" collapsed="false">
      <c r="A468" s="140" t="n">
        <f aca="false">ExportRaw!$F468</f>
        <v>0</v>
      </c>
      <c r="B468" s="140" t="n">
        <f aca="false">ExportRaw!$C468</f>
        <v>0</v>
      </c>
      <c r="C468" s="140" t="n">
        <f aca="false">ExportRaw!$G468</f>
        <v>0</v>
      </c>
      <c r="D468" s="140" t="str">
        <f aca="false">ExportRaw!$E468</f>
        <v/>
      </c>
      <c r="E468" s="141" t="str">
        <f aca="false">ExportRaw!$D468</f>
        <v/>
      </c>
      <c r="F468" s="140" t="str">
        <f aca="false">ExportRaw!$H468</f>
        <v/>
      </c>
      <c r="G468" s="142" t="str">
        <f aca="false">ExportRaw!$I468</f>
        <v/>
      </c>
      <c r="H468" s="140" t="str">
        <f aca="false">ExportRaw!$A468</f>
        <v/>
      </c>
      <c r="I468" s="140" t="str">
        <f aca="false">ExportRaw!$B468</f>
        <v/>
      </c>
    </row>
    <row r="469" customFormat="false" ht="15.75" hidden="false" customHeight="false" outlineLevel="0" collapsed="false">
      <c r="A469" s="140" t="n">
        <f aca="false">ExportRaw!$F469</f>
        <v>0</v>
      </c>
      <c r="B469" s="140" t="n">
        <f aca="false">ExportRaw!$C469</f>
        <v>0</v>
      </c>
      <c r="C469" s="140" t="n">
        <f aca="false">ExportRaw!$G469</f>
        <v>0</v>
      </c>
      <c r="D469" s="140" t="str">
        <f aca="false">ExportRaw!$E469</f>
        <v/>
      </c>
      <c r="E469" s="141" t="str">
        <f aca="false">ExportRaw!$D469</f>
        <v/>
      </c>
      <c r="F469" s="140" t="str">
        <f aca="false">ExportRaw!$H469</f>
        <v/>
      </c>
      <c r="G469" s="142" t="str">
        <f aca="false">ExportRaw!$I469</f>
        <v/>
      </c>
      <c r="H469" s="140" t="str">
        <f aca="false">ExportRaw!$A469</f>
        <v/>
      </c>
      <c r="I469" s="140" t="str">
        <f aca="false">ExportRaw!$B469</f>
        <v/>
      </c>
    </row>
    <row r="470" customFormat="false" ht="15.75" hidden="false" customHeight="false" outlineLevel="0" collapsed="false">
      <c r="A470" s="140" t="n">
        <f aca="false">ExportRaw!$F470</f>
        <v>0</v>
      </c>
      <c r="B470" s="140" t="n">
        <f aca="false">ExportRaw!$C470</f>
        <v>0</v>
      </c>
      <c r="C470" s="140" t="n">
        <f aca="false">ExportRaw!$G470</f>
        <v>0</v>
      </c>
      <c r="D470" s="140" t="str">
        <f aca="false">ExportRaw!$E470</f>
        <v/>
      </c>
      <c r="E470" s="141" t="str">
        <f aca="false">ExportRaw!$D470</f>
        <v/>
      </c>
      <c r="F470" s="140" t="str">
        <f aca="false">ExportRaw!$H470</f>
        <v/>
      </c>
      <c r="G470" s="142" t="str">
        <f aca="false">ExportRaw!$I470</f>
        <v/>
      </c>
      <c r="H470" s="140" t="str">
        <f aca="false">ExportRaw!$A470</f>
        <v/>
      </c>
      <c r="I470" s="140" t="str">
        <f aca="false">ExportRaw!$B470</f>
        <v/>
      </c>
    </row>
    <row r="471" customFormat="false" ht="15.75" hidden="false" customHeight="false" outlineLevel="0" collapsed="false">
      <c r="A471" s="140" t="n">
        <f aca="false">ExportRaw!$F471</f>
        <v>0</v>
      </c>
      <c r="B471" s="140" t="n">
        <f aca="false">ExportRaw!$C471</f>
        <v>0</v>
      </c>
      <c r="C471" s="140" t="n">
        <f aca="false">ExportRaw!$G471</f>
        <v>0</v>
      </c>
      <c r="D471" s="140" t="str">
        <f aca="false">ExportRaw!$E471</f>
        <v/>
      </c>
      <c r="E471" s="141" t="str">
        <f aca="false">ExportRaw!$D471</f>
        <v/>
      </c>
      <c r="F471" s="140" t="str">
        <f aca="false">ExportRaw!$H471</f>
        <v/>
      </c>
      <c r="G471" s="142" t="str">
        <f aca="false">ExportRaw!$I471</f>
        <v/>
      </c>
      <c r="H471" s="140" t="str">
        <f aca="false">ExportRaw!$A471</f>
        <v/>
      </c>
      <c r="I471" s="140" t="str">
        <f aca="false">ExportRaw!$B471</f>
        <v/>
      </c>
    </row>
    <row r="472" customFormat="false" ht="15.75" hidden="false" customHeight="false" outlineLevel="0" collapsed="false">
      <c r="A472" s="140" t="n">
        <f aca="false">ExportRaw!$F472</f>
        <v>0</v>
      </c>
      <c r="B472" s="140" t="n">
        <f aca="false">ExportRaw!$C472</f>
        <v>0</v>
      </c>
      <c r="C472" s="140" t="n">
        <f aca="false">ExportRaw!$G472</f>
        <v>0</v>
      </c>
      <c r="D472" s="140" t="str">
        <f aca="false">ExportRaw!$E472</f>
        <v/>
      </c>
      <c r="E472" s="141" t="str">
        <f aca="false">ExportRaw!$D472</f>
        <v/>
      </c>
      <c r="F472" s="140" t="str">
        <f aca="false">ExportRaw!$H472</f>
        <v/>
      </c>
      <c r="G472" s="142" t="str">
        <f aca="false">ExportRaw!$I472</f>
        <v/>
      </c>
      <c r="H472" s="140" t="str">
        <f aca="false">ExportRaw!$A472</f>
        <v/>
      </c>
      <c r="I472" s="140" t="str">
        <f aca="false">ExportRaw!$B472</f>
        <v/>
      </c>
    </row>
    <row r="473" customFormat="false" ht="15.75" hidden="false" customHeight="false" outlineLevel="0" collapsed="false">
      <c r="A473" s="140" t="n">
        <f aca="false">ExportRaw!$F473</f>
        <v>0</v>
      </c>
      <c r="B473" s="140" t="n">
        <f aca="false">ExportRaw!$C473</f>
        <v>0</v>
      </c>
      <c r="C473" s="140" t="n">
        <f aca="false">ExportRaw!$G473</f>
        <v>0</v>
      </c>
      <c r="D473" s="140" t="str">
        <f aca="false">ExportRaw!$E473</f>
        <v/>
      </c>
      <c r="E473" s="141" t="str">
        <f aca="false">ExportRaw!$D473</f>
        <v/>
      </c>
      <c r="F473" s="140" t="str">
        <f aca="false">ExportRaw!$H473</f>
        <v/>
      </c>
      <c r="G473" s="142" t="str">
        <f aca="false">ExportRaw!$I473</f>
        <v/>
      </c>
      <c r="H473" s="140" t="str">
        <f aca="false">ExportRaw!$A473</f>
        <v/>
      </c>
      <c r="I473" s="140" t="str">
        <f aca="false">ExportRaw!$B473</f>
        <v/>
      </c>
    </row>
    <row r="474" customFormat="false" ht="15.75" hidden="false" customHeight="false" outlineLevel="0" collapsed="false">
      <c r="A474" s="140" t="n">
        <f aca="false">ExportRaw!$F474</f>
        <v>0</v>
      </c>
      <c r="B474" s="140" t="n">
        <f aca="false">ExportRaw!$C474</f>
        <v>0</v>
      </c>
      <c r="C474" s="140" t="n">
        <f aca="false">ExportRaw!$G474</f>
        <v>0</v>
      </c>
      <c r="D474" s="140" t="str">
        <f aca="false">ExportRaw!$E474</f>
        <v/>
      </c>
      <c r="E474" s="141" t="str">
        <f aca="false">ExportRaw!$D474</f>
        <v/>
      </c>
      <c r="F474" s="140" t="str">
        <f aca="false">ExportRaw!$H474</f>
        <v/>
      </c>
      <c r="G474" s="142" t="str">
        <f aca="false">ExportRaw!$I474</f>
        <v/>
      </c>
      <c r="H474" s="140" t="str">
        <f aca="false">ExportRaw!$A474</f>
        <v/>
      </c>
      <c r="I474" s="140" t="str">
        <f aca="false">ExportRaw!$B474</f>
        <v/>
      </c>
    </row>
    <row r="475" customFormat="false" ht="15.75" hidden="false" customHeight="false" outlineLevel="0" collapsed="false">
      <c r="A475" s="140" t="n">
        <f aca="false">ExportRaw!$F475</f>
        <v>0</v>
      </c>
      <c r="B475" s="140" t="n">
        <f aca="false">ExportRaw!$C475</f>
        <v>0</v>
      </c>
      <c r="C475" s="140" t="n">
        <f aca="false">ExportRaw!$G475</f>
        <v>0</v>
      </c>
      <c r="D475" s="140" t="str">
        <f aca="false">ExportRaw!$E475</f>
        <v/>
      </c>
      <c r="E475" s="141" t="str">
        <f aca="false">ExportRaw!$D475</f>
        <v/>
      </c>
      <c r="F475" s="140" t="str">
        <f aca="false">ExportRaw!$H475</f>
        <v/>
      </c>
      <c r="G475" s="142" t="str">
        <f aca="false">ExportRaw!$I475</f>
        <v/>
      </c>
      <c r="H475" s="140" t="str">
        <f aca="false">ExportRaw!$A475</f>
        <v/>
      </c>
      <c r="I475" s="140" t="str">
        <f aca="false">ExportRaw!$B475</f>
        <v/>
      </c>
    </row>
    <row r="476" customFormat="false" ht="15.75" hidden="false" customHeight="false" outlineLevel="0" collapsed="false">
      <c r="A476" s="140" t="n">
        <f aca="false">ExportRaw!$F476</f>
        <v>0</v>
      </c>
      <c r="B476" s="140" t="n">
        <f aca="false">ExportRaw!$C476</f>
        <v>0</v>
      </c>
      <c r="C476" s="140" t="n">
        <f aca="false">ExportRaw!$G476</f>
        <v>0</v>
      </c>
      <c r="D476" s="140" t="str">
        <f aca="false">ExportRaw!$E476</f>
        <v/>
      </c>
      <c r="E476" s="141" t="str">
        <f aca="false">ExportRaw!$D476</f>
        <v/>
      </c>
      <c r="F476" s="140" t="str">
        <f aca="false">ExportRaw!$H476</f>
        <v/>
      </c>
      <c r="G476" s="142" t="str">
        <f aca="false">ExportRaw!$I476</f>
        <v/>
      </c>
      <c r="H476" s="140" t="str">
        <f aca="false">ExportRaw!$A476</f>
        <v/>
      </c>
      <c r="I476" s="140" t="str">
        <f aca="false">ExportRaw!$B476</f>
        <v/>
      </c>
    </row>
    <row r="477" customFormat="false" ht="15.75" hidden="false" customHeight="false" outlineLevel="0" collapsed="false">
      <c r="A477" s="140" t="n">
        <f aca="false">ExportRaw!$F477</f>
        <v>0</v>
      </c>
      <c r="B477" s="140" t="n">
        <f aca="false">ExportRaw!$C477</f>
        <v>0</v>
      </c>
      <c r="C477" s="140" t="n">
        <f aca="false">ExportRaw!$G477</f>
        <v>0</v>
      </c>
      <c r="D477" s="140" t="str">
        <f aca="false">ExportRaw!$E477</f>
        <v/>
      </c>
      <c r="E477" s="141" t="str">
        <f aca="false">ExportRaw!$D477</f>
        <v/>
      </c>
      <c r="F477" s="140" t="str">
        <f aca="false">ExportRaw!$H477</f>
        <v/>
      </c>
      <c r="G477" s="142" t="str">
        <f aca="false">ExportRaw!$I477</f>
        <v/>
      </c>
      <c r="H477" s="140" t="str">
        <f aca="false">ExportRaw!$A477</f>
        <v/>
      </c>
      <c r="I477" s="140" t="str">
        <f aca="false">ExportRaw!$B477</f>
        <v/>
      </c>
    </row>
    <row r="478" customFormat="false" ht="15.75" hidden="false" customHeight="false" outlineLevel="0" collapsed="false">
      <c r="A478" s="140" t="n">
        <f aca="false">ExportRaw!$F478</f>
        <v>0</v>
      </c>
      <c r="B478" s="140" t="n">
        <f aca="false">ExportRaw!$C478</f>
        <v>0</v>
      </c>
      <c r="C478" s="140" t="n">
        <f aca="false">ExportRaw!$G478</f>
        <v>0</v>
      </c>
      <c r="D478" s="140" t="str">
        <f aca="false">ExportRaw!$E478</f>
        <v/>
      </c>
      <c r="E478" s="141" t="str">
        <f aca="false">ExportRaw!$D478</f>
        <v/>
      </c>
      <c r="F478" s="140" t="str">
        <f aca="false">ExportRaw!$H478</f>
        <v/>
      </c>
      <c r="G478" s="142" t="str">
        <f aca="false">ExportRaw!$I478</f>
        <v/>
      </c>
      <c r="H478" s="140" t="str">
        <f aca="false">ExportRaw!$A478</f>
        <v/>
      </c>
      <c r="I478" s="140" t="str">
        <f aca="false">ExportRaw!$B478</f>
        <v/>
      </c>
    </row>
    <row r="479" customFormat="false" ht="15.75" hidden="false" customHeight="false" outlineLevel="0" collapsed="false">
      <c r="A479" s="140" t="n">
        <f aca="false">ExportRaw!$F479</f>
        <v>0</v>
      </c>
      <c r="B479" s="140" t="n">
        <f aca="false">ExportRaw!$C479</f>
        <v>0</v>
      </c>
      <c r="C479" s="140" t="n">
        <f aca="false">ExportRaw!$G479</f>
        <v>0</v>
      </c>
      <c r="D479" s="140" t="str">
        <f aca="false">ExportRaw!$E479</f>
        <v/>
      </c>
      <c r="E479" s="141" t="str">
        <f aca="false">ExportRaw!$D479</f>
        <v/>
      </c>
      <c r="F479" s="140" t="str">
        <f aca="false">ExportRaw!$H479</f>
        <v/>
      </c>
      <c r="G479" s="142" t="str">
        <f aca="false">ExportRaw!$I479</f>
        <v/>
      </c>
      <c r="H479" s="140" t="str">
        <f aca="false">ExportRaw!$A479</f>
        <v/>
      </c>
      <c r="I479" s="140" t="str">
        <f aca="false">ExportRaw!$B479</f>
        <v/>
      </c>
    </row>
    <row r="480" customFormat="false" ht="15.75" hidden="false" customHeight="false" outlineLevel="0" collapsed="false">
      <c r="A480" s="140" t="n">
        <f aca="false">ExportRaw!$F480</f>
        <v>0</v>
      </c>
      <c r="B480" s="140" t="n">
        <f aca="false">ExportRaw!$C480</f>
        <v>0</v>
      </c>
      <c r="C480" s="140" t="n">
        <f aca="false">ExportRaw!$G480</f>
        <v>0</v>
      </c>
      <c r="D480" s="140" t="str">
        <f aca="false">ExportRaw!$E480</f>
        <v/>
      </c>
      <c r="E480" s="141" t="str">
        <f aca="false">ExportRaw!$D480</f>
        <v/>
      </c>
      <c r="F480" s="140" t="str">
        <f aca="false">ExportRaw!$H480</f>
        <v/>
      </c>
      <c r="G480" s="142" t="str">
        <f aca="false">ExportRaw!$I480</f>
        <v/>
      </c>
      <c r="H480" s="140" t="str">
        <f aca="false">ExportRaw!$A480</f>
        <v/>
      </c>
      <c r="I480" s="140" t="str">
        <f aca="false">ExportRaw!$B480</f>
        <v/>
      </c>
    </row>
    <row r="481" customFormat="false" ht="15.75" hidden="false" customHeight="false" outlineLevel="0" collapsed="false">
      <c r="A481" s="140" t="n">
        <f aca="false">ExportRaw!$F481</f>
        <v>0</v>
      </c>
      <c r="B481" s="140" t="n">
        <f aca="false">ExportRaw!$C481</f>
        <v>0</v>
      </c>
      <c r="C481" s="140" t="n">
        <f aca="false">ExportRaw!$G481</f>
        <v>0</v>
      </c>
      <c r="D481" s="140" t="str">
        <f aca="false">ExportRaw!$E481</f>
        <v/>
      </c>
      <c r="E481" s="141" t="str">
        <f aca="false">ExportRaw!$D481</f>
        <v/>
      </c>
      <c r="F481" s="140" t="str">
        <f aca="false">ExportRaw!$H481</f>
        <v/>
      </c>
      <c r="G481" s="142" t="str">
        <f aca="false">ExportRaw!$I481</f>
        <v/>
      </c>
      <c r="H481" s="140" t="str">
        <f aca="false">ExportRaw!$A481</f>
        <v/>
      </c>
      <c r="I481" s="140" t="str">
        <f aca="false">ExportRaw!$B481</f>
        <v/>
      </c>
    </row>
    <row r="482" customFormat="false" ht="15.75" hidden="false" customHeight="false" outlineLevel="0" collapsed="false">
      <c r="A482" s="140" t="n">
        <f aca="false">ExportRaw!$F482</f>
        <v>0</v>
      </c>
      <c r="B482" s="140" t="n">
        <f aca="false">ExportRaw!$C482</f>
        <v>0</v>
      </c>
      <c r="C482" s="140" t="n">
        <f aca="false">ExportRaw!$G482</f>
        <v>0</v>
      </c>
      <c r="D482" s="140" t="str">
        <f aca="false">ExportRaw!$E482</f>
        <v/>
      </c>
      <c r="E482" s="141" t="str">
        <f aca="false">ExportRaw!$D482</f>
        <v/>
      </c>
      <c r="F482" s="140" t="str">
        <f aca="false">ExportRaw!$H482</f>
        <v/>
      </c>
      <c r="G482" s="142" t="str">
        <f aca="false">ExportRaw!$I482</f>
        <v/>
      </c>
      <c r="H482" s="140" t="str">
        <f aca="false">ExportRaw!$A482</f>
        <v/>
      </c>
      <c r="I482" s="140" t="str">
        <f aca="false">ExportRaw!$B482</f>
        <v/>
      </c>
    </row>
    <row r="483" customFormat="false" ht="15.75" hidden="false" customHeight="false" outlineLevel="0" collapsed="false">
      <c r="A483" s="140" t="n">
        <f aca="false">ExportRaw!$F483</f>
        <v>0</v>
      </c>
      <c r="B483" s="140" t="n">
        <f aca="false">ExportRaw!$C483</f>
        <v>0</v>
      </c>
      <c r="C483" s="140" t="n">
        <f aca="false">ExportRaw!$G483</f>
        <v>0</v>
      </c>
      <c r="D483" s="140" t="str">
        <f aca="false">ExportRaw!$E483</f>
        <v/>
      </c>
      <c r="E483" s="141" t="str">
        <f aca="false">ExportRaw!$D483</f>
        <v/>
      </c>
      <c r="F483" s="140" t="str">
        <f aca="false">ExportRaw!$H483</f>
        <v/>
      </c>
      <c r="G483" s="142" t="str">
        <f aca="false">ExportRaw!$I483</f>
        <v/>
      </c>
      <c r="H483" s="140" t="str">
        <f aca="false">ExportRaw!$A483</f>
        <v/>
      </c>
      <c r="I483" s="140" t="str">
        <f aca="false">ExportRaw!$B483</f>
        <v/>
      </c>
    </row>
    <row r="484" customFormat="false" ht="15.75" hidden="false" customHeight="false" outlineLevel="0" collapsed="false">
      <c r="A484" s="140" t="n">
        <f aca="false">ExportRaw!$F484</f>
        <v>0</v>
      </c>
      <c r="B484" s="140" t="n">
        <f aca="false">ExportRaw!$C484</f>
        <v>0</v>
      </c>
      <c r="C484" s="140" t="n">
        <f aca="false">ExportRaw!$G484</f>
        <v>0</v>
      </c>
      <c r="D484" s="140" t="str">
        <f aca="false">ExportRaw!$E484</f>
        <v/>
      </c>
      <c r="E484" s="141" t="str">
        <f aca="false">ExportRaw!$D484</f>
        <v/>
      </c>
      <c r="F484" s="140" t="str">
        <f aca="false">ExportRaw!$H484</f>
        <v/>
      </c>
      <c r="G484" s="142" t="str">
        <f aca="false">ExportRaw!$I484</f>
        <v/>
      </c>
      <c r="H484" s="140" t="str">
        <f aca="false">ExportRaw!$A484</f>
        <v/>
      </c>
      <c r="I484" s="140" t="str">
        <f aca="false">ExportRaw!$B484</f>
        <v/>
      </c>
    </row>
    <row r="485" customFormat="false" ht="15.75" hidden="false" customHeight="false" outlineLevel="0" collapsed="false">
      <c r="A485" s="140" t="n">
        <f aca="false">ExportRaw!$F485</f>
        <v>0</v>
      </c>
      <c r="B485" s="140" t="n">
        <f aca="false">ExportRaw!$C485</f>
        <v>0</v>
      </c>
      <c r="C485" s="140" t="n">
        <f aca="false">ExportRaw!$G485</f>
        <v>0</v>
      </c>
      <c r="D485" s="140" t="str">
        <f aca="false">ExportRaw!$E485</f>
        <v/>
      </c>
      <c r="E485" s="141" t="str">
        <f aca="false">ExportRaw!$D485</f>
        <v/>
      </c>
      <c r="F485" s="140" t="str">
        <f aca="false">ExportRaw!$H485</f>
        <v/>
      </c>
      <c r="G485" s="142" t="str">
        <f aca="false">ExportRaw!$I485</f>
        <v/>
      </c>
      <c r="H485" s="140" t="str">
        <f aca="false">ExportRaw!$A485</f>
        <v/>
      </c>
      <c r="I485" s="140" t="str">
        <f aca="false">ExportRaw!$B485</f>
        <v/>
      </c>
    </row>
    <row r="486" customFormat="false" ht="15.75" hidden="false" customHeight="false" outlineLevel="0" collapsed="false">
      <c r="A486" s="140" t="n">
        <f aca="false">ExportRaw!$F486</f>
        <v>0</v>
      </c>
      <c r="B486" s="140" t="n">
        <f aca="false">ExportRaw!$C486</f>
        <v>0</v>
      </c>
      <c r="C486" s="140" t="n">
        <f aca="false">ExportRaw!$G486</f>
        <v>0</v>
      </c>
      <c r="D486" s="140" t="str">
        <f aca="false">ExportRaw!$E486</f>
        <v/>
      </c>
      <c r="E486" s="141" t="str">
        <f aca="false">ExportRaw!$D486</f>
        <v/>
      </c>
      <c r="F486" s="140" t="str">
        <f aca="false">ExportRaw!$H486</f>
        <v/>
      </c>
      <c r="G486" s="142" t="str">
        <f aca="false">ExportRaw!$I486</f>
        <v/>
      </c>
      <c r="H486" s="140" t="str">
        <f aca="false">ExportRaw!$A486</f>
        <v/>
      </c>
      <c r="I486" s="140" t="str">
        <f aca="false">ExportRaw!$B486</f>
        <v/>
      </c>
    </row>
    <row r="487" customFormat="false" ht="15.75" hidden="false" customHeight="false" outlineLevel="0" collapsed="false">
      <c r="A487" s="140" t="n">
        <f aca="false">ExportRaw!$F487</f>
        <v>0</v>
      </c>
      <c r="B487" s="140" t="n">
        <f aca="false">ExportRaw!$C487</f>
        <v>0</v>
      </c>
      <c r="C487" s="140" t="n">
        <f aca="false">ExportRaw!$G487</f>
        <v>0</v>
      </c>
      <c r="D487" s="140" t="str">
        <f aca="false">ExportRaw!$E487</f>
        <v/>
      </c>
      <c r="E487" s="141" t="str">
        <f aca="false">ExportRaw!$D487</f>
        <v/>
      </c>
      <c r="F487" s="140" t="str">
        <f aca="false">ExportRaw!$H487</f>
        <v/>
      </c>
      <c r="G487" s="142" t="str">
        <f aca="false">ExportRaw!$I487</f>
        <v/>
      </c>
      <c r="H487" s="140" t="str">
        <f aca="false">ExportRaw!$A487</f>
        <v/>
      </c>
      <c r="I487" s="140" t="str">
        <f aca="false">ExportRaw!$B487</f>
        <v/>
      </c>
    </row>
    <row r="488" customFormat="false" ht="15.75" hidden="false" customHeight="false" outlineLevel="0" collapsed="false">
      <c r="A488" s="140" t="n">
        <f aca="false">ExportRaw!$F488</f>
        <v>0</v>
      </c>
      <c r="B488" s="140" t="n">
        <f aca="false">ExportRaw!$C488</f>
        <v>0</v>
      </c>
      <c r="C488" s="140" t="n">
        <f aca="false">ExportRaw!$G488</f>
        <v>0</v>
      </c>
      <c r="D488" s="140" t="str">
        <f aca="false">ExportRaw!$E488</f>
        <v/>
      </c>
      <c r="E488" s="141" t="str">
        <f aca="false">ExportRaw!$D488</f>
        <v/>
      </c>
      <c r="F488" s="140" t="str">
        <f aca="false">ExportRaw!$H488</f>
        <v/>
      </c>
      <c r="G488" s="142" t="str">
        <f aca="false">ExportRaw!$I488</f>
        <v/>
      </c>
      <c r="H488" s="140" t="str">
        <f aca="false">ExportRaw!$A488</f>
        <v/>
      </c>
      <c r="I488" s="140" t="str">
        <f aca="false">ExportRaw!$B488</f>
        <v/>
      </c>
    </row>
    <row r="489" customFormat="false" ht="15.75" hidden="false" customHeight="false" outlineLevel="0" collapsed="false">
      <c r="A489" s="140" t="n">
        <f aca="false">ExportRaw!$F489</f>
        <v>0</v>
      </c>
      <c r="B489" s="140" t="n">
        <f aca="false">ExportRaw!$C489</f>
        <v>0</v>
      </c>
      <c r="C489" s="140" t="n">
        <f aca="false">ExportRaw!$G489</f>
        <v>0</v>
      </c>
      <c r="D489" s="140" t="str">
        <f aca="false">ExportRaw!$E489</f>
        <v/>
      </c>
      <c r="E489" s="141" t="str">
        <f aca="false">ExportRaw!$D489</f>
        <v/>
      </c>
      <c r="F489" s="140" t="str">
        <f aca="false">ExportRaw!$H489</f>
        <v/>
      </c>
      <c r="G489" s="142" t="str">
        <f aca="false">ExportRaw!$I489</f>
        <v/>
      </c>
      <c r="H489" s="140" t="str">
        <f aca="false">ExportRaw!$A489</f>
        <v/>
      </c>
      <c r="I489" s="140" t="str">
        <f aca="false">ExportRaw!$B489</f>
        <v/>
      </c>
    </row>
    <row r="490" customFormat="false" ht="15.75" hidden="false" customHeight="false" outlineLevel="0" collapsed="false">
      <c r="A490" s="140" t="n">
        <f aca="false">ExportRaw!$F490</f>
        <v>0</v>
      </c>
      <c r="B490" s="140" t="n">
        <f aca="false">ExportRaw!$C490</f>
        <v>0</v>
      </c>
      <c r="C490" s="140" t="n">
        <f aca="false">ExportRaw!$G490</f>
        <v>0</v>
      </c>
      <c r="D490" s="140" t="str">
        <f aca="false">ExportRaw!$E490</f>
        <v/>
      </c>
      <c r="E490" s="141" t="str">
        <f aca="false">ExportRaw!$D490</f>
        <v/>
      </c>
      <c r="F490" s="140" t="str">
        <f aca="false">ExportRaw!$H490</f>
        <v/>
      </c>
      <c r="G490" s="142" t="str">
        <f aca="false">ExportRaw!$I490</f>
        <v/>
      </c>
      <c r="H490" s="140" t="str">
        <f aca="false">ExportRaw!$A490</f>
        <v/>
      </c>
      <c r="I490" s="140" t="str">
        <f aca="false">ExportRaw!$B490</f>
        <v/>
      </c>
    </row>
    <row r="491" customFormat="false" ht="15.75" hidden="false" customHeight="false" outlineLevel="0" collapsed="false">
      <c r="A491" s="140" t="n">
        <f aca="false">ExportRaw!$F491</f>
        <v>0</v>
      </c>
      <c r="B491" s="140" t="n">
        <f aca="false">ExportRaw!$C491</f>
        <v>0</v>
      </c>
      <c r="C491" s="140" t="n">
        <f aca="false">ExportRaw!$G491</f>
        <v>0</v>
      </c>
      <c r="D491" s="140" t="str">
        <f aca="false">ExportRaw!$E491</f>
        <v/>
      </c>
      <c r="E491" s="141" t="str">
        <f aca="false">ExportRaw!$D491</f>
        <v/>
      </c>
      <c r="F491" s="140" t="str">
        <f aca="false">ExportRaw!$H491</f>
        <v/>
      </c>
      <c r="G491" s="142" t="str">
        <f aca="false">ExportRaw!$I491</f>
        <v/>
      </c>
      <c r="H491" s="140" t="str">
        <f aca="false">ExportRaw!$A491</f>
        <v/>
      </c>
      <c r="I491" s="140" t="str">
        <f aca="false">ExportRaw!$B491</f>
        <v/>
      </c>
    </row>
    <row r="492" customFormat="false" ht="15.75" hidden="false" customHeight="false" outlineLevel="0" collapsed="false">
      <c r="A492" s="140" t="n">
        <f aca="false">ExportRaw!$F492</f>
        <v>0</v>
      </c>
      <c r="B492" s="140" t="n">
        <f aca="false">ExportRaw!$C492</f>
        <v>0</v>
      </c>
      <c r="C492" s="140" t="n">
        <f aca="false">ExportRaw!$G492</f>
        <v>0</v>
      </c>
      <c r="D492" s="140" t="str">
        <f aca="false">ExportRaw!$E492</f>
        <v/>
      </c>
      <c r="E492" s="141" t="str">
        <f aca="false">ExportRaw!$D492</f>
        <v/>
      </c>
      <c r="F492" s="140" t="str">
        <f aca="false">ExportRaw!$H492</f>
        <v/>
      </c>
      <c r="G492" s="142" t="str">
        <f aca="false">ExportRaw!$I492</f>
        <v/>
      </c>
      <c r="H492" s="140" t="str">
        <f aca="false">ExportRaw!$A492</f>
        <v/>
      </c>
      <c r="I492" s="140" t="str">
        <f aca="false">ExportRaw!$B492</f>
        <v/>
      </c>
    </row>
    <row r="493" customFormat="false" ht="15.75" hidden="false" customHeight="false" outlineLevel="0" collapsed="false">
      <c r="A493" s="140" t="n">
        <f aca="false">ExportRaw!$F493</f>
        <v>0</v>
      </c>
      <c r="B493" s="140" t="n">
        <f aca="false">ExportRaw!$C493</f>
        <v>0</v>
      </c>
      <c r="C493" s="140" t="n">
        <f aca="false">ExportRaw!$G493</f>
        <v>0</v>
      </c>
      <c r="D493" s="140" t="str">
        <f aca="false">ExportRaw!$E493</f>
        <v/>
      </c>
      <c r="E493" s="141" t="str">
        <f aca="false">ExportRaw!$D493</f>
        <v/>
      </c>
      <c r="F493" s="140" t="str">
        <f aca="false">ExportRaw!$H493</f>
        <v/>
      </c>
      <c r="G493" s="142" t="str">
        <f aca="false">ExportRaw!$I493</f>
        <v/>
      </c>
      <c r="H493" s="140" t="str">
        <f aca="false">ExportRaw!$A493</f>
        <v/>
      </c>
      <c r="I493" s="140" t="str">
        <f aca="false">ExportRaw!$B493</f>
        <v/>
      </c>
    </row>
    <row r="494" customFormat="false" ht="15.75" hidden="false" customHeight="false" outlineLevel="0" collapsed="false">
      <c r="A494" s="140" t="n">
        <f aca="false">ExportRaw!$F494</f>
        <v>0</v>
      </c>
      <c r="B494" s="140" t="n">
        <f aca="false">ExportRaw!$C494</f>
        <v>0</v>
      </c>
      <c r="C494" s="140" t="n">
        <f aca="false">ExportRaw!$G494</f>
        <v>0</v>
      </c>
      <c r="D494" s="140" t="str">
        <f aca="false">ExportRaw!$E494</f>
        <v/>
      </c>
      <c r="E494" s="141" t="str">
        <f aca="false">ExportRaw!$D494</f>
        <v/>
      </c>
      <c r="F494" s="140" t="str">
        <f aca="false">ExportRaw!$H494</f>
        <v/>
      </c>
      <c r="G494" s="142" t="str">
        <f aca="false">ExportRaw!$I494</f>
        <v/>
      </c>
      <c r="H494" s="140" t="str">
        <f aca="false">ExportRaw!$A494</f>
        <v/>
      </c>
      <c r="I494" s="140" t="str">
        <f aca="false">ExportRaw!$B494</f>
        <v/>
      </c>
    </row>
    <row r="495" customFormat="false" ht="15.75" hidden="false" customHeight="false" outlineLevel="0" collapsed="false">
      <c r="A495" s="140" t="n">
        <f aca="false">ExportRaw!$F495</f>
        <v>0</v>
      </c>
      <c r="B495" s="140" t="n">
        <f aca="false">ExportRaw!$C495</f>
        <v>0</v>
      </c>
      <c r="C495" s="140" t="n">
        <f aca="false">ExportRaw!$G495</f>
        <v>0</v>
      </c>
      <c r="D495" s="140" t="str">
        <f aca="false">ExportRaw!$E495</f>
        <v/>
      </c>
      <c r="E495" s="141" t="str">
        <f aca="false">ExportRaw!$D495</f>
        <v/>
      </c>
      <c r="F495" s="140" t="str">
        <f aca="false">ExportRaw!$H495</f>
        <v/>
      </c>
      <c r="G495" s="142" t="str">
        <f aca="false">ExportRaw!$I495</f>
        <v/>
      </c>
      <c r="H495" s="140" t="str">
        <f aca="false">ExportRaw!$A495</f>
        <v/>
      </c>
      <c r="I495" s="140" t="str">
        <f aca="false">ExportRaw!$B495</f>
        <v/>
      </c>
    </row>
    <row r="496" customFormat="false" ht="15.75" hidden="false" customHeight="false" outlineLevel="0" collapsed="false">
      <c r="A496" s="140" t="n">
        <f aca="false">ExportRaw!$F496</f>
        <v>0</v>
      </c>
      <c r="B496" s="140" t="n">
        <f aca="false">ExportRaw!$C496</f>
        <v>0</v>
      </c>
      <c r="C496" s="140" t="n">
        <f aca="false">ExportRaw!$G496</f>
        <v>0</v>
      </c>
      <c r="D496" s="140" t="str">
        <f aca="false">ExportRaw!$E496</f>
        <v/>
      </c>
      <c r="E496" s="141" t="str">
        <f aca="false">ExportRaw!$D496</f>
        <v/>
      </c>
      <c r="F496" s="140" t="str">
        <f aca="false">ExportRaw!$H496</f>
        <v/>
      </c>
      <c r="G496" s="142" t="str">
        <f aca="false">ExportRaw!$I496</f>
        <v/>
      </c>
      <c r="H496" s="140" t="str">
        <f aca="false">ExportRaw!$A496</f>
        <v/>
      </c>
      <c r="I496" s="140" t="str">
        <f aca="false">ExportRaw!$B496</f>
        <v/>
      </c>
    </row>
    <row r="497" customFormat="false" ht="15.75" hidden="false" customHeight="false" outlineLevel="0" collapsed="false">
      <c r="A497" s="140" t="n">
        <f aca="false">ExportRaw!$F497</f>
        <v>0</v>
      </c>
      <c r="B497" s="140" t="n">
        <f aca="false">ExportRaw!$C497</f>
        <v>0</v>
      </c>
      <c r="C497" s="140" t="n">
        <f aca="false">ExportRaw!$G497</f>
        <v>0</v>
      </c>
      <c r="D497" s="140" t="str">
        <f aca="false">ExportRaw!$E497</f>
        <v/>
      </c>
      <c r="E497" s="141" t="str">
        <f aca="false">ExportRaw!$D497</f>
        <v/>
      </c>
      <c r="F497" s="140" t="str">
        <f aca="false">ExportRaw!$H497</f>
        <v/>
      </c>
      <c r="G497" s="142" t="str">
        <f aca="false">ExportRaw!$I497</f>
        <v/>
      </c>
      <c r="H497" s="140" t="str">
        <f aca="false">ExportRaw!$A497</f>
        <v/>
      </c>
      <c r="I497" s="140" t="str">
        <f aca="false">ExportRaw!$B497</f>
        <v/>
      </c>
    </row>
    <row r="498" customFormat="false" ht="15.75" hidden="false" customHeight="false" outlineLevel="0" collapsed="false">
      <c r="A498" s="140" t="n">
        <f aca="false">ExportRaw!$F498</f>
        <v>0</v>
      </c>
      <c r="B498" s="140" t="n">
        <f aca="false">ExportRaw!$C498</f>
        <v>0</v>
      </c>
      <c r="C498" s="140" t="n">
        <f aca="false">ExportRaw!$G498</f>
        <v>0</v>
      </c>
      <c r="D498" s="140" t="str">
        <f aca="false">ExportRaw!$E498</f>
        <v/>
      </c>
      <c r="E498" s="141" t="str">
        <f aca="false">ExportRaw!$D498</f>
        <v/>
      </c>
      <c r="F498" s="140" t="str">
        <f aca="false">ExportRaw!$H498</f>
        <v/>
      </c>
      <c r="G498" s="142" t="str">
        <f aca="false">ExportRaw!$I498</f>
        <v/>
      </c>
      <c r="H498" s="140" t="str">
        <f aca="false">ExportRaw!$A498</f>
        <v/>
      </c>
      <c r="I498" s="140" t="str">
        <f aca="false">ExportRaw!$B498</f>
        <v/>
      </c>
    </row>
    <row r="499" customFormat="false" ht="15.75" hidden="false" customHeight="false" outlineLevel="0" collapsed="false">
      <c r="A499" s="140" t="n">
        <f aca="false">ExportRaw!$F499</f>
        <v>0</v>
      </c>
      <c r="B499" s="140" t="n">
        <f aca="false">ExportRaw!$C499</f>
        <v>0</v>
      </c>
      <c r="C499" s="140" t="n">
        <f aca="false">ExportRaw!$G499</f>
        <v>0</v>
      </c>
      <c r="D499" s="140" t="str">
        <f aca="false">ExportRaw!$E499</f>
        <v/>
      </c>
      <c r="E499" s="141" t="str">
        <f aca="false">ExportRaw!$D499</f>
        <v/>
      </c>
      <c r="F499" s="140" t="str">
        <f aca="false">ExportRaw!$H499</f>
        <v/>
      </c>
      <c r="G499" s="142" t="str">
        <f aca="false">ExportRaw!$I499</f>
        <v/>
      </c>
      <c r="H499" s="140" t="str">
        <f aca="false">ExportRaw!$A499</f>
        <v/>
      </c>
      <c r="I499" s="140" t="str">
        <f aca="false">ExportRaw!$B499</f>
        <v/>
      </c>
    </row>
    <row r="500" customFormat="false" ht="15.75" hidden="false" customHeight="false" outlineLevel="0" collapsed="false">
      <c r="A500" s="140" t="n">
        <f aca="false">ExportRaw!$F500</f>
        <v>0</v>
      </c>
      <c r="B500" s="140" t="n">
        <f aca="false">ExportRaw!$C500</f>
        <v>0</v>
      </c>
      <c r="C500" s="140" t="n">
        <f aca="false">ExportRaw!$G500</f>
        <v>0</v>
      </c>
      <c r="D500" s="140" t="str">
        <f aca="false">ExportRaw!$E500</f>
        <v/>
      </c>
      <c r="E500" s="141" t="str">
        <f aca="false">ExportRaw!$D500</f>
        <v/>
      </c>
      <c r="F500" s="140" t="str">
        <f aca="false">ExportRaw!$H500</f>
        <v/>
      </c>
      <c r="G500" s="142" t="str">
        <f aca="false">ExportRaw!$I500</f>
        <v/>
      </c>
      <c r="H500" s="140" t="str">
        <f aca="false">ExportRaw!$A500</f>
        <v/>
      </c>
      <c r="I500" s="140" t="str">
        <f aca="false">ExportRaw!$B500</f>
        <v/>
      </c>
    </row>
    <row r="501" customFormat="false" ht="15.75" hidden="false" customHeight="false" outlineLevel="0" collapsed="false">
      <c r="A501" s="140" t="n">
        <f aca="false">ExportRaw!$F501</f>
        <v>0</v>
      </c>
      <c r="B501" s="140" t="n">
        <f aca="false">ExportRaw!$C501</f>
        <v>0</v>
      </c>
      <c r="C501" s="140" t="n">
        <f aca="false">ExportRaw!$G501</f>
        <v>0</v>
      </c>
      <c r="D501" s="140" t="str">
        <f aca="false">ExportRaw!$E501</f>
        <v/>
      </c>
      <c r="E501" s="141" t="str">
        <f aca="false">ExportRaw!$D501</f>
        <v/>
      </c>
      <c r="F501" s="140" t="str">
        <f aca="false">ExportRaw!$H501</f>
        <v/>
      </c>
      <c r="G501" s="142" t="str">
        <f aca="false">ExportRaw!$I501</f>
        <v/>
      </c>
      <c r="H501" s="140" t="str">
        <f aca="false">ExportRaw!$A501</f>
        <v/>
      </c>
      <c r="I501" s="140" t="str">
        <f aca="false">ExportRaw!$B501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27"/>
    <col collapsed="false" customWidth="true" hidden="false" outlineLevel="0" max="3" min="3" style="1" width="104.88"/>
  </cols>
  <sheetData>
    <row r="1" customFormat="false" ht="15.75" hidden="false" customHeight="false" outlineLevel="0" collapsed="false">
      <c r="A1" s="139" t="s">
        <v>75</v>
      </c>
      <c r="B1" s="139" t="s">
        <v>76</v>
      </c>
      <c r="C1" s="139" t="s">
        <v>77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 customFormat="false" ht="15.75" hidden="false" customHeight="false" outlineLevel="0" collapsed="false">
      <c r="A2" s="143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 customFormat="false" ht="15.75" hidden="false" customHeight="false" outlineLevel="0" collapsed="false">
      <c r="A3" s="143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customFormat="false" ht="15.75" hidden="false" customHeight="false" outlineLevel="0" collapsed="false">
      <c r="A4" s="143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 customFormat="false" ht="15.75" hidden="false" customHeight="false" outlineLevel="0" collapsed="false">
      <c r="A5" s="144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 customFormat="false" ht="15.75" hidden="false" customHeight="false" outlineLevel="0" collapsed="false">
      <c r="A6" s="144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 customFormat="false" ht="15.75" hidden="false" customHeight="false" outlineLevel="0" collapsed="false">
      <c r="A7" s="144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 customFormat="false" ht="15.75" hidden="false" customHeight="false" outlineLevel="0" collapsed="false">
      <c r="A8" s="140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customFormat="false" ht="15.75" hidden="false" customHeight="false" outlineLevel="0" collapsed="false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customFormat="false" ht="15.75" hidden="false" customHeight="false" outlineLevel="0" collapsed="false">
      <c r="A10" s="140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customFormat="false" ht="15.75" hidden="false" customHeight="false" outlineLevel="0" collapsed="false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customFormat="false" ht="15.75" hidden="false" customHeight="false" outlineLevel="0" collapsed="false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 customFormat="false" ht="15.75" hidden="false" customHeight="false" outlineLevel="0" collapsed="false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customFormat="false" ht="15.75" hidden="false" customHeight="false" outlineLevel="0" collapsed="false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customFormat="false" ht="15.75" hidden="false" customHeight="false" outlineLevel="0" collapsed="false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customFormat="false" ht="15.75" hidden="false" customHeight="false" outlineLevel="0" collapsed="false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customFormat="false" ht="15.75" hidden="false" customHeight="false" outlineLevel="0" collapsed="false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customFormat="false" ht="15.75" hidden="false" customHeight="false" outlineLevel="0" collapsed="false">
      <c r="A18" s="140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customFormat="false" ht="15.75" hidden="false" customHeight="false" outlineLevel="0" collapsed="false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customFormat="false" ht="15.75" hidden="false" customHeight="false" outlineLevel="0" collapsed="false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customFormat="false" ht="15.75" hidden="false" customHeight="false" outlineLevel="0" collapsed="false">
      <c r="A21" s="140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customFormat="false" ht="15.75" hidden="false" customHeight="false" outlineLevel="0" collapsed="false">
      <c r="A22" s="140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customFormat="false" ht="15.75" hidden="false" customHeight="false" outlineLevel="0" collapsed="false">
      <c r="A23" s="140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customFormat="false" ht="15.75" hidden="false" customHeight="false" outlineLevel="0" collapsed="false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customFormat="false" ht="15.75" hidden="false" customHeight="false" outlineLevel="0" collapsed="false">
      <c r="A25" s="14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customFormat="false" ht="15.75" hidden="false" customHeight="false" outlineLevel="0" collapsed="false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customFormat="false" ht="15.75" hidden="false" customHeight="false" outlineLevel="0" collapsed="false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customFormat="false" ht="15.75" hidden="false" customHeight="false" outlineLevel="0" collapsed="false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customFormat="false" ht="15.75" hidden="false" customHeight="false" outlineLevel="0" collapsed="false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customFormat="false" ht="15.75" hidden="false" customHeight="false" outlineLevel="0" collapsed="false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customFormat="false" ht="15.75" hidden="false" customHeight="false" outlineLevel="0" collapsed="false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customFormat="false" ht="15.75" hidden="false" customHeight="false" outlineLevel="0" collapsed="false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customFormat="false" ht="15.75" hidden="false" customHeight="false" outlineLevel="0" collapsed="false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customFormat="false" ht="15.75" hidden="false" customHeight="false" outlineLevel="0" collapsed="false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customFormat="false" ht="15.75" hidden="false" customHeight="false" outlineLevel="0" collapsed="false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customFormat="false" ht="15.75" hidden="false" customHeight="false" outlineLevel="0" collapsed="false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 customFormat="false" ht="15.75" hidden="false" customHeight="false" outlineLevel="0" collapsed="false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 customFormat="false" ht="15.75" hidden="false" customHeight="false" outlineLevel="0" collapsed="false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customFormat="false" ht="15.75" hidden="false" customHeight="false" outlineLevel="0" collapsed="false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 customFormat="false" ht="15.75" hidden="false" customHeight="false" outlineLevel="0" collapsed="false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customFormat="false" ht="15.75" hidden="false" customHeight="false" outlineLevel="0" collapsed="false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customFormat="false" ht="15.75" hidden="false" customHeight="false" outlineLevel="0" collapsed="false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customFormat="false" ht="15.75" hidden="false" customHeight="false" outlineLevel="0" collapsed="false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 customFormat="false" ht="15.75" hidden="false" customHeight="false" outlineLevel="0" collapsed="false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customFormat="false" ht="15.75" hidden="false" customHeight="false" outlineLevel="0" collapsed="false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customFormat="false" ht="15.75" hidden="false" customHeight="false" outlineLevel="0" collapsed="false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customFormat="false" ht="15.75" hidden="false" customHeight="false" outlineLevel="0" collapsed="false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customFormat="false" ht="15.75" hidden="false" customHeight="false" outlineLevel="0" collapsed="false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</row>
    <row r="49" customFormat="false" ht="15.75" hidden="false" customHeight="false" outlineLevel="0" collapsed="false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</row>
    <row r="50" customFormat="false" ht="15.75" hidden="false" customHeight="false" outlineLevel="0" collapsed="false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 customFormat="false" ht="15.75" hidden="false" customHeight="false" outlineLevel="0" collapsed="false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 customFormat="false" ht="15.75" hidden="false" customHeight="false" outlineLevel="0" collapsed="false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 customFormat="false" ht="15.75" hidden="false" customHeight="false" outlineLevel="0" collapsed="false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</row>
    <row r="54" customFormat="false" ht="15.75" hidden="false" customHeight="false" outlineLevel="0" collapsed="false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</row>
    <row r="55" customFormat="false" ht="15.75" hidden="false" customHeight="false" outlineLevel="0" collapsed="false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</row>
    <row r="56" customFormat="false" ht="15.75" hidden="false" customHeight="false" outlineLevel="0" collapsed="false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</row>
    <row r="57" customFormat="false" ht="15.75" hidden="false" customHeight="false" outlineLevel="0" collapsed="false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</row>
    <row r="58" customFormat="false" ht="15.75" hidden="false" customHeight="false" outlineLevel="0" collapsed="false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</row>
    <row r="59" customFormat="false" ht="15.75" hidden="false" customHeight="false" outlineLevel="0" collapsed="false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</row>
    <row r="60" customFormat="false" ht="15.75" hidden="false" customHeight="false" outlineLevel="0" collapsed="false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</row>
    <row r="61" customFormat="false" ht="15.75" hidden="false" customHeight="false" outlineLevel="0" collapsed="false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</row>
    <row r="62" customFormat="false" ht="15.75" hidden="false" customHeight="false" outlineLevel="0" collapsed="false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customFormat="false" ht="15.75" hidden="false" customHeight="false" outlineLevel="0" collapsed="false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</row>
    <row r="64" customFormat="false" ht="15.75" hidden="false" customHeight="false" outlineLevel="0" collapsed="false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</row>
    <row r="65" customFormat="false" ht="15.75" hidden="false" customHeight="false" outlineLevel="0" collapsed="false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</row>
    <row r="66" customFormat="false" ht="15.75" hidden="false" customHeight="false" outlineLevel="0" collapsed="false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 customFormat="false" ht="15.75" hidden="false" customHeight="false" outlineLevel="0" collapsed="false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 customFormat="false" ht="15.75" hidden="false" customHeight="false" outlineLevel="0" collapsed="false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</row>
    <row r="69" customFormat="false" ht="15.75" hidden="false" customHeight="false" outlineLevel="0" collapsed="false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</row>
    <row r="70" customFormat="false" ht="15.75" hidden="false" customHeight="false" outlineLevel="0" collapsed="false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</row>
    <row r="71" customFormat="false" ht="15.75" hidden="false" customHeight="false" outlineLevel="0" collapsed="false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</row>
    <row r="72" customFormat="false" ht="15.75" hidden="false" customHeight="false" outlineLevel="0" collapsed="false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</row>
    <row r="73" customFormat="false" ht="15.75" hidden="false" customHeight="false" outlineLevel="0" collapsed="false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</row>
    <row r="74" customFormat="false" ht="15.75" hidden="false" customHeight="false" outlineLevel="0" collapsed="false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</row>
    <row r="75" customFormat="false" ht="15.75" hidden="false" customHeight="false" outlineLevel="0" collapsed="false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</row>
    <row r="76" customFormat="false" ht="15.75" hidden="false" customHeight="false" outlineLevel="0" collapsed="false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</row>
    <row r="77" customFormat="false" ht="15.75" hidden="false" customHeight="false" outlineLevel="0" collapsed="false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</row>
    <row r="78" customFormat="false" ht="15.75" hidden="false" customHeight="false" outlineLevel="0" collapsed="false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</row>
    <row r="79" customFormat="false" ht="15.75" hidden="false" customHeight="false" outlineLevel="0" collapsed="false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</row>
    <row r="80" customFormat="false" ht="15.75" hidden="false" customHeight="false" outlineLevel="0" collapsed="false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</row>
    <row r="81" customFormat="false" ht="15.75" hidden="false" customHeight="false" outlineLevel="0" collapsed="false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 customFormat="false" ht="15.75" hidden="false" customHeight="false" outlineLevel="0" collapsed="false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</row>
    <row r="83" customFormat="false" ht="15.75" hidden="false" customHeight="false" outlineLevel="0" collapsed="false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</row>
    <row r="84" customFormat="false" ht="15.75" hidden="false" customHeight="false" outlineLevel="0" collapsed="false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</row>
    <row r="85" customFormat="false" ht="15.75" hidden="false" customHeight="false" outlineLevel="0" collapsed="false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</row>
    <row r="86" customFormat="false" ht="15.75" hidden="false" customHeight="false" outlineLevel="0" collapsed="false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</row>
    <row r="87" customFormat="false" ht="15.75" hidden="false" customHeight="false" outlineLevel="0" collapsed="false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</row>
    <row r="88" customFormat="false" ht="15.75" hidden="false" customHeight="false" outlineLevel="0" collapsed="false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</row>
    <row r="89" customFormat="false" ht="15.75" hidden="false" customHeight="false" outlineLevel="0" collapsed="false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customFormat="false" ht="15.75" hidden="false" customHeight="false" outlineLevel="0" collapsed="false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 customFormat="false" ht="15.75" hidden="false" customHeight="false" outlineLevel="0" collapsed="false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</row>
    <row r="92" customFormat="false" ht="15.75" hidden="false" customHeight="false" outlineLevel="0" collapsed="false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</row>
    <row r="93" customFormat="false" ht="15.75" hidden="false" customHeight="false" outlineLevel="0" collapsed="false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</row>
    <row r="94" customFormat="false" ht="15.75" hidden="false" customHeight="false" outlineLevel="0" collapsed="false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</row>
    <row r="95" customFormat="false" ht="15.75" hidden="false" customHeight="false" outlineLevel="0" collapsed="false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</row>
    <row r="96" customFormat="false" ht="15.75" hidden="false" customHeight="false" outlineLevel="0" collapsed="false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</row>
    <row r="97" customFormat="false" ht="15.75" hidden="false" customHeight="false" outlineLevel="0" collapsed="false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</row>
    <row r="98" customFormat="false" ht="15.75" hidden="false" customHeight="false" outlineLevel="0" collapsed="false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</row>
    <row r="99" customFormat="false" ht="15.75" hidden="false" customHeight="false" outlineLevel="0" collapsed="false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</row>
    <row r="100" customFormat="false" ht="15.75" hidden="false" customHeight="false" outlineLevel="0" collapsed="false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</row>
    <row r="101" customFormat="false" ht="15.75" hidden="false" customHeight="false" outlineLevel="0" collapsed="false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 customFormat="false" ht="15.75" hidden="false" customHeight="false" outlineLevel="0" collapsed="false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 customFormat="false" ht="15.75" hidden="false" customHeight="false" outlineLevel="0" collapsed="false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 customFormat="false" ht="15.75" hidden="false" customHeight="false" outlineLevel="0" collapsed="false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 customFormat="false" ht="15.75" hidden="false" customHeight="false" outlineLevel="0" collapsed="false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 customFormat="false" ht="15.75" hidden="false" customHeight="false" outlineLevel="0" collapsed="false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 customFormat="false" ht="15.75" hidden="false" customHeight="false" outlineLevel="0" collapsed="false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 customFormat="false" ht="15.75" hidden="false" customHeight="false" outlineLevel="0" collapsed="false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 customFormat="false" ht="15.75" hidden="false" customHeight="false" outlineLevel="0" collapsed="false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 customFormat="false" ht="15.75" hidden="false" customHeight="false" outlineLevel="0" collapsed="false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 customFormat="false" ht="15.75" hidden="false" customHeight="false" outlineLevel="0" collapsed="false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 customFormat="false" ht="15.75" hidden="false" customHeight="false" outlineLevel="0" collapsed="false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 customFormat="false" ht="15.75" hidden="false" customHeight="false" outlineLevel="0" collapsed="false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 customFormat="false" ht="15.75" hidden="false" customHeight="false" outlineLevel="0" collapsed="false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 customFormat="false" ht="15.75" hidden="false" customHeight="false" outlineLevel="0" collapsed="false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 customFormat="false" ht="15.75" hidden="false" customHeight="false" outlineLevel="0" collapsed="false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 customFormat="false" ht="15.75" hidden="false" customHeight="false" outlineLevel="0" collapsed="false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 customFormat="false" ht="15.75" hidden="false" customHeight="false" outlineLevel="0" collapsed="false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 customFormat="false" ht="15.75" hidden="false" customHeight="false" outlineLevel="0" collapsed="false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 customFormat="false" ht="15.75" hidden="false" customHeight="false" outlineLevel="0" collapsed="false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 customFormat="false" ht="15.75" hidden="false" customHeight="fals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 customFormat="false" ht="15.75" hidden="false" customHeight="false" outlineLevel="0" collapsed="false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 customFormat="false" ht="15.75" hidden="false" customHeight="fals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 customFormat="false" ht="15.75" hidden="false" customHeight="false" outlineLevel="0" collapsed="false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 customFormat="false" ht="15.75" hidden="false" customHeight="fals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 customFormat="false" ht="15.75" hidden="false" customHeight="false" outlineLevel="0" collapsed="false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 customFormat="false" ht="15.75" hidden="false" customHeight="fals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 customFormat="false" ht="15.75" hidden="false" customHeight="false" outlineLevel="0" collapsed="false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 customFormat="false" ht="15.75" hidden="false" customHeight="fals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 customFormat="false" ht="15.75" hidden="false" customHeight="false" outlineLevel="0" collapsed="false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 customFormat="false" ht="15.75" hidden="false" customHeight="fals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 customFormat="false" ht="15.75" hidden="false" customHeight="false" outlineLevel="0" collapsed="false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 customFormat="false" ht="15.75" hidden="false" customHeight="fals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 customFormat="false" ht="15.75" hidden="false" customHeight="false" outlineLevel="0" collapsed="false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 customFormat="false" ht="15.75" hidden="false" customHeight="fals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 customFormat="false" ht="15.75" hidden="false" customHeight="false" outlineLevel="0" collapsed="false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 customFormat="false" ht="15.75" hidden="false" customHeight="fals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 customFormat="false" ht="15.75" hidden="false" customHeight="false" outlineLevel="0" collapsed="false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 customFormat="false" ht="15.75" hidden="false" customHeight="fals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 customFormat="false" ht="15.75" hidden="false" customHeight="false" outlineLevel="0" collapsed="false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 customFormat="false" ht="15.75" hidden="false" customHeight="fals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 customFormat="false" ht="15.75" hidden="false" customHeight="false" outlineLevel="0" collapsed="false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 customFormat="false" ht="15.75" hidden="false" customHeight="fals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 customFormat="false" ht="15.75" hidden="false" customHeight="false" outlineLevel="0" collapsed="false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 customFormat="false" ht="15.75" hidden="false" customHeight="fals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 customFormat="false" ht="15.75" hidden="false" customHeight="false" outlineLevel="0" collapsed="false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 customFormat="false" ht="15.75" hidden="false" customHeight="fals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 customFormat="false" ht="15.75" hidden="false" customHeight="false" outlineLevel="0" collapsed="false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 customFormat="false" ht="15.75" hidden="false" customHeight="fals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 customFormat="false" ht="15.75" hidden="false" customHeight="false" outlineLevel="0" collapsed="false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 customFormat="false" ht="15.75" hidden="false" customHeight="fals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 customFormat="false" ht="15.75" hidden="false" customHeight="false" outlineLevel="0" collapsed="false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 customFormat="false" ht="15.75" hidden="false" customHeight="fals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 customFormat="false" ht="15.75" hidden="false" customHeight="false" outlineLevel="0" collapsed="false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 customFormat="false" ht="15.75" hidden="false" customHeight="fals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customFormat="false" ht="15.75" hidden="false" customHeight="false" outlineLevel="0" collapsed="false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customFormat="false" ht="15.75" hidden="false" customHeight="fals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customFormat="false" ht="15.75" hidden="false" customHeight="false" outlineLevel="0" collapsed="false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customFormat="false" ht="15.75" hidden="false" customHeight="fals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customFormat="false" ht="15.75" hidden="false" customHeight="false" outlineLevel="0" collapsed="false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 customFormat="false" ht="15.75" hidden="false" customHeight="fals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 customFormat="false" ht="15.75" hidden="false" customHeight="false" outlineLevel="0" collapsed="false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 customFormat="false" ht="15.75" hidden="false" customHeight="fals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 customFormat="false" ht="15.75" hidden="false" customHeight="false" outlineLevel="0" collapsed="false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 customFormat="false" ht="15.75" hidden="false" customHeight="fals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 customFormat="false" ht="15.75" hidden="false" customHeight="false" outlineLevel="0" collapsed="false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 customFormat="false" ht="15.75" hidden="false" customHeight="fals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 customFormat="false" ht="15.75" hidden="false" customHeight="false" outlineLevel="0" collapsed="false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 customFormat="false" ht="15.75" hidden="false" customHeight="fals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 customFormat="false" ht="15.75" hidden="false" customHeight="false" outlineLevel="0" collapsed="false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 customFormat="false" ht="15.75" hidden="false" customHeight="fals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 customFormat="false" ht="15.75" hidden="false" customHeight="false" outlineLevel="0" collapsed="false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 customFormat="false" ht="15.75" hidden="false" customHeight="fals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 customFormat="false" ht="15.75" hidden="false" customHeight="false" outlineLevel="0" collapsed="false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 customFormat="false" ht="15.75" hidden="false" customHeight="fals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 customFormat="false" ht="15.75" hidden="false" customHeight="false" outlineLevel="0" collapsed="false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 customFormat="false" ht="15.75" hidden="false" customHeight="fals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 customFormat="false" ht="15.75" hidden="false" customHeight="false" outlineLevel="0" collapsed="false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 customFormat="false" ht="15.75" hidden="false" customHeight="fals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 customFormat="false" ht="15.75" hidden="false" customHeight="false" outlineLevel="0" collapsed="false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 customFormat="false" ht="15.75" hidden="false" customHeight="fals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 customFormat="false" ht="15.75" hidden="false" customHeight="false" outlineLevel="0" collapsed="false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 customFormat="false" ht="15.75" hidden="false" customHeight="fals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 customFormat="false" ht="15.75" hidden="false" customHeight="false" outlineLevel="0" collapsed="false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 customFormat="false" ht="15.75" hidden="false" customHeight="fals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 customFormat="false" ht="15.75" hidden="false" customHeight="false" outlineLevel="0" collapsed="false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 customFormat="false" ht="15.75" hidden="false" customHeight="fals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 customFormat="false" ht="15.75" hidden="false" customHeight="false" outlineLevel="0" collapsed="false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 customFormat="false" ht="15.75" hidden="false" customHeight="fals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 customFormat="false" ht="15.75" hidden="false" customHeight="false" outlineLevel="0" collapsed="false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 customFormat="false" ht="15.75" hidden="false" customHeight="fals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 customFormat="false" ht="15.75" hidden="false" customHeight="false" outlineLevel="0" collapsed="false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 customFormat="false" ht="15.75" hidden="false" customHeight="fals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 customFormat="false" ht="15.75" hidden="false" customHeight="false" outlineLevel="0" collapsed="false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 customFormat="false" ht="15.75" hidden="false" customHeight="fals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 customFormat="false" ht="15.75" hidden="false" customHeight="false" outlineLevel="0" collapsed="false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 customFormat="false" ht="15.75" hidden="false" customHeight="fals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 customFormat="false" ht="15.75" hidden="false" customHeight="false" outlineLevel="0" collapsed="false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 customFormat="false" ht="15.75" hidden="false" customHeight="fals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 customFormat="false" ht="15.75" hidden="false" customHeight="false" outlineLevel="0" collapsed="false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 customFormat="false" ht="15.75" hidden="false" customHeight="fals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 customFormat="false" ht="15.75" hidden="false" customHeight="false" outlineLevel="0" collapsed="false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 customFormat="false" ht="15.75" hidden="false" customHeight="fals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 customFormat="false" ht="15.75" hidden="false" customHeight="false" outlineLevel="0" collapsed="false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 customFormat="false" ht="15.75" hidden="false" customHeight="fals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 customFormat="false" ht="15.75" hidden="false" customHeight="false" outlineLevel="0" collapsed="false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 customFormat="false" ht="15.75" hidden="false" customHeight="fals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 customFormat="false" ht="15.75" hidden="false" customHeight="false" outlineLevel="0" collapsed="false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 customFormat="false" ht="15.75" hidden="false" customHeight="fals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 customFormat="false" ht="15.75" hidden="false" customHeight="false" outlineLevel="0" collapsed="false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 customFormat="false" ht="15.75" hidden="false" customHeight="fals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 customFormat="false" ht="15.75" hidden="false" customHeight="false" outlineLevel="0" collapsed="false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 customFormat="false" ht="15.75" hidden="false" customHeight="fals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 customFormat="false" ht="15.75" hidden="false" customHeight="false" outlineLevel="0" collapsed="false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 customFormat="false" ht="15.75" hidden="false" customHeight="fals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 customFormat="false" ht="15.75" hidden="false" customHeight="false" outlineLevel="0" collapsed="false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 customFormat="false" ht="15.75" hidden="false" customHeight="fals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 customFormat="false" ht="15.75" hidden="false" customHeight="false" outlineLevel="0" collapsed="false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 customFormat="false" ht="15.75" hidden="false" customHeight="fals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 customFormat="false" ht="15.75" hidden="false" customHeight="false" outlineLevel="0" collapsed="false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 customFormat="false" ht="15.75" hidden="false" customHeight="fals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 customFormat="false" ht="15.75" hidden="false" customHeight="false" outlineLevel="0" collapsed="false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 customFormat="false" ht="15.75" hidden="false" customHeight="fals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 customFormat="false" ht="15.75" hidden="false" customHeight="false" outlineLevel="0" collapsed="false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 customFormat="false" ht="15.75" hidden="false" customHeight="fals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 customFormat="false" ht="15.75" hidden="false" customHeight="false" outlineLevel="0" collapsed="false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 customFormat="false" ht="15.75" hidden="false" customHeight="fals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 customFormat="false" ht="15.75" hidden="false" customHeight="false" outlineLevel="0" collapsed="false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 customFormat="false" ht="15.75" hidden="false" customHeight="fals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 customFormat="false" ht="15.75" hidden="false" customHeight="false" outlineLevel="0" collapsed="false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 customFormat="false" ht="15.75" hidden="false" customHeight="fals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 customFormat="false" ht="15.75" hidden="false" customHeight="false" outlineLevel="0" collapsed="false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 customFormat="false" ht="15.75" hidden="false" customHeight="fals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 customFormat="false" ht="15.75" hidden="false" customHeight="false" outlineLevel="0" collapsed="false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 customFormat="false" ht="15.75" hidden="false" customHeight="fals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 customFormat="false" ht="15.75" hidden="false" customHeight="false" outlineLevel="0" collapsed="false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 customFormat="false" ht="15.75" hidden="false" customHeight="fals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 customFormat="false" ht="15.75" hidden="false" customHeight="false" outlineLevel="0" collapsed="false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 customFormat="false" ht="15.75" hidden="false" customHeight="fals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 customFormat="false" ht="15.75" hidden="false" customHeight="false" outlineLevel="0" collapsed="false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 customFormat="false" ht="15.75" hidden="false" customHeight="fals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 customFormat="false" ht="15.75" hidden="false" customHeight="false" outlineLevel="0" collapsed="false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 customFormat="false" ht="15.75" hidden="false" customHeight="fals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 customFormat="false" ht="15.75" hidden="false" customHeight="false" outlineLevel="0" collapsed="false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 customFormat="false" ht="15.75" hidden="false" customHeight="fals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 customFormat="false" ht="15.75" hidden="false" customHeight="false" outlineLevel="0" collapsed="false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 customFormat="false" ht="15.75" hidden="false" customHeight="fals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 customFormat="false" ht="15.75" hidden="false" customHeight="false" outlineLevel="0" collapsed="false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 customFormat="false" ht="15.75" hidden="false" customHeight="fals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 customFormat="false" ht="15.75" hidden="false" customHeight="false" outlineLevel="0" collapsed="false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 customFormat="false" ht="15.75" hidden="false" customHeight="fals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 customFormat="false" ht="15.75" hidden="false" customHeight="false" outlineLevel="0" collapsed="false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 customFormat="false" ht="15.75" hidden="false" customHeight="fals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 customFormat="false" ht="15.75" hidden="false" customHeight="false" outlineLevel="0" collapsed="false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 customFormat="false" ht="15.75" hidden="false" customHeight="fals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 customFormat="false" ht="15.75" hidden="false" customHeight="false" outlineLevel="0" collapsed="false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 customFormat="false" ht="15.75" hidden="false" customHeight="fals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 customFormat="false" ht="15.75" hidden="false" customHeight="false" outlineLevel="0" collapsed="false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 customFormat="false" ht="15.75" hidden="false" customHeight="fals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 customFormat="false" ht="15.75" hidden="false" customHeight="false" outlineLevel="0" collapsed="false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 customFormat="false" ht="15.75" hidden="false" customHeight="fals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 customFormat="false" ht="15.75" hidden="false" customHeight="false" outlineLevel="0" collapsed="false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 customFormat="false" ht="15.75" hidden="false" customHeight="fals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 customFormat="false" ht="15.75" hidden="false" customHeight="false" outlineLevel="0" collapsed="false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 customFormat="false" ht="15.75" hidden="false" customHeight="fals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 customFormat="false" ht="15.75" hidden="false" customHeight="false" outlineLevel="0" collapsed="false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 customFormat="false" ht="15.75" hidden="false" customHeight="fals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 customFormat="false" ht="15.75" hidden="false" customHeight="false" outlineLevel="0" collapsed="false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 customFormat="false" ht="15.75" hidden="false" customHeight="fals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customFormat="false" ht="15.75" hidden="false" customHeight="false" outlineLevel="0" collapsed="false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customFormat="false" ht="15.75" hidden="false" customHeight="fals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customFormat="false" ht="15.75" hidden="false" customHeight="false" outlineLevel="0" collapsed="false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 customFormat="false" ht="15.75" hidden="false" customHeight="fals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 customFormat="false" ht="15.75" hidden="false" customHeight="false" outlineLevel="0" collapsed="false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 customFormat="false" ht="15.75" hidden="false" customHeight="fals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 customFormat="false" ht="15.75" hidden="false" customHeight="false" outlineLevel="0" collapsed="false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 customFormat="false" ht="15.75" hidden="false" customHeight="fals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 customFormat="false" ht="15.75" hidden="false" customHeight="false" outlineLevel="0" collapsed="false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 customFormat="false" ht="15.75" hidden="false" customHeight="fals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 customFormat="false" ht="15.75" hidden="false" customHeight="false" outlineLevel="0" collapsed="false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 customFormat="false" ht="15.75" hidden="false" customHeight="fals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 customFormat="false" ht="15.75" hidden="false" customHeight="false" outlineLevel="0" collapsed="false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 customFormat="false" ht="15.75" hidden="false" customHeight="fals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 customFormat="false" ht="15.75" hidden="false" customHeight="false" outlineLevel="0" collapsed="false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 customFormat="false" ht="15.75" hidden="false" customHeight="fals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 customFormat="false" ht="15.75" hidden="false" customHeight="false" outlineLevel="0" collapsed="false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 customFormat="false" ht="15.75" hidden="false" customHeight="fals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 customFormat="false" ht="15.75" hidden="false" customHeight="false" outlineLevel="0" collapsed="false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 customFormat="false" ht="15.75" hidden="false" customHeight="fals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 customFormat="false" ht="15.75" hidden="false" customHeight="false" outlineLevel="0" collapsed="false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 customFormat="false" ht="15.75" hidden="false" customHeight="fals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 customFormat="false" ht="15.75" hidden="false" customHeight="false" outlineLevel="0" collapsed="false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 customFormat="false" ht="15.75" hidden="false" customHeight="fals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 customFormat="false" ht="15.75" hidden="false" customHeight="false" outlineLevel="0" collapsed="false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 customFormat="false" ht="15.75" hidden="false" customHeight="fals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 customFormat="false" ht="15.75" hidden="false" customHeight="false" outlineLevel="0" collapsed="false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 customFormat="false" ht="15.75" hidden="false" customHeight="fals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 customFormat="false" ht="15.75" hidden="false" customHeight="false" outlineLevel="0" collapsed="false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 customFormat="false" ht="15.75" hidden="false" customHeight="fals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 customFormat="false" ht="15.75" hidden="false" customHeight="false" outlineLevel="0" collapsed="false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 customFormat="false" ht="15.75" hidden="false" customHeight="fals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 customFormat="false" ht="15.75" hidden="false" customHeight="false" outlineLevel="0" collapsed="false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 customFormat="false" ht="15.75" hidden="false" customHeight="fals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 customFormat="false" ht="15.75" hidden="false" customHeight="false" outlineLevel="0" collapsed="false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 customFormat="false" ht="15.75" hidden="false" customHeight="fals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 customFormat="false" ht="15.75" hidden="false" customHeight="false" outlineLevel="0" collapsed="false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 customFormat="false" ht="15.75" hidden="false" customHeight="fals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 customFormat="false" ht="15.75" hidden="false" customHeight="false" outlineLevel="0" collapsed="false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 customFormat="false" ht="15.75" hidden="false" customHeight="fals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 customFormat="false" ht="15.75" hidden="false" customHeight="false" outlineLevel="0" collapsed="false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 customFormat="false" ht="15.75" hidden="false" customHeight="fals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 customFormat="false" ht="15.75" hidden="false" customHeight="false" outlineLevel="0" collapsed="false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 customFormat="false" ht="15.75" hidden="false" customHeight="fals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 customFormat="false" ht="15.75" hidden="false" customHeight="false" outlineLevel="0" collapsed="false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 customFormat="false" ht="15.75" hidden="false" customHeight="fals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 customFormat="false" ht="15.75" hidden="false" customHeight="false" outlineLevel="0" collapsed="false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 customFormat="false" ht="15.75" hidden="false" customHeight="fals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 customFormat="false" ht="15.75" hidden="false" customHeight="false" outlineLevel="0" collapsed="false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 customFormat="false" ht="15.75" hidden="false" customHeight="fals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 customFormat="false" ht="15.75" hidden="false" customHeight="false" outlineLevel="0" collapsed="false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 customFormat="false" ht="15.75" hidden="false" customHeight="fals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 customFormat="false" ht="15.75" hidden="false" customHeight="false" outlineLevel="0" collapsed="false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 customFormat="false" ht="15.75" hidden="false" customHeight="fals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 customFormat="false" ht="15.75" hidden="false" customHeight="false" outlineLevel="0" collapsed="false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 customFormat="false" ht="15.75" hidden="false" customHeight="fals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 customFormat="false" ht="15.75" hidden="false" customHeight="false" outlineLevel="0" collapsed="false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 customFormat="false" ht="15.75" hidden="false" customHeight="fals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 customFormat="false" ht="15.75" hidden="false" customHeight="false" outlineLevel="0" collapsed="false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 customFormat="false" ht="15.75" hidden="false" customHeight="fals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 customFormat="false" ht="15.75" hidden="false" customHeight="false" outlineLevel="0" collapsed="false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 customFormat="false" ht="15.75" hidden="false" customHeight="fals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 customFormat="false" ht="15.75" hidden="false" customHeight="false" outlineLevel="0" collapsed="false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 customFormat="false" ht="15.75" hidden="false" customHeight="fals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 customFormat="false" ht="15.75" hidden="false" customHeight="false" outlineLevel="0" collapsed="false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 customFormat="false" ht="15.75" hidden="false" customHeight="fals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 customFormat="false" ht="15.75" hidden="false" customHeight="false" outlineLevel="0" collapsed="false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 customFormat="false" ht="15.75" hidden="false" customHeight="fals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 customFormat="false" ht="15.75" hidden="false" customHeight="false" outlineLevel="0" collapsed="false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 customFormat="false" ht="15.75" hidden="false" customHeight="fals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 customFormat="false" ht="15.75" hidden="false" customHeight="false" outlineLevel="0" collapsed="false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 customFormat="false" ht="15.75" hidden="false" customHeight="fals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 customFormat="false" ht="15.75" hidden="false" customHeight="false" outlineLevel="0" collapsed="false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 customFormat="false" ht="15.75" hidden="false" customHeight="fals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 customFormat="false" ht="15.75" hidden="false" customHeight="false" outlineLevel="0" collapsed="false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 customFormat="false" ht="15.75" hidden="false" customHeight="fals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 customFormat="false" ht="15.75" hidden="false" customHeight="false" outlineLevel="0" collapsed="false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 customFormat="false" ht="15.75" hidden="false" customHeight="fals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 customFormat="false" ht="15.75" hidden="false" customHeight="false" outlineLevel="0" collapsed="false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 customFormat="false" ht="15.75" hidden="false" customHeight="fals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 customFormat="false" ht="15.75" hidden="false" customHeight="false" outlineLevel="0" collapsed="false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 customFormat="false" ht="15.75" hidden="false" customHeight="fals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 customFormat="false" ht="15.75" hidden="false" customHeight="false" outlineLevel="0" collapsed="false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 customFormat="false" ht="15.75" hidden="false" customHeight="fals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 customFormat="false" ht="15.75" hidden="false" customHeight="false" outlineLevel="0" collapsed="false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 customFormat="false" ht="15.75" hidden="false" customHeight="fals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 customFormat="false" ht="15.75" hidden="false" customHeight="false" outlineLevel="0" collapsed="false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 customFormat="false" ht="15.75" hidden="false" customHeight="fals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 customFormat="false" ht="15.75" hidden="false" customHeight="false" outlineLevel="0" collapsed="false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 customFormat="false" ht="15.75" hidden="false" customHeight="fals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 customFormat="false" ht="15.75" hidden="false" customHeight="false" outlineLevel="0" collapsed="false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 customFormat="false" ht="15.75" hidden="false" customHeight="fals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 customFormat="false" ht="15.75" hidden="false" customHeight="false" outlineLevel="0" collapsed="false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 customFormat="false" ht="15.75" hidden="false" customHeight="fals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 customFormat="false" ht="15.75" hidden="false" customHeight="false" outlineLevel="0" collapsed="false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 customFormat="false" ht="15.75" hidden="false" customHeight="fals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 customFormat="false" ht="15.75" hidden="false" customHeight="false" outlineLevel="0" collapsed="false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 customFormat="false" ht="15.75" hidden="false" customHeight="fals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 customFormat="false" ht="15.75" hidden="false" customHeight="false" outlineLevel="0" collapsed="false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 customFormat="false" ht="15.75" hidden="false" customHeight="fals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 customFormat="false" ht="15.75" hidden="false" customHeight="false" outlineLevel="0" collapsed="false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 customFormat="false" ht="15.75" hidden="false" customHeight="fals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 customFormat="false" ht="15.75" hidden="false" customHeight="false" outlineLevel="0" collapsed="false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 customFormat="false" ht="15.75" hidden="false" customHeight="fals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 customFormat="false" ht="15.75" hidden="false" customHeight="false" outlineLevel="0" collapsed="false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 customFormat="false" ht="15.75" hidden="false" customHeight="fals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 customFormat="false" ht="15.75" hidden="false" customHeight="false" outlineLevel="0" collapsed="false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 customFormat="false" ht="15.75" hidden="false" customHeight="fals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 customFormat="false" ht="15.75" hidden="false" customHeight="false" outlineLevel="0" collapsed="false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 customFormat="false" ht="15.75" hidden="false" customHeight="fals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 customFormat="false" ht="15.75" hidden="false" customHeight="false" outlineLevel="0" collapsed="false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 customFormat="false" ht="15.75" hidden="false" customHeight="fals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 customFormat="false" ht="15.75" hidden="false" customHeight="false" outlineLevel="0" collapsed="false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 customFormat="false" ht="15.75" hidden="false" customHeight="fals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 customFormat="false" ht="15.75" hidden="false" customHeight="false" outlineLevel="0" collapsed="false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 customFormat="false" ht="15.75" hidden="false" customHeight="fals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 customFormat="false" ht="15.75" hidden="false" customHeight="false" outlineLevel="0" collapsed="false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 customFormat="false" ht="15.75" hidden="false" customHeight="fals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 customFormat="false" ht="15.75" hidden="false" customHeight="false" outlineLevel="0" collapsed="false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 customFormat="false" ht="15.75" hidden="false" customHeight="fals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 customFormat="false" ht="15.75" hidden="false" customHeight="false" outlineLevel="0" collapsed="false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 customFormat="false" ht="15.75" hidden="false" customHeight="fals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 customFormat="false" ht="15.75" hidden="false" customHeight="false" outlineLevel="0" collapsed="false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 customFormat="false" ht="15.75" hidden="false" customHeight="fals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 customFormat="false" ht="15.75" hidden="false" customHeight="false" outlineLevel="0" collapsed="false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 customFormat="false" ht="15.75" hidden="false" customHeight="fals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 customFormat="false" ht="15.75" hidden="false" customHeight="false" outlineLevel="0" collapsed="false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 customFormat="false" ht="15.75" hidden="false" customHeight="fals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 customFormat="false" ht="15.75" hidden="false" customHeight="false" outlineLevel="0" collapsed="false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 customFormat="false" ht="15.75" hidden="false" customHeight="fals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 customFormat="false" ht="15.75" hidden="false" customHeight="false" outlineLevel="0" collapsed="false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 customFormat="false" ht="15.75" hidden="false" customHeight="fals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 customFormat="false" ht="15.75" hidden="false" customHeight="false" outlineLevel="0" collapsed="false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 customFormat="false" ht="15.75" hidden="false" customHeight="fals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 customFormat="false" ht="15.75" hidden="false" customHeight="false" outlineLevel="0" collapsed="false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 customFormat="false" ht="15.75" hidden="false" customHeight="fals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 customFormat="false" ht="15.75" hidden="false" customHeight="false" outlineLevel="0" collapsed="false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 customFormat="false" ht="15.75" hidden="false" customHeight="fals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 customFormat="false" ht="15.75" hidden="false" customHeight="false" outlineLevel="0" collapsed="false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 customFormat="false" ht="15.75" hidden="false" customHeight="fals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 customFormat="false" ht="15.75" hidden="false" customHeight="false" outlineLevel="0" collapsed="false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 customFormat="false" ht="15.75" hidden="false" customHeight="fals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 customFormat="false" ht="15.75" hidden="false" customHeight="false" outlineLevel="0" collapsed="false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 customFormat="false" ht="15.75" hidden="false" customHeight="fals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 customFormat="false" ht="15.75" hidden="false" customHeight="false" outlineLevel="0" collapsed="false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 customFormat="false" ht="15.75" hidden="false" customHeight="fals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 customFormat="false" ht="15.75" hidden="false" customHeight="false" outlineLevel="0" collapsed="false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 customFormat="false" ht="15.75" hidden="false" customHeight="fals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 customFormat="false" ht="15.75" hidden="false" customHeight="false" outlineLevel="0" collapsed="false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 customFormat="false" ht="15.75" hidden="false" customHeight="fals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 customFormat="false" ht="15.75" hidden="false" customHeight="false" outlineLevel="0" collapsed="false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 customFormat="false" ht="15.75" hidden="false" customHeight="fals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 customFormat="false" ht="15.75" hidden="false" customHeight="false" outlineLevel="0" collapsed="false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 customFormat="false" ht="15.75" hidden="false" customHeight="fals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 customFormat="false" ht="15.75" hidden="false" customHeight="false" outlineLevel="0" collapsed="false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 customFormat="false" ht="15.75" hidden="false" customHeight="fals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 customFormat="false" ht="15.75" hidden="false" customHeight="false" outlineLevel="0" collapsed="false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 customFormat="false" ht="15.75" hidden="false" customHeight="fals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 customFormat="false" ht="15.75" hidden="false" customHeight="false" outlineLevel="0" collapsed="false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 customFormat="false" ht="15.75" hidden="false" customHeight="fals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 customFormat="false" ht="15.75" hidden="false" customHeight="false" outlineLevel="0" collapsed="false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 customFormat="false" ht="15.75" hidden="false" customHeight="fals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 customFormat="false" ht="15.75" hidden="false" customHeight="false" outlineLevel="0" collapsed="false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 customFormat="false" ht="15.75" hidden="false" customHeight="fals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 customFormat="false" ht="15.75" hidden="false" customHeight="false" outlineLevel="0" collapsed="false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 customFormat="false" ht="15.75" hidden="false" customHeight="fals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 customFormat="false" ht="15.75" hidden="false" customHeight="false" outlineLevel="0" collapsed="false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 customFormat="false" ht="15.75" hidden="false" customHeight="fals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 customFormat="false" ht="15.75" hidden="false" customHeight="false" outlineLevel="0" collapsed="false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 customFormat="false" ht="15.75" hidden="false" customHeight="fals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 customFormat="false" ht="15.75" hidden="false" customHeight="false" outlineLevel="0" collapsed="false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 customFormat="false" ht="15.75" hidden="false" customHeight="fals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 customFormat="false" ht="15.75" hidden="false" customHeight="false" outlineLevel="0" collapsed="false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 customFormat="false" ht="15.75" hidden="false" customHeight="fals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 customFormat="false" ht="15.75" hidden="false" customHeight="false" outlineLevel="0" collapsed="false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 customFormat="false" ht="15.75" hidden="false" customHeight="fals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 customFormat="false" ht="15.75" hidden="false" customHeight="false" outlineLevel="0" collapsed="false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 customFormat="false" ht="15.75" hidden="false" customHeight="fals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 customFormat="false" ht="15.75" hidden="false" customHeight="false" outlineLevel="0" collapsed="false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 customFormat="false" ht="15.75" hidden="false" customHeight="fals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 customFormat="false" ht="15.75" hidden="false" customHeight="false" outlineLevel="0" collapsed="false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 customFormat="false" ht="15.75" hidden="false" customHeight="fals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 customFormat="false" ht="15.75" hidden="false" customHeight="false" outlineLevel="0" collapsed="false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 customFormat="false" ht="15.75" hidden="false" customHeight="fals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 customFormat="false" ht="15.75" hidden="false" customHeight="false" outlineLevel="0" collapsed="false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 customFormat="false" ht="15.75" hidden="false" customHeight="fals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 customFormat="false" ht="15.75" hidden="false" customHeight="false" outlineLevel="0" collapsed="false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 customFormat="false" ht="15.75" hidden="false" customHeight="fals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 customFormat="false" ht="15.75" hidden="false" customHeight="false" outlineLevel="0" collapsed="false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 customFormat="false" ht="15.75" hidden="false" customHeight="fals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 customFormat="false" ht="15.75" hidden="false" customHeight="false" outlineLevel="0" collapsed="false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 customFormat="false" ht="15.75" hidden="false" customHeight="fals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 customFormat="false" ht="15.75" hidden="false" customHeight="false" outlineLevel="0" collapsed="false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 customFormat="false" ht="15.75" hidden="false" customHeight="fals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 customFormat="false" ht="15.75" hidden="false" customHeight="false" outlineLevel="0" collapsed="false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 customFormat="false" ht="15.75" hidden="false" customHeight="fals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 customFormat="false" ht="15.75" hidden="false" customHeight="false" outlineLevel="0" collapsed="false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 customFormat="false" ht="15.75" hidden="false" customHeight="fals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 customFormat="false" ht="15.75" hidden="false" customHeight="false" outlineLevel="0" collapsed="false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 customFormat="false" ht="15.75" hidden="false" customHeight="fals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 customFormat="false" ht="15.75" hidden="false" customHeight="false" outlineLevel="0" collapsed="false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 customFormat="false" ht="15.75" hidden="false" customHeight="fals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 customFormat="false" ht="15.75" hidden="false" customHeight="false" outlineLevel="0" collapsed="false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 customFormat="false" ht="15.75" hidden="false" customHeight="fals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 customFormat="false" ht="15.75" hidden="false" customHeight="false" outlineLevel="0" collapsed="false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 customFormat="false" ht="15.75" hidden="false" customHeight="fals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 customFormat="false" ht="15.75" hidden="false" customHeight="false" outlineLevel="0" collapsed="false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 customFormat="false" ht="15.75" hidden="false" customHeight="fals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 customFormat="false" ht="15.75" hidden="false" customHeight="false" outlineLevel="0" collapsed="false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 customFormat="false" ht="15.75" hidden="false" customHeight="fals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 customFormat="false" ht="15.75" hidden="false" customHeight="false" outlineLevel="0" collapsed="false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 customFormat="false" ht="15.75" hidden="false" customHeight="fals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 customFormat="false" ht="15.75" hidden="false" customHeight="false" outlineLevel="0" collapsed="false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 customFormat="false" ht="15.75" hidden="false" customHeight="fals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 customFormat="false" ht="15.75" hidden="false" customHeight="false" outlineLevel="0" collapsed="false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 customFormat="false" ht="15.75" hidden="false" customHeight="fals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 customFormat="false" ht="15.75" hidden="false" customHeight="false" outlineLevel="0" collapsed="false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 customFormat="false" ht="15.75" hidden="false" customHeight="fals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 customFormat="false" ht="15.75" hidden="false" customHeight="false" outlineLevel="0" collapsed="false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 customFormat="false" ht="15.75" hidden="false" customHeight="fals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 customFormat="false" ht="15.75" hidden="false" customHeight="false" outlineLevel="0" collapsed="false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 customFormat="false" ht="15.75" hidden="false" customHeight="fals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 customFormat="false" ht="15.75" hidden="false" customHeight="false" outlineLevel="0" collapsed="false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 customFormat="false" ht="15.75" hidden="false" customHeight="fals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 customFormat="false" ht="15.75" hidden="false" customHeight="false" outlineLevel="0" collapsed="false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 customFormat="false" ht="15.75" hidden="false" customHeight="fals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 customFormat="false" ht="15.75" hidden="false" customHeight="false" outlineLevel="0" collapsed="false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 customFormat="false" ht="15.75" hidden="false" customHeight="fals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 customFormat="false" ht="15.75" hidden="false" customHeight="false" outlineLevel="0" collapsed="false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 customFormat="false" ht="15.75" hidden="false" customHeight="fals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 customFormat="false" ht="15.75" hidden="false" customHeight="false" outlineLevel="0" collapsed="false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 customFormat="false" ht="15.75" hidden="false" customHeight="fals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 customFormat="false" ht="15.75" hidden="false" customHeight="false" outlineLevel="0" collapsed="false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 customFormat="false" ht="15.75" hidden="false" customHeight="fals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 customFormat="false" ht="15.75" hidden="false" customHeight="false" outlineLevel="0" collapsed="false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 customFormat="false" ht="15.75" hidden="false" customHeight="fals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 customFormat="false" ht="15.75" hidden="false" customHeight="false" outlineLevel="0" collapsed="false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 customFormat="false" ht="15.75" hidden="false" customHeight="false" outlineLevel="0" collapsed="false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 customFormat="false" ht="15.75" hidden="false" customHeight="false" outlineLevel="0" collapsed="false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 customFormat="false" ht="15.75" hidden="false" customHeight="false" outlineLevel="0" collapsed="false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 customFormat="false" ht="15.75" hidden="false" customHeight="false" outlineLevel="0" collapsed="false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 customFormat="false" ht="15.75" hidden="false" customHeight="false" outlineLevel="0" collapsed="false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 customFormat="false" ht="15.75" hidden="false" customHeight="false" outlineLevel="0" collapsed="false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 customFormat="false" ht="15.75" hidden="false" customHeight="false" outlineLevel="0" collapsed="false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 customFormat="false" ht="15.75" hidden="false" customHeight="false" outlineLevel="0" collapsed="false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 customFormat="false" ht="15.75" hidden="false" customHeight="false" outlineLevel="0" collapsed="false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 customFormat="false" ht="15.75" hidden="false" customHeight="false" outlineLevel="0" collapsed="false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 customFormat="false" ht="15.75" hidden="false" customHeight="false" outlineLevel="0" collapsed="false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 customFormat="false" ht="15.75" hidden="false" customHeight="false" outlineLevel="0" collapsed="false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 customFormat="false" ht="15.75" hidden="false" customHeight="false" outlineLevel="0" collapsed="false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 customFormat="false" ht="15.75" hidden="false" customHeight="false" outlineLevel="0" collapsed="false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 customFormat="false" ht="15.75" hidden="false" customHeight="false" outlineLevel="0" collapsed="false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 customFormat="false" ht="15.75" hidden="false" customHeight="false" outlineLevel="0" collapsed="false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 customFormat="false" ht="15.75" hidden="false" customHeight="false" outlineLevel="0" collapsed="false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 customFormat="false" ht="15.75" hidden="false" customHeight="false" outlineLevel="0" collapsed="false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 customFormat="false" ht="15.75" hidden="false" customHeight="false" outlineLevel="0" collapsed="false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 customFormat="false" ht="15.75" hidden="false" customHeight="false" outlineLevel="0" collapsed="false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 customFormat="false" ht="15.75" hidden="false" customHeight="false" outlineLevel="0" collapsed="false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 customFormat="false" ht="15.75" hidden="false" customHeight="false" outlineLevel="0" collapsed="false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 customFormat="false" ht="15.75" hidden="false" customHeight="false" outlineLevel="0" collapsed="false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 customFormat="false" ht="15.75" hidden="false" customHeight="false" outlineLevel="0" collapsed="false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 customFormat="false" ht="15.75" hidden="false" customHeight="false" outlineLevel="0" collapsed="false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 customFormat="false" ht="15.75" hidden="false" customHeight="false" outlineLevel="0" collapsed="false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 customFormat="false" ht="15.75" hidden="false" customHeight="false" outlineLevel="0" collapsed="false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 customFormat="false" ht="15.75" hidden="false" customHeight="false" outlineLevel="0" collapsed="false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 customFormat="false" ht="15.75" hidden="false" customHeight="false" outlineLevel="0" collapsed="false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 customFormat="false" ht="15.75" hidden="false" customHeight="false" outlineLevel="0" collapsed="false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 customFormat="false" ht="15.75" hidden="false" customHeight="false" outlineLevel="0" collapsed="false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 customFormat="false" ht="15.75" hidden="false" customHeight="false" outlineLevel="0" collapsed="false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 customFormat="false" ht="15.75" hidden="false" customHeight="false" outlineLevel="0" collapsed="false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 customFormat="false" ht="15.75" hidden="false" customHeight="false" outlineLevel="0" collapsed="false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 customFormat="false" ht="15.75" hidden="false" customHeight="false" outlineLevel="0" collapsed="false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 customFormat="false" ht="15.75" hidden="false" customHeight="false" outlineLevel="0" collapsed="false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 customFormat="false" ht="15.75" hidden="false" customHeight="false" outlineLevel="0" collapsed="false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 customFormat="false" ht="15.75" hidden="false" customHeight="false" outlineLevel="0" collapsed="false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 customFormat="false" ht="15.75" hidden="false" customHeight="false" outlineLevel="0" collapsed="false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 customFormat="false" ht="15.75" hidden="false" customHeight="false" outlineLevel="0" collapsed="false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 customFormat="false" ht="15.75" hidden="false" customHeight="false" outlineLevel="0" collapsed="false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 customFormat="false" ht="15.75" hidden="false" customHeight="false" outlineLevel="0" collapsed="false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 customFormat="false" ht="15.75" hidden="false" customHeight="false" outlineLevel="0" collapsed="false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 customFormat="false" ht="15.75" hidden="false" customHeight="false" outlineLevel="0" collapsed="false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 customFormat="false" ht="15.75" hidden="false" customHeight="false" outlineLevel="0" collapsed="false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 customFormat="false" ht="15.75" hidden="false" customHeight="false" outlineLevel="0" collapsed="false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 customFormat="false" ht="15.75" hidden="false" customHeight="false" outlineLevel="0" collapsed="false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 customFormat="false" ht="15.75" hidden="false" customHeight="false" outlineLevel="0" collapsed="false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 customFormat="false" ht="15.75" hidden="false" customHeight="false" outlineLevel="0" collapsed="false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 customFormat="false" ht="15.75" hidden="false" customHeight="false" outlineLevel="0" collapsed="false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 customFormat="false" ht="15.75" hidden="false" customHeight="false" outlineLevel="0" collapsed="false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 customFormat="false" ht="15.75" hidden="false" customHeight="false" outlineLevel="0" collapsed="false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 customFormat="false" ht="15.75" hidden="false" customHeight="false" outlineLevel="0" collapsed="false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 customFormat="false" ht="15.75" hidden="false" customHeight="false" outlineLevel="0" collapsed="false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 customFormat="false" ht="15.75" hidden="false" customHeight="false" outlineLevel="0" collapsed="false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 customFormat="false" ht="15.75" hidden="false" customHeight="false" outlineLevel="0" collapsed="false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 customFormat="false" ht="15.75" hidden="false" customHeight="false" outlineLevel="0" collapsed="false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 customFormat="false" ht="15.75" hidden="false" customHeight="false" outlineLevel="0" collapsed="false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 customFormat="false" ht="15.75" hidden="false" customHeight="false" outlineLevel="0" collapsed="false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 customFormat="false" ht="15.75" hidden="false" customHeight="false" outlineLevel="0" collapsed="false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 customFormat="false" ht="15.75" hidden="false" customHeight="false" outlineLevel="0" collapsed="false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 customFormat="false" ht="15.75" hidden="false" customHeight="false" outlineLevel="0" collapsed="false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 customFormat="false" ht="15.75" hidden="false" customHeight="false" outlineLevel="0" collapsed="false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 customFormat="false" ht="15.75" hidden="false" customHeight="false" outlineLevel="0" collapsed="false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 customFormat="false" ht="15.75" hidden="false" customHeight="false" outlineLevel="0" collapsed="false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 customFormat="false" ht="15.75" hidden="false" customHeight="false" outlineLevel="0" collapsed="false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 customFormat="false" ht="15.75" hidden="false" customHeight="false" outlineLevel="0" collapsed="false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 customFormat="false" ht="15.75" hidden="false" customHeight="false" outlineLevel="0" collapsed="false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 customFormat="false" ht="15.75" hidden="false" customHeight="false" outlineLevel="0" collapsed="false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 customFormat="false" ht="15.75" hidden="false" customHeight="false" outlineLevel="0" collapsed="false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 customFormat="false" ht="15.75" hidden="false" customHeight="false" outlineLevel="0" collapsed="false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 customFormat="false" ht="15.75" hidden="false" customHeight="false" outlineLevel="0" collapsed="false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 customFormat="false" ht="15.75" hidden="false" customHeight="false" outlineLevel="0" collapsed="false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 customFormat="false" ht="15.75" hidden="false" customHeight="false" outlineLevel="0" collapsed="false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 customFormat="false" ht="15.75" hidden="false" customHeight="false" outlineLevel="0" collapsed="false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 customFormat="false" ht="15.75" hidden="false" customHeight="false" outlineLevel="0" collapsed="false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 customFormat="false" ht="15.75" hidden="false" customHeight="false" outlineLevel="0" collapsed="false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 customFormat="false" ht="15.75" hidden="false" customHeight="false" outlineLevel="0" collapsed="false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 customFormat="false" ht="15.75" hidden="false" customHeight="false" outlineLevel="0" collapsed="false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 customFormat="false" ht="15.75" hidden="false" customHeight="false" outlineLevel="0" collapsed="false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 customFormat="false" ht="15.75" hidden="false" customHeight="false" outlineLevel="0" collapsed="false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 customFormat="false" ht="15.75" hidden="false" customHeight="false" outlineLevel="0" collapsed="false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 customFormat="false" ht="15.75" hidden="false" customHeight="false" outlineLevel="0" collapsed="false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 customFormat="false" ht="15.75" hidden="false" customHeight="false" outlineLevel="0" collapsed="false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 customFormat="false" ht="15.75" hidden="false" customHeight="false" outlineLevel="0" collapsed="false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 customFormat="false" ht="15.75" hidden="false" customHeight="false" outlineLevel="0" collapsed="false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 customFormat="false" ht="15.75" hidden="false" customHeight="false" outlineLevel="0" collapsed="false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 customFormat="false" ht="15.75" hidden="false" customHeight="false" outlineLevel="0" collapsed="false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 customFormat="false" ht="15.75" hidden="false" customHeight="false" outlineLevel="0" collapsed="false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 customFormat="false" ht="15.75" hidden="false" customHeight="false" outlineLevel="0" collapsed="false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 customFormat="false" ht="15.75" hidden="false" customHeight="false" outlineLevel="0" collapsed="false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 customFormat="false" ht="15.75" hidden="false" customHeight="false" outlineLevel="0" collapsed="false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 customFormat="false" ht="15.75" hidden="false" customHeight="false" outlineLevel="0" collapsed="false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 customFormat="false" ht="15.75" hidden="false" customHeight="false" outlineLevel="0" collapsed="false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 customFormat="false" ht="15.75" hidden="false" customHeight="false" outlineLevel="0" collapsed="false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 customFormat="false" ht="15.75" hidden="false" customHeight="false" outlineLevel="0" collapsed="false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 customFormat="false" ht="15.75" hidden="false" customHeight="false" outlineLevel="0" collapsed="false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 customFormat="false" ht="15.75" hidden="false" customHeight="false" outlineLevel="0" collapsed="false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 customFormat="false" ht="15.75" hidden="false" customHeight="false" outlineLevel="0" collapsed="false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 customFormat="false" ht="15.75" hidden="false" customHeight="false" outlineLevel="0" collapsed="false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 customFormat="false" ht="15.75" hidden="false" customHeight="false" outlineLevel="0" collapsed="false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 customFormat="false" ht="15.75" hidden="false" customHeight="false" outlineLevel="0" collapsed="false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 customFormat="false" ht="15.75" hidden="false" customHeight="false" outlineLevel="0" collapsed="false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 customFormat="false" ht="15.75" hidden="false" customHeight="false" outlineLevel="0" collapsed="false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 customFormat="false" ht="15.75" hidden="false" customHeight="false" outlineLevel="0" collapsed="false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 customFormat="false" ht="15.75" hidden="false" customHeight="false" outlineLevel="0" collapsed="false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 customFormat="false" ht="15.75" hidden="false" customHeight="false" outlineLevel="0" collapsed="false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 customFormat="false" ht="15.75" hidden="false" customHeight="false" outlineLevel="0" collapsed="false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 customFormat="false" ht="15.75" hidden="false" customHeight="false" outlineLevel="0" collapsed="false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 customFormat="false" ht="15.75" hidden="false" customHeight="false" outlineLevel="0" collapsed="false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 customFormat="false" ht="15.75" hidden="false" customHeight="false" outlineLevel="0" collapsed="false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 customFormat="false" ht="15.75" hidden="false" customHeight="false" outlineLevel="0" collapsed="false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 customFormat="false" ht="15.75" hidden="false" customHeight="false" outlineLevel="0" collapsed="false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 customFormat="false" ht="15.75" hidden="false" customHeight="false" outlineLevel="0" collapsed="false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 customFormat="false" ht="15.75" hidden="false" customHeight="false" outlineLevel="0" collapsed="false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 customFormat="false" ht="15.75" hidden="false" customHeight="false" outlineLevel="0" collapsed="false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 customFormat="false" ht="15.75" hidden="false" customHeight="false" outlineLevel="0" collapsed="false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 customFormat="false" ht="15.75" hidden="false" customHeight="false" outlineLevel="0" collapsed="false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 customFormat="false" ht="15.75" hidden="false" customHeight="false" outlineLevel="0" collapsed="false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 customFormat="false" ht="15.75" hidden="false" customHeight="false" outlineLevel="0" collapsed="false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 customFormat="false" ht="15.75" hidden="false" customHeight="false" outlineLevel="0" collapsed="false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 customFormat="false" ht="15.75" hidden="false" customHeight="false" outlineLevel="0" collapsed="false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 customFormat="false" ht="15.75" hidden="false" customHeight="false" outlineLevel="0" collapsed="false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 customFormat="false" ht="15.75" hidden="false" customHeight="false" outlineLevel="0" collapsed="false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 customFormat="false" ht="15.75" hidden="false" customHeight="false" outlineLevel="0" collapsed="false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 customFormat="false" ht="15.75" hidden="false" customHeight="false" outlineLevel="0" collapsed="false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 customFormat="false" ht="15.75" hidden="false" customHeight="false" outlineLevel="0" collapsed="false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 customFormat="false" ht="15.75" hidden="false" customHeight="false" outlineLevel="0" collapsed="false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 customFormat="false" ht="15.75" hidden="false" customHeight="false" outlineLevel="0" collapsed="false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 customFormat="false" ht="15.75" hidden="false" customHeight="false" outlineLevel="0" collapsed="false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 customFormat="false" ht="15.75" hidden="false" customHeight="false" outlineLevel="0" collapsed="false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 customFormat="false" ht="15.75" hidden="false" customHeight="false" outlineLevel="0" collapsed="false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 customFormat="false" ht="15.75" hidden="false" customHeight="false" outlineLevel="0" collapsed="false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 customFormat="false" ht="15.75" hidden="false" customHeight="false" outlineLevel="0" collapsed="false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 customFormat="false" ht="15.75" hidden="false" customHeight="false" outlineLevel="0" collapsed="false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 customFormat="false" ht="15.75" hidden="false" customHeight="false" outlineLevel="0" collapsed="false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 customFormat="false" ht="15.75" hidden="false" customHeight="false" outlineLevel="0" collapsed="false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 customFormat="false" ht="15.75" hidden="false" customHeight="false" outlineLevel="0" collapsed="false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 customFormat="false" ht="15.75" hidden="false" customHeight="false" outlineLevel="0" collapsed="false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 customFormat="false" ht="15.75" hidden="false" customHeight="false" outlineLevel="0" collapsed="false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 customFormat="false" ht="15.75" hidden="false" customHeight="false" outlineLevel="0" collapsed="false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 customFormat="false" ht="15.75" hidden="false" customHeight="false" outlineLevel="0" collapsed="false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 customFormat="false" ht="15.75" hidden="false" customHeight="false" outlineLevel="0" collapsed="false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 customFormat="false" ht="15.75" hidden="false" customHeight="false" outlineLevel="0" collapsed="false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 customFormat="false" ht="15.75" hidden="false" customHeight="false" outlineLevel="0" collapsed="false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 customFormat="false" ht="15.75" hidden="false" customHeight="false" outlineLevel="0" collapsed="false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 customFormat="false" ht="15.75" hidden="false" customHeight="false" outlineLevel="0" collapsed="false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 customFormat="false" ht="15.75" hidden="false" customHeight="false" outlineLevel="0" collapsed="false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 customFormat="false" ht="15.75" hidden="false" customHeight="false" outlineLevel="0" collapsed="false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 customFormat="false" ht="15.75" hidden="false" customHeight="false" outlineLevel="0" collapsed="false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 customFormat="false" ht="15.75" hidden="false" customHeight="false" outlineLevel="0" collapsed="false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 customFormat="false" ht="15.75" hidden="false" customHeight="false" outlineLevel="0" collapsed="false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 customFormat="false" ht="15.75" hidden="false" customHeight="false" outlineLevel="0" collapsed="false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 customFormat="false" ht="15.75" hidden="false" customHeight="false" outlineLevel="0" collapsed="false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 customFormat="false" ht="15.75" hidden="false" customHeight="false" outlineLevel="0" collapsed="false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 customFormat="false" ht="15.75" hidden="false" customHeight="false" outlineLevel="0" collapsed="false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 customFormat="false" ht="15.75" hidden="false" customHeight="false" outlineLevel="0" collapsed="false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 customFormat="false" ht="15.75" hidden="false" customHeight="false" outlineLevel="0" collapsed="false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 customFormat="false" ht="15.75" hidden="false" customHeight="false" outlineLevel="0" collapsed="false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 customFormat="false" ht="15.75" hidden="false" customHeight="false" outlineLevel="0" collapsed="false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 customFormat="false" ht="15.75" hidden="false" customHeight="false" outlineLevel="0" collapsed="false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 customFormat="false" ht="15.75" hidden="false" customHeight="false" outlineLevel="0" collapsed="false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 customFormat="false" ht="15.75" hidden="false" customHeight="false" outlineLevel="0" collapsed="false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 customFormat="false" ht="15.75" hidden="false" customHeight="false" outlineLevel="0" collapsed="false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 customFormat="false" ht="15.75" hidden="false" customHeight="false" outlineLevel="0" collapsed="false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 customFormat="false" ht="15.75" hidden="false" customHeight="false" outlineLevel="0" collapsed="false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 customFormat="false" ht="15.75" hidden="false" customHeight="false" outlineLevel="0" collapsed="false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 customFormat="false" ht="15.75" hidden="false" customHeight="false" outlineLevel="0" collapsed="false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 customFormat="false" ht="15.75" hidden="false" customHeight="false" outlineLevel="0" collapsed="false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 customFormat="false" ht="15.75" hidden="false" customHeight="false" outlineLevel="0" collapsed="false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 customFormat="false" ht="15.75" hidden="false" customHeight="false" outlineLevel="0" collapsed="false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 customFormat="false" ht="15.75" hidden="false" customHeight="false" outlineLevel="0" collapsed="false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 customFormat="false" ht="15.75" hidden="false" customHeight="false" outlineLevel="0" collapsed="false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 customFormat="false" ht="15.75" hidden="false" customHeight="false" outlineLevel="0" collapsed="false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 customFormat="false" ht="15.75" hidden="false" customHeight="false" outlineLevel="0" collapsed="false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 customFormat="false" ht="15.75" hidden="false" customHeight="false" outlineLevel="0" collapsed="false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 customFormat="false" ht="15.75" hidden="false" customHeight="false" outlineLevel="0" collapsed="false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 customFormat="false" ht="15.75" hidden="false" customHeight="false" outlineLevel="0" collapsed="false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 customFormat="false" ht="15.75" hidden="false" customHeight="false" outlineLevel="0" collapsed="false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 customFormat="false" ht="15.75" hidden="false" customHeight="false" outlineLevel="0" collapsed="false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 customFormat="false" ht="15.75" hidden="false" customHeight="false" outlineLevel="0" collapsed="false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 customFormat="false" ht="15.75" hidden="false" customHeight="false" outlineLevel="0" collapsed="false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 customFormat="false" ht="15.75" hidden="false" customHeight="false" outlineLevel="0" collapsed="false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 customFormat="false" ht="15.75" hidden="false" customHeight="false" outlineLevel="0" collapsed="false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 customFormat="false" ht="15.75" hidden="false" customHeight="false" outlineLevel="0" collapsed="false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 customFormat="false" ht="15.75" hidden="false" customHeight="false" outlineLevel="0" collapsed="false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 customFormat="false" ht="15.75" hidden="false" customHeight="false" outlineLevel="0" collapsed="false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 customFormat="false" ht="15.75" hidden="false" customHeight="false" outlineLevel="0" collapsed="false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 customFormat="false" ht="15.75" hidden="false" customHeight="false" outlineLevel="0" collapsed="false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 customFormat="false" ht="15.75" hidden="false" customHeight="false" outlineLevel="0" collapsed="false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 customFormat="false" ht="15.75" hidden="false" customHeight="false" outlineLevel="0" collapsed="false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 customFormat="false" ht="15.75" hidden="false" customHeight="false" outlineLevel="0" collapsed="false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 customFormat="false" ht="15.75" hidden="false" customHeight="false" outlineLevel="0" collapsed="false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 customFormat="false" ht="15.75" hidden="false" customHeight="false" outlineLevel="0" collapsed="false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 customFormat="false" ht="15.75" hidden="false" customHeight="false" outlineLevel="0" collapsed="false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 customFormat="false" ht="15.75" hidden="false" customHeight="false" outlineLevel="0" collapsed="false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 customFormat="false" ht="15.75" hidden="false" customHeight="false" outlineLevel="0" collapsed="false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 customFormat="false" ht="15.75" hidden="false" customHeight="false" outlineLevel="0" collapsed="false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 customFormat="false" ht="15.75" hidden="false" customHeight="false" outlineLevel="0" collapsed="false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 customFormat="false" ht="15.75" hidden="false" customHeight="false" outlineLevel="0" collapsed="false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 customFormat="false" ht="15.75" hidden="false" customHeight="false" outlineLevel="0" collapsed="false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 customFormat="false" ht="15.75" hidden="false" customHeight="false" outlineLevel="0" collapsed="false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 customFormat="false" ht="15.75" hidden="false" customHeight="false" outlineLevel="0" collapsed="false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 customFormat="false" ht="15.75" hidden="false" customHeight="false" outlineLevel="0" collapsed="false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 customFormat="false" ht="15.75" hidden="false" customHeight="false" outlineLevel="0" collapsed="false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 customFormat="false" ht="15.75" hidden="false" customHeight="false" outlineLevel="0" collapsed="false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 customFormat="false" ht="15.75" hidden="false" customHeight="false" outlineLevel="0" collapsed="false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 customFormat="false" ht="15.75" hidden="false" customHeight="false" outlineLevel="0" collapsed="false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 customFormat="false" ht="15.75" hidden="false" customHeight="false" outlineLevel="0" collapsed="false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 customFormat="false" ht="15.75" hidden="false" customHeight="false" outlineLevel="0" collapsed="false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 customFormat="false" ht="15.75" hidden="false" customHeight="false" outlineLevel="0" collapsed="false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 customFormat="false" ht="15.75" hidden="false" customHeight="false" outlineLevel="0" collapsed="false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 customFormat="false" ht="15.75" hidden="false" customHeight="false" outlineLevel="0" collapsed="false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 customFormat="false" ht="15.75" hidden="false" customHeight="false" outlineLevel="0" collapsed="false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 customFormat="false" ht="15.75" hidden="false" customHeight="false" outlineLevel="0" collapsed="false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 customFormat="false" ht="15.75" hidden="false" customHeight="false" outlineLevel="0" collapsed="false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 customFormat="false" ht="15.75" hidden="false" customHeight="false" outlineLevel="0" collapsed="false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 customFormat="false" ht="15.75" hidden="false" customHeight="false" outlineLevel="0" collapsed="false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 customFormat="false" ht="15.75" hidden="false" customHeight="false" outlineLevel="0" collapsed="false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 customFormat="false" ht="15.75" hidden="false" customHeight="false" outlineLevel="0" collapsed="false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 customFormat="false" ht="15.75" hidden="false" customHeight="false" outlineLevel="0" collapsed="false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 customFormat="false" ht="15.75" hidden="false" customHeight="false" outlineLevel="0" collapsed="false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 customFormat="false" ht="15.75" hidden="false" customHeight="false" outlineLevel="0" collapsed="false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 customFormat="false" ht="15.75" hidden="false" customHeight="false" outlineLevel="0" collapsed="false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 customFormat="false" ht="15.75" hidden="false" customHeight="false" outlineLevel="0" collapsed="false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 customFormat="false" ht="15.75" hidden="false" customHeight="false" outlineLevel="0" collapsed="false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 customFormat="false" ht="15.75" hidden="false" customHeight="false" outlineLevel="0" collapsed="false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 customFormat="false" ht="15.75" hidden="false" customHeight="false" outlineLevel="0" collapsed="false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 customFormat="false" ht="15.75" hidden="false" customHeight="false" outlineLevel="0" collapsed="false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 customFormat="false" ht="15.75" hidden="false" customHeight="false" outlineLevel="0" collapsed="false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 customFormat="false" ht="15.75" hidden="false" customHeight="false" outlineLevel="0" collapsed="false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 customFormat="false" ht="15.75" hidden="false" customHeight="false" outlineLevel="0" collapsed="false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 customFormat="false" ht="15.75" hidden="false" customHeight="false" outlineLevel="0" collapsed="false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 customFormat="false" ht="15.75" hidden="false" customHeight="false" outlineLevel="0" collapsed="false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 customFormat="false" ht="15.75" hidden="false" customHeight="false" outlineLevel="0" collapsed="false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 customFormat="false" ht="15.75" hidden="false" customHeight="false" outlineLevel="0" collapsed="false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 customFormat="false" ht="15.75" hidden="false" customHeight="false" outlineLevel="0" collapsed="false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 customFormat="false" ht="15.75" hidden="false" customHeight="false" outlineLevel="0" collapsed="false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 customFormat="false" ht="15.75" hidden="false" customHeight="false" outlineLevel="0" collapsed="false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 customFormat="false" ht="15.75" hidden="false" customHeight="false" outlineLevel="0" collapsed="false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 customFormat="false" ht="15.75" hidden="false" customHeight="false" outlineLevel="0" collapsed="false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 customFormat="false" ht="15.75" hidden="false" customHeight="false" outlineLevel="0" collapsed="false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 customFormat="false" ht="15.75" hidden="false" customHeight="false" outlineLevel="0" collapsed="false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 customFormat="false" ht="15.75" hidden="false" customHeight="false" outlineLevel="0" collapsed="false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 customFormat="false" ht="15.75" hidden="false" customHeight="false" outlineLevel="0" collapsed="false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 customFormat="false" ht="15.75" hidden="false" customHeight="false" outlineLevel="0" collapsed="false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 customFormat="false" ht="15.75" hidden="false" customHeight="false" outlineLevel="0" collapsed="false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 customFormat="false" ht="15.75" hidden="false" customHeight="false" outlineLevel="0" collapsed="false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 customFormat="false" ht="15.75" hidden="false" customHeight="false" outlineLevel="0" collapsed="false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 customFormat="false" ht="15.75" hidden="false" customHeight="false" outlineLevel="0" collapsed="false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 customFormat="false" ht="15.75" hidden="false" customHeight="false" outlineLevel="0" collapsed="false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 customFormat="false" ht="15.75" hidden="false" customHeight="false" outlineLevel="0" collapsed="false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 customFormat="false" ht="15.75" hidden="false" customHeight="false" outlineLevel="0" collapsed="false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 customFormat="false" ht="15.75" hidden="false" customHeight="false" outlineLevel="0" collapsed="false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 customFormat="false" ht="15.75" hidden="false" customHeight="false" outlineLevel="0" collapsed="false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 customFormat="false" ht="15.75" hidden="false" customHeight="false" outlineLevel="0" collapsed="false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 customFormat="false" ht="15.75" hidden="false" customHeight="false" outlineLevel="0" collapsed="false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 customFormat="false" ht="15.75" hidden="false" customHeight="false" outlineLevel="0" collapsed="false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 customFormat="false" ht="15.75" hidden="false" customHeight="false" outlineLevel="0" collapsed="false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 customFormat="false" ht="15.75" hidden="false" customHeight="false" outlineLevel="0" collapsed="false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 customFormat="false" ht="15.75" hidden="false" customHeight="false" outlineLevel="0" collapsed="false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 customFormat="false" ht="15.75" hidden="false" customHeight="false" outlineLevel="0" collapsed="false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 customFormat="false" ht="15.75" hidden="false" customHeight="false" outlineLevel="0" collapsed="false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 customFormat="false" ht="15.75" hidden="false" customHeight="false" outlineLevel="0" collapsed="false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 customFormat="false" ht="15.75" hidden="false" customHeight="false" outlineLevel="0" collapsed="false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 customFormat="false" ht="15.75" hidden="false" customHeight="false" outlineLevel="0" collapsed="false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 customFormat="false" ht="15.75" hidden="false" customHeight="false" outlineLevel="0" collapsed="false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 customFormat="false" ht="15.75" hidden="false" customHeight="false" outlineLevel="0" collapsed="false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 customFormat="false" ht="15.75" hidden="false" customHeight="false" outlineLevel="0" collapsed="false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 customFormat="false" ht="15.75" hidden="false" customHeight="false" outlineLevel="0" collapsed="false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 customFormat="false" ht="15.75" hidden="false" customHeight="false" outlineLevel="0" collapsed="false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 customFormat="false" ht="15.75" hidden="false" customHeight="false" outlineLevel="0" collapsed="false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 customFormat="false" ht="15.75" hidden="false" customHeight="false" outlineLevel="0" collapsed="false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 customFormat="false" ht="15.75" hidden="false" customHeight="false" outlineLevel="0" collapsed="false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 customFormat="false" ht="15.75" hidden="false" customHeight="false" outlineLevel="0" collapsed="false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 customFormat="false" ht="15.75" hidden="false" customHeight="false" outlineLevel="0" collapsed="false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 customFormat="false" ht="15.75" hidden="false" customHeight="false" outlineLevel="0" collapsed="false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 customFormat="false" ht="15.75" hidden="false" customHeight="false" outlineLevel="0" collapsed="false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 customFormat="false" ht="15.75" hidden="false" customHeight="false" outlineLevel="0" collapsed="false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 customFormat="false" ht="15.75" hidden="false" customHeight="false" outlineLevel="0" collapsed="false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 customFormat="false" ht="15.75" hidden="false" customHeight="false" outlineLevel="0" collapsed="false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 customFormat="false" ht="15.75" hidden="false" customHeight="false" outlineLevel="0" collapsed="false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 customFormat="false" ht="15.75" hidden="false" customHeight="false" outlineLevel="0" collapsed="false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 customFormat="false" ht="15.75" hidden="false" customHeight="false" outlineLevel="0" collapsed="false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 customFormat="false" ht="15.75" hidden="false" customHeight="false" outlineLevel="0" collapsed="false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 customFormat="false" ht="15.75" hidden="false" customHeight="false" outlineLevel="0" collapsed="false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 customFormat="false" ht="15.75" hidden="false" customHeight="false" outlineLevel="0" collapsed="false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 customFormat="false" ht="15.75" hidden="false" customHeight="false" outlineLevel="0" collapsed="false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 customFormat="false" ht="15.75" hidden="false" customHeight="false" outlineLevel="0" collapsed="false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 customFormat="false" ht="15.75" hidden="false" customHeight="false" outlineLevel="0" collapsed="false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 customFormat="false" ht="15.75" hidden="false" customHeight="false" outlineLevel="0" collapsed="false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 customFormat="false" ht="15.75" hidden="false" customHeight="false" outlineLevel="0" collapsed="false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 customFormat="false" ht="15.75" hidden="false" customHeight="false" outlineLevel="0" collapsed="false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 customFormat="false" ht="15.75" hidden="false" customHeight="false" outlineLevel="0" collapsed="false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 customFormat="false" ht="15.75" hidden="false" customHeight="false" outlineLevel="0" collapsed="false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 customFormat="false" ht="15.75" hidden="false" customHeight="false" outlineLevel="0" collapsed="false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 customFormat="false" ht="15.75" hidden="false" customHeight="false" outlineLevel="0" collapsed="false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 customFormat="false" ht="15.75" hidden="false" customHeight="false" outlineLevel="0" collapsed="false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 customFormat="false" ht="15.75" hidden="false" customHeight="false" outlineLevel="0" collapsed="false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 customFormat="false" ht="15.75" hidden="false" customHeight="false" outlineLevel="0" collapsed="false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 customFormat="false" ht="15.75" hidden="false" customHeight="false" outlineLevel="0" collapsed="false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 customFormat="false" ht="15.75" hidden="false" customHeight="false" outlineLevel="0" collapsed="false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 customFormat="false" ht="15.75" hidden="false" customHeight="false" outlineLevel="0" collapsed="false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 customFormat="false" ht="15.75" hidden="false" customHeight="false" outlineLevel="0" collapsed="false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 customFormat="false" ht="15.75" hidden="false" customHeight="false" outlineLevel="0" collapsed="false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 customFormat="false" ht="15.75" hidden="false" customHeight="false" outlineLevel="0" collapsed="false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 customFormat="false" ht="15.75" hidden="false" customHeight="false" outlineLevel="0" collapsed="false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 customFormat="false" ht="15.75" hidden="false" customHeight="false" outlineLevel="0" collapsed="false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 customFormat="false" ht="15.75" hidden="false" customHeight="false" outlineLevel="0" collapsed="false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 customFormat="false" ht="15.75" hidden="false" customHeight="false" outlineLevel="0" collapsed="false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 customFormat="false" ht="15.75" hidden="false" customHeight="false" outlineLevel="0" collapsed="false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 customFormat="false" ht="15.75" hidden="false" customHeight="false" outlineLevel="0" collapsed="false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 customFormat="false" ht="15.75" hidden="false" customHeight="false" outlineLevel="0" collapsed="false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 customFormat="false" ht="15.75" hidden="false" customHeight="false" outlineLevel="0" collapsed="false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 customFormat="false" ht="15.75" hidden="false" customHeight="false" outlineLevel="0" collapsed="false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 customFormat="false" ht="15.75" hidden="false" customHeight="false" outlineLevel="0" collapsed="false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 customFormat="false" ht="15.75" hidden="false" customHeight="false" outlineLevel="0" collapsed="false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 customFormat="false" ht="15.75" hidden="false" customHeight="false" outlineLevel="0" collapsed="false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 customFormat="false" ht="15.75" hidden="false" customHeight="false" outlineLevel="0" collapsed="false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 customFormat="false" ht="15.75" hidden="false" customHeight="false" outlineLevel="0" collapsed="false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 customFormat="false" ht="15.75" hidden="false" customHeight="false" outlineLevel="0" collapsed="false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 customFormat="false" ht="15.75" hidden="false" customHeight="false" outlineLevel="0" collapsed="false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 customFormat="false" ht="15.75" hidden="false" customHeight="false" outlineLevel="0" collapsed="false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 customFormat="false" ht="15.75" hidden="false" customHeight="false" outlineLevel="0" collapsed="false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 customFormat="false" ht="15.75" hidden="false" customHeight="false" outlineLevel="0" collapsed="false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 customFormat="false" ht="15.75" hidden="false" customHeight="false" outlineLevel="0" collapsed="false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 customFormat="false" ht="15.75" hidden="false" customHeight="false" outlineLevel="0" collapsed="false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 customFormat="false" ht="15.75" hidden="false" customHeight="false" outlineLevel="0" collapsed="false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 customFormat="false" ht="15.75" hidden="false" customHeight="false" outlineLevel="0" collapsed="false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 customFormat="false" ht="15.75" hidden="false" customHeight="false" outlineLevel="0" collapsed="false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 customFormat="false" ht="15.75" hidden="false" customHeight="false" outlineLevel="0" collapsed="false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 customFormat="false" ht="15.75" hidden="false" customHeight="false" outlineLevel="0" collapsed="false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 customFormat="false" ht="15.75" hidden="false" customHeight="false" outlineLevel="0" collapsed="false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 customFormat="false" ht="15.75" hidden="false" customHeight="false" outlineLevel="0" collapsed="false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 customFormat="false" ht="15.75" hidden="false" customHeight="false" outlineLevel="0" collapsed="false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 customFormat="false" ht="15.75" hidden="false" customHeight="false" outlineLevel="0" collapsed="false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 customFormat="false" ht="15.75" hidden="false" customHeight="false" outlineLevel="0" collapsed="false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 customFormat="false" ht="15.75" hidden="false" customHeight="false" outlineLevel="0" collapsed="false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 customFormat="false" ht="15.75" hidden="false" customHeight="false" outlineLevel="0" collapsed="false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 customFormat="false" ht="15.75" hidden="false" customHeight="false" outlineLevel="0" collapsed="false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 customFormat="false" ht="15.75" hidden="false" customHeight="false" outlineLevel="0" collapsed="false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 customFormat="false" ht="15.75" hidden="false" customHeight="false" outlineLevel="0" collapsed="false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 customFormat="false" ht="15.75" hidden="false" customHeight="false" outlineLevel="0" collapsed="false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 customFormat="false" ht="15.75" hidden="false" customHeight="false" outlineLevel="0" collapsed="false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 customFormat="false" ht="15.75" hidden="false" customHeight="false" outlineLevel="0" collapsed="false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 customFormat="false" ht="15.75" hidden="false" customHeight="false" outlineLevel="0" collapsed="false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 customFormat="false" ht="15.75" hidden="false" customHeight="false" outlineLevel="0" collapsed="false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 customFormat="false" ht="15.75" hidden="false" customHeight="false" outlineLevel="0" collapsed="false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 customFormat="false" ht="15.75" hidden="false" customHeight="false" outlineLevel="0" collapsed="false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 customFormat="false" ht="15.75" hidden="false" customHeight="false" outlineLevel="0" collapsed="false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 customFormat="false" ht="15.75" hidden="false" customHeight="false" outlineLevel="0" collapsed="false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 customFormat="false" ht="15.75" hidden="false" customHeight="false" outlineLevel="0" collapsed="false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 customFormat="false" ht="15.75" hidden="false" customHeight="false" outlineLevel="0" collapsed="false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 customFormat="false" ht="15.75" hidden="false" customHeight="false" outlineLevel="0" collapsed="false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 customFormat="false" ht="15.75" hidden="false" customHeight="false" outlineLevel="0" collapsed="false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 customFormat="false" ht="15.75" hidden="false" customHeight="false" outlineLevel="0" collapsed="false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 customFormat="false" ht="15.75" hidden="false" customHeight="false" outlineLevel="0" collapsed="false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 customFormat="false" ht="15.75" hidden="false" customHeight="false" outlineLevel="0" collapsed="false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 customFormat="false" ht="15.75" hidden="false" customHeight="false" outlineLevel="0" collapsed="false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 customFormat="false" ht="15.75" hidden="false" customHeight="false" outlineLevel="0" collapsed="false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 customFormat="false" ht="15.75" hidden="false" customHeight="false" outlineLevel="0" collapsed="false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 customFormat="false" ht="15.75" hidden="false" customHeight="false" outlineLevel="0" collapsed="false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 customFormat="false" ht="15.75" hidden="false" customHeight="false" outlineLevel="0" collapsed="false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 customFormat="false" ht="15.75" hidden="false" customHeight="false" outlineLevel="0" collapsed="false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 customFormat="false" ht="15.75" hidden="false" customHeight="false" outlineLevel="0" collapsed="false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 customFormat="false" ht="15.75" hidden="false" customHeight="false" outlineLevel="0" collapsed="false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 customFormat="false" ht="15.75" hidden="false" customHeight="false" outlineLevel="0" collapsed="false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 customFormat="false" ht="15.75" hidden="false" customHeight="false" outlineLevel="0" collapsed="false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 customFormat="false" ht="15.75" hidden="false" customHeight="false" outlineLevel="0" collapsed="false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 customFormat="false" ht="15.75" hidden="false" customHeight="false" outlineLevel="0" collapsed="false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 customFormat="false" ht="15.75" hidden="false" customHeight="false" outlineLevel="0" collapsed="false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 customFormat="false" ht="15.75" hidden="false" customHeight="false" outlineLevel="0" collapsed="false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 customFormat="false" ht="15.75" hidden="false" customHeight="false" outlineLevel="0" collapsed="false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 customFormat="false" ht="15.75" hidden="false" customHeight="false" outlineLevel="0" collapsed="false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 customFormat="false" ht="15.75" hidden="false" customHeight="false" outlineLevel="0" collapsed="false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 customFormat="false" ht="15.75" hidden="false" customHeight="false" outlineLevel="0" collapsed="false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 customFormat="false" ht="15.75" hidden="false" customHeight="false" outlineLevel="0" collapsed="false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 customFormat="false" ht="15.75" hidden="false" customHeight="false" outlineLevel="0" collapsed="false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 customFormat="false" ht="15.75" hidden="false" customHeight="false" outlineLevel="0" collapsed="false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 customFormat="false" ht="15.75" hidden="false" customHeight="false" outlineLevel="0" collapsed="false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 customFormat="false" ht="15.75" hidden="false" customHeight="false" outlineLevel="0" collapsed="false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 customFormat="false" ht="15.75" hidden="false" customHeight="false" outlineLevel="0" collapsed="false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 customFormat="false" ht="15.75" hidden="false" customHeight="false" outlineLevel="0" collapsed="false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 customFormat="false" ht="15.75" hidden="false" customHeight="false" outlineLevel="0" collapsed="false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 customFormat="false" ht="15.75" hidden="false" customHeight="false" outlineLevel="0" collapsed="false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 customFormat="false" ht="15.75" hidden="false" customHeight="false" outlineLevel="0" collapsed="false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 customFormat="false" ht="15.75" hidden="false" customHeight="false" outlineLevel="0" collapsed="false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 customFormat="false" ht="15.75" hidden="false" customHeight="false" outlineLevel="0" collapsed="false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 customFormat="false" ht="15.75" hidden="false" customHeight="false" outlineLevel="0" collapsed="false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 customFormat="false" ht="15.75" hidden="false" customHeight="false" outlineLevel="0" collapsed="false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 customFormat="false" ht="15.75" hidden="false" customHeight="false" outlineLevel="0" collapsed="false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 customFormat="false" ht="15.75" hidden="false" customHeight="false" outlineLevel="0" collapsed="false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 customFormat="false" ht="15.75" hidden="false" customHeight="false" outlineLevel="0" collapsed="false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 customFormat="false" ht="15.75" hidden="false" customHeight="false" outlineLevel="0" collapsed="false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 customFormat="false" ht="15.75" hidden="false" customHeight="false" outlineLevel="0" collapsed="false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 customFormat="false" ht="15.75" hidden="false" customHeight="false" outlineLevel="0" collapsed="false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 customFormat="false" ht="15.75" hidden="false" customHeight="false" outlineLevel="0" collapsed="false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 customFormat="false" ht="15.75" hidden="false" customHeight="false" outlineLevel="0" collapsed="false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 customFormat="false" ht="15.75" hidden="false" customHeight="false" outlineLevel="0" collapsed="false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 customFormat="false" ht="15.75" hidden="false" customHeight="false" outlineLevel="0" collapsed="false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 customFormat="false" ht="15.75" hidden="false" customHeight="false" outlineLevel="0" collapsed="false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 customFormat="false" ht="15.75" hidden="false" customHeight="false" outlineLevel="0" collapsed="false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 customFormat="false" ht="15.75" hidden="false" customHeight="false" outlineLevel="0" collapsed="false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 customFormat="false" ht="15.75" hidden="false" customHeight="false" outlineLevel="0" collapsed="false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 customFormat="false" ht="15.75" hidden="false" customHeight="false" outlineLevel="0" collapsed="false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 customFormat="false" ht="15.75" hidden="false" customHeight="false" outlineLevel="0" collapsed="false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 customFormat="false" ht="15.75" hidden="false" customHeight="false" outlineLevel="0" collapsed="false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 customFormat="false" ht="15.75" hidden="false" customHeight="false" outlineLevel="0" collapsed="false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 customFormat="false" ht="15.75" hidden="false" customHeight="false" outlineLevel="0" collapsed="false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 customFormat="false" ht="15.75" hidden="false" customHeight="false" outlineLevel="0" collapsed="false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 customFormat="false" ht="15.75" hidden="false" customHeight="false" outlineLevel="0" collapsed="false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 customFormat="false" ht="15.75" hidden="false" customHeight="false" outlineLevel="0" collapsed="false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 customFormat="false" ht="15.75" hidden="false" customHeight="false" outlineLevel="0" collapsed="false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 customFormat="false" ht="15.75" hidden="false" customHeight="false" outlineLevel="0" collapsed="false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 customFormat="false" ht="15.75" hidden="false" customHeight="false" outlineLevel="0" collapsed="false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 customFormat="false" ht="15.75" hidden="false" customHeight="false" outlineLevel="0" collapsed="false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 customFormat="false" ht="15.75" hidden="false" customHeight="false" outlineLevel="0" collapsed="false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 customFormat="false" ht="15.75" hidden="false" customHeight="false" outlineLevel="0" collapsed="false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 customFormat="false" ht="15.75" hidden="false" customHeight="false" outlineLevel="0" collapsed="false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 customFormat="false" ht="15.75" hidden="false" customHeight="false" outlineLevel="0" collapsed="false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 customFormat="false" ht="15.75" hidden="false" customHeight="false" outlineLevel="0" collapsed="false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 customFormat="false" ht="15.75" hidden="false" customHeight="false" outlineLevel="0" collapsed="false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 customFormat="false" ht="15.75" hidden="false" customHeight="false" outlineLevel="0" collapsed="false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 customFormat="false" ht="15.75" hidden="false" customHeight="false" outlineLevel="0" collapsed="false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 customFormat="false" ht="15.75" hidden="false" customHeight="false" outlineLevel="0" collapsed="false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 customFormat="false" ht="15.75" hidden="false" customHeight="false" outlineLevel="0" collapsed="false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 customFormat="false" ht="15.75" hidden="false" customHeight="false" outlineLevel="0" collapsed="false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 customFormat="false" ht="15.75" hidden="false" customHeight="false" outlineLevel="0" collapsed="false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 customFormat="false" ht="15.75" hidden="false" customHeight="false" outlineLevel="0" collapsed="false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 customFormat="false" ht="15.75" hidden="false" customHeight="false" outlineLevel="0" collapsed="false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 customFormat="false" ht="15.75" hidden="false" customHeight="false" outlineLevel="0" collapsed="false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 customFormat="false" ht="15.75" hidden="false" customHeight="false" outlineLevel="0" collapsed="false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 customFormat="false" ht="15.75" hidden="false" customHeight="false" outlineLevel="0" collapsed="false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 customFormat="false" ht="15.75" hidden="false" customHeight="false" outlineLevel="0" collapsed="false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 customFormat="false" ht="15.75" hidden="false" customHeight="false" outlineLevel="0" collapsed="false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 customFormat="false" ht="15.75" hidden="false" customHeight="false" outlineLevel="0" collapsed="false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 customFormat="false" ht="15.75" hidden="false" customHeight="false" outlineLevel="0" collapsed="false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 customFormat="false" ht="15.75" hidden="false" customHeight="false" outlineLevel="0" collapsed="false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 customFormat="false" ht="15.75" hidden="false" customHeight="false" outlineLevel="0" collapsed="false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 customFormat="false" ht="15.75" hidden="false" customHeight="false" outlineLevel="0" collapsed="false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 customFormat="false" ht="15.75" hidden="false" customHeight="false" outlineLevel="0" collapsed="false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 customFormat="false" ht="15.75" hidden="false" customHeight="false" outlineLevel="0" collapsed="false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 customFormat="false" ht="15.75" hidden="false" customHeight="false" outlineLevel="0" collapsed="false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 customFormat="false" ht="15.75" hidden="false" customHeight="false" outlineLevel="0" collapsed="false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 customFormat="false" ht="15.75" hidden="false" customHeight="false" outlineLevel="0" collapsed="false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 customFormat="false" ht="15.75" hidden="false" customHeight="false" outlineLevel="0" collapsed="false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 customFormat="false" ht="15.75" hidden="false" customHeight="false" outlineLevel="0" collapsed="false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 customFormat="false" ht="15.75" hidden="false" customHeight="false" outlineLevel="0" collapsed="false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 customFormat="false" ht="15.75" hidden="false" customHeight="false" outlineLevel="0" collapsed="false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 customFormat="false" ht="15.75" hidden="false" customHeight="false" outlineLevel="0" collapsed="false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 customFormat="false" ht="15.75" hidden="false" customHeight="false" outlineLevel="0" collapsed="false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 customFormat="false" ht="15.75" hidden="false" customHeight="false" outlineLevel="0" collapsed="false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 customFormat="false" ht="15.75" hidden="false" customHeight="false" outlineLevel="0" collapsed="false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 customFormat="false" ht="15.75" hidden="false" customHeight="false" outlineLevel="0" collapsed="false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 customFormat="false" ht="15.75" hidden="false" customHeight="false" outlineLevel="0" collapsed="false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 customFormat="false" ht="15.75" hidden="false" customHeight="false" outlineLevel="0" collapsed="false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 customFormat="false" ht="15.75" hidden="false" customHeight="false" outlineLevel="0" collapsed="false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 customFormat="false" ht="15.75" hidden="false" customHeight="false" outlineLevel="0" collapsed="false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 customFormat="false" ht="15.75" hidden="false" customHeight="false" outlineLevel="0" collapsed="false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 customFormat="false" ht="15.75" hidden="false" customHeight="false" outlineLevel="0" collapsed="false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 customFormat="false" ht="15.75" hidden="false" customHeight="false" outlineLevel="0" collapsed="false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 customFormat="false" ht="15.75" hidden="false" customHeight="false" outlineLevel="0" collapsed="false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 customFormat="false" ht="15.75" hidden="false" customHeight="false" outlineLevel="0" collapsed="false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 customFormat="false" ht="15.75" hidden="false" customHeight="false" outlineLevel="0" collapsed="false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 customFormat="false" ht="15.75" hidden="false" customHeight="false" outlineLevel="0" collapsed="false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 customFormat="false" ht="15.75" hidden="false" customHeight="false" outlineLevel="0" collapsed="false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 customFormat="false" ht="15.75" hidden="false" customHeight="false" outlineLevel="0" collapsed="false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 customFormat="false" ht="15.75" hidden="false" customHeight="false" outlineLevel="0" collapsed="false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 customFormat="false" ht="15.75" hidden="false" customHeight="false" outlineLevel="0" collapsed="false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 customFormat="false" ht="15.75" hidden="false" customHeight="false" outlineLevel="0" collapsed="false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 customFormat="false" ht="15.75" hidden="false" customHeight="false" outlineLevel="0" collapsed="false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 customFormat="false" ht="15.75" hidden="false" customHeight="false" outlineLevel="0" collapsed="false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 customFormat="false" ht="15.75" hidden="false" customHeight="false" outlineLevel="0" collapsed="false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 customFormat="false" ht="15.75" hidden="false" customHeight="false" outlineLevel="0" collapsed="false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 customFormat="false" ht="15.75" hidden="false" customHeight="false" outlineLevel="0" collapsed="false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 customFormat="false" ht="15.75" hidden="false" customHeight="false" outlineLevel="0" collapsed="false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 customFormat="false" ht="15.75" hidden="false" customHeight="false" outlineLevel="0" collapsed="false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 customFormat="false" ht="15.75" hidden="false" customHeight="false" outlineLevel="0" collapsed="false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 customFormat="false" ht="15.75" hidden="false" customHeight="false" outlineLevel="0" collapsed="false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 customFormat="false" ht="15.75" hidden="false" customHeight="false" outlineLevel="0" collapsed="false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 customFormat="false" ht="15.75" hidden="false" customHeight="false" outlineLevel="0" collapsed="false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 customFormat="false" ht="15.75" hidden="false" customHeight="false" outlineLevel="0" collapsed="false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 customFormat="false" ht="15.75" hidden="false" customHeight="false" outlineLevel="0" collapsed="false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 customFormat="false" ht="15.75" hidden="false" customHeight="false" outlineLevel="0" collapsed="false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 customFormat="false" ht="15.75" hidden="false" customHeight="false" outlineLevel="0" collapsed="false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 customFormat="false" ht="15.75" hidden="false" customHeight="false" outlineLevel="0" collapsed="false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 customFormat="false" ht="15.75" hidden="false" customHeight="false" outlineLevel="0" collapsed="false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 customFormat="false" ht="15.75" hidden="false" customHeight="false" outlineLevel="0" collapsed="false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 customFormat="false" ht="15.75" hidden="false" customHeight="false" outlineLevel="0" collapsed="false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 customFormat="false" ht="15.75" hidden="false" customHeight="false" outlineLevel="0" collapsed="false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 customFormat="false" ht="15.75" hidden="false" customHeight="false" outlineLevel="0" collapsed="false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 customFormat="false" ht="15.75" hidden="false" customHeight="false" outlineLevel="0" collapsed="false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 customFormat="false" ht="15.75" hidden="false" customHeight="false" outlineLevel="0" collapsed="false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89"/>
  </cols>
  <sheetData>
    <row r="1" customFormat="false" ht="15.75" hidden="false" customHeight="false" outlineLevel="0" collapsed="false">
      <c r="A1" s="140"/>
      <c r="B1" s="145"/>
      <c r="C1" s="140"/>
      <c r="D1" s="140"/>
      <c r="E1" s="146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customFormat="false" ht="15.75" hidden="false" customHeight="false" outlineLevel="0" collapsed="false">
      <c r="A2" s="140"/>
      <c r="B2" s="140"/>
      <c r="C2" s="140"/>
      <c r="D2" s="140"/>
      <c r="E2" s="146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</row>
    <row r="3" customFormat="false" ht="15.75" hidden="false" customHeight="false" outlineLevel="0" collapsed="false">
      <c r="A3" s="140"/>
      <c r="B3" s="140"/>
      <c r="C3" s="140"/>
      <c r="D3" s="140"/>
      <c r="E3" s="146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</row>
    <row r="4" customFormat="false" ht="15.75" hidden="false" customHeight="false" outlineLevel="0" collapsed="false">
      <c r="A4" s="140"/>
      <c r="B4" s="140"/>
      <c r="C4" s="140"/>
      <c r="D4" s="140"/>
      <c r="E4" s="146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</row>
    <row r="5" customFormat="false" ht="15.75" hidden="false" customHeight="false" outlineLevel="0" collapsed="false">
      <c r="A5" s="140"/>
      <c r="B5" s="140"/>
      <c r="C5" s="140"/>
      <c r="D5" s="140"/>
      <c r="E5" s="146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</row>
    <row r="6" customFormat="false" ht="15.75" hidden="false" customHeight="false" outlineLevel="0" collapsed="false">
      <c r="A6" s="140"/>
      <c r="B6" s="140"/>
      <c r="C6" s="140"/>
      <c r="D6" s="140"/>
      <c r="E6" s="146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</row>
    <row r="7" customFormat="false" ht="15.75" hidden="false" customHeight="false" outlineLevel="0" collapsed="false">
      <c r="A7" s="140"/>
      <c r="B7" s="140"/>
      <c r="C7" s="140"/>
      <c r="D7" s="140"/>
      <c r="E7" s="146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</row>
    <row r="8" customFormat="false" ht="15.75" hidden="false" customHeight="false" outlineLevel="0" collapsed="false">
      <c r="A8" s="140"/>
      <c r="B8" s="140"/>
      <c r="C8" s="140"/>
      <c r="D8" s="140"/>
      <c r="E8" s="146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</row>
    <row r="9" customFormat="false" ht="15.75" hidden="false" customHeight="false" outlineLevel="0" collapsed="false">
      <c r="A9" s="140"/>
      <c r="B9" s="140"/>
      <c r="C9" s="140"/>
      <c r="D9" s="140"/>
      <c r="E9" s="146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</row>
    <row r="10" customFormat="false" ht="15.75" hidden="false" customHeight="false" outlineLevel="0" collapsed="false">
      <c r="A10" s="140"/>
      <c r="B10" s="140"/>
      <c r="C10" s="140"/>
      <c r="D10" s="140"/>
      <c r="E10" s="146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</row>
    <row r="11" customFormat="false" ht="15.75" hidden="false" customHeight="false" outlineLevel="0" collapsed="false">
      <c r="A11" s="140"/>
      <c r="B11" s="140"/>
      <c r="C11" s="140"/>
      <c r="D11" s="140"/>
      <c r="E11" s="146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</row>
    <row r="12" customFormat="false" ht="15.75" hidden="false" customHeight="false" outlineLevel="0" collapsed="false">
      <c r="A12" s="140"/>
      <c r="B12" s="140"/>
      <c r="C12" s="140"/>
      <c r="D12" s="140"/>
      <c r="E12" s="146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</row>
    <row r="13" customFormat="false" ht="15.75" hidden="false" customHeight="false" outlineLevel="0" collapsed="false">
      <c r="A13" s="140"/>
      <c r="B13" s="140"/>
      <c r="C13" s="140"/>
      <c r="D13" s="140"/>
      <c r="E13" s="146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</row>
    <row r="14" customFormat="false" ht="15.75" hidden="false" customHeight="false" outlineLevel="0" collapsed="false">
      <c r="A14" s="140"/>
      <c r="B14" s="140"/>
      <c r="C14" s="140"/>
      <c r="D14" s="140"/>
      <c r="E14" s="146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</row>
    <row r="15" customFormat="false" ht="15.75" hidden="false" customHeight="false" outlineLevel="0" collapsed="false">
      <c r="A15" s="140"/>
      <c r="B15" s="140"/>
      <c r="C15" s="140"/>
      <c r="D15" s="140"/>
      <c r="E15" s="146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</row>
    <row r="16" customFormat="false" ht="15.75" hidden="false" customHeight="false" outlineLevel="0" collapsed="false">
      <c r="A16" s="140"/>
      <c r="B16" s="140"/>
      <c r="C16" s="140"/>
      <c r="D16" s="140"/>
      <c r="E16" s="146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</row>
    <row r="17" customFormat="false" ht="15.75" hidden="false" customHeight="false" outlineLevel="0" collapsed="false">
      <c r="A17" s="140"/>
      <c r="B17" s="140"/>
      <c r="C17" s="140"/>
      <c r="D17" s="140"/>
      <c r="E17" s="146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</row>
    <row r="18" customFormat="false" ht="15.75" hidden="false" customHeight="false" outlineLevel="0" collapsed="false">
      <c r="A18" s="140"/>
      <c r="B18" s="140"/>
      <c r="C18" s="140"/>
      <c r="D18" s="140"/>
      <c r="E18" s="146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</row>
    <row r="19" customFormat="false" ht="15.75" hidden="false" customHeight="false" outlineLevel="0" collapsed="false">
      <c r="A19" s="140"/>
      <c r="B19" s="140"/>
      <c r="C19" s="140"/>
      <c r="D19" s="140"/>
      <c r="E19" s="146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</row>
    <row r="20" customFormat="false" ht="15.75" hidden="false" customHeight="false" outlineLevel="0" collapsed="false">
      <c r="A20" s="140"/>
      <c r="B20" s="140"/>
      <c r="C20" s="140"/>
      <c r="D20" s="140"/>
      <c r="E20" s="146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</row>
    <row r="21" customFormat="false" ht="15.75" hidden="false" customHeight="false" outlineLevel="0" collapsed="false">
      <c r="A21" s="140" t="str">
        <f aca="false">IF(ISBLANK(B21),"",B21&amp;"|"&amp;C21)</f>
        <v/>
      </c>
      <c r="B21" s="140"/>
      <c r="C21" s="140"/>
      <c r="D21" s="140"/>
      <c r="E21" s="146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</row>
    <row r="22" customFormat="false" ht="15.75" hidden="false" customHeight="false" outlineLevel="0" collapsed="false">
      <c r="A22" s="140" t="str">
        <f aca="false">IF(ISBLANK(B22),"",B22&amp;"|"&amp;C22)</f>
        <v/>
      </c>
      <c r="B22" s="140"/>
      <c r="C22" s="140"/>
      <c r="D22" s="140"/>
      <c r="E22" s="146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</row>
    <row r="23" customFormat="false" ht="15.75" hidden="false" customHeight="false" outlineLevel="0" collapsed="false">
      <c r="A23" s="140" t="str">
        <f aca="false">IF(ISBLANK(B23),"",B23&amp;"|"&amp;C23)</f>
        <v/>
      </c>
      <c r="B23" s="140"/>
      <c r="C23" s="140"/>
      <c r="D23" s="140"/>
      <c r="E23" s="146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</row>
    <row r="24" customFormat="false" ht="15.75" hidden="false" customHeight="false" outlineLevel="0" collapsed="false">
      <c r="A24" s="140" t="str">
        <f aca="false">IF(ISBLANK(B24),"",B24&amp;"|"&amp;C24)</f>
        <v/>
      </c>
      <c r="B24" s="140"/>
      <c r="C24" s="140"/>
      <c r="D24" s="140"/>
      <c r="E24" s="146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</row>
    <row r="25" customFormat="false" ht="15.75" hidden="false" customHeight="false" outlineLevel="0" collapsed="false">
      <c r="A25" s="140" t="str">
        <f aca="false">IF(ISBLANK(B25),"",B25&amp;"|"&amp;C25)</f>
        <v/>
      </c>
      <c r="B25" s="140"/>
      <c r="C25" s="140"/>
      <c r="D25" s="140"/>
      <c r="E25" s="146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</row>
    <row r="26" customFormat="false" ht="15.75" hidden="false" customHeight="false" outlineLevel="0" collapsed="false">
      <c r="A26" s="140" t="str">
        <f aca="false">IF(ISBLANK(B26),"",B26&amp;"|"&amp;C26)</f>
        <v/>
      </c>
      <c r="B26" s="140"/>
      <c r="C26" s="140"/>
      <c r="D26" s="140"/>
      <c r="E26" s="146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</row>
    <row r="27" customFormat="false" ht="15.75" hidden="false" customHeight="false" outlineLevel="0" collapsed="false">
      <c r="A27" s="140" t="str">
        <f aca="false">IF(ISBLANK(B27),"",B27&amp;"|"&amp;C27)</f>
        <v/>
      </c>
      <c r="B27" s="140"/>
      <c r="C27" s="140"/>
      <c r="D27" s="140"/>
      <c r="E27" s="146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</row>
    <row r="28" customFormat="false" ht="15.75" hidden="false" customHeight="false" outlineLevel="0" collapsed="false">
      <c r="A28" s="140" t="str">
        <f aca="false">IF(ISBLANK(B28),"",B28&amp;"|"&amp;C28)</f>
        <v/>
      </c>
      <c r="B28" s="140"/>
      <c r="C28" s="140"/>
      <c r="D28" s="140"/>
      <c r="E28" s="146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</row>
    <row r="29" customFormat="false" ht="15.75" hidden="false" customHeight="false" outlineLevel="0" collapsed="false">
      <c r="A29" s="140" t="str">
        <f aca="false">IF(ISBLANK(B29),"",B29&amp;"|"&amp;C29)</f>
        <v/>
      </c>
      <c r="B29" s="140"/>
      <c r="C29" s="140"/>
      <c r="D29" s="140"/>
      <c r="E29" s="146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</row>
    <row r="30" customFormat="false" ht="15.75" hidden="false" customHeight="false" outlineLevel="0" collapsed="false">
      <c r="A30" s="140" t="str">
        <f aca="false">IF(ISBLANK(B30),"",B30&amp;"|"&amp;C30)</f>
        <v/>
      </c>
      <c r="B30" s="140"/>
      <c r="C30" s="140"/>
      <c r="D30" s="140"/>
      <c r="E30" s="146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</row>
    <row r="31" customFormat="false" ht="15.75" hidden="false" customHeight="false" outlineLevel="0" collapsed="false">
      <c r="A31" s="140" t="str">
        <f aca="false">IF(ISBLANK(B31),"",B31&amp;"|"&amp;C31)</f>
        <v/>
      </c>
      <c r="B31" s="140"/>
      <c r="C31" s="140"/>
      <c r="D31" s="140"/>
      <c r="E31" s="146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</row>
    <row r="32" customFormat="false" ht="15.75" hidden="false" customHeight="false" outlineLevel="0" collapsed="false">
      <c r="A32" s="140" t="str">
        <f aca="false">IF(ISBLANK(B32),"",B32&amp;"|"&amp;C32)</f>
        <v/>
      </c>
      <c r="B32" s="140"/>
      <c r="C32" s="140"/>
      <c r="D32" s="140"/>
      <c r="E32" s="146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</row>
    <row r="33" customFormat="false" ht="15.75" hidden="false" customHeight="false" outlineLevel="0" collapsed="false">
      <c r="A33" s="140" t="str">
        <f aca="false">IF(ISBLANK(B33),"",B33&amp;"|"&amp;C33)</f>
        <v/>
      </c>
      <c r="B33" s="140"/>
      <c r="C33" s="140"/>
      <c r="D33" s="140"/>
      <c r="E33" s="146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</row>
    <row r="34" customFormat="false" ht="15.75" hidden="false" customHeight="false" outlineLevel="0" collapsed="false">
      <c r="A34" s="140" t="str">
        <f aca="false">IF(ISBLANK(B34),"",B34&amp;"|"&amp;C34)</f>
        <v/>
      </c>
      <c r="B34" s="140"/>
      <c r="C34" s="140"/>
      <c r="D34" s="140"/>
      <c r="E34" s="146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</row>
    <row r="35" customFormat="false" ht="15.75" hidden="false" customHeight="false" outlineLevel="0" collapsed="false">
      <c r="A35" s="140" t="str">
        <f aca="false">IF(ISBLANK(B35),"",B35&amp;"|"&amp;C35)</f>
        <v/>
      </c>
      <c r="B35" s="140"/>
      <c r="C35" s="140"/>
      <c r="D35" s="140"/>
      <c r="E35" s="146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</row>
    <row r="36" customFormat="false" ht="15.75" hidden="false" customHeight="false" outlineLevel="0" collapsed="false">
      <c r="A36" s="140" t="str">
        <f aca="false">IF(ISBLANK(B36),"",B36&amp;"|"&amp;C36)</f>
        <v/>
      </c>
      <c r="B36" s="140"/>
      <c r="C36" s="140"/>
      <c r="D36" s="140"/>
      <c r="E36" s="146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</row>
    <row r="37" customFormat="false" ht="15.75" hidden="false" customHeight="false" outlineLevel="0" collapsed="false">
      <c r="A37" s="140" t="str">
        <f aca="false">IF(ISBLANK(B37),"",B37&amp;"|"&amp;C37)</f>
        <v/>
      </c>
      <c r="B37" s="140"/>
      <c r="C37" s="140"/>
      <c r="D37" s="140"/>
      <c r="E37" s="146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</row>
    <row r="38" customFormat="false" ht="15.75" hidden="false" customHeight="false" outlineLevel="0" collapsed="false">
      <c r="A38" s="140" t="str">
        <f aca="false">IF(ISBLANK(B38),"",B38&amp;"|"&amp;C38)</f>
        <v/>
      </c>
      <c r="B38" s="140"/>
      <c r="C38" s="140"/>
      <c r="D38" s="140"/>
      <c r="E38" s="146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</row>
    <row r="39" customFormat="false" ht="15.75" hidden="false" customHeight="false" outlineLevel="0" collapsed="false">
      <c r="A39" s="140" t="str">
        <f aca="false">IF(ISBLANK(B39),"",B39&amp;"|"&amp;C39)</f>
        <v/>
      </c>
      <c r="B39" s="140"/>
      <c r="C39" s="140"/>
      <c r="D39" s="140"/>
      <c r="E39" s="146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</row>
    <row r="40" customFormat="false" ht="15.75" hidden="false" customHeight="false" outlineLevel="0" collapsed="false">
      <c r="A40" s="140" t="str">
        <f aca="false">IF(ISBLANK(B40),"",B40&amp;"|"&amp;C40)</f>
        <v/>
      </c>
      <c r="B40" s="140"/>
      <c r="C40" s="140"/>
      <c r="D40" s="140"/>
      <c r="E40" s="146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</row>
    <row r="41" customFormat="false" ht="15.75" hidden="false" customHeight="false" outlineLevel="0" collapsed="false">
      <c r="A41" s="140" t="str">
        <f aca="false">IF(ISBLANK(B41),"",B41&amp;"|"&amp;C41)</f>
        <v/>
      </c>
      <c r="B41" s="140"/>
      <c r="C41" s="140"/>
      <c r="D41" s="140"/>
      <c r="E41" s="146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</row>
    <row r="42" customFormat="false" ht="15.75" hidden="false" customHeight="false" outlineLevel="0" collapsed="false">
      <c r="A42" s="140" t="str">
        <f aca="false">IF(ISBLANK(B42),"",B42&amp;"|"&amp;C42)</f>
        <v/>
      </c>
      <c r="B42" s="140"/>
      <c r="C42" s="140"/>
      <c r="D42" s="140"/>
      <c r="E42" s="146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</row>
    <row r="43" customFormat="false" ht="15.75" hidden="false" customHeight="false" outlineLevel="0" collapsed="false">
      <c r="A43" s="140" t="str">
        <f aca="false">IF(ISBLANK(B43),"",B43&amp;"|"&amp;C43)</f>
        <v/>
      </c>
      <c r="B43" s="140"/>
      <c r="C43" s="140"/>
      <c r="D43" s="140"/>
      <c r="E43" s="146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</row>
    <row r="44" customFormat="false" ht="15.75" hidden="false" customHeight="false" outlineLevel="0" collapsed="false">
      <c r="A44" s="140" t="str">
        <f aca="false">IF(ISBLANK(B44),"",B44&amp;"|"&amp;C44)</f>
        <v/>
      </c>
      <c r="B44" s="140"/>
      <c r="C44" s="140"/>
      <c r="D44" s="140"/>
      <c r="E44" s="146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</row>
    <row r="45" customFormat="false" ht="15.75" hidden="false" customHeight="false" outlineLevel="0" collapsed="false">
      <c r="A45" s="140" t="str">
        <f aca="false">IF(ISBLANK(B45),"",B45&amp;"|"&amp;C45)</f>
        <v/>
      </c>
      <c r="B45" s="140"/>
      <c r="C45" s="140"/>
      <c r="D45" s="140"/>
      <c r="E45" s="146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</row>
    <row r="46" customFormat="false" ht="15.75" hidden="false" customHeight="false" outlineLevel="0" collapsed="false">
      <c r="A46" s="140" t="str">
        <f aca="false">IF(ISBLANK(B46),"",B46&amp;"|"&amp;C46)</f>
        <v/>
      </c>
      <c r="B46" s="140"/>
      <c r="C46" s="140"/>
      <c r="D46" s="140"/>
      <c r="E46" s="146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</row>
    <row r="47" customFormat="false" ht="15.75" hidden="false" customHeight="false" outlineLevel="0" collapsed="false">
      <c r="A47" s="140" t="str">
        <f aca="false">IF(ISBLANK(B47),"",B47&amp;"|"&amp;C47)</f>
        <v/>
      </c>
      <c r="B47" s="140"/>
      <c r="C47" s="140"/>
      <c r="D47" s="140"/>
      <c r="E47" s="146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</row>
    <row r="48" customFormat="false" ht="15.75" hidden="false" customHeight="false" outlineLevel="0" collapsed="false">
      <c r="A48" s="140" t="str">
        <f aca="false">IF(ISBLANK(B48),"",B48&amp;"|"&amp;C48)</f>
        <v/>
      </c>
      <c r="B48" s="140"/>
      <c r="C48" s="140"/>
      <c r="D48" s="140"/>
      <c r="E48" s="146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</row>
    <row r="49" customFormat="false" ht="15.75" hidden="false" customHeight="false" outlineLevel="0" collapsed="false">
      <c r="A49" s="140" t="str">
        <f aca="false">IF(ISBLANK(B49),"",B49&amp;"|"&amp;C49)</f>
        <v/>
      </c>
      <c r="B49" s="140"/>
      <c r="C49" s="140"/>
      <c r="D49" s="140"/>
      <c r="E49" s="146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</row>
    <row r="50" customFormat="false" ht="15.75" hidden="false" customHeight="false" outlineLevel="0" collapsed="false">
      <c r="A50" s="140" t="str">
        <f aca="false">IF(ISBLANK(B50),"",B50&amp;"|"&amp;C50)</f>
        <v/>
      </c>
      <c r="B50" s="140"/>
      <c r="C50" s="140"/>
      <c r="D50" s="140"/>
      <c r="E50" s="146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</row>
    <row r="51" customFormat="false" ht="15.75" hidden="false" customHeight="false" outlineLevel="0" collapsed="false">
      <c r="A51" s="140" t="str">
        <f aca="false">IF(ISBLANK(B51),"",B51&amp;"|"&amp;C51)</f>
        <v/>
      </c>
      <c r="B51" s="140"/>
      <c r="C51" s="140"/>
      <c r="D51" s="140"/>
      <c r="E51" s="146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</row>
    <row r="52" customFormat="false" ht="15.75" hidden="false" customHeight="false" outlineLevel="0" collapsed="false">
      <c r="A52" s="140" t="str">
        <f aca="false">IF(ISBLANK(B52),"",B52&amp;"|"&amp;C52)</f>
        <v/>
      </c>
      <c r="B52" s="140"/>
      <c r="C52" s="140"/>
      <c r="D52" s="140"/>
      <c r="E52" s="146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</row>
    <row r="53" customFormat="false" ht="15.75" hidden="false" customHeight="false" outlineLevel="0" collapsed="false">
      <c r="A53" s="140" t="str">
        <f aca="false">IF(ISBLANK(B53),"",B53&amp;"|"&amp;C53)</f>
        <v/>
      </c>
      <c r="B53" s="140"/>
      <c r="C53" s="140"/>
      <c r="D53" s="140"/>
      <c r="E53" s="146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</row>
    <row r="54" customFormat="false" ht="15.75" hidden="false" customHeight="false" outlineLevel="0" collapsed="false">
      <c r="A54" s="140" t="str">
        <f aca="false">IF(ISBLANK(B54),"",B54&amp;"|"&amp;C54)</f>
        <v/>
      </c>
      <c r="B54" s="140"/>
      <c r="C54" s="140"/>
      <c r="D54" s="140"/>
      <c r="E54" s="146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</row>
    <row r="55" customFormat="false" ht="15.75" hidden="false" customHeight="false" outlineLevel="0" collapsed="false">
      <c r="A55" s="140" t="str">
        <f aca="false">IF(ISBLANK(B55),"",B55&amp;"|"&amp;C55)</f>
        <v/>
      </c>
      <c r="B55" s="140"/>
      <c r="C55" s="140"/>
      <c r="D55" s="140"/>
      <c r="E55" s="146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</row>
    <row r="56" customFormat="false" ht="15.75" hidden="false" customHeight="false" outlineLevel="0" collapsed="false">
      <c r="A56" s="140" t="str">
        <f aca="false">IF(ISBLANK(B56),"",B56&amp;"|"&amp;C56)</f>
        <v/>
      </c>
      <c r="B56" s="140"/>
      <c r="C56" s="140"/>
      <c r="D56" s="140"/>
      <c r="E56" s="146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</row>
    <row r="57" customFormat="false" ht="15.75" hidden="false" customHeight="false" outlineLevel="0" collapsed="false">
      <c r="A57" s="140" t="str">
        <f aca="false">IF(ISBLANK(B57),"",B57&amp;"|"&amp;C57)</f>
        <v/>
      </c>
      <c r="B57" s="140"/>
      <c r="C57" s="140"/>
      <c r="D57" s="140"/>
      <c r="E57" s="146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</row>
    <row r="58" customFormat="false" ht="15.75" hidden="false" customHeight="false" outlineLevel="0" collapsed="false">
      <c r="A58" s="140" t="str">
        <f aca="false">IF(ISBLANK(B58),"",B58&amp;"|"&amp;C58)</f>
        <v/>
      </c>
      <c r="B58" s="140"/>
      <c r="C58" s="140"/>
      <c r="D58" s="140"/>
      <c r="E58" s="146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</row>
    <row r="59" customFormat="false" ht="15.75" hidden="false" customHeight="false" outlineLevel="0" collapsed="false">
      <c r="A59" s="140" t="str">
        <f aca="false">IF(ISBLANK(B59),"",B59&amp;"|"&amp;C59)</f>
        <v/>
      </c>
      <c r="B59" s="140"/>
      <c r="C59" s="140"/>
      <c r="D59" s="140"/>
      <c r="E59" s="146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</row>
    <row r="60" customFormat="false" ht="15.75" hidden="false" customHeight="false" outlineLevel="0" collapsed="false">
      <c r="A60" s="140" t="str">
        <f aca="false">IF(ISBLANK(B60),"",B60&amp;"|"&amp;C60)</f>
        <v/>
      </c>
      <c r="B60" s="140"/>
      <c r="C60" s="140"/>
      <c r="D60" s="140"/>
      <c r="E60" s="146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</row>
    <row r="61" customFormat="false" ht="15.75" hidden="false" customHeight="false" outlineLevel="0" collapsed="false">
      <c r="A61" s="140" t="str">
        <f aca="false">IF(ISBLANK(B61),"",B61&amp;"|"&amp;C61)</f>
        <v/>
      </c>
      <c r="B61" s="140"/>
      <c r="C61" s="140"/>
      <c r="D61" s="140"/>
      <c r="E61" s="146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</row>
    <row r="62" customFormat="false" ht="15.75" hidden="false" customHeight="false" outlineLevel="0" collapsed="false">
      <c r="A62" s="140" t="str">
        <f aca="false">IF(ISBLANK(B62),"",B62&amp;"|"&amp;C62)</f>
        <v/>
      </c>
      <c r="B62" s="140"/>
      <c r="C62" s="140"/>
      <c r="D62" s="140"/>
      <c r="E62" s="146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</row>
    <row r="63" customFormat="false" ht="15.75" hidden="false" customHeight="false" outlineLevel="0" collapsed="false">
      <c r="A63" s="140" t="str">
        <f aca="false">IF(ISBLANK(B63),"",B63&amp;"|"&amp;C63)</f>
        <v/>
      </c>
      <c r="B63" s="140"/>
      <c r="C63" s="140"/>
      <c r="D63" s="140"/>
      <c r="E63" s="146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</row>
    <row r="64" customFormat="false" ht="15.75" hidden="false" customHeight="false" outlineLevel="0" collapsed="false">
      <c r="A64" s="140" t="str">
        <f aca="false">IF(ISBLANK(B64),"",B64&amp;"|"&amp;C64)</f>
        <v/>
      </c>
      <c r="B64" s="140"/>
      <c r="C64" s="140"/>
      <c r="D64" s="140"/>
      <c r="E64" s="146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</row>
    <row r="65" customFormat="false" ht="15.75" hidden="false" customHeight="false" outlineLevel="0" collapsed="false">
      <c r="A65" s="140" t="str">
        <f aca="false">IF(ISBLANK(B65),"",B65&amp;"|"&amp;C65)</f>
        <v/>
      </c>
      <c r="B65" s="140"/>
      <c r="C65" s="140"/>
      <c r="D65" s="140"/>
      <c r="E65" s="146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</row>
    <row r="66" customFormat="false" ht="15.75" hidden="false" customHeight="false" outlineLevel="0" collapsed="false">
      <c r="A66" s="140" t="str">
        <f aca="false">IF(ISBLANK(B66),"",B66&amp;"|"&amp;C66)</f>
        <v/>
      </c>
      <c r="B66" s="140"/>
      <c r="C66" s="140"/>
      <c r="D66" s="140"/>
      <c r="E66" s="146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</row>
    <row r="67" customFormat="false" ht="15.75" hidden="false" customHeight="false" outlineLevel="0" collapsed="false">
      <c r="A67" s="140" t="str">
        <f aca="false">IF(ISBLANK(B67),"",B67&amp;"|"&amp;C67)</f>
        <v/>
      </c>
      <c r="B67" s="140"/>
      <c r="C67" s="140"/>
      <c r="D67" s="140"/>
      <c r="E67" s="146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</row>
    <row r="68" customFormat="false" ht="15.75" hidden="false" customHeight="false" outlineLevel="0" collapsed="false">
      <c r="A68" s="140" t="str">
        <f aca="false">IF(ISBLANK(B68),"",B68&amp;"|"&amp;C68)</f>
        <v/>
      </c>
      <c r="B68" s="140"/>
      <c r="C68" s="140"/>
      <c r="D68" s="140"/>
      <c r="E68" s="146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</row>
    <row r="69" customFormat="false" ht="15.75" hidden="false" customHeight="false" outlineLevel="0" collapsed="false">
      <c r="A69" s="140" t="str">
        <f aca="false">IF(ISBLANK(B69),"",B69&amp;"|"&amp;C69)</f>
        <v/>
      </c>
      <c r="B69" s="140"/>
      <c r="C69" s="140"/>
      <c r="D69" s="140"/>
      <c r="E69" s="146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</row>
    <row r="70" customFormat="false" ht="15.75" hidden="false" customHeight="false" outlineLevel="0" collapsed="false">
      <c r="A70" s="140" t="str">
        <f aca="false">IF(ISBLANK(B70),"",B70&amp;"|"&amp;C70)</f>
        <v/>
      </c>
      <c r="B70" s="140"/>
      <c r="C70" s="140"/>
      <c r="D70" s="140"/>
      <c r="E70" s="146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</row>
    <row r="71" customFormat="false" ht="15.75" hidden="false" customHeight="false" outlineLevel="0" collapsed="false">
      <c r="A71" s="140" t="str">
        <f aca="false">IF(ISBLANK(B71),"",B71&amp;"|"&amp;C71)</f>
        <v/>
      </c>
      <c r="B71" s="140"/>
      <c r="C71" s="140"/>
      <c r="D71" s="140"/>
      <c r="E71" s="146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</row>
    <row r="72" customFormat="false" ht="15.75" hidden="false" customHeight="false" outlineLevel="0" collapsed="false">
      <c r="A72" s="140" t="str">
        <f aca="false">IF(ISBLANK(B72),"",B72&amp;"|"&amp;C72)</f>
        <v/>
      </c>
      <c r="B72" s="140"/>
      <c r="C72" s="140"/>
      <c r="D72" s="140"/>
      <c r="E72" s="146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</row>
    <row r="73" customFormat="false" ht="15.75" hidden="false" customHeight="false" outlineLevel="0" collapsed="false">
      <c r="A73" s="140" t="str">
        <f aca="false">IF(ISBLANK(B73),"",B73&amp;"|"&amp;C73)</f>
        <v/>
      </c>
      <c r="B73" s="140"/>
      <c r="C73" s="140"/>
      <c r="D73" s="140"/>
      <c r="E73" s="146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</row>
    <row r="74" customFormat="false" ht="15.75" hidden="false" customHeight="false" outlineLevel="0" collapsed="false">
      <c r="A74" s="140" t="str">
        <f aca="false">IF(ISBLANK(B74),"",B74&amp;"|"&amp;C74)</f>
        <v/>
      </c>
      <c r="B74" s="140"/>
      <c r="C74" s="140"/>
      <c r="D74" s="140"/>
      <c r="E74" s="146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</row>
    <row r="75" customFormat="false" ht="15.75" hidden="false" customHeight="false" outlineLevel="0" collapsed="false">
      <c r="A75" s="140" t="str">
        <f aca="false">IF(ISBLANK(B75),"",B75&amp;"|"&amp;C75)</f>
        <v/>
      </c>
      <c r="B75" s="140"/>
      <c r="C75" s="140"/>
      <c r="D75" s="140"/>
      <c r="E75" s="146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</row>
    <row r="76" customFormat="false" ht="15.75" hidden="false" customHeight="false" outlineLevel="0" collapsed="false">
      <c r="A76" s="140" t="str">
        <f aca="false">IF(ISBLANK(B76),"",B76&amp;"|"&amp;C76)</f>
        <v/>
      </c>
      <c r="B76" s="140"/>
      <c r="C76" s="140"/>
      <c r="D76" s="140"/>
      <c r="E76" s="146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</row>
    <row r="77" customFormat="false" ht="15.75" hidden="false" customHeight="false" outlineLevel="0" collapsed="false">
      <c r="A77" s="140" t="str">
        <f aca="false">IF(ISBLANK(B77),"",B77&amp;"|"&amp;C77)</f>
        <v/>
      </c>
      <c r="B77" s="140"/>
      <c r="C77" s="140"/>
      <c r="D77" s="140"/>
      <c r="E77" s="146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</row>
    <row r="78" customFormat="false" ht="15.75" hidden="false" customHeight="false" outlineLevel="0" collapsed="false">
      <c r="A78" s="140" t="str">
        <f aca="false">IF(ISBLANK(B78),"",B78&amp;"|"&amp;C78)</f>
        <v/>
      </c>
      <c r="B78" s="140"/>
      <c r="C78" s="140"/>
      <c r="D78" s="140"/>
      <c r="E78" s="146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</row>
    <row r="79" customFormat="false" ht="15.75" hidden="false" customHeight="false" outlineLevel="0" collapsed="false">
      <c r="A79" s="140" t="str">
        <f aca="false">IF(ISBLANK(B79),"",B79&amp;"|"&amp;C79)</f>
        <v/>
      </c>
      <c r="B79" s="140"/>
      <c r="C79" s="140"/>
      <c r="D79" s="140"/>
      <c r="E79" s="146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</row>
    <row r="80" customFormat="false" ht="15.75" hidden="false" customHeight="false" outlineLevel="0" collapsed="false">
      <c r="A80" s="140" t="str">
        <f aca="false">IF(ISBLANK(B80),"",B80&amp;"|"&amp;C80)</f>
        <v/>
      </c>
      <c r="B80" s="140"/>
      <c r="C80" s="140"/>
      <c r="D80" s="140"/>
      <c r="E80" s="146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</row>
    <row r="81" customFormat="false" ht="15.75" hidden="false" customHeight="false" outlineLevel="0" collapsed="false">
      <c r="A81" s="140" t="str">
        <f aca="false">IF(ISBLANK(B81),"",B81&amp;"|"&amp;C81)</f>
        <v/>
      </c>
      <c r="B81" s="140"/>
      <c r="C81" s="140"/>
      <c r="D81" s="140"/>
      <c r="E81" s="146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</row>
    <row r="82" customFormat="false" ht="15.75" hidden="false" customHeight="false" outlineLevel="0" collapsed="false">
      <c r="A82" s="140" t="str">
        <f aca="false">IF(ISBLANK(B82),"",B82&amp;"|"&amp;C82)</f>
        <v/>
      </c>
      <c r="B82" s="140"/>
      <c r="C82" s="140"/>
      <c r="D82" s="140"/>
      <c r="E82" s="146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</row>
    <row r="83" customFormat="false" ht="15.75" hidden="false" customHeight="false" outlineLevel="0" collapsed="false">
      <c r="A83" s="140" t="str">
        <f aca="false">IF(ISBLANK(B83),"",B83&amp;"|"&amp;C83)</f>
        <v/>
      </c>
      <c r="B83" s="140"/>
      <c r="C83" s="140"/>
      <c r="D83" s="140"/>
      <c r="E83" s="146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</row>
    <row r="84" customFormat="false" ht="15.75" hidden="false" customHeight="false" outlineLevel="0" collapsed="false">
      <c r="A84" s="140" t="str">
        <f aca="false">IF(ISBLANK(B84),"",B84&amp;"|"&amp;C84)</f>
        <v/>
      </c>
      <c r="B84" s="140"/>
      <c r="C84" s="140"/>
      <c r="D84" s="140"/>
      <c r="E84" s="146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</row>
    <row r="85" customFormat="false" ht="15.75" hidden="false" customHeight="false" outlineLevel="0" collapsed="false">
      <c r="A85" s="140" t="str">
        <f aca="false">IF(ISBLANK(B85),"",B85&amp;"|"&amp;C85)</f>
        <v/>
      </c>
      <c r="B85" s="140"/>
      <c r="C85" s="140"/>
      <c r="D85" s="140"/>
      <c r="E85" s="146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</row>
    <row r="86" customFormat="false" ht="15.75" hidden="false" customHeight="false" outlineLevel="0" collapsed="false">
      <c r="A86" s="140" t="str">
        <f aca="false">IF(ISBLANK(B86),"",B86&amp;"|"&amp;C86)</f>
        <v/>
      </c>
      <c r="B86" s="140"/>
      <c r="C86" s="140"/>
      <c r="D86" s="140"/>
      <c r="E86" s="146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</row>
    <row r="87" customFormat="false" ht="15.75" hidden="false" customHeight="false" outlineLevel="0" collapsed="false">
      <c r="A87" s="140" t="str">
        <f aca="false">IF(ISBLANK(B87),"",B87&amp;"|"&amp;C87)</f>
        <v/>
      </c>
      <c r="B87" s="140"/>
      <c r="C87" s="140"/>
      <c r="D87" s="140"/>
      <c r="E87" s="146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</row>
    <row r="88" customFormat="false" ht="15.75" hidden="false" customHeight="false" outlineLevel="0" collapsed="false">
      <c r="A88" s="140" t="str">
        <f aca="false">IF(ISBLANK(B88),"",B88&amp;"|"&amp;C88)</f>
        <v/>
      </c>
      <c r="B88" s="140"/>
      <c r="C88" s="140"/>
      <c r="D88" s="140"/>
      <c r="E88" s="146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</row>
    <row r="89" customFormat="false" ht="15.75" hidden="false" customHeight="false" outlineLevel="0" collapsed="false">
      <c r="A89" s="140" t="str">
        <f aca="false">IF(ISBLANK(B89),"",B89&amp;"|"&amp;C89)</f>
        <v/>
      </c>
      <c r="B89" s="140"/>
      <c r="C89" s="140"/>
      <c r="D89" s="140"/>
      <c r="E89" s="146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</row>
    <row r="90" customFormat="false" ht="15.75" hidden="false" customHeight="false" outlineLevel="0" collapsed="false">
      <c r="A90" s="140" t="str">
        <f aca="false">IF(ISBLANK(B90),"",B90&amp;"|"&amp;C90)</f>
        <v/>
      </c>
      <c r="B90" s="140"/>
      <c r="C90" s="140"/>
      <c r="D90" s="140"/>
      <c r="E90" s="146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</row>
    <row r="91" customFormat="false" ht="15.75" hidden="false" customHeight="false" outlineLevel="0" collapsed="false">
      <c r="A91" s="140" t="str">
        <f aca="false">IF(ISBLANK(B91),"",B91&amp;"|"&amp;C91)</f>
        <v/>
      </c>
      <c r="B91" s="140"/>
      <c r="C91" s="140"/>
      <c r="D91" s="140"/>
      <c r="E91" s="146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</row>
    <row r="92" customFormat="false" ht="15.75" hidden="false" customHeight="false" outlineLevel="0" collapsed="false">
      <c r="A92" s="140" t="str">
        <f aca="false">IF(ISBLANK(B92),"",B92&amp;"|"&amp;C92)</f>
        <v/>
      </c>
      <c r="B92" s="140"/>
      <c r="C92" s="140"/>
      <c r="D92" s="140"/>
      <c r="E92" s="146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</row>
    <row r="93" customFormat="false" ht="15.75" hidden="false" customHeight="false" outlineLevel="0" collapsed="false">
      <c r="A93" s="140" t="str">
        <f aca="false">IF(ISBLANK(B93),"",B93&amp;"|"&amp;C93)</f>
        <v/>
      </c>
      <c r="B93" s="140"/>
      <c r="C93" s="140"/>
      <c r="D93" s="140"/>
      <c r="E93" s="146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</row>
    <row r="94" customFormat="false" ht="15.75" hidden="false" customHeight="false" outlineLevel="0" collapsed="false">
      <c r="A94" s="140" t="str">
        <f aca="false">IF(ISBLANK(B94),"",B94&amp;"|"&amp;C94)</f>
        <v/>
      </c>
      <c r="B94" s="140"/>
      <c r="C94" s="140"/>
      <c r="D94" s="140"/>
      <c r="E94" s="146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</row>
    <row r="95" customFormat="false" ht="15.75" hidden="false" customHeight="false" outlineLevel="0" collapsed="false">
      <c r="A95" s="140" t="str">
        <f aca="false">IF(ISBLANK(B95),"",B95&amp;"|"&amp;C95)</f>
        <v/>
      </c>
      <c r="B95" s="140"/>
      <c r="C95" s="140"/>
      <c r="D95" s="140"/>
      <c r="E95" s="146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</row>
    <row r="96" customFormat="false" ht="15.75" hidden="false" customHeight="false" outlineLevel="0" collapsed="false">
      <c r="A96" s="140" t="str">
        <f aca="false">IF(ISBLANK(B96),"",B96&amp;"|"&amp;C96)</f>
        <v/>
      </c>
      <c r="B96" s="140"/>
      <c r="C96" s="140"/>
      <c r="D96" s="140"/>
      <c r="E96" s="146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</row>
    <row r="97" customFormat="false" ht="15.75" hidden="false" customHeight="false" outlineLevel="0" collapsed="false">
      <c r="A97" s="140" t="str">
        <f aca="false">IF(ISBLANK(B97),"",B97&amp;"|"&amp;C97)</f>
        <v/>
      </c>
      <c r="B97" s="140"/>
      <c r="C97" s="140"/>
      <c r="D97" s="140"/>
      <c r="E97" s="146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</row>
    <row r="98" customFormat="false" ht="15.75" hidden="false" customHeight="false" outlineLevel="0" collapsed="false">
      <c r="A98" s="140" t="str">
        <f aca="false">IF(ISBLANK(B98),"",B98&amp;"|"&amp;C98)</f>
        <v/>
      </c>
      <c r="B98" s="140"/>
      <c r="C98" s="140"/>
      <c r="D98" s="140"/>
      <c r="E98" s="146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</row>
    <row r="99" customFormat="false" ht="15.75" hidden="false" customHeight="false" outlineLevel="0" collapsed="false">
      <c r="A99" s="140" t="str">
        <f aca="false">IF(ISBLANK(B99),"",B99&amp;"|"&amp;C99)</f>
        <v/>
      </c>
      <c r="B99" s="140"/>
      <c r="C99" s="140"/>
      <c r="D99" s="140"/>
      <c r="E99" s="146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</row>
    <row r="100" customFormat="false" ht="15.75" hidden="false" customHeight="false" outlineLevel="0" collapsed="false">
      <c r="A100" s="140" t="str">
        <f aca="false">IF(ISBLANK(B100),"",B100&amp;"|"&amp;C100)</f>
        <v/>
      </c>
      <c r="B100" s="140"/>
      <c r="C100" s="140"/>
      <c r="D100" s="140"/>
      <c r="E100" s="146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</row>
    <row r="101" customFormat="false" ht="15.75" hidden="false" customHeight="false" outlineLevel="0" collapsed="false">
      <c r="A101" s="140" t="str">
        <f aca="false">IF(ISBLANK(B101),"",B101&amp;"|"&amp;C101)</f>
        <v/>
      </c>
      <c r="B101" s="140"/>
      <c r="C101" s="140"/>
      <c r="D101" s="140"/>
      <c r="E101" s="146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</row>
    <row r="102" customFormat="false" ht="15.75" hidden="false" customHeight="false" outlineLevel="0" collapsed="false">
      <c r="A102" s="140" t="str">
        <f aca="false">IF(ISBLANK(B102),"",B102&amp;"|"&amp;C102)</f>
        <v/>
      </c>
      <c r="B102" s="140"/>
      <c r="C102" s="140"/>
      <c r="D102" s="140"/>
      <c r="E102" s="146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</row>
    <row r="103" customFormat="false" ht="15.75" hidden="false" customHeight="false" outlineLevel="0" collapsed="false">
      <c r="A103" s="140" t="str">
        <f aca="false">IF(ISBLANK(B103),"",B103&amp;"|"&amp;C103)</f>
        <v/>
      </c>
      <c r="B103" s="140"/>
      <c r="C103" s="140"/>
      <c r="D103" s="140"/>
      <c r="E103" s="146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</row>
    <row r="104" customFormat="false" ht="15.75" hidden="false" customHeight="false" outlineLevel="0" collapsed="false">
      <c r="A104" s="140" t="str">
        <f aca="false">IF(ISBLANK(B104),"",B104&amp;"|"&amp;C104)</f>
        <v/>
      </c>
      <c r="B104" s="140"/>
      <c r="C104" s="140"/>
      <c r="D104" s="140"/>
      <c r="E104" s="146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</row>
    <row r="105" customFormat="false" ht="15.75" hidden="false" customHeight="false" outlineLevel="0" collapsed="false">
      <c r="A105" s="140" t="str">
        <f aca="false">IF(ISBLANK(B105),"",B105&amp;"|"&amp;C105)</f>
        <v/>
      </c>
      <c r="B105" s="140"/>
      <c r="C105" s="140"/>
      <c r="D105" s="140"/>
      <c r="E105" s="146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</row>
    <row r="106" customFormat="false" ht="15.75" hidden="false" customHeight="false" outlineLevel="0" collapsed="false">
      <c r="A106" s="140" t="str">
        <f aca="false">IF(ISBLANK(B106),"",B106&amp;"|"&amp;C106)</f>
        <v/>
      </c>
      <c r="B106" s="140"/>
      <c r="C106" s="140"/>
      <c r="D106" s="140"/>
      <c r="E106" s="146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</row>
    <row r="107" customFormat="false" ht="15.75" hidden="false" customHeight="false" outlineLevel="0" collapsed="false">
      <c r="A107" s="140" t="str">
        <f aca="false">IF(ISBLANK(B107),"",B107&amp;"|"&amp;C107)</f>
        <v/>
      </c>
      <c r="B107" s="140"/>
      <c r="C107" s="140"/>
      <c r="D107" s="140"/>
      <c r="E107" s="146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</row>
    <row r="108" customFormat="false" ht="15.75" hidden="false" customHeight="false" outlineLevel="0" collapsed="false">
      <c r="A108" s="140" t="str">
        <f aca="false">IF(ISBLANK(B108),"",B108&amp;"|"&amp;C108)</f>
        <v/>
      </c>
      <c r="B108" s="140"/>
      <c r="C108" s="140"/>
      <c r="D108" s="140"/>
      <c r="E108" s="146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</row>
    <row r="109" customFormat="false" ht="15.75" hidden="false" customHeight="false" outlineLevel="0" collapsed="false">
      <c r="A109" s="140" t="str">
        <f aca="false">IF(ISBLANK(B109),"",B109&amp;"|"&amp;C109)</f>
        <v/>
      </c>
      <c r="B109" s="140"/>
      <c r="C109" s="140"/>
      <c r="D109" s="140"/>
      <c r="E109" s="146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</row>
    <row r="110" customFormat="false" ht="15.75" hidden="false" customHeight="false" outlineLevel="0" collapsed="false">
      <c r="A110" s="140" t="str">
        <f aca="false">IF(ISBLANK(B110),"",B110&amp;"|"&amp;C110)</f>
        <v/>
      </c>
      <c r="B110" s="140"/>
      <c r="C110" s="140"/>
      <c r="D110" s="140"/>
      <c r="E110" s="146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</row>
    <row r="111" customFormat="false" ht="15.75" hidden="false" customHeight="false" outlineLevel="0" collapsed="false">
      <c r="A111" s="140" t="str">
        <f aca="false">IF(ISBLANK(B111),"",B111&amp;"|"&amp;C111)</f>
        <v/>
      </c>
      <c r="B111" s="140"/>
      <c r="C111" s="140"/>
      <c r="D111" s="140"/>
      <c r="E111" s="146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</row>
    <row r="112" customFormat="false" ht="15.75" hidden="false" customHeight="false" outlineLevel="0" collapsed="false">
      <c r="A112" s="140" t="str">
        <f aca="false">IF(ISBLANK(B112),"",B112&amp;"|"&amp;C112)</f>
        <v/>
      </c>
      <c r="B112" s="140"/>
      <c r="C112" s="140"/>
      <c r="D112" s="140"/>
      <c r="E112" s="146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</row>
    <row r="113" customFormat="false" ht="15.75" hidden="false" customHeight="false" outlineLevel="0" collapsed="false">
      <c r="A113" s="140" t="str">
        <f aca="false">IF(ISBLANK(B113),"",B113&amp;"|"&amp;C113)</f>
        <v/>
      </c>
      <c r="B113" s="140"/>
      <c r="C113" s="140"/>
      <c r="D113" s="140"/>
      <c r="E113" s="146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</row>
    <row r="114" customFormat="false" ht="15.75" hidden="false" customHeight="false" outlineLevel="0" collapsed="false">
      <c r="A114" s="140" t="str">
        <f aca="false">IF(ISBLANK(B114),"",B114&amp;"|"&amp;C114)</f>
        <v/>
      </c>
      <c r="B114" s="140"/>
      <c r="C114" s="140"/>
      <c r="D114" s="140"/>
      <c r="E114" s="146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</row>
    <row r="115" customFormat="false" ht="15.75" hidden="false" customHeight="false" outlineLevel="0" collapsed="false">
      <c r="A115" s="140" t="str">
        <f aca="false">IF(ISBLANK(B115),"",B115&amp;"|"&amp;C115)</f>
        <v/>
      </c>
      <c r="B115" s="140"/>
      <c r="C115" s="140"/>
      <c r="D115" s="140"/>
      <c r="E115" s="146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</row>
    <row r="116" customFormat="false" ht="15.75" hidden="false" customHeight="false" outlineLevel="0" collapsed="false">
      <c r="A116" s="140" t="str">
        <f aca="false">IF(ISBLANK(B116),"",B116&amp;"|"&amp;C116)</f>
        <v/>
      </c>
      <c r="B116" s="140"/>
      <c r="C116" s="140"/>
      <c r="D116" s="140"/>
      <c r="E116" s="146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</row>
    <row r="117" customFormat="false" ht="15.75" hidden="false" customHeight="false" outlineLevel="0" collapsed="false">
      <c r="A117" s="140" t="str">
        <f aca="false">IF(ISBLANK(B117),"",B117&amp;"|"&amp;C117)</f>
        <v/>
      </c>
      <c r="B117" s="140"/>
      <c r="C117" s="140"/>
      <c r="D117" s="140"/>
      <c r="E117" s="146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</row>
    <row r="118" customFormat="false" ht="15.75" hidden="false" customHeight="false" outlineLevel="0" collapsed="false">
      <c r="A118" s="140" t="str">
        <f aca="false">IF(ISBLANK(B118),"",B118&amp;"|"&amp;C118)</f>
        <v/>
      </c>
      <c r="B118" s="140"/>
      <c r="C118" s="140"/>
      <c r="D118" s="140"/>
      <c r="E118" s="146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</row>
    <row r="119" customFormat="false" ht="15.75" hidden="false" customHeight="false" outlineLevel="0" collapsed="false">
      <c r="A119" s="140" t="str">
        <f aca="false">IF(ISBLANK(B119),"",B119&amp;"|"&amp;C119)</f>
        <v/>
      </c>
      <c r="B119" s="140"/>
      <c r="C119" s="140"/>
      <c r="D119" s="140"/>
      <c r="E119" s="146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</row>
    <row r="120" customFormat="false" ht="15.75" hidden="false" customHeight="false" outlineLevel="0" collapsed="false">
      <c r="A120" s="140" t="str">
        <f aca="false">IF(ISBLANK(B120),"",B120&amp;"|"&amp;C120)</f>
        <v/>
      </c>
      <c r="B120" s="140"/>
      <c r="C120" s="140"/>
      <c r="D120" s="140"/>
      <c r="E120" s="146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</row>
    <row r="121" customFormat="false" ht="15.75" hidden="false" customHeight="false" outlineLevel="0" collapsed="false">
      <c r="A121" s="140" t="str">
        <f aca="false">IF(ISBLANK(B121),"",B121&amp;"|"&amp;C121)</f>
        <v/>
      </c>
      <c r="B121" s="140"/>
      <c r="C121" s="140"/>
      <c r="D121" s="140"/>
      <c r="E121" s="146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</row>
    <row r="122" customFormat="false" ht="15.75" hidden="false" customHeight="false" outlineLevel="0" collapsed="false">
      <c r="A122" s="140" t="str">
        <f aca="false">IF(ISBLANK(B122),"",B122&amp;"|"&amp;C122)</f>
        <v/>
      </c>
      <c r="B122" s="140"/>
      <c r="C122" s="140"/>
      <c r="D122" s="140"/>
      <c r="E122" s="146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</row>
    <row r="123" customFormat="false" ht="15.75" hidden="false" customHeight="false" outlineLevel="0" collapsed="false">
      <c r="A123" s="140" t="str">
        <f aca="false">IF(ISBLANK(B123),"",B123&amp;"|"&amp;C123)</f>
        <v/>
      </c>
      <c r="B123" s="140"/>
      <c r="C123" s="140"/>
      <c r="D123" s="140"/>
      <c r="E123" s="146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</row>
    <row r="124" customFormat="false" ht="15.75" hidden="false" customHeight="false" outlineLevel="0" collapsed="false">
      <c r="A124" s="140" t="str">
        <f aca="false">IF(ISBLANK(B124),"",B124&amp;"|"&amp;C124)</f>
        <v/>
      </c>
      <c r="B124" s="140"/>
      <c r="C124" s="140"/>
      <c r="D124" s="140"/>
      <c r="E124" s="146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</row>
    <row r="125" customFormat="false" ht="15.75" hidden="false" customHeight="false" outlineLevel="0" collapsed="false">
      <c r="A125" s="140" t="str">
        <f aca="false">IF(ISBLANK(B125),"",B125&amp;"|"&amp;C125)</f>
        <v/>
      </c>
      <c r="B125" s="140"/>
      <c r="C125" s="140"/>
      <c r="D125" s="140"/>
      <c r="E125" s="146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</row>
    <row r="126" customFormat="false" ht="15.75" hidden="false" customHeight="false" outlineLevel="0" collapsed="false">
      <c r="A126" s="140" t="str">
        <f aca="false">IF(ISBLANK(B126),"",B126&amp;"|"&amp;C126)</f>
        <v/>
      </c>
      <c r="B126" s="140"/>
      <c r="C126" s="140"/>
      <c r="D126" s="140"/>
      <c r="E126" s="146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</row>
    <row r="127" customFormat="false" ht="15.75" hidden="false" customHeight="false" outlineLevel="0" collapsed="false">
      <c r="A127" s="140" t="str">
        <f aca="false">IF(ISBLANK(B127),"",B127&amp;"|"&amp;C127)</f>
        <v/>
      </c>
      <c r="B127" s="140"/>
      <c r="C127" s="140"/>
      <c r="D127" s="140"/>
      <c r="E127" s="146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</row>
    <row r="128" customFormat="false" ht="15.75" hidden="false" customHeight="false" outlineLevel="0" collapsed="false">
      <c r="A128" s="140" t="str">
        <f aca="false">IF(ISBLANK(B128),"",B128&amp;"|"&amp;C128)</f>
        <v/>
      </c>
      <c r="B128" s="140"/>
      <c r="C128" s="140"/>
      <c r="D128" s="140"/>
      <c r="E128" s="146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</row>
    <row r="129" customFormat="false" ht="15.75" hidden="false" customHeight="false" outlineLevel="0" collapsed="false">
      <c r="A129" s="140" t="str">
        <f aca="false">IF(ISBLANK(B129),"",B129&amp;"|"&amp;C129)</f>
        <v/>
      </c>
      <c r="B129" s="140"/>
      <c r="C129" s="140"/>
      <c r="D129" s="140"/>
      <c r="E129" s="146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</row>
    <row r="130" customFormat="false" ht="15.75" hidden="false" customHeight="false" outlineLevel="0" collapsed="false">
      <c r="A130" s="140" t="str">
        <f aca="false">IF(ISBLANK(B130),"",B130&amp;"|"&amp;C130)</f>
        <v/>
      </c>
      <c r="B130" s="140"/>
      <c r="C130" s="140"/>
      <c r="D130" s="140"/>
      <c r="E130" s="146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</row>
    <row r="131" customFormat="false" ht="15.75" hidden="false" customHeight="false" outlineLevel="0" collapsed="false">
      <c r="A131" s="140" t="str">
        <f aca="false">IF(ISBLANK(B131),"",B131&amp;"|"&amp;C131)</f>
        <v/>
      </c>
      <c r="B131" s="140"/>
      <c r="C131" s="140"/>
      <c r="D131" s="140"/>
      <c r="E131" s="146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</row>
    <row r="132" customFormat="false" ht="15.75" hidden="false" customHeight="false" outlineLevel="0" collapsed="false">
      <c r="A132" s="140" t="str">
        <f aca="false">IF(ISBLANK(B132),"",B132&amp;"|"&amp;C132)</f>
        <v/>
      </c>
      <c r="B132" s="140"/>
      <c r="C132" s="140"/>
      <c r="D132" s="140"/>
      <c r="E132" s="146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</row>
    <row r="133" customFormat="false" ht="15.75" hidden="false" customHeight="false" outlineLevel="0" collapsed="false">
      <c r="A133" s="140" t="str">
        <f aca="false">IF(ISBLANK(B133),"",B133&amp;"|"&amp;C133)</f>
        <v/>
      </c>
      <c r="B133" s="140"/>
      <c r="C133" s="140"/>
      <c r="D133" s="140"/>
      <c r="E133" s="146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</row>
    <row r="134" customFormat="false" ht="15.75" hidden="false" customHeight="false" outlineLevel="0" collapsed="false">
      <c r="A134" s="140" t="str">
        <f aca="false">IF(ISBLANK(B134),"",B134&amp;"|"&amp;C134)</f>
        <v/>
      </c>
      <c r="B134" s="140"/>
      <c r="C134" s="140"/>
      <c r="D134" s="140"/>
      <c r="E134" s="146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</row>
    <row r="135" customFormat="false" ht="15.75" hidden="false" customHeight="false" outlineLevel="0" collapsed="false">
      <c r="A135" s="140" t="str">
        <f aca="false">IF(ISBLANK(B135),"",B135&amp;"|"&amp;C135)</f>
        <v/>
      </c>
      <c r="B135" s="140"/>
      <c r="C135" s="140"/>
      <c r="D135" s="140"/>
      <c r="E135" s="146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</row>
    <row r="136" customFormat="false" ht="15.75" hidden="false" customHeight="false" outlineLevel="0" collapsed="false">
      <c r="A136" s="140" t="str">
        <f aca="false">IF(ISBLANK(B136),"",B136&amp;"|"&amp;C136)</f>
        <v/>
      </c>
      <c r="B136" s="140"/>
      <c r="C136" s="140"/>
      <c r="D136" s="140"/>
      <c r="E136" s="146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</row>
    <row r="137" customFormat="false" ht="15.75" hidden="false" customHeight="false" outlineLevel="0" collapsed="false">
      <c r="A137" s="140" t="str">
        <f aca="false">IF(ISBLANK(B137),"",B137&amp;"|"&amp;C137)</f>
        <v/>
      </c>
      <c r="B137" s="140"/>
      <c r="C137" s="140"/>
      <c r="D137" s="140"/>
      <c r="E137" s="146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</row>
    <row r="138" customFormat="false" ht="15.75" hidden="false" customHeight="false" outlineLevel="0" collapsed="false">
      <c r="A138" s="140" t="str">
        <f aca="false">IF(ISBLANK(B138),"",B138&amp;"|"&amp;C138)</f>
        <v/>
      </c>
      <c r="B138" s="140"/>
      <c r="C138" s="140"/>
      <c r="D138" s="140"/>
      <c r="E138" s="146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</row>
    <row r="139" customFormat="false" ht="15.75" hidden="false" customHeight="false" outlineLevel="0" collapsed="false">
      <c r="A139" s="140" t="str">
        <f aca="false">IF(ISBLANK(B139),"",B139&amp;"|"&amp;C139)</f>
        <v/>
      </c>
      <c r="B139" s="140"/>
      <c r="C139" s="140"/>
      <c r="D139" s="140"/>
      <c r="E139" s="146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</row>
    <row r="140" customFormat="false" ht="15.75" hidden="false" customHeight="false" outlineLevel="0" collapsed="false">
      <c r="A140" s="140" t="str">
        <f aca="false">IF(ISBLANK(B140),"",B140&amp;"|"&amp;C140)</f>
        <v/>
      </c>
      <c r="B140" s="140"/>
      <c r="C140" s="140"/>
      <c r="D140" s="140"/>
      <c r="E140" s="146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</row>
    <row r="141" customFormat="false" ht="15.75" hidden="false" customHeight="false" outlineLevel="0" collapsed="false">
      <c r="A141" s="140" t="str">
        <f aca="false">IF(ISBLANK(B141),"",B141&amp;"|"&amp;C141)</f>
        <v/>
      </c>
      <c r="B141" s="140"/>
      <c r="C141" s="140"/>
      <c r="D141" s="140"/>
      <c r="E141" s="146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</row>
    <row r="142" customFormat="false" ht="15.75" hidden="false" customHeight="false" outlineLevel="0" collapsed="false">
      <c r="A142" s="140" t="str">
        <f aca="false">IF(ISBLANK(B142),"",B142&amp;"|"&amp;C142)</f>
        <v/>
      </c>
      <c r="B142" s="140"/>
      <c r="C142" s="140"/>
      <c r="D142" s="140"/>
      <c r="E142" s="146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</row>
    <row r="143" customFormat="false" ht="15.75" hidden="false" customHeight="false" outlineLevel="0" collapsed="false">
      <c r="A143" s="140" t="str">
        <f aca="false">IF(ISBLANK(B143),"",B143&amp;"|"&amp;C143)</f>
        <v/>
      </c>
      <c r="B143" s="140"/>
      <c r="C143" s="140"/>
      <c r="D143" s="140"/>
      <c r="E143" s="146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</row>
    <row r="144" customFormat="false" ht="15.75" hidden="false" customHeight="false" outlineLevel="0" collapsed="false">
      <c r="A144" s="140" t="str">
        <f aca="false">IF(ISBLANK(B144),"",B144&amp;"|"&amp;C144)</f>
        <v/>
      </c>
      <c r="B144" s="140"/>
      <c r="C144" s="140"/>
      <c r="D144" s="140"/>
      <c r="E144" s="146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</row>
    <row r="145" customFormat="false" ht="15.75" hidden="false" customHeight="false" outlineLevel="0" collapsed="false">
      <c r="A145" s="140" t="str">
        <f aca="false">IF(ISBLANK(B145),"",B145&amp;"|"&amp;C145)</f>
        <v/>
      </c>
      <c r="B145" s="140"/>
      <c r="C145" s="140"/>
      <c r="D145" s="140"/>
      <c r="E145" s="146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</row>
    <row r="146" customFormat="false" ht="15.75" hidden="false" customHeight="false" outlineLevel="0" collapsed="false">
      <c r="A146" s="140" t="str">
        <f aca="false">IF(ISBLANK(B146),"",B146&amp;"|"&amp;C146)</f>
        <v/>
      </c>
      <c r="B146" s="140"/>
      <c r="C146" s="140"/>
      <c r="D146" s="140"/>
      <c r="E146" s="146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</row>
    <row r="147" customFormat="false" ht="15.75" hidden="false" customHeight="false" outlineLevel="0" collapsed="false">
      <c r="A147" s="140" t="str">
        <f aca="false">IF(ISBLANK(B147),"",B147&amp;"|"&amp;C147)</f>
        <v/>
      </c>
      <c r="B147" s="140"/>
      <c r="C147" s="140"/>
      <c r="D147" s="140"/>
      <c r="E147" s="146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</row>
    <row r="148" customFormat="false" ht="15.75" hidden="false" customHeight="false" outlineLevel="0" collapsed="false">
      <c r="A148" s="140" t="str">
        <f aca="false">IF(ISBLANK(B148),"",B148&amp;"|"&amp;C148)</f>
        <v/>
      </c>
      <c r="B148" s="140"/>
      <c r="C148" s="140"/>
      <c r="D148" s="140"/>
      <c r="E148" s="146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</row>
    <row r="149" customFormat="false" ht="15.75" hidden="false" customHeight="false" outlineLevel="0" collapsed="false">
      <c r="A149" s="140" t="str">
        <f aca="false">IF(ISBLANK(B149),"",B149&amp;"|"&amp;C149)</f>
        <v/>
      </c>
      <c r="B149" s="140"/>
      <c r="C149" s="140"/>
      <c r="D149" s="140"/>
      <c r="E149" s="146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</row>
    <row r="150" customFormat="false" ht="15.75" hidden="false" customHeight="false" outlineLevel="0" collapsed="false">
      <c r="A150" s="140" t="str">
        <f aca="false">IF(ISBLANK(B150),"",B150&amp;"|"&amp;C150)</f>
        <v/>
      </c>
      <c r="B150" s="140"/>
      <c r="C150" s="140"/>
      <c r="D150" s="140"/>
      <c r="E150" s="146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</row>
    <row r="151" customFormat="false" ht="15.75" hidden="false" customHeight="false" outlineLevel="0" collapsed="false">
      <c r="A151" s="140" t="str">
        <f aca="false">IF(ISBLANK(B151),"",B151&amp;"|"&amp;C151)</f>
        <v/>
      </c>
      <c r="B151" s="140"/>
      <c r="C151" s="140"/>
      <c r="D151" s="140"/>
      <c r="E151" s="146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</row>
    <row r="152" customFormat="false" ht="15.75" hidden="false" customHeight="false" outlineLevel="0" collapsed="false">
      <c r="A152" s="140" t="str">
        <f aca="false">IF(ISBLANK(B152),"",B152&amp;"|"&amp;C152)</f>
        <v/>
      </c>
      <c r="B152" s="140"/>
      <c r="C152" s="140"/>
      <c r="D152" s="140"/>
      <c r="E152" s="146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</row>
    <row r="153" customFormat="false" ht="15.75" hidden="false" customHeight="false" outlineLevel="0" collapsed="false">
      <c r="A153" s="140" t="str">
        <f aca="false">IF(ISBLANK(B153),"",B153&amp;"|"&amp;C153)</f>
        <v/>
      </c>
      <c r="B153" s="140"/>
      <c r="C153" s="140"/>
      <c r="D153" s="140"/>
      <c r="E153" s="146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</row>
    <row r="154" customFormat="false" ht="15.75" hidden="false" customHeight="false" outlineLevel="0" collapsed="false">
      <c r="A154" s="140" t="str">
        <f aca="false">IF(ISBLANK(B154),"",B154&amp;"|"&amp;C154)</f>
        <v/>
      </c>
      <c r="B154" s="140"/>
      <c r="C154" s="140"/>
      <c r="D154" s="140"/>
      <c r="E154" s="146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</row>
    <row r="155" customFormat="false" ht="15.75" hidden="false" customHeight="false" outlineLevel="0" collapsed="false">
      <c r="A155" s="140" t="str">
        <f aca="false">IF(ISBLANK(B155),"",B155&amp;"|"&amp;C155)</f>
        <v/>
      </c>
      <c r="B155" s="140"/>
      <c r="C155" s="140"/>
      <c r="D155" s="140"/>
      <c r="E155" s="146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</row>
    <row r="156" customFormat="false" ht="15.75" hidden="false" customHeight="false" outlineLevel="0" collapsed="false">
      <c r="A156" s="140" t="str">
        <f aca="false">IF(ISBLANK(B156),"",B156&amp;"|"&amp;C156)</f>
        <v/>
      </c>
      <c r="B156" s="140"/>
      <c r="C156" s="140"/>
      <c r="D156" s="140"/>
      <c r="E156" s="146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</row>
    <row r="157" customFormat="false" ht="15.75" hidden="false" customHeight="false" outlineLevel="0" collapsed="false">
      <c r="A157" s="140" t="str">
        <f aca="false">IF(ISBLANK(B157),"",B157&amp;"|"&amp;C157)</f>
        <v/>
      </c>
      <c r="B157" s="140"/>
      <c r="C157" s="140"/>
      <c r="D157" s="140"/>
      <c r="E157" s="146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</row>
    <row r="158" customFormat="false" ht="15.75" hidden="false" customHeight="false" outlineLevel="0" collapsed="false">
      <c r="A158" s="140" t="str">
        <f aca="false">IF(ISBLANK(B158),"",B158&amp;"|"&amp;C158)</f>
        <v/>
      </c>
      <c r="B158" s="140"/>
      <c r="C158" s="140"/>
      <c r="D158" s="140"/>
      <c r="E158" s="146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</row>
    <row r="159" customFormat="false" ht="15.75" hidden="false" customHeight="false" outlineLevel="0" collapsed="false">
      <c r="A159" s="140" t="str">
        <f aca="false">IF(ISBLANK(B159),"",B159&amp;"|"&amp;C159)</f>
        <v/>
      </c>
      <c r="B159" s="140"/>
      <c r="C159" s="140"/>
      <c r="D159" s="140"/>
      <c r="E159" s="146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</row>
    <row r="160" customFormat="false" ht="15.75" hidden="false" customHeight="false" outlineLevel="0" collapsed="false">
      <c r="A160" s="140" t="str">
        <f aca="false">IF(ISBLANK(B160),"",B160&amp;"|"&amp;C160)</f>
        <v/>
      </c>
      <c r="B160" s="140"/>
      <c r="C160" s="140"/>
      <c r="D160" s="140"/>
      <c r="E160" s="146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</row>
    <row r="161" customFormat="false" ht="15.75" hidden="false" customHeight="false" outlineLevel="0" collapsed="false">
      <c r="A161" s="140" t="str">
        <f aca="false">IF(ISBLANK(B161),"",B161&amp;"|"&amp;C161)</f>
        <v/>
      </c>
      <c r="B161" s="140"/>
      <c r="C161" s="140"/>
      <c r="D161" s="140"/>
      <c r="E161" s="146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</row>
    <row r="162" customFormat="false" ht="15.75" hidden="false" customHeight="false" outlineLevel="0" collapsed="false">
      <c r="A162" s="140" t="str">
        <f aca="false">IF(ISBLANK(B162),"",B162&amp;"|"&amp;C162)</f>
        <v/>
      </c>
      <c r="B162" s="140"/>
      <c r="C162" s="140"/>
      <c r="D162" s="140"/>
      <c r="E162" s="146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</row>
    <row r="163" customFormat="false" ht="15.75" hidden="false" customHeight="false" outlineLevel="0" collapsed="false">
      <c r="A163" s="140" t="str">
        <f aca="false">IF(ISBLANK(B163),"",B163&amp;"|"&amp;C163)</f>
        <v/>
      </c>
      <c r="B163" s="140"/>
      <c r="C163" s="140"/>
      <c r="D163" s="140"/>
      <c r="E163" s="146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</row>
    <row r="164" customFormat="false" ht="15.75" hidden="false" customHeight="false" outlineLevel="0" collapsed="false">
      <c r="A164" s="140" t="str">
        <f aca="false">IF(ISBLANK(B164),"",B164&amp;"|"&amp;C164)</f>
        <v/>
      </c>
      <c r="B164" s="140"/>
      <c r="C164" s="140"/>
      <c r="D164" s="140"/>
      <c r="E164" s="146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</row>
    <row r="165" customFormat="false" ht="15.75" hidden="false" customHeight="false" outlineLevel="0" collapsed="false">
      <c r="A165" s="140" t="str">
        <f aca="false">IF(ISBLANK(B165),"",B165&amp;"|"&amp;C165)</f>
        <v/>
      </c>
      <c r="B165" s="140"/>
      <c r="C165" s="140"/>
      <c r="D165" s="140"/>
      <c r="E165" s="146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</row>
    <row r="166" customFormat="false" ht="15.75" hidden="false" customHeight="false" outlineLevel="0" collapsed="false">
      <c r="A166" s="140" t="str">
        <f aca="false">IF(ISBLANK(B166),"",B166&amp;"|"&amp;C166)</f>
        <v/>
      </c>
      <c r="B166" s="140"/>
      <c r="C166" s="140"/>
      <c r="D166" s="140"/>
      <c r="E166" s="146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</row>
    <row r="167" customFormat="false" ht="15.75" hidden="false" customHeight="false" outlineLevel="0" collapsed="false">
      <c r="A167" s="140" t="str">
        <f aca="false">IF(ISBLANK(B167),"",B167&amp;"|"&amp;C167)</f>
        <v/>
      </c>
      <c r="B167" s="140"/>
      <c r="C167" s="140"/>
      <c r="D167" s="140"/>
      <c r="E167" s="146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</row>
    <row r="168" customFormat="false" ht="15.75" hidden="false" customHeight="false" outlineLevel="0" collapsed="false">
      <c r="A168" s="140" t="str">
        <f aca="false">IF(ISBLANK(B168),"",B168&amp;"|"&amp;C168)</f>
        <v/>
      </c>
      <c r="B168" s="140"/>
      <c r="C168" s="140"/>
      <c r="D168" s="140"/>
      <c r="E168" s="146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</row>
    <row r="169" customFormat="false" ht="15.75" hidden="false" customHeight="false" outlineLevel="0" collapsed="false">
      <c r="A169" s="140" t="str">
        <f aca="false">IF(ISBLANK(B169),"",B169&amp;"|"&amp;C169)</f>
        <v/>
      </c>
      <c r="B169" s="140"/>
      <c r="C169" s="140"/>
      <c r="D169" s="140"/>
      <c r="E169" s="146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</row>
    <row r="170" customFormat="false" ht="15.75" hidden="false" customHeight="false" outlineLevel="0" collapsed="false">
      <c r="A170" s="140" t="str">
        <f aca="false">IF(ISBLANK(B170),"",B170&amp;"|"&amp;C170)</f>
        <v/>
      </c>
      <c r="B170" s="140"/>
      <c r="C170" s="140"/>
      <c r="D170" s="140"/>
      <c r="E170" s="146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</row>
    <row r="171" customFormat="false" ht="15.75" hidden="false" customHeight="false" outlineLevel="0" collapsed="false">
      <c r="A171" s="140" t="str">
        <f aca="false">IF(ISBLANK(B171),"",B171&amp;"|"&amp;C171)</f>
        <v/>
      </c>
      <c r="B171" s="140"/>
      <c r="C171" s="140"/>
      <c r="D171" s="140"/>
      <c r="E171" s="146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</row>
    <row r="172" customFormat="false" ht="15.75" hidden="false" customHeight="false" outlineLevel="0" collapsed="false">
      <c r="A172" s="140" t="str">
        <f aca="false">IF(ISBLANK(B172),"",B172&amp;"|"&amp;C172)</f>
        <v/>
      </c>
      <c r="B172" s="140"/>
      <c r="C172" s="140"/>
      <c r="D172" s="140"/>
      <c r="E172" s="146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</row>
    <row r="173" customFormat="false" ht="15.75" hidden="false" customHeight="false" outlineLevel="0" collapsed="false">
      <c r="A173" s="140" t="str">
        <f aca="false">IF(ISBLANK(B173),"",B173&amp;"|"&amp;C173)</f>
        <v/>
      </c>
      <c r="B173" s="140"/>
      <c r="C173" s="140"/>
      <c r="D173" s="140"/>
      <c r="E173" s="146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</row>
    <row r="174" customFormat="false" ht="15.75" hidden="false" customHeight="false" outlineLevel="0" collapsed="false">
      <c r="A174" s="140" t="str">
        <f aca="false">IF(ISBLANK(B174),"",B174&amp;"|"&amp;C174)</f>
        <v/>
      </c>
      <c r="B174" s="140"/>
      <c r="C174" s="140"/>
      <c r="D174" s="140"/>
      <c r="E174" s="146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</row>
    <row r="175" customFormat="false" ht="15.75" hidden="false" customHeight="false" outlineLevel="0" collapsed="false">
      <c r="A175" s="140" t="str">
        <f aca="false">IF(ISBLANK(B175),"",B175&amp;"|"&amp;C175)</f>
        <v/>
      </c>
      <c r="B175" s="140"/>
      <c r="C175" s="140"/>
      <c r="D175" s="140"/>
      <c r="E175" s="146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</row>
    <row r="176" customFormat="false" ht="15.75" hidden="false" customHeight="false" outlineLevel="0" collapsed="false">
      <c r="A176" s="140" t="str">
        <f aca="false">IF(ISBLANK(B176),"",B176&amp;"|"&amp;C176)</f>
        <v/>
      </c>
      <c r="B176" s="140"/>
      <c r="C176" s="140"/>
      <c r="D176" s="140"/>
      <c r="E176" s="146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</row>
    <row r="177" customFormat="false" ht="15.75" hidden="false" customHeight="false" outlineLevel="0" collapsed="false">
      <c r="A177" s="140" t="str">
        <f aca="false">IF(ISBLANK(B177),"",B177&amp;"|"&amp;C177)</f>
        <v/>
      </c>
      <c r="B177" s="140"/>
      <c r="C177" s="140"/>
      <c r="D177" s="140"/>
      <c r="E177" s="146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</row>
    <row r="178" customFormat="false" ht="15.75" hidden="false" customHeight="false" outlineLevel="0" collapsed="false">
      <c r="A178" s="140" t="str">
        <f aca="false">IF(ISBLANK(B178),"",B178&amp;"|"&amp;C178)</f>
        <v/>
      </c>
      <c r="B178" s="140"/>
      <c r="C178" s="140"/>
      <c r="D178" s="140"/>
      <c r="E178" s="146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</row>
    <row r="179" customFormat="false" ht="15.75" hidden="false" customHeight="false" outlineLevel="0" collapsed="false">
      <c r="A179" s="140" t="str">
        <f aca="false">IF(ISBLANK(B179),"",B179&amp;"|"&amp;C179)</f>
        <v/>
      </c>
      <c r="B179" s="140"/>
      <c r="C179" s="140"/>
      <c r="D179" s="140"/>
      <c r="E179" s="146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</row>
    <row r="180" customFormat="false" ht="15.75" hidden="false" customHeight="false" outlineLevel="0" collapsed="false">
      <c r="A180" s="140" t="str">
        <f aca="false">IF(ISBLANK(B180),"",B180&amp;"|"&amp;C180)</f>
        <v/>
      </c>
      <c r="B180" s="140"/>
      <c r="C180" s="140"/>
      <c r="D180" s="140"/>
      <c r="E180" s="146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</row>
    <row r="181" customFormat="false" ht="15.75" hidden="false" customHeight="false" outlineLevel="0" collapsed="false">
      <c r="A181" s="140" t="str">
        <f aca="false">IF(ISBLANK(B181),"",B181&amp;"|"&amp;C181)</f>
        <v/>
      </c>
      <c r="B181" s="140"/>
      <c r="C181" s="140"/>
      <c r="D181" s="140"/>
      <c r="E181" s="146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</row>
    <row r="182" customFormat="false" ht="15.75" hidden="false" customHeight="false" outlineLevel="0" collapsed="false">
      <c r="A182" s="140" t="str">
        <f aca="false">IF(ISBLANK(B182),"",B182&amp;"|"&amp;C182)</f>
        <v/>
      </c>
      <c r="B182" s="140"/>
      <c r="C182" s="140"/>
      <c r="D182" s="140"/>
      <c r="E182" s="146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</row>
    <row r="183" customFormat="false" ht="15.75" hidden="false" customHeight="false" outlineLevel="0" collapsed="false">
      <c r="A183" s="140" t="str">
        <f aca="false">IF(ISBLANK(B183),"",B183&amp;"|"&amp;C183)</f>
        <v/>
      </c>
      <c r="B183" s="140"/>
      <c r="C183" s="140"/>
      <c r="D183" s="140"/>
      <c r="E183" s="146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</row>
    <row r="184" customFormat="false" ht="15.75" hidden="false" customHeight="false" outlineLevel="0" collapsed="false">
      <c r="A184" s="140" t="str">
        <f aca="false">IF(ISBLANK(B184),"",B184&amp;"|"&amp;C184)</f>
        <v/>
      </c>
      <c r="B184" s="140"/>
      <c r="C184" s="140"/>
      <c r="D184" s="140"/>
      <c r="E184" s="146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</row>
    <row r="185" customFormat="false" ht="15.75" hidden="false" customHeight="false" outlineLevel="0" collapsed="false">
      <c r="A185" s="140" t="str">
        <f aca="false">IF(ISBLANK(B185),"",B185&amp;"|"&amp;C185)</f>
        <v/>
      </c>
      <c r="B185" s="140"/>
      <c r="C185" s="140"/>
      <c r="D185" s="140"/>
      <c r="E185" s="146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</row>
    <row r="186" customFormat="false" ht="15.75" hidden="false" customHeight="false" outlineLevel="0" collapsed="false">
      <c r="A186" s="140" t="str">
        <f aca="false">IF(ISBLANK(B186),"",B186&amp;"|"&amp;C186)</f>
        <v/>
      </c>
      <c r="B186" s="140"/>
      <c r="C186" s="140"/>
      <c r="D186" s="140"/>
      <c r="E186" s="146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</row>
    <row r="187" customFormat="false" ht="15.75" hidden="false" customHeight="false" outlineLevel="0" collapsed="false">
      <c r="A187" s="140" t="str">
        <f aca="false">IF(ISBLANK(B187),"",B187&amp;"|"&amp;C187)</f>
        <v/>
      </c>
      <c r="B187" s="140"/>
      <c r="C187" s="140"/>
      <c r="D187" s="140"/>
      <c r="E187" s="146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</row>
    <row r="188" customFormat="false" ht="15.75" hidden="false" customHeight="false" outlineLevel="0" collapsed="false">
      <c r="A188" s="140" t="str">
        <f aca="false">IF(ISBLANK(B188),"",B188&amp;"|"&amp;C188)</f>
        <v/>
      </c>
      <c r="B188" s="140"/>
      <c r="C188" s="140"/>
      <c r="D188" s="140"/>
      <c r="E188" s="146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</row>
    <row r="189" customFormat="false" ht="15.75" hidden="false" customHeight="false" outlineLevel="0" collapsed="false">
      <c r="A189" s="140" t="str">
        <f aca="false">IF(ISBLANK(B189),"",B189&amp;"|"&amp;C189)</f>
        <v/>
      </c>
      <c r="B189" s="140"/>
      <c r="C189" s="140"/>
      <c r="D189" s="140"/>
      <c r="E189" s="146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</row>
    <row r="190" customFormat="false" ht="15.75" hidden="false" customHeight="false" outlineLevel="0" collapsed="false">
      <c r="A190" s="140" t="str">
        <f aca="false">IF(ISBLANK(B190),"",B190&amp;"|"&amp;C190)</f>
        <v/>
      </c>
      <c r="B190" s="140"/>
      <c r="C190" s="140"/>
      <c r="D190" s="140"/>
      <c r="E190" s="146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</row>
    <row r="191" customFormat="false" ht="15.75" hidden="false" customHeight="false" outlineLevel="0" collapsed="false">
      <c r="A191" s="140" t="str">
        <f aca="false">IF(ISBLANK(B191),"",B191&amp;"|"&amp;C191)</f>
        <v/>
      </c>
      <c r="B191" s="140"/>
      <c r="C191" s="140"/>
      <c r="D191" s="140"/>
      <c r="E191" s="146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</row>
    <row r="192" customFormat="false" ht="15.75" hidden="false" customHeight="false" outlineLevel="0" collapsed="false">
      <c r="A192" s="140" t="str">
        <f aca="false">IF(ISBLANK(B192),"",B192&amp;"|"&amp;C192)</f>
        <v/>
      </c>
      <c r="B192" s="140"/>
      <c r="C192" s="140"/>
      <c r="D192" s="140"/>
      <c r="E192" s="146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</row>
    <row r="193" customFormat="false" ht="15.75" hidden="false" customHeight="false" outlineLevel="0" collapsed="false">
      <c r="A193" s="140" t="str">
        <f aca="false">IF(ISBLANK(B193),"",B193&amp;"|"&amp;C193)</f>
        <v/>
      </c>
      <c r="B193" s="140"/>
      <c r="C193" s="140"/>
      <c r="D193" s="140"/>
      <c r="E193" s="146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</row>
    <row r="194" customFormat="false" ht="15.75" hidden="false" customHeight="false" outlineLevel="0" collapsed="false">
      <c r="A194" s="140" t="str">
        <f aca="false">IF(ISBLANK(B194),"",B194&amp;"|"&amp;C194)</f>
        <v/>
      </c>
      <c r="B194" s="140"/>
      <c r="C194" s="140"/>
      <c r="D194" s="140"/>
      <c r="E194" s="146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</row>
    <row r="195" customFormat="false" ht="15.75" hidden="false" customHeight="false" outlineLevel="0" collapsed="false">
      <c r="A195" s="140" t="str">
        <f aca="false">IF(ISBLANK(B195),"",B195&amp;"|"&amp;C195)</f>
        <v/>
      </c>
      <c r="B195" s="140"/>
      <c r="C195" s="140"/>
      <c r="D195" s="140"/>
      <c r="E195" s="146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</row>
    <row r="196" customFormat="false" ht="15.75" hidden="false" customHeight="false" outlineLevel="0" collapsed="false">
      <c r="A196" s="140" t="str">
        <f aca="false">IF(ISBLANK(B196),"",B196&amp;"|"&amp;C196)</f>
        <v/>
      </c>
      <c r="B196" s="140"/>
      <c r="C196" s="140"/>
      <c r="D196" s="140"/>
      <c r="E196" s="146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</row>
    <row r="197" customFormat="false" ht="15.75" hidden="false" customHeight="false" outlineLevel="0" collapsed="false">
      <c r="A197" s="140" t="str">
        <f aca="false">IF(ISBLANK(B197),"",B197&amp;"|"&amp;C197)</f>
        <v/>
      </c>
      <c r="B197" s="140"/>
      <c r="C197" s="140"/>
      <c r="D197" s="140"/>
      <c r="E197" s="146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</row>
    <row r="198" customFormat="false" ht="15.75" hidden="false" customHeight="false" outlineLevel="0" collapsed="false">
      <c r="A198" s="140" t="str">
        <f aca="false">IF(ISBLANK(B198),"",B198&amp;"|"&amp;C198)</f>
        <v/>
      </c>
      <c r="B198" s="140"/>
      <c r="C198" s="140"/>
      <c r="D198" s="140"/>
      <c r="E198" s="146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</row>
    <row r="199" customFormat="false" ht="15.75" hidden="false" customHeight="false" outlineLevel="0" collapsed="false">
      <c r="A199" s="140" t="str">
        <f aca="false">IF(ISBLANK(B199),"",B199&amp;"|"&amp;C199)</f>
        <v/>
      </c>
      <c r="B199" s="140"/>
      <c r="C199" s="140"/>
      <c r="D199" s="140"/>
      <c r="E199" s="146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</row>
    <row r="200" customFormat="false" ht="15.75" hidden="false" customHeight="false" outlineLevel="0" collapsed="false">
      <c r="A200" s="140" t="str">
        <f aca="false">IF(ISBLANK(B200),"",B200&amp;"|"&amp;C200)</f>
        <v/>
      </c>
      <c r="B200" s="140"/>
      <c r="C200" s="140"/>
      <c r="D200" s="140"/>
      <c r="E200" s="146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</row>
    <row r="201" customFormat="false" ht="15.75" hidden="false" customHeight="false" outlineLevel="0" collapsed="false">
      <c r="A201" s="140" t="str">
        <f aca="false">IF(ISBLANK(B201),"",B201&amp;"|"&amp;C201)</f>
        <v/>
      </c>
      <c r="B201" s="140"/>
      <c r="C201" s="140"/>
      <c r="D201" s="140"/>
      <c r="E201" s="146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</row>
    <row r="202" customFormat="false" ht="15.75" hidden="false" customHeight="false" outlineLevel="0" collapsed="false">
      <c r="A202" s="140" t="str">
        <f aca="false">IF(ISBLANK(B202),"",B202&amp;"|"&amp;C202)</f>
        <v/>
      </c>
      <c r="B202" s="140"/>
      <c r="C202" s="140"/>
      <c r="D202" s="140"/>
      <c r="E202" s="146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</row>
    <row r="203" customFormat="false" ht="15.75" hidden="false" customHeight="false" outlineLevel="0" collapsed="false">
      <c r="A203" s="140" t="str">
        <f aca="false">IF(ISBLANK(B203),"",B203&amp;"|"&amp;C203)</f>
        <v/>
      </c>
      <c r="B203" s="140"/>
      <c r="C203" s="140"/>
      <c r="D203" s="140"/>
      <c r="E203" s="146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  <c r="AA203" s="140"/>
    </row>
    <row r="204" customFormat="false" ht="15.75" hidden="false" customHeight="false" outlineLevel="0" collapsed="false">
      <c r="A204" s="140" t="str">
        <f aca="false">IF(ISBLANK(B204),"",B204&amp;"|"&amp;C204)</f>
        <v/>
      </c>
      <c r="B204" s="140"/>
      <c r="C204" s="140"/>
      <c r="D204" s="140"/>
      <c r="E204" s="146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  <c r="AA204" s="140"/>
    </row>
    <row r="205" customFormat="false" ht="15.75" hidden="false" customHeight="false" outlineLevel="0" collapsed="false">
      <c r="A205" s="140" t="str">
        <f aca="false">IF(ISBLANK(B205),"",B205&amp;"|"&amp;C205)</f>
        <v/>
      </c>
      <c r="B205" s="140"/>
      <c r="C205" s="140"/>
      <c r="D205" s="140"/>
      <c r="E205" s="146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  <c r="AA205" s="140"/>
    </row>
    <row r="206" customFormat="false" ht="15.75" hidden="false" customHeight="false" outlineLevel="0" collapsed="false">
      <c r="A206" s="140" t="str">
        <f aca="false">IF(ISBLANK(B206),"",B206&amp;"|"&amp;C206)</f>
        <v/>
      </c>
      <c r="B206" s="140"/>
      <c r="C206" s="140"/>
      <c r="D206" s="140"/>
      <c r="E206" s="146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  <c r="AA206" s="140"/>
    </row>
    <row r="207" customFormat="false" ht="15.75" hidden="false" customHeight="false" outlineLevel="0" collapsed="false">
      <c r="A207" s="140" t="str">
        <f aca="false">IF(ISBLANK(B207),"",B207&amp;"|"&amp;C207)</f>
        <v/>
      </c>
      <c r="B207" s="140"/>
      <c r="C207" s="140"/>
      <c r="D207" s="140"/>
      <c r="E207" s="146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</row>
    <row r="208" customFormat="false" ht="15.75" hidden="false" customHeight="false" outlineLevel="0" collapsed="false">
      <c r="A208" s="140" t="str">
        <f aca="false">IF(ISBLANK(B208),"",B208&amp;"|"&amp;C208)</f>
        <v/>
      </c>
      <c r="B208" s="140"/>
      <c r="C208" s="140"/>
      <c r="D208" s="140"/>
      <c r="E208" s="146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  <c r="AA208" s="140"/>
    </row>
    <row r="209" customFormat="false" ht="15.75" hidden="false" customHeight="false" outlineLevel="0" collapsed="false">
      <c r="A209" s="140" t="str">
        <f aca="false">IF(ISBLANK(B209),"",B209&amp;"|"&amp;C209)</f>
        <v/>
      </c>
      <c r="B209" s="140"/>
      <c r="C209" s="140"/>
      <c r="D209" s="140"/>
      <c r="E209" s="146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  <c r="AA209" s="140"/>
    </row>
    <row r="210" customFormat="false" ht="15.75" hidden="false" customHeight="false" outlineLevel="0" collapsed="false">
      <c r="A210" s="140" t="str">
        <f aca="false">IF(ISBLANK(B210),"",B210&amp;"|"&amp;C210)</f>
        <v/>
      </c>
      <c r="B210" s="140"/>
      <c r="C210" s="140"/>
      <c r="D210" s="140"/>
      <c r="E210" s="146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  <c r="AA210" s="140"/>
    </row>
    <row r="211" customFormat="false" ht="15.75" hidden="false" customHeight="false" outlineLevel="0" collapsed="false">
      <c r="A211" s="140" t="str">
        <f aca="false">IF(ISBLANK(B211),"",B211&amp;"|"&amp;C211)</f>
        <v/>
      </c>
      <c r="B211" s="140"/>
      <c r="C211" s="140"/>
      <c r="D211" s="140"/>
      <c r="E211" s="146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  <c r="AA211" s="140"/>
    </row>
    <row r="212" customFormat="false" ht="15.75" hidden="false" customHeight="false" outlineLevel="0" collapsed="false">
      <c r="A212" s="140" t="str">
        <f aca="false">IF(ISBLANK(B212),"",B212&amp;"|"&amp;C212)</f>
        <v/>
      </c>
      <c r="B212" s="140"/>
      <c r="C212" s="140"/>
      <c r="D212" s="140"/>
      <c r="E212" s="146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  <c r="AA212" s="140"/>
    </row>
    <row r="213" customFormat="false" ht="15.75" hidden="false" customHeight="false" outlineLevel="0" collapsed="false">
      <c r="A213" s="140" t="str">
        <f aca="false">IF(ISBLANK(B213),"",B213&amp;"|"&amp;C213)</f>
        <v/>
      </c>
      <c r="B213" s="140"/>
      <c r="C213" s="140"/>
      <c r="D213" s="140"/>
      <c r="E213" s="146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  <c r="AA213" s="140"/>
    </row>
    <row r="214" customFormat="false" ht="15.75" hidden="false" customHeight="false" outlineLevel="0" collapsed="false">
      <c r="A214" s="140" t="str">
        <f aca="false">IF(ISBLANK(B214),"",B214&amp;"|"&amp;C214)</f>
        <v/>
      </c>
      <c r="B214" s="140"/>
      <c r="C214" s="140"/>
      <c r="D214" s="140"/>
      <c r="E214" s="146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  <c r="AA214" s="140"/>
    </row>
    <row r="215" customFormat="false" ht="15.75" hidden="false" customHeight="false" outlineLevel="0" collapsed="false">
      <c r="A215" s="140" t="str">
        <f aca="false">IF(ISBLANK(B215),"",B215&amp;"|"&amp;C215)</f>
        <v/>
      </c>
      <c r="B215" s="140"/>
      <c r="C215" s="140"/>
      <c r="D215" s="140"/>
      <c r="E215" s="146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  <c r="AA215" s="140"/>
    </row>
    <row r="216" customFormat="false" ht="15.75" hidden="false" customHeight="false" outlineLevel="0" collapsed="false">
      <c r="A216" s="140" t="str">
        <f aca="false">IF(ISBLANK(B216),"",B216&amp;"|"&amp;C216)</f>
        <v/>
      </c>
      <c r="B216" s="140"/>
      <c r="C216" s="140"/>
      <c r="D216" s="140"/>
      <c r="E216" s="146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  <c r="AA216" s="140"/>
    </row>
    <row r="217" customFormat="false" ht="15.75" hidden="false" customHeight="false" outlineLevel="0" collapsed="false">
      <c r="A217" s="140" t="str">
        <f aca="false">IF(ISBLANK(B217),"",B217&amp;"|"&amp;C217)</f>
        <v/>
      </c>
      <c r="B217" s="140"/>
      <c r="C217" s="140"/>
      <c r="D217" s="140"/>
      <c r="E217" s="146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</row>
    <row r="218" customFormat="false" ht="15.75" hidden="false" customHeight="false" outlineLevel="0" collapsed="false">
      <c r="A218" s="140" t="str">
        <f aca="false">IF(ISBLANK(B218),"",B218&amp;"|"&amp;C218)</f>
        <v/>
      </c>
      <c r="B218" s="140"/>
      <c r="C218" s="140"/>
      <c r="D218" s="140"/>
      <c r="E218" s="146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  <c r="AA218" s="140"/>
    </row>
    <row r="219" customFormat="false" ht="15.75" hidden="false" customHeight="false" outlineLevel="0" collapsed="false">
      <c r="A219" s="140" t="str">
        <f aca="false">IF(ISBLANK(B219),"",B219&amp;"|"&amp;C219)</f>
        <v/>
      </c>
      <c r="B219" s="140"/>
      <c r="C219" s="140"/>
      <c r="D219" s="140"/>
      <c r="E219" s="146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</row>
    <row r="220" customFormat="false" ht="15.75" hidden="false" customHeight="false" outlineLevel="0" collapsed="false">
      <c r="A220" s="140" t="str">
        <f aca="false">IF(ISBLANK(B220),"",B220&amp;"|"&amp;C220)</f>
        <v/>
      </c>
      <c r="B220" s="140"/>
      <c r="C220" s="140"/>
      <c r="D220" s="140"/>
      <c r="E220" s="146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  <c r="AA220" s="140"/>
    </row>
    <row r="221" customFormat="false" ht="15.75" hidden="false" customHeight="false" outlineLevel="0" collapsed="false">
      <c r="A221" s="140" t="str">
        <f aca="false">IF(ISBLANK(B221),"",B221&amp;"|"&amp;C221)</f>
        <v/>
      </c>
      <c r="B221" s="140"/>
      <c r="C221" s="140"/>
      <c r="D221" s="140"/>
      <c r="E221" s="146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  <c r="AA221" s="140"/>
    </row>
    <row r="222" customFormat="false" ht="15.75" hidden="false" customHeight="false" outlineLevel="0" collapsed="false">
      <c r="A222" s="140" t="str">
        <f aca="false">IF(ISBLANK(B222),"",B222&amp;"|"&amp;C222)</f>
        <v/>
      </c>
      <c r="B222" s="140"/>
      <c r="C222" s="140"/>
      <c r="D222" s="140"/>
      <c r="E222" s="146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</row>
    <row r="223" customFormat="false" ht="15.75" hidden="false" customHeight="false" outlineLevel="0" collapsed="false">
      <c r="A223" s="140" t="str">
        <f aca="false">IF(ISBLANK(B223),"",B223&amp;"|"&amp;C223)</f>
        <v/>
      </c>
      <c r="B223" s="140"/>
      <c r="C223" s="140"/>
      <c r="D223" s="140"/>
      <c r="E223" s="146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</row>
    <row r="224" customFormat="false" ht="15.75" hidden="false" customHeight="false" outlineLevel="0" collapsed="false">
      <c r="A224" s="140" t="str">
        <f aca="false">IF(ISBLANK(B224),"",B224&amp;"|"&amp;C224)</f>
        <v/>
      </c>
      <c r="B224" s="140"/>
      <c r="C224" s="140"/>
      <c r="D224" s="140"/>
      <c r="E224" s="146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  <c r="AA224" s="140"/>
    </row>
    <row r="225" customFormat="false" ht="15.75" hidden="false" customHeight="false" outlineLevel="0" collapsed="false">
      <c r="A225" s="140" t="str">
        <f aca="false">IF(ISBLANK(B225),"",B225&amp;"|"&amp;C225)</f>
        <v/>
      </c>
      <c r="B225" s="140"/>
      <c r="C225" s="140"/>
      <c r="D225" s="140"/>
      <c r="E225" s="146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</row>
    <row r="226" customFormat="false" ht="15.75" hidden="false" customHeight="false" outlineLevel="0" collapsed="false">
      <c r="A226" s="140" t="str">
        <f aca="false">IF(ISBLANK(B226),"",B226&amp;"|"&amp;C226)</f>
        <v/>
      </c>
      <c r="B226" s="140"/>
      <c r="C226" s="140"/>
      <c r="D226" s="140"/>
      <c r="E226" s="146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</row>
    <row r="227" customFormat="false" ht="15.75" hidden="false" customHeight="false" outlineLevel="0" collapsed="false">
      <c r="A227" s="140" t="str">
        <f aca="false">IF(ISBLANK(B227),"",B227&amp;"|"&amp;C227)</f>
        <v/>
      </c>
      <c r="B227" s="140"/>
      <c r="C227" s="140"/>
      <c r="D227" s="140"/>
      <c r="E227" s="146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</row>
    <row r="228" customFormat="false" ht="15.75" hidden="false" customHeight="false" outlineLevel="0" collapsed="false">
      <c r="A228" s="140" t="str">
        <f aca="false">IF(ISBLANK(B228),"",B228&amp;"|"&amp;C228)</f>
        <v/>
      </c>
      <c r="B228" s="140"/>
      <c r="C228" s="140"/>
      <c r="D228" s="140"/>
      <c r="E228" s="146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</row>
    <row r="229" customFormat="false" ht="15.75" hidden="false" customHeight="false" outlineLevel="0" collapsed="false">
      <c r="A229" s="140" t="str">
        <f aca="false">IF(ISBLANK(B229),"",B229&amp;"|"&amp;C229)</f>
        <v/>
      </c>
      <c r="B229" s="140"/>
      <c r="C229" s="140"/>
      <c r="D229" s="140"/>
      <c r="E229" s="146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</row>
    <row r="230" customFormat="false" ht="15.75" hidden="false" customHeight="false" outlineLevel="0" collapsed="false">
      <c r="A230" s="140" t="str">
        <f aca="false">IF(ISBLANK(B230),"",B230&amp;"|"&amp;C230)</f>
        <v/>
      </c>
      <c r="B230" s="140"/>
      <c r="C230" s="140"/>
      <c r="D230" s="140"/>
      <c r="E230" s="146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</row>
    <row r="231" customFormat="false" ht="15.75" hidden="false" customHeight="false" outlineLevel="0" collapsed="false">
      <c r="A231" s="140" t="str">
        <f aca="false">IF(ISBLANK(B231),"",B231&amp;"|"&amp;C231)</f>
        <v/>
      </c>
      <c r="B231" s="140"/>
      <c r="C231" s="140"/>
      <c r="D231" s="140"/>
      <c r="E231" s="146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</row>
    <row r="232" customFormat="false" ht="15.75" hidden="false" customHeight="false" outlineLevel="0" collapsed="false">
      <c r="A232" s="140" t="str">
        <f aca="false">IF(ISBLANK(B232),"",B232&amp;"|"&amp;C232)</f>
        <v/>
      </c>
      <c r="B232" s="140"/>
      <c r="C232" s="140"/>
      <c r="D232" s="140"/>
      <c r="E232" s="146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  <c r="AA232" s="140"/>
    </row>
    <row r="233" customFormat="false" ht="15.75" hidden="false" customHeight="false" outlineLevel="0" collapsed="false">
      <c r="A233" s="140" t="str">
        <f aca="false">IF(ISBLANK(B233),"",B233&amp;"|"&amp;C233)</f>
        <v/>
      </c>
      <c r="B233" s="140"/>
      <c r="C233" s="140"/>
      <c r="D233" s="140"/>
      <c r="E233" s="146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  <c r="AA233" s="140"/>
    </row>
    <row r="234" customFormat="false" ht="15.75" hidden="false" customHeight="false" outlineLevel="0" collapsed="false">
      <c r="A234" s="140" t="str">
        <f aca="false">IF(ISBLANK(B234),"",B234&amp;"|"&amp;C234)</f>
        <v/>
      </c>
      <c r="B234" s="140"/>
      <c r="C234" s="140"/>
      <c r="D234" s="140"/>
      <c r="E234" s="146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  <c r="AA234" s="140"/>
    </row>
    <row r="235" customFormat="false" ht="15.75" hidden="false" customHeight="false" outlineLevel="0" collapsed="false">
      <c r="A235" s="140" t="str">
        <f aca="false">IF(ISBLANK(B235),"",B235&amp;"|"&amp;C235)</f>
        <v/>
      </c>
      <c r="B235" s="140"/>
      <c r="C235" s="140"/>
      <c r="D235" s="140"/>
      <c r="E235" s="146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  <c r="AA235" s="140"/>
    </row>
    <row r="236" customFormat="false" ht="15.75" hidden="false" customHeight="false" outlineLevel="0" collapsed="false">
      <c r="A236" s="140" t="str">
        <f aca="false">IF(ISBLANK(B236),"",B236&amp;"|"&amp;C236)</f>
        <v/>
      </c>
      <c r="B236" s="140"/>
      <c r="C236" s="140"/>
      <c r="D236" s="140"/>
      <c r="E236" s="146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  <c r="AA236" s="140"/>
    </row>
    <row r="237" customFormat="false" ht="15.75" hidden="false" customHeight="false" outlineLevel="0" collapsed="false">
      <c r="A237" s="140" t="str">
        <f aca="false">IF(ISBLANK(B237),"",B237&amp;"|"&amp;C237)</f>
        <v/>
      </c>
      <c r="B237" s="140"/>
      <c r="C237" s="140"/>
      <c r="D237" s="140"/>
      <c r="E237" s="146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  <c r="AA237" s="140"/>
    </row>
    <row r="238" customFormat="false" ht="15.75" hidden="false" customHeight="false" outlineLevel="0" collapsed="false">
      <c r="A238" s="140" t="str">
        <f aca="false">IF(ISBLANK(B238),"",B238&amp;"|"&amp;C238)</f>
        <v/>
      </c>
      <c r="B238" s="140"/>
      <c r="C238" s="140"/>
      <c r="D238" s="140"/>
      <c r="E238" s="146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  <c r="AA238" s="140"/>
    </row>
    <row r="239" customFormat="false" ht="15.75" hidden="false" customHeight="false" outlineLevel="0" collapsed="false">
      <c r="A239" s="140" t="str">
        <f aca="false">IF(ISBLANK(B239),"",B239&amp;"|"&amp;C239)</f>
        <v/>
      </c>
      <c r="B239" s="140"/>
      <c r="C239" s="140"/>
      <c r="D239" s="140"/>
      <c r="E239" s="146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  <c r="AA239" s="140"/>
    </row>
    <row r="240" customFormat="false" ht="15.75" hidden="false" customHeight="false" outlineLevel="0" collapsed="false">
      <c r="A240" s="140" t="str">
        <f aca="false">IF(ISBLANK(B240),"",B240&amp;"|"&amp;C240)</f>
        <v/>
      </c>
      <c r="B240" s="140"/>
      <c r="C240" s="140"/>
      <c r="D240" s="140"/>
      <c r="E240" s="146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  <c r="AA240" s="140"/>
    </row>
    <row r="241" customFormat="false" ht="15.75" hidden="false" customHeight="false" outlineLevel="0" collapsed="false">
      <c r="A241" s="140" t="str">
        <f aca="false">IF(ISBLANK(B241),"",B241&amp;"|"&amp;C241)</f>
        <v/>
      </c>
      <c r="B241" s="140"/>
      <c r="C241" s="140"/>
      <c r="D241" s="140"/>
      <c r="E241" s="146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  <c r="AA241" s="140"/>
    </row>
    <row r="242" customFormat="false" ht="15.75" hidden="false" customHeight="false" outlineLevel="0" collapsed="false">
      <c r="A242" s="140" t="str">
        <f aca="false">IF(ISBLANK(B242),"",B242&amp;"|"&amp;C242)</f>
        <v/>
      </c>
      <c r="B242" s="140"/>
      <c r="C242" s="140"/>
      <c r="D242" s="140"/>
      <c r="E242" s="146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  <c r="AA242" s="140"/>
    </row>
    <row r="243" customFormat="false" ht="15.75" hidden="false" customHeight="false" outlineLevel="0" collapsed="false">
      <c r="A243" s="140" t="str">
        <f aca="false">IF(ISBLANK(B243),"",B243&amp;"|"&amp;C243)</f>
        <v/>
      </c>
      <c r="B243" s="140"/>
      <c r="C243" s="140"/>
      <c r="D243" s="140"/>
      <c r="E243" s="146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</row>
    <row r="244" customFormat="false" ht="15.75" hidden="false" customHeight="false" outlineLevel="0" collapsed="false">
      <c r="A244" s="140" t="str">
        <f aca="false">IF(ISBLANK(B244),"",B244&amp;"|"&amp;C244)</f>
        <v/>
      </c>
      <c r="B244" s="140"/>
      <c r="C244" s="140"/>
      <c r="D244" s="140"/>
      <c r="E244" s="146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  <c r="AA244" s="140"/>
    </row>
    <row r="245" customFormat="false" ht="15.75" hidden="false" customHeight="false" outlineLevel="0" collapsed="false">
      <c r="A245" s="140" t="str">
        <f aca="false">IF(ISBLANK(B245),"",B245&amp;"|"&amp;C245)</f>
        <v/>
      </c>
      <c r="B245" s="140"/>
      <c r="C245" s="140"/>
      <c r="D245" s="140"/>
      <c r="E245" s="146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</row>
    <row r="246" customFormat="false" ht="15.75" hidden="false" customHeight="false" outlineLevel="0" collapsed="false">
      <c r="A246" s="140" t="str">
        <f aca="false">IF(ISBLANK(B246),"",B246&amp;"|"&amp;C246)</f>
        <v/>
      </c>
      <c r="B246" s="140"/>
      <c r="C246" s="140"/>
      <c r="D246" s="140"/>
      <c r="E246" s="146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  <c r="AA246" s="140"/>
    </row>
    <row r="247" customFormat="false" ht="15.75" hidden="false" customHeight="false" outlineLevel="0" collapsed="false">
      <c r="A247" s="140" t="str">
        <f aca="false">IF(ISBLANK(B247),"",B247&amp;"|"&amp;C247)</f>
        <v/>
      </c>
      <c r="B247" s="140"/>
      <c r="C247" s="140"/>
      <c r="D247" s="140"/>
      <c r="E247" s="146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  <c r="AA247" s="140"/>
    </row>
    <row r="248" customFormat="false" ht="15.75" hidden="false" customHeight="false" outlineLevel="0" collapsed="false">
      <c r="A248" s="140" t="str">
        <f aca="false">IF(ISBLANK(B248),"",B248&amp;"|"&amp;C248)</f>
        <v/>
      </c>
      <c r="B248" s="140"/>
      <c r="C248" s="140"/>
      <c r="D248" s="140"/>
      <c r="E248" s="146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  <c r="AA248" s="140"/>
    </row>
    <row r="249" customFormat="false" ht="15.75" hidden="false" customHeight="false" outlineLevel="0" collapsed="false">
      <c r="A249" s="140" t="str">
        <f aca="false">IF(ISBLANK(B249),"",B249&amp;"|"&amp;C249)</f>
        <v/>
      </c>
      <c r="B249" s="140"/>
      <c r="C249" s="140"/>
      <c r="D249" s="140"/>
      <c r="E249" s="146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  <c r="AA249" s="140"/>
    </row>
    <row r="250" customFormat="false" ht="15.75" hidden="false" customHeight="false" outlineLevel="0" collapsed="false">
      <c r="A250" s="140" t="str">
        <f aca="false">IF(ISBLANK(B250),"",B250&amp;"|"&amp;C250)</f>
        <v/>
      </c>
      <c r="B250" s="140"/>
      <c r="C250" s="140"/>
      <c r="D250" s="140"/>
      <c r="E250" s="146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</row>
    <row r="251" customFormat="false" ht="15.75" hidden="false" customHeight="false" outlineLevel="0" collapsed="false">
      <c r="A251" s="140" t="str">
        <f aca="false">IF(ISBLANK(B251),"",B251&amp;"|"&amp;C251)</f>
        <v/>
      </c>
      <c r="B251" s="140"/>
      <c r="C251" s="140"/>
      <c r="D251" s="140"/>
      <c r="E251" s="146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  <c r="AA251" s="140"/>
    </row>
    <row r="252" customFormat="false" ht="15.75" hidden="false" customHeight="false" outlineLevel="0" collapsed="false">
      <c r="A252" s="140" t="str">
        <f aca="false">IF(ISBLANK(B252),"",B252&amp;"|"&amp;C252)</f>
        <v/>
      </c>
      <c r="B252" s="140"/>
      <c r="C252" s="140"/>
      <c r="D252" s="140"/>
      <c r="E252" s="146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  <c r="AA252" s="140"/>
    </row>
    <row r="253" customFormat="false" ht="15.75" hidden="false" customHeight="false" outlineLevel="0" collapsed="false">
      <c r="A253" s="140" t="str">
        <f aca="false">IF(ISBLANK(B253),"",B253&amp;"|"&amp;C253)</f>
        <v/>
      </c>
      <c r="B253" s="140"/>
      <c r="C253" s="140"/>
      <c r="D253" s="140"/>
      <c r="E253" s="146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  <c r="AA253" s="140"/>
    </row>
    <row r="254" customFormat="false" ht="15.75" hidden="false" customHeight="false" outlineLevel="0" collapsed="false">
      <c r="A254" s="140" t="str">
        <f aca="false">IF(ISBLANK(B254),"",B254&amp;"|"&amp;C254)</f>
        <v/>
      </c>
      <c r="B254" s="140"/>
      <c r="C254" s="140"/>
      <c r="D254" s="140"/>
      <c r="E254" s="146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  <c r="AA254" s="140"/>
    </row>
    <row r="255" customFormat="false" ht="15.75" hidden="false" customHeight="false" outlineLevel="0" collapsed="false">
      <c r="A255" s="140" t="str">
        <f aca="false">IF(ISBLANK(B255),"",B255&amp;"|"&amp;C255)</f>
        <v/>
      </c>
      <c r="B255" s="140"/>
      <c r="C255" s="140"/>
      <c r="D255" s="140"/>
      <c r="E255" s="146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  <c r="AA255" s="140"/>
    </row>
    <row r="256" customFormat="false" ht="15.75" hidden="false" customHeight="false" outlineLevel="0" collapsed="false">
      <c r="A256" s="140" t="str">
        <f aca="false">IF(ISBLANK(B256),"",B256&amp;"|"&amp;C256)</f>
        <v/>
      </c>
      <c r="B256" s="140"/>
      <c r="C256" s="140"/>
      <c r="D256" s="140"/>
      <c r="E256" s="146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  <c r="AA256" s="140"/>
    </row>
    <row r="257" customFormat="false" ht="15.75" hidden="false" customHeight="false" outlineLevel="0" collapsed="false">
      <c r="A257" s="140" t="str">
        <f aca="false">IF(ISBLANK(B257),"",B257&amp;"|"&amp;C257)</f>
        <v/>
      </c>
      <c r="B257" s="140"/>
      <c r="C257" s="140"/>
      <c r="D257" s="140"/>
      <c r="E257" s="146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  <c r="AA257" s="140"/>
    </row>
    <row r="258" customFormat="false" ht="15.75" hidden="false" customHeight="false" outlineLevel="0" collapsed="false">
      <c r="A258" s="140" t="str">
        <f aca="false">IF(ISBLANK(B258),"",B258&amp;"|"&amp;C258)</f>
        <v/>
      </c>
      <c r="B258" s="140"/>
      <c r="C258" s="140"/>
      <c r="D258" s="140"/>
      <c r="E258" s="146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  <c r="AA258" s="140"/>
    </row>
    <row r="259" customFormat="false" ht="15.75" hidden="false" customHeight="false" outlineLevel="0" collapsed="false">
      <c r="A259" s="140" t="str">
        <f aca="false">IF(ISBLANK(B259),"",B259&amp;"|"&amp;C259)</f>
        <v/>
      </c>
      <c r="B259" s="140"/>
      <c r="C259" s="140"/>
      <c r="D259" s="140"/>
      <c r="E259" s="146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  <c r="AA259" s="140"/>
    </row>
    <row r="260" customFormat="false" ht="15.75" hidden="false" customHeight="false" outlineLevel="0" collapsed="false">
      <c r="A260" s="140" t="str">
        <f aca="false">IF(ISBLANK(B260),"",B260&amp;"|"&amp;C260)</f>
        <v/>
      </c>
      <c r="B260" s="140"/>
      <c r="C260" s="140"/>
      <c r="D260" s="140"/>
      <c r="E260" s="146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  <c r="AA260" s="140"/>
    </row>
    <row r="261" customFormat="false" ht="15.75" hidden="false" customHeight="false" outlineLevel="0" collapsed="false">
      <c r="A261" s="140" t="str">
        <f aca="false">IF(ISBLANK(B261),"",B261&amp;"|"&amp;C261)</f>
        <v/>
      </c>
      <c r="B261" s="140"/>
      <c r="C261" s="140"/>
      <c r="D261" s="140"/>
      <c r="E261" s="146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</row>
    <row r="262" customFormat="false" ht="15.75" hidden="false" customHeight="false" outlineLevel="0" collapsed="false">
      <c r="A262" s="140" t="str">
        <f aca="false">IF(ISBLANK(B262),"",B262&amp;"|"&amp;C262)</f>
        <v/>
      </c>
      <c r="B262" s="140"/>
      <c r="C262" s="140"/>
      <c r="D262" s="140"/>
      <c r="E262" s="146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</row>
    <row r="263" customFormat="false" ht="15.75" hidden="false" customHeight="false" outlineLevel="0" collapsed="false">
      <c r="A263" s="140" t="str">
        <f aca="false">IF(ISBLANK(B263),"",B263&amp;"|"&amp;C263)</f>
        <v/>
      </c>
      <c r="B263" s="140"/>
      <c r="C263" s="140"/>
      <c r="D263" s="140"/>
      <c r="E263" s="146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</row>
    <row r="264" customFormat="false" ht="15.75" hidden="false" customHeight="false" outlineLevel="0" collapsed="false">
      <c r="A264" s="140" t="str">
        <f aca="false">IF(ISBLANK(B264),"",B264&amp;"|"&amp;C264)</f>
        <v/>
      </c>
      <c r="B264" s="140"/>
      <c r="C264" s="140"/>
      <c r="D264" s="140"/>
      <c r="E264" s="146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</row>
    <row r="265" customFormat="false" ht="15.75" hidden="false" customHeight="false" outlineLevel="0" collapsed="false">
      <c r="A265" s="140" t="str">
        <f aca="false">IF(ISBLANK(B265),"",B265&amp;"|"&amp;C265)</f>
        <v/>
      </c>
      <c r="B265" s="140"/>
      <c r="C265" s="140"/>
      <c r="D265" s="140"/>
      <c r="E265" s="146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</row>
    <row r="266" customFormat="false" ht="15.75" hidden="false" customHeight="false" outlineLevel="0" collapsed="false">
      <c r="A266" s="140" t="str">
        <f aca="false">IF(ISBLANK(B266),"",B266&amp;"|"&amp;C266)</f>
        <v/>
      </c>
      <c r="B266" s="140"/>
      <c r="C266" s="140"/>
      <c r="D266" s="140"/>
      <c r="E266" s="146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</row>
    <row r="267" customFormat="false" ht="15.75" hidden="false" customHeight="false" outlineLevel="0" collapsed="false">
      <c r="A267" s="140" t="str">
        <f aca="false">IF(ISBLANK(B267),"",B267&amp;"|"&amp;C267)</f>
        <v/>
      </c>
      <c r="B267" s="140"/>
      <c r="C267" s="140"/>
      <c r="D267" s="140"/>
      <c r="E267" s="146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</row>
    <row r="268" customFormat="false" ht="15.75" hidden="false" customHeight="false" outlineLevel="0" collapsed="false">
      <c r="A268" s="140" t="str">
        <f aca="false">IF(ISBLANK(B268),"",B268&amp;"|"&amp;C268)</f>
        <v/>
      </c>
      <c r="B268" s="140"/>
      <c r="C268" s="140"/>
      <c r="D268" s="140"/>
      <c r="E268" s="146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</row>
    <row r="269" customFormat="false" ht="15.75" hidden="false" customHeight="false" outlineLevel="0" collapsed="false">
      <c r="A269" s="140" t="str">
        <f aca="false">IF(ISBLANK(B269),"",B269&amp;"|"&amp;C269)</f>
        <v/>
      </c>
      <c r="B269" s="140"/>
      <c r="C269" s="140"/>
      <c r="D269" s="140"/>
      <c r="E269" s="146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</row>
    <row r="270" customFormat="false" ht="15.75" hidden="false" customHeight="false" outlineLevel="0" collapsed="false">
      <c r="A270" s="140" t="str">
        <f aca="false">IF(ISBLANK(B270),"",B270&amp;"|"&amp;C270)</f>
        <v/>
      </c>
      <c r="B270" s="140"/>
      <c r="C270" s="140"/>
      <c r="D270" s="140"/>
      <c r="E270" s="146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</row>
    <row r="271" customFormat="false" ht="15.75" hidden="false" customHeight="false" outlineLevel="0" collapsed="false">
      <c r="A271" s="140" t="str">
        <f aca="false">IF(ISBLANK(B271),"",B271&amp;"|"&amp;C271)</f>
        <v/>
      </c>
      <c r="B271" s="140"/>
      <c r="C271" s="140"/>
      <c r="D271" s="140"/>
      <c r="E271" s="146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  <c r="AA271" s="140"/>
    </row>
    <row r="272" customFormat="false" ht="15.75" hidden="false" customHeight="false" outlineLevel="0" collapsed="false">
      <c r="A272" s="140" t="str">
        <f aca="false">IF(ISBLANK(B272),"",B272&amp;"|"&amp;C272)</f>
        <v/>
      </c>
      <c r="B272" s="140"/>
      <c r="C272" s="140"/>
      <c r="D272" s="140"/>
      <c r="E272" s="146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  <c r="AA272" s="140"/>
    </row>
    <row r="273" customFormat="false" ht="15.75" hidden="false" customHeight="false" outlineLevel="0" collapsed="false">
      <c r="A273" s="140" t="str">
        <f aca="false">IF(ISBLANK(B273),"",B273&amp;"|"&amp;C273)</f>
        <v/>
      </c>
      <c r="B273" s="140"/>
      <c r="C273" s="140"/>
      <c r="D273" s="140"/>
      <c r="E273" s="146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  <c r="AA273" s="140"/>
    </row>
    <row r="274" customFormat="false" ht="15.75" hidden="false" customHeight="false" outlineLevel="0" collapsed="false">
      <c r="A274" s="140" t="str">
        <f aca="false">IF(ISBLANK(B274),"",B274&amp;"|"&amp;C274)</f>
        <v/>
      </c>
      <c r="B274" s="140"/>
      <c r="C274" s="140"/>
      <c r="D274" s="140"/>
      <c r="E274" s="146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  <c r="AA274" s="140"/>
    </row>
    <row r="275" customFormat="false" ht="15.75" hidden="false" customHeight="false" outlineLevel="0" collapsed="false">
      <c r="A275" s="140" t="str">
        <f aca="false">IF(ISBLANK(B275),"",B275&amp;"|"&amp;C275)</f>
        <v/>
      </c>
      <c r="B275" s="140"/>
      <c r="C275" s="140"/>
      <c r="D275" s="140"/>
      <c r="E275" s="146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  <c r="AA275" s="140"/>
    </row>
    <row r="276" customFormat="false" ht="15.75" hidden="false" customHeight="false" outlineLevel="0" collapsed="false">
      <c r="A276" s="140" t="str">
        <f aca="false">IF(ISBLANK(B276),"",B276&amp;"|"&amp;C276)</f>
        <v/>
      </c>
      <c r="B276" s="140"/>
      <c r="C276" s="140"/>
      <c r="D276" s="140"/>
      <c r="E276" s="146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  <c r="AA276" s="140"/>
    </row>
    <row r="277" customFormat="false" ht="15.75" hidden="false" customHeight="false" outlineLevel="0" collapsed="false">
      <c r="A277" s="140" t="str">
        <f aca="false">IF(ISBLANK(B277),"",B277&amp;"|"&amp;C277)</f>
        <v/>
      </c>
      <c r="B277" s="140"/>
      <c r="C277" s="140"/>
      <c r="D277" s="140"/>
      <c r="E277" s="146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  <c r="AA277" s="140"/>
    </row>
    <row r="278" customFormat="false" ht="15.75" hidden="false" customHeight="false" outlineLevel="0" collapsed="false">
      <c r="A278" s="140" t="str">
        <f aca="false">IF(ISBLANK(B278),"",B278&amp;"|"&amp;C278)</f>
        <v/>
      </c>
      <c r="B278" s="140"/>
      <c r="C278" s="140"/>
      <c r="D278" s="140"/>
      <c r="E278" s="146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  <c r="AA278" s="140"/>
    </row>
    <row r="279" customFormat="false" ht="15.75" hidden="false" customHeight="false" outlineLevel="0" collapsed="false">
      <c r="A279" s="140" t="str">
        <f aca="false">IF(ISBLANK(B279),"",B279&amp;"|"&amp;C279)</f>
        <v/>
      </c>
      <c r="B279" s="140"/>
      <c r="C279" s="140"/>
      <c r="D279" s="140"/>
      <c r="E279" s="146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  <c r="AA279" s="140"/>
    </row>
    <row r="280" customFormat="false" ht="15.75" hidden="false" customHeight="false" outlineLevel="0" collapsed="false">
      <c r="A280" s="140" t="str">
        <f aca="false">IF(ISBLANK(B280),"",B280&amp;"|"&amp;C280)</f>
        <v/>
      </c>
      <c r="B280" s="140"/>
      <c r="C280" s="140"/>
      <c r="D280" s="140"/>
      <c r="E280" s="146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  <c r="AA280" s="140"/>
    </row>
    <row r="281" customFormat="false" ht="15.75" hidden="false" customHeight="false" outlineLevel="0" collapsed="false">
      <c r="A281" s="140" t="str">
        <f aca="false">IF(ISBLANK(B281),"",B281&amp;"|"&amp;C281)</f>
        <v/>
      </c>
      <c r="B281" s="140"/>
      <c r="C281" s="140"/>
      <c r="D281" s="140"/>
      <c r="E281" s="146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  <c r="AA281" s="140"/>
    </row>
    <row r="282" customFormat="false" ht="15.75" hidden="false" customHeight="false" outlineLevel="0" collapsed="false">
      <c r="A282" s="140" t="str">
        <f aca="false">IF(ISBLANK(B282),"",B282&amp;"|"&amp;C282)</f>
        <v/>
      </c>
      <c r="B282" s="140"/>
      <c r="C282" s="140"/>
      <c r="D282" s="140"/>
      <c r="E282" s="146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  <c r="AA282" s="140"/>
    </row>
    <row r="283" customFormat="false" ht="15.75" hidden="false" customHeight="false" outlineLevel="0" collapsed="false">
      <c r="A283" s="140" t="str">
        <f aca="false">IF(ISBLANK(B283),"",B283&amp;"|"&amp;C283)</f>
        <v/>
      </c>
      <c r="B283" s="140"/>
      <c r="C283" s="140"/>
      <c r="D283" s="140"/>
      <c r="E283" s="146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  <c r="AA283" s="140"/>
    </row>
    <row r="284" customFormat="false" ht="15.75" hidden="false" customHeight="false" outlineLevel="0" collapsed="false">
      <c r="A284" s="140" t="str">
        <f aca="false">IF(ISBLANK(B284),"",B284&amp;"|"&amp;C284)</f>
        <v/>
      </c>
      <c r="B284" s="140"/>
      <c r="C284" s="140"/>
      <c r="D284" s="140"/>
      <c r="E284" s="146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</row>
    <row r="285" customFormat="false" ht="15.75" hidden="false" customHeight="false" outlineLevel="0" collapsed="false">
      <c r="A285" s="140" t="str">
        <f aca="false">IF(ISBLANK(B285),"",B285&amp;"|"&amp;C285)</f>
        <v/>
      </c>
      <c r="B285" s="140"/>
      <c r="C285" s="140"/>
      <c r="D285" s="140"/>
      <c r="E285" s="146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  <c r="AA285" s="140"/>
    </row>
    <row r="286" customFormat="false" ht="15.75" hidden="false" customHeight="false" outlineLevel="0" collapsed="false">
      <c r="A286" s="140" t="str">
        <f aca="false">IF(ISBLANK(B286),"",B286&amp;"|"&amp;C286)</f>
        <v/>
      </c>
      <c r="B286" s="140"/>
      <c r="C286" s="140"/>
      <c r="D286" s="140"/>
      <c r="E286" s="146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  <c r="AA286" s="140"/>
    </row>
    <row r="287" customFormat="false" ht="15.75" hidden="false" customHeight="false" outlineLevel="0" collapsed="false">
      <c r="A287" s="140" t="str">
        <f aca="false">IF(ISBLANK(B287),"",B287&amp;"|"&amp;C287)</f>
        <v/>
      </c>
      <c r="B287" s="140"/>
      <c r="C287" s="140"/>
      <c r="D287" s="140"/>
      <c r="E287" s="146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  <c r="AA287" s="140"/>
    </row>
    <row r="288" customFormat="false" ht="15.75" hidden="false" customHeight="false" outlineLevel="0" collapsed="false">
      <c r="A288" s="140" t="str">
        <f aca="false">IF(ISBLANK(B288),"",B288&amp;"|"&amp;C288)</f>
        <v/>
      </c>
      <c r="B288" s="140"/>
      <c r="C288" s="140"/>
      <c r="D288" s="140"/>
      <c r="E288" s="146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  <c r="AA288" s="140"/>
    </row>
    <row r="289" customFormat="false" ht="15.75" hidden="false" customHeight="false" outlineLevel="0" collapsed="false">
      <c r="A289" s="140" t="str">
        <f aca="false">IF(ISBLANK(B289),"",B289&amp;"|"&amp;C289)</f>
        <v/>
      </c>
      <c r="B289" s="140"/>
      <c r="C289" s="140"/>
      <c r="D289" s="140"/>
      <c r="E289" s="146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  <c r="AA289" s="140"/>
    </row>
    <row r="290" customFormat="false" ht="15.75" hidden="false" customHeight="false" outlineLevel="0" collapsed="false">
      <c r="A290" s="140" t="str">
        <f aca="false">IF(ISBLANK(B290),"",B290&amp;"|"&amp;C290)</f>
        <v/>
      </c>
      <c r="B290" s="140"/>
      <c r="C290" s="140"/>
      <c r="D290" s="140"/>
      <c r="E290" s="146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  <c r="AA290" s="140"/>
    </row>
    <row r="291" customFormat="false" ht="15.75" hidden="false" customHeight="false" outlineLevel="0" collapsed="false">
      <c r="A291" s="140" t="str">
        <f aca="false">IF(ISBLANK(B291),"",B291&amp;"|"&amp;C291)</f>
        <v/>
      </c>
      <c r="B291" s="140"/>
      <c r="C291" s="140"/>
      <c r="D291" s="140"/>
      <c r="E291" s="146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  <c r="AA291" s="140"/>
    </row>
    <row r="292" customFormat="false" ht="15.75" hidden="false" customHeight="false" outlineLevel="0" collapsed="false">
      <c r="A292" s="140" t="str">
        <f aca="false">IF(ISBLANK(B292),"",B292&amp;"|"&amp;C292)</f>
        <v/>
      </c>
      <c r="B292" s="140"/>
      <c r="C292" s="140"/>
      <c r="D292" s="140"/>
      <c r="E292" s="146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  <c r="AA292" s="140"/>
    </row>
    <row r="293" customFormat="false" ht="15.75" hidden="false" customHeight="false" outlineLevel="0" collapsed="false">
      <c r="A293" s="140" t="str">
        <f aca="false">IF(ISBLANK(B293),"",B293&amp;"|"&amp;C293)</f>
        <v/>
      </c>
      <c r="B293" s="140"/>
      <c r="C293" s="140"/>
      <c r="D293" s="140"/>
      <c r="E293" s="146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  <c r="AA293" s="140"/>
    </row>
    <row r="294" customFormat="false" ht="15.75" hidden="false" customHeight="false" outlineLevel="0" collapsed="false">
      <c r="A294" s="140" t="str">
        <f aca="false">IF(ISBLANK(B294),"",B294&amp;"|"&amp;C294)</f>
        <v/>
      </c>
      <c r="B294" s="140"/>
      <c r="C294" s="140"/>
      <c r="D294" s="140"/>
      <c r="E294" s="146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  <c r="AA294" s="140"/>
    </row>
    <row r="295" customFormat="false" ht="15.75" hidden="false" customHeight="false" outlineLevel="0" collapsed="false">
      <c r="A295" s="140" t="str">
        <f aca="false">IF(ISBLANK(B295),"",B295&amp;"|"&amp;C295)</f>
        <v/>
      </c>
      <c r="B295" s="140"/>
      <c r="C295" s="140"/>
      <c r="D295" s="140"/>
      <c r="E295" s="146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  <c r="AA295" s="140"/>
    </row>
    <row r="296" customFormat="false" ht="15.75" hidden="false" customHeight="false" outlineLevel="0" collapsed="false">
      <c r="A296" s="140" t="str">
        <f aca="false">IF(ISBLANK(B296),"",B296&amp;"|"&amp;C296)</f>
        <v/>
      </c>
      <c r="B296" s="140"/>
      <c r="C296" s="140"/>
      <c r="D296" s="140"/>
      <c r="E296" s="146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  <c r="AA296" s="140"/>
    </row>
    <row r="297" customFormat="false" ht="15.75" hidden="false" customHeight="false" outlineLevel="0" collapsed="false">
      <c r="A297" s="140" t="str">
        <f aca="false">IF(ISBLANK(B297),"",B297&amp;"|"&amp;C297)</f>
        <v/>
      </c>
      <c r="B297" s="140"/>
      <c r="C297" s="140"/>
      <c r="D297" s="140"/>
      <c r="E297" s="146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  <c r="AA297" s="140"/>
    </row>
    <row r="298" customFormat="false" ht="15.75" hidden="false" customHeight="false" outlineLevel="0" collapsed="false">
      <c r="A298" s="140" t="str">
        <f aca="false">IF(ISBLANK(B298),"",B298&amp;"|"&amp;C298)</f>
        <v/>
      </c>
      <c r="B298" s="140"/>
      <c r="C298" s="140"/>
      <c r="D298" s="140"/>
      <c r="E298" s="146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  <c r="AA298" s="140"/>
    </row>
    <row r="299" customFormat="false" ht="15.75" hidden="false" customHeight="false" outlineLevel="0" collapsed="false">
      <c r="A299" s="140" t="str">
        <f aca="false">IF(ISBLANK(B299),"",B299&amp;"|"&amp;C299)</f>
        <v/>
      </c>
      <c r="B299" s="140"/>
      <c r="C299" s="140"/>
      <c r="D299" s="140"/>
      <c r="E299" s="146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  <c r="AA299" s="140"/>
    </row>
    <row r="300" customFormat="false" ht="15.75" hidden="false" customHeight="false" outlineLevel="0" collapsed="false">
      <c r="A300" s="140" t="str">
        <f aca="false">IF(ISBLANK(B300),"",B300&amp;"|"&amp;C300)</f>
        <v/>
      </c>
      <c r="B300" s="140"/>
      <c r="C300" s="140"/>
      <c r="D300" s="140"/>
      <c r="E300" s="146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  <c r="AA300" s="140"/>
    </row>
    <row r="301" customFormat="false" ht="15.75" hidden="false" customHeight="false" outlineLevel="0" collapsed="false">
      <c r="A301" s="140" t="str">
        <f aca="false">IF(ISBLANK(B301),"",B301&amp;"|"&amp;C301)</f>
        <v/>
      </c>
      <c r="B301" s="140"/>
      <c r="C301" s="140"/>
      <c r="D301" s="140"/>
      <c r="E301" s="146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  <c r="AA301" s="140"/>
    </row>
    <row r="302" customFormat="false" ht="15.75" hidden="false" customHeight="false" outlineLevel="0" collapsed="false">
      <c r="A302" s="140" t="str">
        <f aca="false">IF(ISBLANK(B302),"",B302&amp;"|"&amp;C302)</f>
        <v/>
      </c>
      <c r="B302" s="140"/>
      <c r="C302" s="140"/>
      <c r="D302" s="140"/>
      <c r="E302" s="146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  <c r="AA302" s="140"/>
    </row>
    <row r="303" customFormat="false" ht="15.75" hidden="false" customHeight="false" outlineLevel="0" collapsed="false">
      <c r="A303" s="140" t="str">
        <f aca="false">IF(ISBLANK(B303),"",B303&amp;"|"&amp;C303)</f>
        <v/>
      </c>
      <c r="B303" s="140"/>
      <c r="C303" s="140"/>
      <c r="D303" s="140"/>
      <c r="E303" s="146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  <c r="AA303" s="140"/>
    </row>
    <row r="304" customFormat="false" ht="15.75" hidden="false" customHeight="false" outlineLevel="0" collapsed="false">
      <c r="A304" s="140" t="str">
        <f aca="false">IF(ISBLANK(B304),"",B304&amp;"|"&amp;C304)</f>
        <v/>
      </c>
      <c r="B304" s="140"/>
      <c r="C304" s="140"/>
      <c r="D304" s="140"/>
      <c r="E304" s="146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  <c r="AA304" s="140"/>
    </row>
    <row r="305" customFormat="false" ht="15.75" hidden="false" customHeight="false" outlineLevel="0" collapsed="false">
      <c r="A305" s="140" t="str">
        <f aca="false">IF(ISBLANK(B305),"",B305&amp;"|"&amp;C305)</f>
        <v/>
      </c>
      <c r="B305" s="140"/>
      <c r="C305" s="140"/>
      <c r="D305" s="140"/>
      <c r="E305" s="146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  <c r="AA305" s="140"/>
    </row>
    <row r="306" customFormat="false" ht="15.75" hidden="false" customHeight="false" outlineLevel="0" collapsed="false">
      <c r="A306" s="140" t="str">
        <f aca="false">IF(ISBLANK(B306),"",B306&amp;"|"&amp;C306)</f>
        <v/>
      </c>
      <c r="B306" s="140"/>
      <c r="C306" s="140"/>
      <c r="D306" s="140"/>
      <c r="E306" s="146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  <c r="AA306" s="140"/>
    </row>
    <row r="307" customFormat="false" ht="15.75" hidden="false" customHeight="false" outlineLevel="0" collapsed="false">
      <c r="A307" s="140" t="str">
        <f aca="false">IF(ISBLANK(B307),"",B307&amp;"|"&amp;C307)</f>
        <v/>
      </c>
      <c r="B307" s="140"/>
      <c r="C307" s="140"/>
      <c r="D307" s="140"/>
      <c r="E307" s="146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  <c r="AA307" s="140"/>
    </row>
    <row r="308" customFormat="false" ht="15.75" hidden="false" customHeight="false" outlineLevel="0" collapsed="false">
      <c r="A308" s="140" t="str">
        <f aca="false">IF(ISBLANK(B308),"",B308&amp;"|"&amp;C308)</f>
        <v/>
      </c>
      <c r="B308" s="140"/>
      <c r="C308" s="140"/>
      <c r="D308" s="140"/>
      <c r="E308" s="146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  <c r="AA308" s="140"/>
    </row>
    <row r="309" customFormat="false" ht="15.75" hidden="false" customHeight="false" outlineLevel="0" collapsed="false">
      <c r="A309" s="140" t="str">
        <f aca="false">IF(ISBLANK(B309),"",B309&amp;"|"&amp;C309)</f>
        <v/>
      </c>
      <c r="B309" s="140"/>
      <c r="C309" s="140"/>
      <c r="D309" s="140"/>
      <c r="E309" s="146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  <c r="AA309" s="140"/>
    </row>
    <row r="310" customFormat="false" ht="15.75" hidden="false" customHeight="false" outlineLevel="0" collapsed="false">
      <c r="A310" s="140" t="str">
        <f aca="false">IF(ISBLANK(B310),"",B310&amp;"|"&amp;C310)</f>
        <v/>
      </c>
      <c r="B310" s="140"/>
      <c r="C310" s="140"/>
      <c r="D310" s="140"/>
      <c r="E310" s="146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  <c r="AA310" s="140"/>
    </row>
    <row r="311" customFormat="false" ht="15.75" hidden="false" customHeight="false" outlineLevel="0" collapsed="false">
      <c r="A311" s="140" t="str">
        <f aca="false">IF(ISBLANK(B311),"",B311&amp;"|"&amp;C311)</f>
        <v/>
      </c>
      <c r="B311" s="140"/>
      <c r="C311" s="140"/>
      <c r="D311" s="140"/>
      <c r="E311" s="146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  <c r="AA311" s="140"/>
    </row>
    <row r="312" customFormat="false" ht="15.75" hidden="false" customHeight="false" outlineLevel="0" collapsed="false">
      <c r="A312" s="140" t="str">
        <f aca="false">IF(ISBLANK(B312),"",B312&amp;"|"&amp;C312)</f>
        <v/>
      </c>
      <c r="B312" s="140"/>
      <c r="C312" s="140"/>
      <c r="D312" s="140"/>
      <c r="E312" s="146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  <c r="AA312" s="140"/>
    </row>
    <row r="313" customFormat="false" ht="15.75" hidden="false" customHeight="false" outlineLevel="0" collapsed="false">
      <c r="A313" s="140" t="str">
        <f aca="false">IF(ISBLANK(B313),"",B313&amp;"|"&amp;C313)</f>
        <v/>
      </c>
      <c r="B313" s="140"/>
      <c r="C313" s="140"/>
      <c r="D313" s="140"/>
      <c r="E313" s="146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  <c r="AA313" s="140"/>
    </row>
    <row r="314" customFormat="false" ht="15.75" hidden="false" customHeight="false" outlineLevel="0" collapsed="false">
      <c r="A314" s="140" t="str">
        <f aca="false">IF(ISBLANK(B314),"",B314&amp;"|"&amp;C314)</f>
        <v/>
      </c>
      <c r="B314" s="140"/>
      <c r="C314" s="140"/>
      <c r="D314" s="140"/>
      <c r="E314" s="146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  <c r="AA314" s="140"/>
    </row>
    <row r="315" customFormat="false" ht="15.75" hidden="false" customHeight="false" outlineLevel="0" collapsed="false">
      <c r="A315" s="140" t="str">
        <f aca="false">IF(ISBLANK(B315),"",B315&amp;"|"&amp;C315)</f>
        <v/>
      </c>
      <c r="B315" s="140"/>
      <c r="C315" s="140"/>
      <c r="D315" s="140"/>
      <c r="E315" s="146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  <c r="AA315" s="140"/>
    </row>
    <row r="316" customFormat="false" ht="15.75" hidden="false" customHeight="false" outlineLevel="0" collapsed="false">
      <c r="A316" s="140" t="str">
        <f aca="false">IF(ISBLANK(B316),"",B316&amp;"|"&amp;C316)</f>
        <v/>
      </c>
      <c r="B316" s="140"/>
      <c r="C316" s="140"/>
      <c r="D316" s="140"/>
      <c r="E316" s="146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  <c r="AA316" s="140"/>
    </row>
    <row r="317" customFormat="false" ht="15.75" hidden="false" customHeight="false" outlineLevel="0" collapsed="false">
      <c r="A317" s="140" t="str">
        <f aca="false">IF(ISBLANK(B317),"",B317&amp;"|"&amp;C317)</f>
        <v/>
      </c>
      <c r="B317" s="140"/>
      <c r="C317" s="140"/>
      <c r="D317" s="140"/>
      <c r="E317" s="146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  <c r="AA317" s="140"/>
    </row>
    <row r="318" customFormat="false" ht="15.75" hidden="false" customHeight="false" outlineLevel="0" collapsed="false">
      <c r="A318" s="140" t="str">
        <f aca="false">IF(ISBLANK(B318),"",B318&amp;"|"&amp;C318)</f>
        <v/>
      </c>
      <c r="B318" s="140"/>
      <c r="C318" s="140"/>
      <c r="D318" s="140"/>
      <c r="E318" s="146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  <c r="AA318" s="140"/>
    </row>
    <row r="319" customFormat="false" ht="15.75" hidden="false" customHeight="false" outlineLevel="0" collapsed="false">
      <c r="A319" s="140" t="str">
        <f aca="false">IF(ISBLANK(B319),"",B319&amp;"|"&amp;C319)</f>
        <v/>
      </c>
      <c r="B319" s="140"/>
      <c r="C319" s="140"/>
      <c r="D319" s="140"/>
      <c r="E319" s="146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  <c r="AA319" s="140"/>
    </row>
    <row r="320" customFormat="false" ht="15.75" hidden="false" customHeight="false" outlineLevel="0" collapsed="false">
      <c r="A320" s="140" t="str">
        <f aca="false">IF(ISBLANK(B320),"",B320&amp;"|"&amp;C320)</f>
        <v/>
      </c>
      <c r="B320" s="140"/>
      <c r="C320" s="140"/>
      <c r="D320" s="140"/>
      <c r="E320" s="146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  <c r="AA320" s="140"/>
    </row>
    <row r="321" customFormat="false" ht="15.75" hidden="false" customHeight="false" outlineLevel="0" collapsed="false">
      <c r="A321" s="140" t="str">
        <f aca="false">IF(ISBLANK(B321),"",B321&amp;"|"&amp;C321)</f>
        <v/>
      </c>
      <c r="B321" s="140"/>
      <c r="C321" s="140"/>
      <c r="D321" s="140"/>
      <c r="E321" s="146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  <c r="AA321" s="140"/>
    </row>
    <row r="322" customFormat="false" ht="15.75" hidden="false" customHeight="false" outlineLevel="0" collapsed="false">
      <c r="A322" s="140" t="str">
        <f aca="false">IF(ISBLANK(B322),"",B322&amp;"|"&amp;C322)</f>
        <v/>
      </c>
      <c r="B322" s="140"/>
      <c r="C322" s="140"/>
      <c r="D322" s="140"/>
      <c r="E322" s="146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  <c r="AA322" s="140"/>
    </row>
    <row r="323" customFormat="false" ht="15.75" hidden="false" customHeight="false" outlineLevel="0" collapsed="false">
      <c r="A323" s="140" t="str">
        <f aca="false">IF(ISBLANK(B323),"",B323&amp;"|"&amp;C323)</f>
        <v/>
      </c>
      <c r="B323" s="140"/>
      <c r="C323" s="140"/>
      <c r="D323" s="140"/>
      <c r="E323" s="146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  <c r="AA323" s="140"/>
    </row>
    <row r="324" customFormat="false" ht="15.75" hidden="false" customHeight="false" outlineLevel="0" collapsed="false">
      <c r="A324" s="140" t="str">
        <f aca="false">IF(ISBLANK(B324),"",B324&amp;"|"&amp;C324)</f>
        <v/>
      </c>
      <c r="B324" s="140"/>
      <c r="C324" s="140"/>
      <c r="D324" s="140"/>
      <c r="E324" s="146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  <c r="AA324" s="140"/>
    </row>
    <row r="325" customFormat="false" ht="15.75" hidden="false" customHeight="false" outlineLevel="0" collapsed="false">
      <c r="A325" s="140" t="str">
        <f aca="false">IF(ISBLANK(B325),"",B325&amp;"|"&amp;C325)</f>
        <v/>
      </c>
      <c r="B325" s="140"/>
      <c r="C325" s="140"/>
      <c r="D325" s="140"/>
      <c r="E325" s="146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  <c r="AA325" s="140"/>
    </row>
    <row r="326" customFormat="false" ht="15.75" hidden="false" customHeight="false" outlineLevel="0" collapsed="false">
      <c r="A326" s="140" t="str">
        <f aca="false">IF(ISBLANK(B326),"",B326&amp;"|"&amp;C326)</f>
        <v/>
      </c>
      <c r="B326" s="140"/>
      <c r="C326" s="140"/>
      <c r="D326" s="140"/>
      <c r="E326" s="146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  <c r="AA326" s="140"/>
    </row>
    <row r="327" customFormat="false" ht="15.75" hidden="false" customHeight="false" outlineLevel="0" collapsed="false">
      <c r="A327" s="140" t="str">
        <f aca="false">IF(ISBLANK(B327),"",B327&amp;"|"&amp;C327)</f>
        <v/>
      </c>
      <c r="B327" s="140"/>
      <c r="C327" s="140"/>
      <c r="D327" s="140"/>
      <c r="E327" s="146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  <c r="AA327" s="140"/>
    </row>
    <row r="328" customFormat="false" ht="15.75" hidden="false" customHeight="false" outlineLevel="0" collapsed="false">
      <c r="A328" s="140" t="str">
        <f aca="false">IF(ISBLANK(B328),"",B328&amp;"|"&amp;C328)</f>
        <v/>
      </c>
      <c r="B328" s="140"/>
      <c r="C328" s="140"/>
      <c r="D328" s="140"/>
      <c r="E328" s="146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  <c r="AA328" s="140"/>
    </row>
    <row r="329" customFormat="false" ht="15.75" hidden="false" customHeight="false" outlineLevel="0" collapsed="false">
      <c r="A329" s="140" t="str">
        <f aca="false">IF(ISBLANK(B329),"",B329&amp;"|"&amp;C329)</f>
        <v/>
      </c>
      <c r="B329" s="140"/>
      <c r="C329" s="140"/>
      <c r="D329" s="140"/>
      <c r="E329" s="146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  <c r="AA329" s="140"/>
    </row>
    <row r="330" customFormat="false" ht="15.75" hidden="false" customHeight="false" outlineLevel="0" collapsed="false">
      <c r="A330" s="140" t="str">
        <f aca="false">IF(ISBLANK(B330),"",B330&amp;"|"&amp;C330)</f>
        <v/>
      </c>
      <c r="B330" s="140"/>
      <c r="C330" s="140"/>
      <c r="D330" s="140"/>
      <c r="E330" s="146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  <c r="AA330" s="140"/>
    </row>
    <row r="331" customFormat="false" ht="15.75" hidden="false" customHeight="false" outlineLevel="0" collapsed="false">
      <c r="A331" s="140" t="str">
        <f aca="false">IF(ISBLANK(B331),"",B331&amp;"|"&amp;C331)</f>
        <v/>
      </c>
      <c r="B331" s="140"/>
      <c r="C331" s="140"/>
      <c r="D331" s="140"/>
      <c r="E331" s="146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  <c r="AA331" s="140"/>
    </row>
    <row r="332" customFormat="false" ht="15.75" hidden="false" customHeight="false" outlineLevel="0" collapsed="false">
      <c r="A332" s="140" t="str">
        <f aca="false">IF(ISBLANK(B332),"",B332&amp;"|"&amp;C332)</f>
        <v/>
      </c>
      <c r="B332" s="140"/>
      <c r="C332" s="140"/>
      <c r="D332" s="140"/>
      <c r="E332" s="146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  <c r="AA332" s="140"/>
    </row>
    <row r="333" customFormat="false" ht="15.75" hidden="false" customHeight="false" outlineLevel="0" collapsed="false">
      <c r="A333" s="140" t="str">
        <f aca="false">IF(ISBLANK(B333),"",B333&amp;"|"&amp;C333)</f>
        <v/>
      </c>
      <c r="B333" s="140"/>
      <c r="C333" s="140"/>
      <c r="D333" s="140"/>
      <c r="E333" s="146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  <c r="AA333" s="140"/>
    </row>
    <row r="334" customFormat="false" ht="15.75" hidden="false" customHeight="false" outlineLevel="0" collapsed="false">
      <c r="A334" s="140" t="str">
        <f aca="false">IF(ISBLANK(B334),"",B334&amp;"|"&amp;C334)</f>
        <v/>
      </c>
      <c r="B334" s="140"/>
      <c r="C334" s="140"/>
      <c r="D334" s="140"/>
      <c r="E334" s="146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  <c r="AA334" s="140"/>
    </row>
    <row r="335" customFormat="false" ht="15.75" hidden="false" customHeight="false" outlineLevel="0" collapsed="false">
      <c r="A335" s="140" t="str">
        <f aca="false">IF(ISBLANK(B335),"",B335&amp;"|"&amp;C335)</f>
        <v/>
      </c>
      <c r="B335" s="140"/>
      <c r="C335" s="140"/>
      <c r="D335" s="140"/>
      <c r="E335" s="146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  <c r="AA335" s="140"/>
    </row>
    <row r="336" customFormat="false" ht="15.75" hidden="false" customHeight="false" outlineLevel="0" collapsed="false">
      <c r="A336" s="140" t="str">
        <f aca="false">IF(ISBLANK(B336),"",B336&amp;"|"&amp;C336)</f>
        <v/>
      </c>
      <c r="B336" s="140"/>
      <c r="C336" s="140"/>
      <c r="D336" s="140"/>
      <c r="E336" s="146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  <c r="AA336" s="140"/>
    </row>
    <row r="337" customFormat="false" ht="15.75" hidden="false" customHeight="false" outlineLevel="0" collapsed="false">
      <c r="A337" s="140" t="str">
        <f aca="false">IF(ISBLANK(B337),"",B337&amp;"|"&amp;C337)</f>
        <v/>
      </c>
      <c r="B337" s="140"/>
      <c r="C337" s="140"/>
      <c r="D337" s="140"/>
      <c r="E337" s="146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  <c r="AA337" s="140"/>
    </row>
    <row r="338" customFormat="false" ht="15.75" hidden="false" customHeight="false" outlineLevel="0" collapsed="false">
      <c r="A338" s="140" t="str">
        <f aca="false">IF(ISBLANK(B338),"",B338&amp;"|"&amp;C338)</f>
        <v/>
      </c>
      <c r="B338" s="140"/>
      <c r="C338" s="140"/>
      <c r="D338" s="140"/>
      <c r="E338" s="146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  <c r="AA338" s="140"/>
    </row>
    <row r="339" customFormat="false" ht="15.75" hidden="false" customHeight="false" outlineLevel="0" collapsed="false">
      <c r="A339" s="140" t="str">
        <f aca="false">IF(ISBLANK(B339),"",B339&amp;"|"&amp;C339)</f>
        <v/>
      </c>
      <c r="B339" s="140"/>
      <c r="C339" s="140"/>
      <c r="D339" s="140"/>
      <c r="E339" s="146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  <c r="AA339" s="140"/>
    </row>
    <row r="340" customFormat="false" ht="15.75" hidden="false" customHeight="false" outlineLevel="0" collapsed="false">
      <c r="A340" s="140" t="str">
        <f aca="false">IF(ISBLANK(B340),"",B340&amp;"|"&amp;C340)</f>
        <v/>
      </c>
      <c r="B340" s="140"/>
      <c r="C340" s="140"/>
      <c r="D340" s="140"/>
      <c r="E340" s="146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  <c r="AA340" s="140"/>
    </row>
    <row r="341" customFormat="false" ht="15.75" hidden="false" customHeight="false" outlineLevel="0" collapsed="false">
      <c r="A341" s="140" t="str">
        <f aca="false">IF(ISBLANK(B341),"",B341&amp;"|"&amp;C341)</f>
        <v/>
      </c>
      <c r="B341" s="140"/>
      <c r="C341" s="140"/>
      <c r="D341" s="140"/>
      <c r="E341" s="146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  <c r="AA341" s="140"/>
    </row>
    <row r="342" customFormat="false" ht="15.75" hidden="false" customHeight="false" outlineLevel="0" collapsed="false">
      <c r="A342" s="140" t="str">
        <f aca="false">IF(ISBLANK(B342),"",B342&amp;"|"&amp;C342)</f>
        <v/>
      </c>
      <c r="B342" s="140"/>
      <c r="C342" s="140"/>
      <c r="D342" s="140"/>
      <c r="E342" s="146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  <c r="AA342" s="140"/>
    </row>
    <row r="343" customFormat="false" ht="15.75" hidden="false" customHeight="false" outlineLevel="0" collapsed="false">
      <c r="A343" s="140" t="str">
        <f aca="false">IF(ISBLANK(B343),"",B343&amp;"|"&amp;C343)</f>
        <v/>
      </c>
      <c r="B343" s="140"/>
      <c r="C343" s="140"/>
      <c r="D343" s="140"/>
      <c r="E343" s="146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  <c r="AA343" s="140"/>
    </row>
    <row r="344" customFormat="false" ht="15.75" hidden="false" customHeight="false" outlineLevel="0" collapsed="false">
      <c r="A344" s="140" t="str">
        <f aca="false">IF(ISBLANK(B344),"",B344&amp;"|"&amp;C344)</f>
        <v/>
      </c>
      <c r="B344" s="140"/>
      <c r="C344" s="140"/>
      <c r="D344" s="140"/>
      <c r="E344" s="146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  <c r="AA344" s="140"/>
    </row>
    <row r="345" customFormat="false" ht="15.75" hidden="false" customHeight="false" outlineLevel="0" collapsed="false">
      <c r="A345" s="140" t="str">
        <f aca="false">IF(ISBLANK(B345),"",B345&amp;"|"&amp;C345)</f>
        <v/>
      </c>
      <c r="B345" s="140"/>
      <c r="C345" s="140"/>
      <c r="D345" s="140"/>
      <c r="E345" s="146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  <c r="AA345" s="140"/>
    </row>
    <row r="346" customFormat="false" ht="15.75" hidden="false" customHeight="false" outlineLevel="0" collapsed="false">
      <c r="A346" s="140" t="str">
        <f aca="false">IF(ISBLANK(B346),"",B346&amp;"|"&amp;C346)</f>
        <v/>
      </c>
      <c r="B346" s="140"/>
      <c r="C346" s="140"/>
      <c r="D346" s="140"/>
      <c r="E346" s="146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  <c r="AA346" s="140"/>
    </row>
    <row r="347" customFormat="false" ht="15.75" hidden="false" customHeight="false" outlineLevel="0" collapsed="false">
      <c r="A347" s="140" t="str">
        <f aca="false">IF(ISBLANK(B347),"",B347&amp;"|"&amp;C347)</f>
        <v/>
      </c>
      <c r="B347" s="140"/>
      <c r="C347" s="140"/>
      <c r="D347" s="140"/>
      <c r="E347" s="146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  <c r="AA347" s="140"/>
    </row>
    <row r="348" customFormat="false" ht="15.75" hidden="false" customHeight="false" outlineLevel="0" collapsed="false">
      <c r="A348" s="140" t="str">
        <f aca="false">IF(ISBLANK(B348),"",B348&amp;"|"&amp;C348)</f>
        <v/>
      </c>
      <c r="B348" s="140"/>
      <c r="C348" s="140"/>
      <c r="D348" s="140"/>
      <c r="E348" s="146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  <c r="AA348" s="140"/>
    </row>
    <row r="349" customFormat="false" ht="15.75" hidden="false" customHeight="false" outlineLevel="0" collapsed="false">
      <c r="A349" s="140" t="str">
        <f aca="false">IF(ISBLANK(B349),"",B349&amp;"|"&amp;C349)</f>
        <v/>
      </c>
      <c r="B349" s="140"/>
      <c r="C349" s="140"/>
      <c r="D349" s="140"/>
      <c r="E349" s="146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  <c r="AA349" s="140"/>
    </row>
    <row r="350" customFormat="false" ht="15.75" hidden="false" customHeight="false" outlineLevel="0" collapsed="false">
      <c r="A350" s="140" t="str">
        <f aca="false">IF(ISBLANK(B350),"",B350&amp;"|"&amp;C350)</f>
        <v/>
      </c>
      <c r="B350" s="140"/>
      <c r="C350" s="140"/>
      <c r="D350" s="140"/>
      <c r="E350" s="146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  <c r="AA350" s="140"/>
    </row>
    <row r="351" customFormat="false" ht="15.75" hidden="false" customHeight="false" outlineLevel="0" collapsed="false">
      <c r="A351" s="140" t="str">
        <f aca="false">IF(ISBLANK(B351),"",B351&amp;"|"&amp;C351)</f>
        <v/>
      </c>
      <c r="B351" s="140"/>
      <c r="C351" s="140"/>
      <c r="D351" s="140"/>
      <c r="E351" s="146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  <c r="AA351" s="140"/>
    </row>
    <row r="352" customFormat="false" ht="15.75" hidden="false" customHeight="false" outlineLevel="0" collapsed="false">
      <c r="A352" s="140" t="str">
        <f aca="false">IF(ISBLANK(B352),"",B352&amp;"|"&amp;C352)</f>
        <v/>
      </c>
      <c r="B352" s="140"/>
      <c r="C352" s="140"/>
      <c r="D352" s="140"/>
      <c r="E352" s="146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  <c r="AA352" s="140"/>
    </row>
    <row r="353" customFormat="false" ht="15.75" hidden="false" customHeight="false" outlineLevel="0" collapsed="false">
      <c r="A353" s="140" t="str">
        <f aca="false">IF(ISBLANK(B353),"",B353&amp;"|"&amp;C353)</f>
        <v/>
      </c>
      <c r="B353" s="140"/>
      <c r="C353" s="140"/>
      <c r="D353" s="140"/>
      <c r="E353" s="146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  <c r="AA353" s="140"/>
    </row>
    <row r="354" customFormat="false" ht="15.75" hidden="false" customHeight="false" outlineLevel="0" collapsed="false">
      <c r="A354" s="140" t="str">
        <f aca="false">IF(ISBLANK(B354),"",B354&amp;"|"&amp;C354)</f>
        <v/>
      </c>
      <c r="B354" s="140"/>
      <c r="C354" s="140"/>
      <c r="D354" s="140"/>
      <c r="E354" s="146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  <c r="AA354" s="140"/>
    </row>
    <row r="355" customFormat="false" ht="15.75" hidden="false" customHeight="false" outlineLevel="0" collapsed="false">
      <c r="A355" s="140" t="str">
        <f aca="false">IF(ISBLANK(B355),"",B355&amp;"|"&amp;C355)</f>
        <v/>
      </c>
      <c r="B355" s="140"/>
      <c r="C355" s="140"/>
      <c r="D355" s="140"/>
      <c r="E355" s="146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  <c r="AA355" s="140"/>
    </row>
    <row r="356" customFormat="false" ht="15.75" hidden="false" customHeight="false" outlineLevel="0" collapsed="false">
      <c r="A356" s="140" t="str">
        <f aca="false">IF(ISBLANK(B356),"",B356&amp;"|"&amp;C356)</f>
        <v/>
      </c>
      <c r="B356" s="140"/>
      <c r="C356" s="140"/>
      <c r="D356" s="140"/>
      <c r="E356" s="146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  <c r="AA356" s="140"/>
    </row>
    <row r="357" customFormat="false" ht="15.75" hidden="false" customHeight="false" outlineLevel="0" collapsed="false">
      <c r="A357" s="140" t="str">
        <f aca="false">IF(ISBLANK(B357),"",B357&amp;"|"&amp;C357)</f>
        <v/>
      </c>
      <c r="B357" s="140"/>
      <c r="C357" s="140"/>
      <c r="D357" s="140"/>
      <c r="E357" s="146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  <c r="AA357" s="140"/>
    </row>
    <row r="358" customFormat="false" ht="15.75" hidden="false" customHeight="false" outlineLevel="0" collapsed="false">
      <c r="A358" s="140" t="str">
        <f aca="false">IF(ISBLANK(B358),"",B358&amp;"|"&amp;C358)</f>
        <v/>
      </c>
      <c r="B358" s="140"/>
      <c r="C358" s="140"/>
      <c r="D358" s="140"/>
      <c r="E358" s="146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  <c r="AA358" s="140"/>
    </row>
    <row r="359" customFormat="false" ht="15.75" hidden="false" customHeight="false" outlineLevel="0" collapsed="false">
      <c r="A359" s="140" t="str">
        <f aca="false">IF(ISBLANK(B359),"",B359&amp;"|"&amp;C359)</f>
        <v/>
      </c>
      <c r="B359" s="140"/>
      <c r="C359" s="140"/>
      <c r="D359" s="140"/>
      <c r="E359" s="146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  <c r="AA359" s="140"/>
    </row>
    <row r="360" customFormat="false" ht="15.75" hidden="false" customHeight="false" outlineLevel="0" collapsed="false">
      <c r="A360" s="140" t="str">
        <f aca="false">IF(ISBLANK(B360),"",B360&amp;"|"&amp;C360)</f>
        <v/>
      </c>
      <c r="B360" s="140"/>
      <c r="C360" s="140"/>
      <c r="D360" s="140"/>
      <c r="E360" s="146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  <c r="AA360" s="140"/>
    </row>
    <row r="361" customFormat="false" ht="15.75" hidden="false" customHeight="false" outlineLevel="0" collapsed="false">
      <c r="A361" s="140" t="str">
        <f aca="false">IF(ISBLANK(B361),"",B361&amp;"|"&amp;C361)</f>
        <v/>
      </c>
      <c r="B361" s="140"/>
      <c r="C361" s="140"/>
      <c r="D361" s="140"/>
      <c r="E361" s="146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  <c r="AA361" s="140"/>
    </row>
    <row r="362" customFormat="false" ht="15.75" hidden="false" customHeight="false" outlineLevel="0" collapsed="false">
      <c r="A362" s="140" t="str">
        <f aca="false">IF(ISBLANK(B362),"",B362&amp;"|"&amp;C362)</f>
        <v/>
      </c>
      <c r="B362" s="140"/>
      <c r="C362" s="140"/>
      <c r="D362" s="140"/>
      <c r="E362" s="146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  <c r="AA362" s="140"/>
    </row>
    <row r="363" customFormat="false" ht="15.75" hidden="false" customHeight="false" outlineLevel="0" collapsed="false">
      <c r="A363" s="140" t="str">
        <f aca="false">IF(ISBLANK(B363),"",B363&amp;"|"&amp;C363)</f>
        <v/>
      </c>
      <c r="B363" s="140"/>
      <c r="C363" s="140"/>
      <c r="D363" s="140"/>
      <c r="E363" s="146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  <c r="AA363" s="140"/>
    </row>
    <row r="364" customFormat="false" ht="15.75" hidden="false" customHeight="false" outlineLevel="0" collapsed="false">
      <c r="A364" s="140" t="str">
        <f aca="false">IF(ISBLANK(B364),"",B364&amp;"|"&amp;C364)</f>
        <v/>
      </c>
      <c r="B364" s="140"/>
      <c r="C364" s="140"/>
      <c r="D364" s="140"/>
      <c r="E364" s="146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  <c r="AA364" s="140"/>
    </row>
    <row r="365" customFormat="false" ht="15.75" hidden="false" customHeight="false" outlineLevel="0" collapsed="false">
      <c r="A365" s="140" t="str">
        <f aca="false">IF(ISBLANK(B365),"",B365&amp;"|"&amp;C365)</f>
        <v/>
      </c>
      <c r="B365" s="140"/>
      <c r="C365" s="140"/>
      <c r="D365" s="140"/>
      <c r="E365" s="146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  <c r="AA365" s="140"/>
    </row>
    <row r="366" customFormat="false" ht="15.75" hidden="false" customHeight="false" outlineLevel="0" collapsed="false">
      <c r="A366" s="140" t="str">
        <f aca="false">IF(ISBLANK(B366),"",B366&amp;"|"&amp;C366)</f>
        <v/>
      </c>
      <c r="B366" s="140"/>
      <c r="C366" s="140"/>
      <c r="D366" s="140"/>
      <c r="E366" s="146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  <c r="AA366" s="140"/>
    </row>
    <row r="367" customFormat="false" ht="15.75" hidden="false" customHeight="false" outlineLevel="0" collapsed="false">
      <c r="A367" s="140" t="str">
        <f aca="false">IF(ISBLANK(B367),"",B367&amp;"|"&amp;C367)</f>
        <v/>
      </c>
      <c r="B367" s="140"/>
      <c r="C367" s="140"/>
      <c r="D367" s="140"/>
      <c r="E367" s="146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  <c r="AA367" s="140"/>
    </row>
    <row r="368" customFormat="false" ht="15.75" hidden="false" customHeight="false" outlineLevel="0" collapsed="false">
      <c r="A368" s="140" t="str">
        <f aca="false">IF(ISBLANK(B368),"",B368&amp;"|"&amp;C368)</f>
        <v/>
      </c>
      <c r="B368" s="140"/>
      <c r="C368" s="140"/>
      <c r="D368" s="140"/>
      <c r="E368" s="146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  <c r="AA368" s="140"/>
    </row>
    <row r="369" customFormat="false" ht="15.75" hidden="false" customHeight="false" outlineLevel="0" collapsed="false">
      <c r="A369" s="140" t="str">
        <f aca="false">IF(ISBLANK(B369),"",B369&amp;"|"&amp;C369)</f>
        <v/>
      </c>
      <c r="B369" s="140"/>
      <c r="C369" s="140"/>
      <c r="D369" s="140"/>
      <c r="E369" s="146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  <c r="AA369" s="140"/>
    </row>
    <row r="370" customFormat="false" ht="15.75" hidden="false" customHeight="false" outlineLevel="0" collapsed="false">
      <c r="A370" s="140" t="str">
        <f aca="false">IF(ISBLANK(B370),"",B370&amp;"|"&amp;C370)</f>
        <v/>
      </c>
      <c r="B370" s="140"/>
      <c r="C370" s="140"/>
      <c r="D370" s="140"/>
      <c r="E370" s="146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  <c r="AA370" s="140"/>
    </row>
    <row r="371" customFormat="false" ht="15.75" hidden="false" customHeight="false" outlineLevel="0" collapsed="false">
      <c r="A371" s="140" t="str">
        <f aca="false">IF(ISBLANK(B371),"",B371&amp;"|"&amp;C371)</f>
        <v/>
      </c>
      <c r="B371" s="140"/>
      <c r="C371" s="140"/>
      <c r="D371" s="140"/>
      <c r="E371" s="146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  <c r="AA371" s="140"/>
    </row>
    <row r="372" customFormat="false" ht="15.75" hidden="false" customHeight="false" outlineLevel="0" collapsed="false">
      <c r="A372" s="140" t="str">
        <f aca="false">IF(ISBLANK(B372),"",B372&amp;"|"&amp;C372)</f>
        <v/>
      </c>
      <c r="B372" s="140"/>
      <c r="C372" s="140"/>
      <c r="D372" s="140"/>
      <c r="E372" s="146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  <c r="AA372" s="140"/>
    </row>
    <row r="373" customFormat="false" ht="15.75" hidden="false" customHeight="false" outlineLevel="0" collapsed="false">
      <c r="A373" s="140" t="str">
        <f aca="false">IF(ISBLANK(B373),"",B373&amp;"|"&amp;C373)</f>
        <v/>
      </c>
      <c r="B373" s="140"/>
      <c r="C373" s="140"/>
      <c r="D373" s="140"/>
      <c r="E373" s="146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  <c r="AA373" s="140"/>
    </row>
    <row r="374" customFormat="false" ht="15.75" hidden="false" customHeight="false" outlineLevel="0" collapsed="false">
      <c r="A374" s="140" t="str">
        <f aca="false">IF(ISBLANK(B374),"",B374&amp;"|"&amp;C374)</f>
        <v/>
      </c>
      <c r="B374" s="140"/>
      <c r="C374" s="140"/>
      <c r="D374" s="140"/>
      <c r="E374" s="146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  <c r="AA374" s="140"/>
    </row>
    <row r="375" customFormat="false" ht="15.75" hidden="false" customHeight="false" outlineLevel="0" collapsed="false">
      <c r="A375" s="140" t="str">
        <f aca="false">IF(ISBLANK(B375),"",B375&amp;"|"&amp;C375)</f>
        <v/>
      </c>
      <c r="B375" s="140"/>
      <c r="C375" s="140"/>
      <c r="D375" s="140"/>
      <c r="E375" s="146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  <c r="AA375" s="140"/>
    </row>
    <row r="376" customFormat="false" ht="15.75" hidden="false" customHeight="false" outlineLevel="0" collapsed="false">
      <c r="A376" s="140" t="str">
        <f aca="false">IF(ISBLANK(B376),"",B376&amp;"|"&amp;C376)</f>
        <v/>
      </c>
      <c r="B376" s="140"/>
      <c r="C376" s="140"/>
      <c r="D376" s="140"/>
      <c r="E376" s="146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  <c r="AA376" s="140"/>
    </row>
    <row r="377" customFormat="false" ht="15.75" hidden="false" customHeight="false" outlineLevel="0" collapsed="false">
      <c r="A377" s="140" t="str">
        <f aca="false">IF(ISBLANK(B377),"",B377&amp;"|"&amp;C377)</f>
        <v/>
      </c>
      <c r="B377" s="140"/>
      <c r="C377" s="140"/>
      <c r="D377" s="140"/>
      <c r="E377" s="146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  <c r="AA377" s="140"/>
    </row>
    <row r="378" customFormat="false" ht="15.75" hidden="false" customHeight="false" outlineLevel="0" collapsed="false">
      <c r="A378" s="140" t="str">
        <f aca="false">IF(ISBLANK(B378),"",B378&amp;"|"&amp;C378)</f>
        <v/>
      </c>
      <c r="B378" s="140"/>
      <c r="C378" s="140"/>
      <c r="D378" s="140"/>
      <c r="E378" s="146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  <c r="AA378" s="140"/>
    </row>
    <row r="379" customFormat="false" ht="15.75" hidden="false" customHeight="false" outlineLevel="0" collapsed="false">
      <c r="A379" s="140" t="str">
        <f aca="false">IF(ISBLANK(B379),"",B379&amp;"|"&amp;C379)</f>
        <v/>
      </c>
      <c r="B379" s="140"/>
      <c r="C379" s="140"/>
      <c r="D379" s="140"/>
      <c r="E379" s="146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  <c r="AA379" s="140"/>
    </row>
    <row r="380" customFormat="false" ht="15.75" hidden="false" customHeight="false" outlineLevel="0" collapsed="false">
      <c r="A380" s="140" t="str">
        <f aca="false">IF(ISBLANK(B380),"",B380&amp;"|"&amp;C380)</f>
        <v/>
      </c>
      <c r="B380" s="140"/>
      <c r="C380" s="140"/>
      <c r="D380" s="140"/>
      <c r="E380" s="146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  <c r="AA380" s="140"/>
    </row>
    <row r="381" customFormat="false" ht="15.75" hidden="false" customHeight="false" outlineLevel="0" collapsed="false">
      <c r="A381" s="140" t="str">
        <f aca="false">IF(ISBLANK(B381),"",B381&amp;"|"&amp;C381)</f>
        <v/>
      </c>
      <c r="B381" s="140"/>
      <c r="C381" s="140"/>
      <c r="D381" s="140"/>
      <c r="E381" s="146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  <c r="AA381" s="140"/>
    </row>
    <row r="382" customFormat="false" ht="15.75" hidden="false" customHeight="false" outlineLevel="0" collapsed="false">
      <c r="A382" s="140" t="str">
        <f aca="false">IF(ISBLANK(B382),"",B382&amp;"|"&amp;C382)</f>
        <v/>
      </c>
      <c r="B382" s="140"/>
      <c r="C382" s="140"/>
      <c r="D382" s="140"/>
      <c r="E382" s="146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  <c r="AA382" s="140"/>
    </row>
    <row r="383" customFormat="false" ht="15.75" hidden="false" customHeight="false" outlineLevel="0" collapsed="false">
      <c r="A383" s="140" t="str">
        <f aca="false">IF(ISBLANK(B383),"",B383&amp;"|"&amp;C383)</f>
        <v/>
      </c>
      <c r="B383" s="140"/>
      <c r="C383" s="140"/>
      <c r="D383" s="140"/>
      <c r="E383" s="146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  <c r="AA383" s="140"/>
    </row>
    <row r="384" customFormat="false" ht="15.75" hidden="false" customHeight="false" outlineLevel="0" collapsed="false">
      <c r="A384" s="140" t="str">
        <f aca="false">IF(ISBLANK(B384),"",B384&amp;"|"&amp;C384)</f>
        <v/>
      </c>
      <c r="B384" s="140"/>
      <c r="C384" s="140"/>
      <c r="D384" s="140"/>
      <c r="E384" s="146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  <c r="AA384" s="140"/>
    </row>
    <row r="385" customFormat="false" ht="15.75" hidden="false" customHeight="false" outlineLevel="0" collapsed="false">
      <c r="A385" s="140" t="str">
        <f aca="false">IF(ISBLANK(B385),"",B385&amp;"|"&amp;C385)</f>
        <v/>
      </c>
      <c r="B385" s="140"/>
      <c r="C385" s="140"/>
      <c r="D385" s="140"/>
      <c r="E385" s="146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  <c r="AA385" s="140"/>
    </row>
    <row r="386" customFormat="false" ht="15.75" hidden="false" customHeight="false" outlineLevel="0" collapsed="false">
      <c r="A386" s="140" t="str">
        <f aca="false">IF(ISBLANK(B386),"",B386&amp;"|"&amp;C386)</f>
        <v/>
      </c>
      <c r="B386" s="140"/>
      <c r="C386" s="140"/>
      <c r="D386" s="140"/>
      <c r="E386" s="146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  <c r="AA386" s="140"/>
    </row>
    <row r="387" customFormat="false" ht="15.75" hidden="false" customHeight="false" outlineLevel="0" collapsed="false">
      <c r="A387" s="140" t="str">
        <f aca="false">IF(ISBLANK(B387),"",B387&amp;"|"&amp;C387)</f>
        <v/>
      </c>
      <c r="B387" s="140"/>
      <c r="C387" s="140"/>
      <c r="D387" s="140"/>
      <c r="E387" s="146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  <c r="AA387" s="140"/>
    </row>
    <row r="388" customFormat="false" ht="15.75" hidden="false" customHeight="false" outlineLevel="0" collapsed="false">
      <c r="A388" s="140" t="str">
        <f aca="false">IF(ISBLANK(B388),"",B388&amp;"|"&amp;C388)</f>
        <v/>
      </c>
      <c r="B388" s="140"/>
      <c r="C388" s="140"/>
      <c r="D388" s="140"/>
      <c r="E388" s="146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  <c r="AA388" s="140"/>
    </row>
    <row r="389" customFormat="false" ht="15.75" hidden="false" customHeight="false" outlineLevel="0" collapsed="false">
      <c r="A389" s="140" t="str">
        <f aca="false">IF(ISBLANK(B389),"",B389&amp;"|"&amp;C389)</f>
        <v/>
      </c>
      <c r="B389" s="140"/>
      <c r="C389" s="140"/>
      <c r="D389" s="140"/>
      <c r="E389" s="146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  <c r="AA389" s="140"/>
    </row>
    <row r="390" customFormat="false" ht="15.75" hidden="false" customHeight="false" outlineLevel="0" collapsed="false">
      <c r="A390" s="140" t="str">
        <f aca="false">IF(ISBLANK(B390),"",B390&amp;"|"&amp;C390)</f>
        <v/>
      </c>
      <c r="B390" s="140"/>
      <c r="C390" s="140"/>
      <c r="D390" s="140"/>
      <c r="E390" s="146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  <c r="AA390" s="140"/>
    </row>
    <row r="391" customFormat="false" ht="15.75" hidden="false" customHeight="false" outlineLevel="0" collapsed="false">
      <c r="A391" s="140" t="str">
        <f aca="false">IF(ISBLANK(B391),"",B391&amp;"|"&amp;C391)</f>
        <v/>
      </c>
      <c r="B391" s="140"/>
      <c r="C391" s="140"/>
      <c r="D391" s="140"/>
      <c r="E391" s="146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  <c r="AA391" s="140"/>
    </row>
    <row r="392" customFormat="false" ht="15.75" hidden="false" customHeight="false" outlineLevel="0" collapsed="false">
      <c r="A392" s="140" t="str">
        <f aca="false">IF(ISBLANK(B392),"",B392&amp;"|"&amp;C392)</f>
        <v/>
      </c>
      <c r="B392" s="140"/>
      <c r="C392" s="140"/>
      <c r="D392" s="140"/>
      <c r="E392" s="146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  <c r="AA392" s="140"/>
    </row>
    <row r="393" customFormat="false" ht="15.75" hidden="false" customHeight="false" outlineLevel="0" collapsed="false">
      <c r="A393" s="140" t="str">
        <f aca="false">IF(ISBLANK(B393),"",B393&amp;"|"&amp;C393)</f>
        <v/>
      </c>
      <c r="B393" s="140"/>
      <c r="C393" s="140"/>
      <c r="D393" s="140"/>
      <c r="E393" s="146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  <c r="AA393" s="140"/>
    </row>
    <row r="394" customFormat="false" ht="15.75" hidden="false" customHeight="false" outlineLevel="0" collapsed="false">
      <c r="A394" s="140" t="str">
        <f aca="false">IF(ISBLANK(B394),"",B394&amp;"|"&amp;C394)</f>
        <v/>
      </c>
      <c r="B394" s="140"/>
      <c r="C394" s="140"/>
      <c r="D394" s="140"/>
      <c r="E394" s="146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  <c r="AA394" s="140"/>
    </row>
    <row r="395" customFormat="false" ht="15.75" hidden="false" customHeight="false" outlineLevel="0" collapsed="false">
      <c r="A395" s="140" t="str">
        <f aca="false">IF(ISBLANK(B395),"",B395&amp;"|"&amp;C395)</f>
        <v/>
      </c>
      <c r="B395" s="140"/>
      <c r="C395" s="140"/>
      <c r="D395" s="140"/>
      <c r="E395" s="146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  <c r="AA395" s="140"/>
    </row>
    <row r="396" customFormat="false" ht="15.75" hidden="false" customHeight="false" outlineLevel="0" collapsed="false">
      <c r="A396" s="140" t="str">
        <f aca="false">IF(ISBLANK(B396),"",B396&amp;"|"&amp;C396)</f>
        <v/>
      </c>
      <c r="B396" s="140"/>
      <c r="C396" s="140"/>
      <c r="D396" s="140"/>
      <c r="E396" s="146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  <c r="AA396" s="140"/>
    </row>
    <row r="397" customFormat="false" ht="15.75" hidden="false" customHeight="false" outlineLevel="0" collapsed="false">
      <c r="A397" s="140" t="str">
        <f aca="false">IF(ISBLANK(B397),"",B397&amp;"|"&amp;C397)</f>
        <v/>
      </c>
      <c r="B397" s="140"/>
      <c r="C397" s="140"/>
      <c r="D397" s="140"/>
      <c r="E397" s="146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  <c r="AA397" s="140"/>
    </row>
    <row r="398" customFormat="false" ht="15.75" hidden="false" customHeight="false" outlineLevel="0" collapsed="false">
      <c r="A398" s="140" t="str">
        <f aca="false">IF(ISBLANK(B398),"",B398&amp;"|"&amp;C398)</f>
        <v/>
      </c>
      <c r="B398" s="140"/>
      <c r="C398" s="140"/>
      <c r="D398" s="140"/>
      <c r="E398" s="146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  <c r="AA398" s="140"/>
    </row>
    <row r="399" customFormat="false" ht="15.75" hidden="false" customHeight="false" outlineLevel="0" collapsed="false">
      <c r="A399" s="140" t="str">
        <f aca="false">IF(ISBLANK(B399),"",B399&amp;"|"&amp;C399)</f>
        <v/>
      </c>
      <c r="B399" s="140"/>
      <c r="C399" s="140"/>
      <c r="D399" s="140"/>
      <c r="E399" s="146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  <c r="AA399" s="140"/>
    </row>
    <row r="400" customFormat="false" ht="15.75" hidden="false" customHeight="false" outlineLevel="0" collapsed="false">
      <c r="A400" s="140" t="str">
        <f aca="false">IF(ISBLANK(B400),"",B400&amp;"|"&amp;C400)</f>
        <v/>
      </c>
      <c r="B400" s="140"/>
      <c r="C400" s="140"/>
      <c r="D400" s="140"/>
      <c r="E400" s="146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  <c r="AA400" s="140"/>
    </row>
    <row r="401" customFormat="false" ht="15.75" hidden="false" customHeight="false" outlineLevel="0" collapsed="false">
      <c r="A401" s="140" t="str">
        <f aca="false">IF(ISBLANK(B401),"",B401&amp;"|"&amp;C401)</f>
        <v/>
      </c>
      <c r="B401" s="140"/>
      <c r="C401" s="140"/>
      <c r="D401" s="140"/>
      <c r="E401" s="146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  <c r="AA401" s="140"/>
    </row>
    <row r="402" customFormat="false" ht="15.75" hidden="false" customHeight="false" outlineLevel="0" collapsed="false">
      <c r="A402" s="140" t="str">
        <f aca="false">IF(ISBLANK(B402),"",B402&amp;"|"&amp;C402)</f>
        <v/>
      </c>
      <c r="B402" s="140"/>
      <c r="C402" s="140"/>
      <c r="D402" s="140"/>
      <c r="E402" s="146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  <c r="AA402" s="140"/>
    </row>
    <row r="403" customFormat="false" ht="15.75" hidden="false" customHeight="false" outlineLevel="0" collapsed="false">
      <c r="A403" s="140" t="str">
        <f aca="false">IF(ISBLANK(B403),"",B403&amp;"|"&amp;C403)</f>
        <v/>
      </c>
      <c r="B403" s="140"/>
      <c r="C403" s="140"/>
      <c r="D403" s="140"/>
      <c r="E403" s="146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  <c r="AA403" s="140"/>
    </row>
    <row r="404" customFormat="false" ht="15.75" hidden="false" customHeight="false" outlineLevel="0" collapsed="false">
      <c r="A404" s="140" t="str">
        <f aca="false">IF(ISBLANK(B404),"",B404&amp;"|"&amp;C404)</f>
        <v/>
      </c>
      <c r="B404" s="140"/>
      <c r="C404" s="140"/>
      <c r="D404" s="140"/>
      <c r="E404" s="146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  <c r="AA404" s="140"/>
    </row>
    <row r="405" customFormat="false" ht="15.75" hidden="false" customHeight="false" outlineLevel="0" collapsed="false">
      <c r="A405" s="140" t="str">
        <f aca="false">IF(ISBLANK(B405),"",B405&amp;"|"&amp;C405)</f>
        <v/>
      </c>
      <c r="B405" s="140"/>
      <c r="C405" s="140"/>
      <c r="D405" s="140"/>
      <c r="E405" s="146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  <c r="AA405" s="140"/>
    </row>
    <row r="406" customFormat="false" ht="15.75" hidden="false" customHeight="false" outlineLevel="0" collapsed="false">
      <c r="A406" s="140" t="str">
        <f aca="false">IF(ISBLANK(B406),"",B406&amp;"|"&amp;C406)</f>
        <v/>
      </c>
      <c r="B406" s="140"/>
      <c r="C406" s="140"/>
      <c r="D406" s="140"/>
      <c r="E406" s="146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  <c r="AA406" s="140"/>
    </row>
    <row r="407" customFormat="false" ht="15.75" hidden="false" customHeight="false" outlineLevel="0" collapsed="false">
      <c r="A407" s="140" t="str">
        <f aca="false">IF(ISBLANK(B407),"",B407&amp;"|"&amp;C407)</f>
        <v/>
      </c>
      <c r="B407" s="140"/>
      <c r="C407" s="140"/>
      <c r="D407" s="140"/>
      <c r="E407" s="146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  <c r="AA407" s="140"/>
    </row>
    <row r="408" customFormat="false" ht="15.75" hidden="false" customHeight="false" outlineLevel="0" collapsed="false">
      <c r="A408" s="140" t="str">
        <f aca="false">IF(ISBLANK(B408),"",B408&amp;"|"&amp;C408)</f>
        <v/>
      </c>
      <c r="B408" s="140"/>
      <c r="C408" s="140"/>
      <c r="D408" s="140"/>
      <c r="E408" s="146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  <c r="AA408" s="140"/>
    </row>
    <row r="409" customFormat="false" ht="15.75" hidden="false" customHeight="false" outlineLevel="0" collapsed="false">
      <c r="A409" s="140" t="str">
        <f aca="false">IF(ISBLANK(B409),"",B409&amp;"|"&amp;C409)</f>
        <v/>
      </c>
      <c r="B409" s="140"/>
      <c r="C409" s="140"/>
      <c r="D409" s="140"/>
      <c r="E409" s="146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  <c r="AA409" s="140"/>
    </row>
    <row r="410" customFormat="false" ht="15.75" hidden="false" customHeight="false" outlineLevel="0" collapsed="false">
      <c r="A410" s="140" t="str">
        <f aca="false">IF(ISBLANK(B410),"",B410&amp;"|"&amp;C410)</f>
        <v/>
      </c>
      <c r="B410" s="140"/>
      <c r="C410" s="140"/>
      <c r="D410" s="140"/>
      <c r="E410" s="146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  <c r="AA410" s="140"/>
    </row>
    <row r="411" customFormat="false" ht="15.75" hidden="false" customHeight="false" outlineLevel="0" collapsed="false">
      <c r="A411" s="140" t="str">
        <f aca="false">IF(ISBLANK(B411),"",B411&amp;"|"&amp;C411)</f>
        <v/>
      </c>
      <c r="B411" s="140"/>
      <c r="C411" s="140"/>
      <c r="D411" s="140"/>
      <c r="E411" s="146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  <c r="AA411" s="140"/>
    </row>
    <row r="412" customFormat="false" ht="15.75" hidden="false" customHeight="false" outlineLevel="0" collapsed="false">
      <c r="A412" s="140" t="str">
        <f aca="false">IF(ISBLANK(B412),"",B412&amp;"|"&amp;C412)</f>
        <v/>
      </c>
      <c r="B412" s="140"/>
      <c r="C412" s="140"/>
      <c r="D412" s="140"/>
      <c r="E412" s="146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  <c r="AA412" s="140"/>
    </row>
    <row r="413" customFormat="false" ht="15.75" hidden="false" customHeight="false" outlineLevel="0" collapsed="false">
      <c r="A413" s="140" t="str">
        <f aca="false">IF(ISBLANK(B413),"",B413&amp;"|"&amp;C413)</f>
        <v/>
      </c>
      <c r="B413" s="140"/>
      <c r="C413" s="140"/>
      <c r="D413" s="140"/>
      <c r="E413" s="146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  <c r="AA413" s="140"/>
    </row>
    <row r="414" customFormat="false" ht="15.75" hidden="false" customHeight="false" outlineLevel="0" collapsed="false">
      <c r="A414" s="140" t="str">
        <f aca="false">IF(ISBLANK(B414),"",B414&amp;"|"&amp;C414)</f>
        <v/>
      </c>
      <c r="B414" s="140"/>
      <c r="C414" s="140"/>
      <c r="D414" s="140"/>
      <c r="E414" s="146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  <c r="AA414" s="140"/>
    </row>
    <row r="415" customFormat="false" ht="15.75" hidden="false" customHeight="false" outlineLevel="0" collapsed="false">
      <c r="A415" s="140" t="str">
        <f aca="false">IF(ISBLANK(B415),"",B415&amp;"|"&amp;C415)</f>
        <v/>
      </c>
      <c r="B415" s="140"/>
      <c r="C415" s="140"/>
      <c r="D415" s="140"/>
      <c r="E415" s="146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  <c r="AA415" s="140"/>
    </row>
    <row r="416" customFormat="false" ht="15.75" hidden="false" customHeight="false" outlineLevel="0" collapsed="false">
      <c r="A416" s="140" t="str">
        <f aca="false">IF(ISBLANK(B416),"",B416&amp;"|"&amp;C416)</f>
        <v/>
      </c>
      <c r="B416" s="140"/>
      <c r="C416" s="140"/>
      <c r="D416" s="140"/>
      <c r="E416" s="146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  <c r="AA416" s="140"/>
    </row>
    <row r="417" customFormat="false" ht="15.75" hidden="false" customHeight="false" outlineLevel="0" collapsed="false">
      <c r="A417" s="140" t="str">
        <f aca="false">IF(ISBLANK(B417),"",B417&amp;"|"&amp;C417)</f>
        <v/>
      </c>
      <c r="B417" s="140"/>
      <c r="C417" s="140"/>
      <c r="D417" s="140"/>
      <c r="E417" s="146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  <c r="AA417" s="140"/>
    </row>
    <row r="418" customFormat="false" ht="15.75" hidden="false" customHeight="false" outlineLevel="0" collapsed="false">
      <c r="A418" s="140" t="str">
        <f aca="false">IF(ISBLANK(B418),"",B418&amp;"|"&amp;C418)</f>
        <v/>
      </c>
      <c r="B418" s="140"/>
      <c r="C418" s="140"/>
      <c r="D418" s="140"/>
      <c r="E418" s="146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  <c r="AA418" s="140"/>
    </row>
    <row r="419" customFormat="false" ht="15.75" hidden="false" customHeight="false" outlineLevel="0" collapsed="false">
      <c r="A419" s="140" t="str">
        <f aca="false">IF(ISBLANK(B419),"",B419&amp;"|"&amp;C419)</f>
        <v/>
      </c>
      <c r="B419" s="140"/>
      <c r="C419" s="140"/>
      <c r="D419" s="140"/>
      <c r="E419" s="146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  <c r="AA419" s="140"/>
    </row>
    <row r="420" customFormat="false" ht="15.75" hidden="false" customHeight="false" outlineLevel="0" collapsed="false">
      <c r="A420" s="140" t="str">
        <f aca="false">IF(ISBLANK(B420),"",B420&amp;"|"&amp;C420)</f>
        <v/>
      </c>
      <c r="B420" s="140"/>
      <c r="C420" s="140"/>
      <c r="D420" s="140"/>
      <c r="E420" s="146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  <c r="AA420" s="140"/>
    </row>
    <row r="421" customFormat="false" ht="15.75" hidden="false" customHeight="false" outlineLevel="0" collapsed="false">
      <c r="A421" s="140" t="str">
        <f aca="false">IF(ISBLANK(B421),"",B421&amp;"|"&amp;C421)</f>
        <v/>
      </c>
      <c r="B421" s="140"/>
      <c r="C421" s="140"/>
      <c r="D421" s="140"/>
      <c r="E421" s="146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  <c r="AA421" s="140"/>
    </row>
    <row r="422" customFormat="false" ht="15.75" hidden="false" customHeight="false" outlineLevel="0" collapsed="false">
      <c r="A422" s="140" t="str">
        <f aca="false">IF(ISBLANK(B422),"",B422&amp;"|"&amp;C422)</f>
        <v/>
      </c>
      <c r="B422" s="140"/>
      <c r="C422" s="140"/>
      <c r="D422" s="140"/>
      <c r="E422" s="146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  <c r="AA422" s="140"/>
    </row>
    <row r="423" customFormat="false" ht="15.75" hidden="false" customHeight="false" outlineLevel="0" collapsed="false">
      <c r="A423" s="140" t="str">
        <f aca="false">IF(ISBLANK(B423),"",B423&amp;"|"&amp;C423)</f>
        <v/>
      </c>
      <c r="B423" s="140"/>
      <c r="C423" s="140"/>
      <c r="D423" s="140"/>
      <c r="E423" s="146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  <c r="AA423" s="140"/>
    </row>
    <row r="424" customFormat="false" ht="15.75" hidden="false" customHeight="false" outlineLevel="0" collapsed="false">
      <c r="A424" s="140" t="str">
        <f aca="false">IF(ISBLANK(B424),"",B424&amp;"|"&amp;C424)</f>
        <v/>
      </c>
      <c r="B424" s="140"/>
      <c r="C424" s="140"/>
      <c r="D424" s="140"/>
      <c r="E424" s="146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  <c r="AA424" s="140"/>
    </row>
    <row r="425" customFormat="false" ht="15.75" hidden="false" customHeight="false" outlineLevel="0" collapsed="false">
      <c r="A425" s="140" t="str">
        <f aca="false">IF(ISBLANK(B425),"",B425&amp;"|"&amp;C425)</f>
        <v/>
      </c>
      <c r="B425" s="140"/>
      <c r="C425" s="140"/>
      <c r="D425" s="140"/>
      <c r="E425" s="146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  <c r="AA425" s="140"/>
    </row>
    <row r="426" customFormat="false" ht="15.75" hidden="false" customHeight="false" outlineLevel="0" collapsed="false">
      <c r="A426" s="140" t="str">
        <f aca="false">IF(ISBLANK(B426),"",B426&amp;"|"&amp;C426)</f>
        <v/>
      </c>
      <c r="B426" s="140"/>
      <c r="C426" s="140"/>
      <c r="D426" s="140"/>
      <c r="E426" s="146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  <c r="AA426" s="140"/>
    </row>
    <row r="427" customFormat="false" ht="15.75" hidden="false" customHeight="false" outlineLevel="0" collapsed="false">
      <c r="A427" s="140" t="str">
        <f aca="false">IF(ISBLANK(B427),"",B427&amp;"|"&amp;C427)</f>
        <v/>
      </c>
      <c r="B427" s="140"/>
      <c r="C427" s="140"/>
      <c r="D427" s="140"/>
      <c r="E427" s="146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  <c r="AA427" s="140"/>
    </row>
    <row r="428" customFormat="false" ht="15.75" hidden="false" customHeight="false" outlineLevel="0" collapsed="false">
      <c r="A428" s="140" t="str">
        <f aca="false">IF(ISBLANK(B428),"",B428&amp;"|"&amp;C428)</f>
        <v/>
      </c>
      <c r="B428" s="140"/>
      <c r="C428" s="140"/>
      <c r="D428" s="140"/>
      <c r="E428" s="146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  <c r="AA428" s="140"/>
    </row>
    <row r="429" customFormat="false" ht="15.75" hidden="false" customHeight="false" outlineLevel="0" collapsed="false">
      <c r="A429" s="140" t="str">
        <f aca="false">IF(ISBLANK(B429),"",B429&amp;"|"&amp;C429)</f>
        <v/>
      </c>
      <c r="B429" s="140"/>
      <c r="C429" s="140"/>
      <c r="D429" s="140"/>
      <c r="E429" s="146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  <c r="AA429" s="140"/>
    </row>
    <row r="430" customFormat="false" ht="15.75" hidden="false" customHeight="false" outlineLevel="0" collapsed="false">
      <c r="A430" s="140" t="str">
        <f aca="false">IF(ISBLANK(B430),"",B430&amp;"|"&amp;C430)</f>
        <v/>
      </c>
      <c r="B430" s="140"/>
      <c r="C430" s="140"/>
      <c r="D430" s="140"/>
      <c r="E430" s="146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  <c r="AA430" s="140"/>
    </row>
    <row r="431" customFormat="false" ht="15.75" hidden="false" customHeight="false" outlineLevel="0" collapsed="false">
      <c r="A431" s="140" t="str">
        <f aca="false">IF(ISBLANK(B431),"",B431&amp;"|"&amp;C431)</f>
        <v/>
      </c>
      <c r="B431" s="140"/>
      <c r="C431" s="140"/>
      <c r="D431" s="140"/>
      <c r="E431" s="146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  <c r="AA431" s="140"/>
    </row>
    <row r="432" customFormat="false" ht="15.75" hidden="false" customHeight="false" outlineLevel="0" collapsed="false">
      <c r="A432" s="140" t="str">
        <f aca="false">IF(ISBLANK(B432),"",B432&amp;"|"&amp;C432)</f>
        <v/>
      </c>
      <c r="B432" s="140"/>
      <c r="C432" s="140"/>
      <c r="D432" s="140"/>
      <c r="E432" s="146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  <c r="AA432" s="140"/>
    </row>
    <row r="433" customFormat="false" ht="15.75" hidden="false" customHeight="false" outlineLevel="0" collapsed="false">
      <c r="A433" s="140" t="str">
        <f aca="false">IF(ISBLANK(B433),"",B433&amp;"|"&amp;C433)</f>
        <v/>
      </c>
      <c r="B433" s="140"/>
      <c r="C433" s="140"/>
      <c r="D433" s="140"/>
      <c r="E433" s="146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  <c r="AA433" s="140"/>
    </row>
    <row r="434" customFormat="false" ht="15.75" hidden="false" customHeight="false" outlineLevel="0" collapsed="false">
      <c r="A434" s="140" t="str">
        <f aca="false">IF(ISBLANK(B434),"",B434&amp;"|"&amp;C434)</f>
        <v/>
      </c>
      <c r="B434" s="140"/>
      <c r="C434" s="140"/>
      <c r="D434" s="140"/>
      <c r="E434" s="146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  <c r="AA434" s="140"/>
    </row>
    <row r="435" customFormat="false" ht="15.75" hidden="false" customHeight="false" outlineLevel="0" collapsed="false">
      <c r="A435" s="140" t="str">
        <f aca="false">IF(ISBLANK(B435),"",B435&amp;"|"&amp;C435)</f>
        <v/>
      </c>
      <c r="B435" s="140"/>
      <c r="C435" s="140"/>
      <c r="D435" s="140"/>
      <c r="E435" s="146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  <c r="AA435" s="140"/>
    </row>
    <row r="436" customFormat="false" ht="15.75" hidden="false" customHeight="false" outlineLevel="0" collapsed="false">
      <c r="A436" s="140" t="str">
        <f aca="false">IF(ISBLANK(B436),"",B436&amp;"|"&amp;C436)</f>
        <v/>
      </c>
      <c r="B436" s="140"/>
      <c r="C436" s="140"/>
      <c r="D436" s="140"/>
      <c r="E436" s="146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  <c r="AA436" s="140"/>
    </row>
    <row r="437" customFormat="false" ht="15.75" hidden="false" customHeight="false" outlineLevel="0" collapsed="false">
      <c r="A437" s="140" t="str">
        <f aca="false">IF(ISBLANK(B437),"",B437&amp;"|"&amp;C437)</f>
        <v/>
      </c>
      <c r="B437" s="140"/>
      <c r="C437" s="140"/>
      <c r="D437" s="140"/>
      <c r="E437" s="146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  <c r="AA437" s="140"/>
    </row>
    <row r="438" customFormat="false" ht="15.75" hidden="false" customHeight="false" outlineLevel="0" collapsed="false">
      <c r="A438" s="140" t="str">
        <f aca="false">IF(ISBLANK(B438),"",B438&amp;"|"&amp;C438)</f>
        <v/>
      </c>
      <c r="B438" s="140"/>
      <c r="C438" s="140"/>
      <c r="D438" s="140"/>
      <c r="E438" s="146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  <c r="AA438" s="140"/>
    </row>
    <row r="439" customFormat="false" ht="15.75" hidden="false" customHeight="false" outlineLevel="0" collapsed="false">
      <c r="A439" s="140" t="str">
        <f aca="false">IF(ISBLANK(B439),"",B439&amp;"|"&amp;C439)</f>
        <v/>
      </c>
      <c r="B439" s="140"/>
      <c r="C439" s="140"/>
      <c r="D439" s="140"/>
      <c r="E439" s="146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  <c r="AA439" s="140"/>
    </row>
    <row r="440" customFormat="false" ht="15.75" hidden="false" customHeight="false" outlineLevel="0" collapsed="false">
      <c r="A440" s="140" t="str">
        <f aca="false">IF(ISBLANK(B440),"",B440&amp;"|"&amp;C440)</f>
        <v/>
      </c>
      <c r="B440" s="140"/>
      <c r="C440" s="140"/>
      <c r="D440" s="140"/>
      <c r="E440" s="146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  <c r="AA440" s="140"/>
    </row>
    <row r="441" customFormat="false" ht="15.75" hidden="false" customHeight="false" outlineLevel="0" collapsed="false">
      <c r="A441" s="140" t="str">
        <f aca="false">IF(ISBLANK(B441),"",B441&amp;"|"&amp;C441)</f>
        <v/>
      </c>
      <c r="B441" s="140"/>
      <c r="C441" s="140"/>
      <c r="D441" s="140"/>
      <c r="E441" s="146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  <c r="AA441" s="140"/>
    </row>
    <row r="442" customFormat="false" ht="15.75" hidden="false" customHeight="false" outlineLevel="0" collapsed="false">
      <c r="A442" s="140" t="str">
        <f aca="false">IF(ISBLANK(B442),"",B442&amp;"|"&amp;C442)</f>
        <v/>
      </c>
      <c r="B442" s="140"/>
      <c r="C442" s="140"/>
      <c r="D442" s="140"/>
      <c r="E442" s="146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  <c r="AA442" s="140"/>
    </row>
    <row r="443" customFormat="false" ht="15.75" hidden="false" customHeight="false" outlineLevel="0" collapsed="false">
      <c r="A443" s="140" t="str">
        <f aca="false">IF(ISBLANK(B443),"",B443&amp;"|"&amp;C443)</f>
        <v/>
      </c>
      <c r="B443" s="140"/>
      <c r="C443" s="140"/>
      <c r="D443" s="140"/>
      <c r="E443" s="146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  <c r="AA443" s="140"/>
    </row>
    <row r="444" customFormat="false" ht="15.75" hidden="false" customHeight="false" outlineLevel="0" collapsed="false">
      <c r="A444" s="140" t="str">
        <f aca="false">IF(ISBLANK(B444),"",B444&amp;"|"&amp;C444)</f>
        <v/>
      </c>
      <c r="B444" s="140"/>
      <c r="C444" s="140"/>
      <c r="D444" s="140"/>
      <c r="E444" s="146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  <c r="AA444" s="140"/>
    </row>
    <row r="445" customFormat="false" ht="15.75" hidden="false" customHeight="false" outlineLevel="0" collapsed="false">
      <c r="A445" s="140" t="str">
        <f aca="false">IF(ISBLANK(B445),"",B445&amp;"|"&amp;C445)</f>
        <v/>
      </c>
      <c r="B445" s="140"/>
      <c r="C445" s="140"/>
      <c r="D445" s="140"/>
      <c r="E445" s="146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  <c r="AA445" s="140"/>
    </row>
    <row r="446" customFormat="false" ht="15.75" hidden="false" customHeight="false" outlineLevel="0" collapsed="false">
      <c r="A446" s="140" t="str">
        <f aca="false">IF(ISBLANK(B446),"",B446&amp;"|"&amp;C446)</f>
        <v/>
      </c>
      <c r="B446" s="140"/>
      <c r="C446" s="140"/>
      <c r="D446" s="140"/>
      <c r="E446" s="146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  <c r="AA446" s="140"/>
    </row>
    <row r="447" customFormat="false" ht="15.75" hidden="false" customHeight="false" outlineLevel="0" collapsed="false">
      <c r="A447" s="140" t="str">
        <f aca="false">IF(ISBLANK(B447),"",B447&amp;"|"&amp;C447)</f>
        <v/>
      </c>
      <c r="B447" s="140"/>
      <c r="C447" s="140"/>
      <c r="D447" s="140"/>
      <c r="E447" s="146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  <c r="AA447" s="140"/>
    </row>
    <row r="448" customFormat="false" ht="15.75" hidden="false" customHeight="false" outlineLevel="0" collapsed="false">
      <c r="A448" s="140" t="str">
        <f aca="false">IF(ISBLANK(B448),"",B448&amp;"|"&amp;C448)</f>
        <v/>
      </c>
      <c r="B448" s="140"/>
      <c r="C448" s="140"/>
      <c r="D448" s="140"/>
      <c r="E448" s="146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  <c r="AA448" s="140"/>
    </row>
    <row r="449" customFormat="false" ht="15.75" hidden="false" customHeight="false" outlineLevel="0" collapsed="false">
      <c r="A449" s="140" t="str">
        <f aca="false">IF(ISBLANK(B449),"",B449&amp;"|"&amp;C449)</f>
        <v/>
      </c>
      <c r="B449" s="140"/>
      <c r="C449" s="140"/>
      <c r="D449" s="140"/>
      <c r="E449" s="146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  <c r="AA449" s="140"/>
    </row>
    <row r="450" customFormat="false" ht="15.75" hidden="false" customHeight="false" outlineLevel="0" collapsed="false">
      <c r="A450" s="140" t="str">
        <f aca="false">IF(ISBLANK(B450),"",B450&amp;"|"&amp;C450)</f>
        <v/>
      </c>
      <c r="B450" s="140"/>
      <c r="C450" s="140"/>
      <c r="D450" s="140"/>
      <c r="E450" s="146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  <c r="AA450" s="140"/>
    </row>
    <row r="451" customFormat="false" ht="15.75" hidden="false" customHeight="false" outlineLevel="0" collapsed="false">
      <c r="A451" s="140" t="str">
        <f aca="false">IF(ISBLANK(B451),"",B451&amp;"|"&amp;C451)</f>
        <v/>
      </c>
      <c r="B451" s="140"/>
      <c r="C451" s="140"/>
      <c r="D451" s="140"/>
      <c r="E451" s="146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  <c r="AA451" s="140"/>
    </row>
    <row r="452" customFormat="false" ht="15.75" hidden="false" customHeight="false" outlineLevel="0" collapsed="false">
      <c r="A452" s="140" t="str">
        <f aca="false">IF(ISBLANK(B452),"",B452&amp;"|"&amp;C452)</f>
        <v/>
      </c>
      <c r="B452" s="140"/>
      <c r="C452" s="140"/>
      <c r="D452" s="140"/>
      <c r="E452" s="146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  <c r="AA452" s="140"/>
    </row>
    <row r="453" customFormat="false" ht="15.75" hidden="false" customHeight="false" outlineLevel="0" collapsed="false">
      <c r="A453" s="140" t="str">
        <f aca="false">IF(ISBLANK(B453),"",B453&amp;"|"&amp;C453)</f>
        <v/>
      </c>
      <c r="B453" s="140"/>
      <c r="C453" s="140"/>
      <c r="D453" s="140"/>
      <c r="E453" s="146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  <c r="AA453" s="140"/>
    </row>
    <row r="454" customFormat="false" ht="15.75" hidden="false" customHeight="false" outlineLevel="0" collapsed="false">
      <c r="A454" s="140" t="str">
        <f aca="false">IF(ISBLANK(B454),"",B454&amp;"|"&amp;C454)</f>
        <v/>
      </c>
      <c r="B454" s="140"/>
      <c r="C454" s="140"/>
      <c r="D454" s="140"/>
      <c r="E454" s="146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  <c r="AA454" s="140"/>
    </row>
    <row r="455" customFormat="false" ht="15.75" hidden="false" customHeight="false" outlineLevel="0" collapsed="false">
      <c r="A455" s="140" t="str">
        <f aca="false">IF(ISBLANK(B455),"",B455&amp;"|"&amp;C455)</f>
        <v/>
      </c>
      <c r="B455" s="140"/>
      <c r="C455" s="140"/>
      <c r="D455" s="140"/>
      <c r="E455" s="146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  <c r="AA455" s="140"/>
    </row>
    <row r="456" customFormat="false" ht="15.75" hidden="false" customHeight="false" outlineLevel="0" collapsed="false">
      <c r="A456" s="140" t="str">
        <f aca="false">IF(ISBLANK(B456),"",B456&amp;"|"&amp;C456)</f>
        <v/>
      </c>
      <c r="B456" s="140"/>
      <c r="C456" s="140"/>
      <c r="D456" s="140"/>
      <c r="E456" s="146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  <c r="AA456" s="140"/>
    </row>
    <row r="457" customFormat="false" ht="15.75" hidden="false" customHeight="false" outlineLevel="0" collapsed="false">
      <c r="A457" s="140" t="str">
        <f aca="false">IF(ISBLANK(B457),"",B457&amp;"|"&amp;C457)</f>
        <v/>
      </c>
      <c r="B457" s="140"/>
      <c r="C457" s="140"/>
      <c r="D457" s="140"/>
      <c r="E457" s="146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  <c r="AA457" s="140"/>
    </row>
    <row r="458" customFormat="false" ht="15.75" hidden="false" customHeight="false" outlineLevel="0" collapsed="false">
      <c r="A458" s="140" t="str">
        <f aca="false">IF(ISBLANK(B458),"",B458&amp;"|"&amp;C458)</f>
        <v/>
      </c>
      <c r="B458" s="140"/>
      <c r="C458" s="140"/>
      <c r="D458" s="140"/>
      <c r="E458" s="146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  <c r="AA458" s="140"/>
    </row>
    <row r="459" customFormat="false" ht="15.75" hidden="false" customHeight="false" outlineLevel="0" collapsed="false">
      <c r="A459" s="140" t="str">
        <f aca="false">IF(ISBLANK(B459),"",B459&amp;"|"&amp;C459)</f>
        <v/>
      </c>
      <c r="B459" s="140"/>
      <c r="C459" s="140"/>
      <c r="D459" s="140"/>
      <c r="E459" s="146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  <c r="AA459" s="140"/>
    </row>
    <row r="460" customFormat="false" ht="15.75" hidden="false" customHeight="false" outlineLevel="0" collapsed="false">
      <c r="A460" s="140" t="str">
        <f aca="false">IF(ISBLANK(B460),"",B460&amp;"|"&amp;C460)</f>
        <v/>
      </c>
      <c r="B460" s="140"/>
      <c r="C460" s="140"/>
      <c r="D460" s="140"/>
      <c r="E460" s="146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  <c r="AA460" s="140"/>
    </row>
    <row r="461" customFormat="false" ht="15.75" hidden="false" customHeight="false" outlineLevel="0" collapsed="false">
      <c r="A461" s="140" t="str">
        <f aca="false">IF(ISBLANK(B461),"",B461&amp;"|"&amp;C461)</f>
        <v/>
      </c>
      <c r="B461" s="140"/>
      <c r="C461" s="140"/>
      <c r="D461" s="140"/>
      <c r="E461" s="146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  <c r="AA461" s="140"/>
    </row>
    <row r="462" customFormat="false" ht="15.75" hidden="false" customHeight="false" outlineLevel="0" collapsed="false">
      <c r="A462" s="140" t="str">
        <f aca="false">IF(ISBLANK(B462),"",B462&amp;"|"&amp;C462)</f>
        <v/>
      </c>
      <c r="B462" s="140"/>
      <c r="C462" s="140"/>
      <c r="D462" s="140"/>
      <c r="E462" s="146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  <c r="AA462" s="140"/>
    </row>
    <row r="463" customFormat="false" ht="15.75" hidden="false" customHeight="false" outlineLevel="0" collapsed="false">
      <c r="A463" s="140" t="str">
        <f aca="false">IF(ISBLANK(B463),"",B463&amp;"|"&amp;C463)</f>
        <v/>
      </c>
      <c r="B463" s="140"/>
      <c r="C463" s="140"/>
      <c r="D463" s="140"/>
      <c r="E463" s="146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  <c r="AA463" s="140"/>
    </row>
    <row r="464" customFormat="false" ht="15.75" hidden="false" customHeight="false" outlineLevel="0" collapsed="false">
      <c r="A464" s="140" t="str">
        <f aca="false">IF(ISBLANK(B464),"",B464&amp;"|"&amp;C464)</f>
        <v/>
      </c>
      <c r="B464" s="140"/>
      <c r="C464" s="140"/>
      <c r="D464" s="140"/>
      <c r="E464" s="146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  <c r="AA464" s="140"/>
    </row>
    <row r="465" customFormat="false" ht="15.75" hidden="false" customHeight="false" outlineLevel="0" collapsed="false">
      <c r="A465" s="140" t="str">
        <f aca="false">IF(ISBLANK(B465),"",B465&amp;"|"&amp;C465)</f>
        <v/>
      </c>
      <c r="B465" s="140"/>
      <c r="C465" s="140"/>
      <c r="D465" s="140"/>
      <c r="E465" s="146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  <c r="AA465" s="140"/>
    </row>
    <row r="466" customFormat="false" ht="15.75" hidden="false" customHeight="false" outlineLevel="0" collapsed="false">
      <c r="A466" s="140" t="str">
        <f aca="false">IF(ISBLANK(B466),"",B466&amp;"|"&amp;C466)</f>
        <v/>
      </c>
      <c r="B466" s="140"/>
      <c r="C466" s="140"/>
      <c r="D466" s="140"/>
      <c r="E466" s="146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  <c r="AA466" s="140"/>
    </row>
    <row r="467" customFormat="false" ht="15.75" hidden="false" customHeight="false" outlineLevel="0" collapsed="false">
      <c r="A467" s="140" t="str">
        <f aca="false">IF(ISBLANK(B467),"",B467&amp;"|"&amp;C467)</f>
        <v/>
      </c>
      <c r="B467" s="140"/>
      <c r="C467" s="140"/>
      <c r="D467" s="140"/>
      <c r="E467" s="146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  <c r="AA467" s="140"/>
    </row>
    <row r="468" customFormat="false" ht="15.75" hidden="false" customHeight="false" outlineLevel="0" collapsed="false">
      <c r="A468" s="140" t="str">
        <f aca="false">IF(ISBLANK(B468),"",B468&amp;"|"&amp;C468)</f>
        <v/>
      </c>
      <c r="B468" s="140"/>
      <c r="C468" s="140"/>
      <c r="D468" s="140"/>
      <c r="E468" s="146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  <c r="AA468" s="140"/>
    </row>
    <row r="469" customFormat="false" ht="15.75" hidden="false" customHeight="false" outlineLevel="0" collapsed="false">
      <c r="A469" s="140" t="str">
        <f aca="false">IF(ISBLANK(B469),"",B469&amp;"|"&amp;C469)</f>
        <v/>
      </c>
      <c r="B469" s="140"/>
      <c r="C469" s="140"/>
      <c r="D469" s="140"/>
      <c r="E469" s="146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  <c r="AA469" s="140"/>
    </row>
    <row r="470" customFormat="false" ht="15.75" hidden="false" customHeight="false" outlineLevel="0" collapsed="false">
      <c r="A470" s="140" t="str">
        <f aca="false">IF(ISBLANK(B470),"",B470&amp;"|"&amp;C470)</f>
        <v/>
      </c>
      <c r="B470" s="140"/>
      <c r="C470" s="140"/>
      <c r="D470" s="140"/>
      <c r="E470" s="146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  <c r="AA470" s="140"/>
    </row>
    <row r="471" customFormat="false" ht="15.75" hidden="false" customHeight="false" outlineLevel="0" collapsed="false">
      <c r="A471" s="140" t="str">
        <f aca="false">IF(ISBLANK(B471),"",B471&amp;"|"&amp;C471)</f>
        <v/>
      </c>
      <c r="B471" s="140"/>
      <c r="C471" s="140"/>
      <c r="D471" s="140"/>
      <c r="E471" s="146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  <c r="AA471" s="140"/>
    </row>
    <row r="472" customFormat="false" ht="15.75" hidden="false" customHeight="false" outlineLevel="0" collapsed="false">
      <c r="A472" s="140" t="str">
        <f aca="false">IF(ISBLANK(B472),"",B472&amp;"|"&amp;C472)</f>
        <v/>
      </c>
      <c r="B472" s="140"/>
      <c r="C472" s="140"/>
      <c r="D472" s="140"/>
      <c r="E472" s="146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  <c r="AA472" s="140"/>
    </row>
    <row r="473" customFormat="false" ht="15.75" hidden="false" customHeight="false" outlineLevel="0" collapsed="false">
      <c r="A473" s="140" t="str">
        <f aca="false">IF(ISBLANK(B473),"",B473&amp;"|"&amp;C473)</f>
        <v/>
      </c>
      <c r="B473" s="140"/>
      <c r="C473" s="140"/>
      <c r="D473" s="140"/>
      <c r="E473" s="146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  <c r="AA473" s="140"/>
    </row>
    <row r="474" customFormat="false" ht="15.75" hidden="false" customHeight="false" outlineLevel="0" collapsed="false">
      <c r="A474" s="140" t="str">
        <f aca="false">IF(ISBLANK(B474),"",B474&amp;"|"&amp;C474)</f>
        <v/>
      </c>
      <c r="B474" s="140"/>
      <c r="C474" s="140"/>
      <c r="D474" s="140"/>
      <c r="E474" s="146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  <c r="AA474" s="140"/>
    </row>
    <row r="475" customFormat="false" ht="15.75" hidden="false" customHeight="false" outlineLevel="0" collapsed="false">
      <c r="A475" s="140" t="str">
        <f aca="false">IF(ISBLANK(B475),"",B475&amp;"|"&amp;C475)</f>
        <v/>
      </c>
      <c r="B475" s="140"/>
      <c r="C475" s="140"/>
      <c r="D475" s="140"/>
      <c r="E475" s="146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  <c r="AA475" s="140"/>
    </row>
    <row r="476" customFormat="false" ht="15.75" hidden="false" customHeight="false" outlineLevel="0" collapsed="false">
      <c r="A476" s="140" t="str">
        <f aca="false">IF(ISBLANK(B476),"",B476&amp;"|"&amp;C476)</f>
        <v/>
      </c>
      <c r="B476" s="140"/>
      <c r="C476" s="140"/>
      <c r="D476" s="140"/>
      <c r="E476" s="146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  <c r="AA476" s="140"/>
    </row>
    <row r="477" customFormat="false" ht="15.75" hidden="false" customHeight="false" outlineLevel="0" collapsed="false">
      <c r="A477" s="140" t="str">
        <f aca="false">IF(ISBLANK(B477),"",B477&amp;"|"&amp;C477)</f>
        <v/>
      </c>
      <c r="B477" s="140"/>
      <c r="C477" s="140"/>
      <c r="D477" s="140"/>
      <c r="E477" s="146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  <c r="AA477" s="140"/>
    </row>
    <row r="478" customFormat="false" ht="15.75" hidden="false" customHeight="false" outlineLevel="0" collapsed="false">
      <c r="A478" s="140" t="str">
        <f aca="false">IF(ISBLANK(B478),"",B478&amp;"|"&amp;C478)</f>
        <v/>
      </c>
      <c r="B478" s="140"/>
      <c r="C478" s="140"/>
      <c r="D478" s="140"/>
      <c r="E478" s="146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  <c r="AA478" s="140"/>
    </row>
    <row r="479" customFormat="false" ht="15.75" hidden="false" customHeight="false" outlineLevel="0" collapsed="false">
      <c r="A479" s="140" t="str">
        <f aca="false">IF(ISBLANK(B479),"",B479&amp;"|"&amp;C479)</f>
        <v/>
      </c>
      <c r="B479" s="140"/>
      <c r="C479" s="140"/>
      <c r="D479" s="140"/>
      <c r="E479" s="146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  <c r="AA479" s="140"/>
    </row>
    <row r="480" customFormat="false" ht="15.75" hidden="false" customHeight="false" outlineLevel="0" collapsed="false">
      <c r="A480" s="140" t="str">
        <f aca="false">IF(ISBLANK(B480),"",B480&amp;"|"&amp;C480)</f>
        <v/>
      </c>
      <c r="B480" s="140"/>
      <c r="C480" s="140"/>
      <c r="D480" s="140"/>
      <c r="E480" s="146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  <c r="AA480" s="140"/>
    </row>
    <row r="481" customFormat="false" ht="15.75" hidden="false" customHeight="false" outlineLevel="0" collapsed="false">
      <c r="A481" s="140" t="str">
        <f aca="false">IF(ISBLANK(B481),"",B481&amp;"|"&amp;C481)</f>
        <v/>
      </c>
      <c r="B481" s="140"/>
      <c r="C481" s="140"/>
      <c r="D481" s="140"/>
      <c r="E481" s="146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  <c r="AA481" s="140"/>
    </row>
    <row r="482" customFormat="false" ht="15.75" hidden="false" customHeight="false" outlineLevel="0" collapsed="false">
      <c r="A482" s="140" t="str">
        <f aca="false">IF(ISBLANK(B482),"",B482&amp;"|"&amp;C482)</f>
        <v/>
      </c>
      <c r="B482" s="140"/>
      <c r="C482" s="140"/>
      <c r="D482" s="140"/>
      <c r="E482" s="146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  <c r="AA482" s="140"/>
    </row>
    <row r="483" customFormat="false" ht="15.75" hidden="false" customHeight="false" outlineLevel="0" collapsed="false">
      <c r="A483" s="140" t="str">
        <f aca="false">IF(ISBLANK(B483),"",B483&amp;"|"&amp;C483)</f>
        <v/>
      </c>
      <c r="B483" s="140"/>
      <c r="C483" s="140"/>
      <c r="D483" s="140"/>
      <c r="E483" s="146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  <c r="AA483" s="140"/>
    </row>
    <row r="484" customFormat="false" ht="15.75" hidden="false" customHeight="false" outlineLevel="0" collapsed="false">
      <c r="A484" s="140" t="str">
        <f aca="false">IF(ISBLANK(B484),"",B484&amp;"|"&amp;C484)</f>
        <v/>
      </c>
      <c r="B484" s="140"/>
      <c r="C484" s="140"/>
      <c r="D484" s="140"/>
      <c r="E484" s="146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  <c r="AA484" s="140"/>
    </row>
    <row r="485" customFormat="false" ht="15.75" hidden="false" customHeight="false" outlineLevel="0" collapsed="false">
      <c r="A485" s="140" t="str">
        <f aca="false">IF(ISBLANK(B485),"",B485&amp;"|"&amp;C485)</f>
        <v/>
      </c>
      <c r="B485" s="140"/>
      <c r="C485" s="140"/>
      <c r="D485" s="140"/>
      <c r="E485" s="146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  <c r="AA485" s="140"/>
    </row>
    <row r="486" customFormat="false" ht="15.75" hidden="false" customHeight="false" outlineLevel="0" collapsed="false">
      <c r="A486" s="140" t="str">
        <f aca="false">IF(ISBLANK(B486),"",B486&amp;"|"&amp;C486)</f>
        <v/>
      </c>
      <c r="B486" s="140"/>
      <c r="C486" s="140"/>
      <c r="D486" s="140"/>
      <c r="E486" s="146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  <c r="AA486" s="140"/>
    </row>
    <row r="487" customFormat="false" ht="15.75" hidden="false" customHeight="false" outlineLevel="0" collapsed="false">
      <c r="A487" s="140" t="str">
        <f aca="false">IF(ISBLANK(B487),"",B487&amp;"|"&amp;C487)</f>
        <v/>
      </c>
      <c r="B487" s="140"/>
      <c r="C487" s="140"/>
      <c r="D487" s="140"/>
      <c r="E487" s="146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  <c r="AA487" s="140"/>
    </row>
    <row r="488" customFormat="false" ht="15.75" hidden="false" customHeight="false" outlineLevel="0" collapsed="false">
      <c r="A488" s="140" t="str">
        <f aca="false">IF(ISBLANK(B488),"",B488&amp;"|"&amp;C488)</f>
        <v/>
      </c>
      <c r="B488" s="140"/>
      <c r="C488" s="140"/>
      <c r="D488" s="140"/>
      <c r="E488" s="146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  <c r="AA488" s="140"/>
    </row>
    <row r="489" customFormat="false" ht="15.75" hidden="false" customHeight="false" outlineLevel="0" collapsed="false">
      <c r="A489" s="140" t="str">
        <f aca="false">IF(ISBLANK(B489),"",B489&amp;"|"&amp;C489)</f>
        <v/>
      </c>
      <c r="B489" s="140"/>
      <c r="C489" s="140"/>
      <c r="D489" s="140"/>
      <c r="E489" s="146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  <c r="AA489" s="140"/>
    </row>
    <row r="490" customFormat="false" ht="15.75" hidden="false" customHeight="false" outlineLevel="0" collapsed="false">
      <c r="A490" s="140" t="str">
        <f aca="false">IF(ISBLANK(B490),"",B490&amp;"|"&amp;C490)</f>
        <v/>
      </c>
      <c r="B490" s="140"/>
      <c r="C490" s="140"/>
      <c r="D490" s="140"/>
      <c r="E490" s="146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  <c r="AA490" s="140"/>
    </row>
    <row r="491" customFormat="false" ht="15.75" hidden="false" customHeight="false" outlineLevel="0" collapsed="false">
      <c r="A491" s="140" t="str">
        <f aca="false">IF(ISBLANK(B491),"",B491&amp;"|"&amp;C491)</f>
        <v/>
      </c>
      <c r="B491" s="140"/>
      <c r="C491" s="140"/>
      <c r="D491" s="140"/>
      <c r="E491" s="146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  <c r="AA491" s="140"/>
    </row>
    <row r="492" customFormat="false" ht="15.75" hidden="false" customHeight="false" outlineLevel="0" collapsed="false">
      <c r="A492" s="140" t="str">
        <f aca="false">IF(ISBLANK(B492),"",B492&amp;"|"&amp;C492)</f>
        <v/>
      </c>
      <c r="B492" s="140"/>
      <c r="C492" s="140"/>
      <c r="D492" s="140"/>
      <c r="E492" s="146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  <c r="AA492" s="140"/>
    </row>
    <row r="493" customFormat="false" ht="15.75" hidden="false" customHeight="false" outlineLevel="0" collapsed="false">
      <c r="A493" s="140" t="str">
        <f aca="false">IF(ISBLANK(B493),"",B493&amp;"|"&amp;C493)</f>
        <v/>
      </c>
      <c r="B493" s="140"/>
      <c r="C493" s="140"/>
      <c r="D493" s="140"/>
      <c r="E493" s="146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  <c r="AA493" s="140"/>
    </row>
    <row r="494" customFormat="false" ht="15.75" hidden="false" customHeight="false" outlineLevel="0" collapsed="false">
      <c r="A494" s="140" t="str">
        <f aca="false">IF(ISBLANK(B494),"",B494&amp;"|"&amp;C494)</f>
        <v/>
      </c>
      <c r="B494" s="140"/>
      <c r="C494" s="140"/>
      <c r="D494" s="140"/>
      <c r="E494" s="146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  <c r="AA494" s="140"/>
    </row>
    <row r="495" customFormat="false" ht="15.75" hidden="false" customHeight="false" outlineLevel="0" collapsed="false">
      <c r="A495" s="140" t="str">
        <f aca="false">IF(ISBLANK(B495),"",B495&amp;"|"&amp;C495)</f>
        <v/>
      </c>
      <c r="B495" s="140"/>
      <c r="C495" s="140"/>
      <c r="D495" s="140"/>
      <c r="E495" s="146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  <c r="AA495" s="140"/>
    </row>
    <row r="496" customFormat="false" ht="15.75" hidden="false" customHeight="false" outlineLevel="0" collapsed="false">
      <c r="A496" s="140" t="str">
        <f aca="false">IF(ISBLANK(B496),"",B496&amp;"|"&amp;C496)</f>
        <v/>
      </c>
      <c r="B496" s="140"/>
      <c r="C496" s="140"/>
      <c r="D496" s="140"/>
      <c r="E496" s="146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  <c r="AA496" s="140"/>
    </row>
    <row r="497" customFormat="false" ht="15.75" hidden="false" customHeight="false" outlineLevel="0" collapsed="false">
      <c r="A497" s="140" t="str">
        <f aca="false">IF(ISBLANK(B497),"",B497&amp;"|"&amp;C497)</f>
        <v/>
      </c>
      <c r="B497" s="140"/>
      <c r="C497" s="140"/>
      <c r="D497" s="140"/>
      <c r="E497" s="146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  <c r="AA497" s="140"/>
    </row>
    <row r="498" customFormat="false" ht="15.75" hidden="false" customHeight="false" outlineLevel="0" collapsed="false">
      <c r="A498" s="140" t="str">
        <f aca="false">IF(ISBLANK(B498),"",B498&amp;"|"&amp;C498)</f>
        <v/>
      </c>
      <c r="B498" s="140"/>
      <c r="C498" s="140"/>
      <c r="D498" s="140"/>
      <c r="E498" s="146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  <c r="AA498" s="140"/>
    </row>
    <row r="499" customFormat="false" ht="15.75" hidden="false" customHeight="false" outlineLevel="0" collapsed="false">
      <c r="A499" s="140" t="str">
        <f aca="false">IF(ISBLANK(B499),"",B499&amp;"|"&amp;C499)</f>
        <v/>
      </c>
      <c r="B499" s="140"/>
      <c r="C499" s="140"/>
      <c r="D499" s="140"/>
      <c r="E499" s="146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  <c r="AA499" s="140"/>
    </row>
    <row r="500" customFormat="false" ht="15.75" hidden="false" customHeight="false" outlineLevel="0" collapsed="false">
      <c r="A500" s="140" t="str">
        <f aca="false">IF(ISBLANK(B500),"",B500&amp;"|"&amp;C500)</f>
        <v/>
      </c>
      <c r="B500" s="140"/>
      <c r="C500" s="140"/>
      <c r="D500" s="140"/>
      <c r="E500" s="146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  <c r="AA500" s="140"/>
    </row>
    <row r="501" customFormat="false" ht="15.75" hidden="false" customHeight="false" outlineLevel="0" collapsed="false">
      <c r="A501" s="140" t="str">
        <f aca="false">IF(ISBLANK(B501),"",B501&amp;"|"&amp;C501)</f>
        <v/>
      </c>
      <c r="B501" s="140"/>
      <c r="C501" s="140"/>
      <c r="D501" s="140"/>
      <c r="E501" s="146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  <c r="AA501" s="140"/>
    </row>
    <row r="502" customFormat="false" ht="15.75" hidden="false" customHeight="false" outlineLevel="0" collapsed="false">
      <c r="A502" s="140" t="str">
        <f aca="false">IF(ISBLANK(B502),"",B502&amp;"|"&amp;C502)</f>
        <v/>
      </c>
      <c r="B502" s="140"/>
      <c r="C502" s="140"/>
      <c r="D502" s="140"/>
      <c r="E502" s="146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  <c r="AA502" s="140"/>
    </row>
    <row r="503" customFormat="false" ht="15.75" hidden="false" customHeight="false" outlineLevel="0" collapsed="false">
      <c r="A503" s="140" t="str">
        <f aca="false">IF(ISBLANK(B503),"",B503&amp;"|"&amp;C503)</f>
        <v/>
      </c>
      <c r="B503" s="140"/>
      <c r="C503" s="140"/>
      <c r="D503" s="140"/>
      <c r="E503" s="146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  <c r="AA503" s="140"/>
    </row>
    <row r="504" customFormat="false" ht="15.75" hidden="false" customHeight="false" outlineLevel="0" collapsed="false">
      <c r="A504" s="140" t="str">
        <f aca="false">IF(ISBLANK(B504),"",B504&amp;"|"&amp;C504)</f>
        <v/>
      </c>
      <c r="B504" s="140"/>
      <c r="C504" s="140"/>
      <c r="D504" s="140"/>
      <c r="E504" s="146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  <c r="AA504" s="140"/>
    </row>
    <row r="505" customFormat="false" ht="15.75" hidden="false" customHeight="false" outlineLevel="0" collapsed="false">
      <c r="A505" s="140" t="str">
        <f aca="false">IF(ISBLANK(B505),"",B505&amp;"|"&amp;C505)</f>
        <v/>
      </c>
      <c r="B505" s="140"/>
      <c r="C505" s="140"/>
      <c r="D505" s="140"/>
      <c r="E505" s="146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  <c r="AA505" s="140"/>
    </row>
    <row r="506" customFormat="false" ht="15.75" hidden="false" customHeight="false" outlineLevel="0" collapsed="false">
      <c r="A506" s="140" t="str">
        <f aca="false">IF(ISBLANK(B506),"",B506&amp;"|"&amp;C506)</f>
        <v/>
      </c>
      <c r="B506" s="140"/>
      <c r="C506" s="140"/>
      <c r="D506" s="140"/>
      <c r="E506" s="146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  <c r="AA506" s="140"/>
    </row>
    <row r="507" customFormat="false" ht="15.75" hidden="false" customHeight="false" outlineLevel="0" collapsed="false">
      <c r="A507" s="140" t="str">
        <f aca="false">IF(ISBLANK(B507),"",B507&amp;"|"&amp;C507)</f>
        <v/>
      </c>
      <c r="B507" s="140"/>
      <c r="C507" s="140"/>
      <c r="D507" s="140"/>
      <c r="E507" s="146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  <c r="AA507" s="140"/>
    </row>
    <row r="508" customFormat="false" ht="15.75" hidden="false" customHeight="false" outlineLevel="0" collapsed="false">
      <c r="A508" s="140" t="str">
        <f aca="false">IF(ISBLANK(B508),"",B508&amp;"|"&amp;C508)</f>
        <v/>
      </c>
      <c r="B508" s="140"/>
      <c r="C508" s="140"/>
      <c r="D508" s="140"/>
      <c r="E508" s="146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  <c r="AA508" s="140"/>
    </row>
    <row r="509" customFormat="false" ht="15.75" hidden="false" customHeight="false" outlineLevel="0" collapsed="false">
      <c r="A509" s="140" t="str">
        <f aca="false">IF(ISBLANK(B509),"",B509&amp;"|"&amp;C509)</f>
        <v/>
      </c>
      <c r="B509" s="140"/>
      <c r="C509" s="140"/>
      <c r="D509" s="140"/>
      <c r="E509" s="146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  <c r="AA509" s="140"/>
    </row>
    <row r="510" customFormat="false" ht="15.75" hidden="false" customHeight="false" outlineLevel="0" collapsed="false">
      <c r="A510" s="140" t="str">
        <f aca="false">IF(ISBLANK(B510),"",B510&amp;"|"&amp;C510)</f>
        <v/>
      </c>
      <c r="B510" s="140"/>
      <c r="C510" s="140"/>
      <c r="D510" s="140"/>
      <c r="E510" s="146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  <c r="AA510" s="140"/>
    </row>
    <row r="511" customFormat="false" ht="15.75" hidden="false" customHeight="false" outlineLevel="0" collapsed="false">
      <c r="A511" s="140" t="str">
        <f aca="false">IF(ISBLANK(B511),"",B511&amp;"|"&amp;C511)</f>
        <v/>
      </c>
      <c r="B511" s="140"/>
      <c r="C511" s="140"/>
      <c r="D511" s="140"/>
      <c r="E511" s="146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  <c r="AA511" s="140"/>
    </row>
    <row r="512" customFormat="false" ht="15.75" hidden="false" customHeight="false" outlineLevel="0" collapsed="false">
      <c r="A512" s="140" t="str">
        <f aca="false">IF(ISBLANK(B512),"",B512&amp;"|"&amp;C512)</f>
        <v/>
      </c>
      <c r="B512" s="140"/>
      <c r="C512" s="140"/>
      <c r="D512" s="140"/>
      <c r="E512" s="146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  <c r="AA512" s="140"/>
    </row>
    <row r="513" customFormat="false" ht="15.75" hidden="false" customHeight="false" outlineLevel="0" collapsed="false">
      <c r="A513" s="140" t="str">
        <f aca="false">IF(ISBLANK(B513),"",B513&amp;"|"&amp;C513)</f>
        <v/>
      </c>
      <c r="B513" s="140"/>
      <c r="C513" s="140"/>
      <c r="D513" s="140"/>
      <c r="E513" s="146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  <c r="AA513" s="140"/>
    </row>
    <row r="514" customFormat="false" ht="15.75" hidden="false" customHeight="false" outlineLevel="0" collapsed="false">
      <c r="A514" s="140" t="str">
        <f aca="false">IF(ISBLANK(B514),"",B514&amp;"|"&amp;C514)</f>
        <v/>
      </c>
      <c r="B514" s="140"/>
      <c r="C514" s="140"/>
      <c r="D514" s="140"/>
      <c r="E514" s="146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  <c r="AA514" s="140"/>
    </row>
    <row r="515" customFormat="false" ht="15.75" hidden="false" customHeight="false" outlineLevel="0" collapsed="false">
      <c r="A515" s="140" t="str">
        <f aca="false">IF(ISBLANK(B515),"",B515&amp;"|"&amp;C515)</f>
        <v/>
      </c>
      <c r="B515" s="140"/>
      <c r="C515" s="140"/>
      <c r="D515" s="140"/>
      <c r="E515" s="146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  <c r="AA515" s="140"/>
    </row>
    <row r="516" customFormat="false" ht="15.75" hidden="false" customHeight="false" outlineLevel="0" collapsed="false">
      <c r="A516" s="140" t="str">
        <f aca="false">IF(ISBLANK(B516),"",B516&amp;"|"&amp;C516)</f>
        <v/>
      </c>
      <c r="B516" s="140"/>
      <c r="C516" s="140"/>
      <c r="D516" s="140"/>
      <c r="E516" s="146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  <c r="AA516" s="140"/>
    </row>
    <row r="517" customFormat="false" ht="15.75" hidden="false" customHeight="false" outlineLevel="0" collapsed="false">
      <c r="A517" s="140" t="str">
        <f aca="false">IF(ISBLANK(B517),"",B517&amp;"|"&amp;C517)</f>
        <v/>
      </c>
      <c r="B517" s="140"/>
      <c r="C517" s="140"/>
      <c r="D517" s="140"/>
      <c r="E517" s="146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  <c r="AA517" s="140"/>
    </row>
    <row r="518" customFormat="false" ht="15.75" hidden="false" customHeight="false" outlineLevel="0" collapsed="false">
      <c r="A518" s="140" t="str">
        <f aca="false">IF(ISBLANK(B518),"",B518&amp;"|"&amp;C518)</f>
        <v/>
      </c>
      <c r="B518" s="140"/>
      <c r="C518" s="140"/>
      <c r="D518" s="140"/>
      <c r="E518" s="146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  <c r="AA518" s="140"/>
    </row>
    <row r="519" customFormat="false" ht="15.75" hidden="false" customHeight="false" outlineLevel="0" collapsed="false">
      <c r="A519" s="140" t="str">
        <f aca="false">IF(ISBLANK(B519),"",B519&amp;"|"&amp;C519)</f>
        <v/>
      </c>
      <c r="B519" s="140"/>
      <c r="C519" s="140"/>
      <c r="D519" s="140"/>
      <c r="E519" s="146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  <c r="AA519" s="140"/>
    </row>
    <row r="520" customFormat="false" ht="15.75" hidden="false" customHeight="false" outlineLevel="0" collapsed="false">
      <c r="A520" s="140" t="str">
        <f aca="false">IF(ISBLANK(B520),"",B520&amp;"|"&amp;C520)</f>
        <v/>
      </c>
      <c r="B520" s="140"/>
      <c r="C520" s="140"/>
      <c r="D520" s="140"/>
      <c r="E520" s="146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  <c r="AA520" s="140"/>
    </row>
    <row r="521" customFormat="false" ht="15.75" hidden="false" customHeight="false" outlineLevel="0" collapsed="false">
      <c r="A521" s="140" t="str">
        <f aca="false">IF(ISBLANK(B521),"",B521&amp;"|"&amp;C521)</f>
        <v/>
      </c>
      <c r="B521" s="140"/>
      <c r="C521" s="140"/>
      <c r="D521" s="140"/>
      <c r="E521" s="146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  <c r="AA521" s="140"/>
    </row>
    <row r="522" customFormat="false" ht="15.75" hidden="false" customHeight="false" outlineLevel="0" collapsed="false">
      <c r="A522" s="140" t="str">
        <f aca="false">IF(ISBLANK(B522),"",B522&amp;"|"&amp;C522)</f>
        <v/>
      </c>
      <c r="B522" s="140"/>
      <c r="C522" s="140"/>
      <c r="D522" s="140"/>
      <c r="E522" s="146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  <c r="AA522" s="140"/>
    </row>
    <row r="523" customFormat="false" ht="15.75" hidden="false" customHeight="false" outlineLevel="0" collapsed="false">
      <c r="A523" s="140" t="str">
        <f aca="false">IF(ISBLANK(B523),"",B523&amp;"|"&amp;C523)</f>
        <v/>
      </c>
      <c r="B523" s="140"/>
      <c r="C523" s="140"/>
      <c r="D523" s="140"/>
      <c r="E523" s="146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  <c r="AA523" s="140"/>
    </row>
    <row r="524" customFormat="false" ht="15.75" hidden="false" customHeight="false" outlineLevel="0" collapsed="false">
      <c r="A524" s="140" t="str">
        <f aca="false">IF(ISBLANK(B524),"",B524&amp;"|"&amp;C524)</f>
        <v/>
      </c>
      <c r="B524" s="140"/>
      <c r="C524" s="140"/>
      <c r="D524" s="140"/>
      <c r="E524" s="146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  <c r="AA524" s="140"/>
    </row>
    <row r="525" customFormat="false" ht="15.75" hidden="false" customHeight="false" outlineLevel="0" collapsed="false">
      <c r="A525" s="140" t="str">
        <f aca="false">IF(ISBLANK(B525),"",B525&amp;"|"&amp;C525)</f>
        <v/>
      </c>
      <c r="B525" s="140"/>
      <c r="C525" s="140"/>
      <c r="D525" s="140"/>
      <c r="E525" s="146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  <c r="AA525" s="140"/>
    </row>
    <row r="526" customFormat="false" ht="15.75" hidden="false" customHeight="false" outlineLevel="0" collapsed="false">
      <c r="A526" s="140" t="str">
        <f aca="false">IF(ISBLANK(B526),"",B526&amp;"|"&amp;C526)</f>
        <v/>
      </c>
      <c r="B526" s="140"/>
      <c r="C526" s="140"/>
      <c r="D526" s="140"/>
      <c r="E526" s="146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  <c r="AA526" s="140"/>
    </row>
    <row r="527" customFormat="false" ht="15.75" hidden="false" customHeight="false" outlineLevel="0" collapsed="false">
      <c r="A527" s="140" t="str">
        <f aca="false">IF(ISBLANK(B527),"",B527&amp;"|"&amp;C527)</f>
        <v/>
      </c>
      <c r="B527" s="140"/>
      <c r="C527" s="140"/>
      <c r="D527" s="140"/>
      <c r="E527" s="146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  <c r="AA527" s="140"/>
    </row>
    <row r="528" customFormat="false" ht="15.75" hidden="false" customHeight="false" outlineLevel="0" collapsed="false">
      <c r="A528" s="140" t="str">
        <f aca="false">IF(ISBLANK(B528),"",B528&amp;"|"&amp;C528)</f>
        <v/>
      </c>
      <c r="B528" s="140"/>
      <c r="C528" s="140"/>
      <c r="D528" s="140"/>
      <c r="E528" s="146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  <c r="AA528" s="140"/>
    </row>
    <row r="529" customFormat="false" ht="15.75" hidden="false" customHeight="false" outlineLevel="0" collapsed="false">
      <c r="A529" s="140" t="str">
        <f aca="false">IF(ISBLANK(B529),"",B529&amp;"|"&amp;C529)</f>
        <v/>
      </c>
      <c r="B529" s="140"/>
      <c r="C529" s="140"/>
      <c r="D529" s="140"/>
      <c r="E529" s="146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  <c r="AA529" s="140"/>
    </row>
    <row r="530" customFormat="false" ht="15.75" hidden="false" customHeight="false" outlineLevel="0" collapsed="false">
      <c r="A530" s="140" t="str">
        <f aca="false">IF(ISBLANK(B530),"",B530&amp;"|"&amp;C530)</f>
        <v/>
      </c>
      <c r="B530" s="140"/>
      <c r="C530" s="140"/>
      <c r="D530" s="140"/>
      <c r="E530" s="146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  <c r="AA530" s="140"/>
    </row>
    <row r="531" customFormat="false" ht="15.75" hidden="false" customHeight="false" outlineLevel="0" collapsed="false">
      <c r="A531" s="140" t="str">
        <f aca="false">IF(ISBLANK(B531),"",B531&amp;"|"&amp;C531)</f>
        <v/>
      </c>
      <c r="B531" s="140"/>
      <c r="C531" s="140"/>
      <c r="D531" s="140"/>
      <c r="E531" s="146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  <c r="AA531" s="140"/>
    </row>
    <row r="532" customFormat="false" ht="15.75" hidden="false" customHeight="false" outlineLevel="0" collapsed="false">
      <c r="A532" s="140" t="str">
        <f aca="false">IF(ISBLANK(B532),"",B532&amp;"|"&amp;C532)</f>
        <v/>
      </c>
      <c r="B532" s="140"/>
      <c r="C532" s="140"/>
      <c r="D532" s="140"/>
      <c r="E532" s="146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  <c r="AA532" s="140"/>
    </row>
    <row r="533" customFormat="false" ht="15.75" hidden="false" customHeight="false" outlineLevel="0" collapsed="false">
      <c r="A533" s="140" t="str">
        <f aca="false">IF(ISBLANK(B533),"",B533&amp;"|"&amp;C533)</f>
        <v/>
      </c>
      <c r="B533" s="140"/>
      <c r="C533" s="140"/>
      <c r="D533" s="140"/>
      <c r="E533" s="146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  <c r="AA533" s="140"/>
    </row>
    <row r="534" customFormat="false" ht="15.75" hidden="false" customHeight="false" outlineLevel="0" collapsed="false">
      <c r="A534" s="140" t="str">
        <f aca="false">IF(ISBLANK(B534),"",B534&amp;"|"&amp;C534)</f>
        <v/>
      </c>
      <c r="B534" s="140"/>
      <c r="C534" s="140"/>
      <c r="D534" s="140"/>
      <c r="E534" s="146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  <c r="AA534" s="140"/>
    </row>
    <row r="535" customFormat="false" ht="15.75" hidden="false" customHeight="false" outlineLevel="0" collapsed="false">
      <c r="A535" s="140" t="str">
        <f aca="false">IF(ISBLANK(B535),"",B535&amp;"|"&amp;C535)</f>
        <v/>
      </c>
      <c r="B535" s="140"/>
      <c r="C535" s="140"/>
      <c r="D535" s="140"/>
      <c r="E535" s="146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  <c r="AA535" s="140"/>
    </row>
    <row r="536" customFormat="false" ht="15.75" hidden="false" customHeight="false" outlineLevel="0" collapsed="false">
      <c r="A536" s="140" t="str">
        <f aca="false">IF(ISBLANK(B536),"",B536&amp;"|"&amp;C536)</f>
        <v/>
      </c>
      <c r="B536" s="140"/>
      <c r="C536" s="140"/>
      <c r="D536" s="140"/>
      <c r="E536" s="146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  <c r="AA536" s="140"/>
    </row>
    <row r="537" customFormat="false" ht="15.75" hidden="false" customHeight="false" outlineLevel="0" collapsed="false">
      <c r="A537" s="140" t="str">
        <f aca="false">IF(ISBLANK(B537),"",B537&amp;"|"&amp;C537)</f>
        <v/>
      </c>
      <c r="B537" s="140"/>
      <c r="C537" s="140"/>
      <c r="D537" s="140"/>
      <c r="E537" s="146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  <c r="AA537" s="140"/>
    </row>
    <row r="538" customFormat="false" ht="15.75" hidden="false" customHeight="false" outlineLevel="0" collapsed="false">
      <c r="A538" s="140" t="str">
        <f aca="false">IF(ISBLANK(B538),"",B538&amp;"|"&amp;C538)</f>
        <v/>
      </c>
      <c r="B538" s="140"/>
      <c r="C538" s="140"/>
      <c r="D538" s="140"/>
      <c r="E538" s="146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  <c r="AA538" s="140"/>
    </row>
    <row r="539" customFormat="false" ht="15.75" hidden="false" customHeight="false" outlineLevel="0" collapsed="false">
      <c r="A539" s="140" t="str">
        <f aca="false">IF(ISBLANK(B539),"",B539&amp;"|"&amp;C539)</f>
        <v/>
      </c>
      <c r="B539" s="140"/>
      <c r="C539" s="140"/>
      <c r="D539" s="140"/>
      <c r="E539" s="146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  <c r="AA539" s="140"/>
    </row>
    <row r="540" customFormat="false" ht="15.75" hidden="false" customHeight="false" outlineLevel="0" collapsed="false">
      <c r="A540" s="140" t="str">
        <f aca="false">IF(ISBLANK(B540),"",B540&amp;"|"&amp;C540)</f>
        <v/>
      </c>
      <c r="B540" s="140"/>
      <c r="C540" s="140"/>
      <c r="D540" s="140"/>
      <c r="E540" s="146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  <c r="AA540" s="140"/>
    </row>
    <row r="541" customFormat="false" ht="15.75" hidden="false" customHeight="false" outlineLevel="0" collapsed="false">
      <c r="A541" s="140" t="str">
        <f aca="false">IF(ISBLANK(B541),"",B541&amp;"|"&amp;C541)</f>
        <v/>
      </c>
      <c r="B541" s="140"/>
      <c r="C541" s="140"/>
      <c r="D541" s="140"/>
      <c r="E541" s="146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  <c r="AA541" s="140"/>
    </row>
    <row r="542" customFormat="false" ht="15.75" hidden="false" customHeight="false" outlineLevel="0" collapsed="false">
      <c r="A542" s="140" t="str">
        <f aca="false">IF(ISBLANK(B542),"",B542&amp;"|"&amp;C542)</f>
        <v/>
      </c>
      <c r="B542" s="140"/>
      <c r="C542" s="140"/>
      <c r="D542" s="140"/>
      <c r="E542" s="146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  <c r="AA542" s="140"/>
    </row>
    <row r="543" customFormat="false" ht="15.75" hidden="false" customHeight="false" outlineLevel="0" collapsed="false">
      <c r="A543" s="140" t="str">
        <f aca="false">IF(ISBLANK(B543),"",B543&amp;"|"&amp;C543)</f>
        <v/>
      </c>
      <c r="B543" s="140"/>
      <c r="C543" s="140"/>
      <c r="D543" s="140"/>
      <c r="E543" s="146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  <c r="AA543" s="140"/>
    </row>
    <row r="544" customFormat="false" ht="15.75" hidden="false" customHeight="false" outlineLevel="0" collapsed="false">
      <c r="A544" s="140" t="str">
        <f aca="false">IF(ISBLANK(B544),"",B544&amp;"|"&amp;C544)</f>
        <v/>
      </c>
      <c r="B544" s="140"/>
      <c r="C544" s="140"/>
      <c r="D544" s="140"/>
      <c r="E544" s="146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  <c r="AA544" s="140"/>
    </row>
    <row r="545" customFormat="false" ht="15.75" hidden="false" customHeight="false" outlineLevel="0" collapsed="false">
      <c r="A545" s="140" t="str">
        <f aca="false">IF(ISBLANK(B545),"",B545&amp;"|"&amp;C545)</f>
        <v/>
      </c>
      <c r="B545" s="140"/>
      <c r="C545" s="140"/>
      <c r="D545" s="140"/>
      <c r="E545" s="146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  <c r="AA545" s="140"/>
    </row>
    <row r="546" customFormat="false" ht="15.75" hidden="false" customHeight="false" outlineLevel="0" collapsed="false">
      <c r="A546" s="140" t="str">
        <f aca="false">IF(ISBLANK(B546),"",B546&amp;"|"&amp;C546)</f>
        <v/>
      </c>
      <c r="B546" s="140"/>
      <c r="C546" s="140"/>
      <c r="D546" s="140"/>
      <c r="E546" s="146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  <c r="AA546" s="140"/>
    </row>
    <row r="547" customFormat="false" ht="15.75" hidden="false" customHeight="false" outlineLevel="0" collapsed="false">
      <c r="A547" s="140" t="str">
        <f aca="false">IF(ISBLANK(B547),"",B547&amp;"|"&amp;C547)</f>
        <v/>
      </c>
      <c r="B547" s="140"/>
      <c r="C547" s="140"/>
      <c r="D547" s="140"/>
      <c r="E547" s="146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  <c r="AA547" s="140"/>
    </row>
    <row r="548" customFormat="false" ht="15.75" hidden="false" customHeight="false" outlineLevel="0" collapsed="false">
      <c r="A548" s="140" t="str">
        <f aca="false">IF(ISBLANK(B548),"",B548&amp;"|"&amp;C548)</f>
        <v/>
      </c>
      <c r="B548" s="140"/>
      <c r="C548" s="140"/>
      <c r="D548" s="140"/>
      <c r="E548" s="146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  <c r="AA548" s="140"/>
    </row>
    <row r="549" customFormat="false" ht="15.75" hidden="false" customHeight="false" outlineLevel="0" collapsed="false">
      <c r="A549" s="140" t="str">
        <f aca="false">IF(ISBLANK(B549),"",B549&amp;"|"&amp;C549)</f>
        <v/>
      </c>
      <c r="B549" s="140"/>
      <c r="C549" s="140"/>
      <c r="D549" s="140"/>
      <c r="E549" s="146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  <c r="AA549" s="140"/>
    </row>
    <row r="550" customFormat="false" ht="15.75" hidden="false" customHeight="false" outlineLevel="0" collapsed="false">
      <c r="A550" s="140" t="str">
        <f aca="false">IF(ISBLANK(B550),"",B550&amp;"|"&amp;C550)</f>
        <v/>
      </c>
      <c r="B550" s="140"/>
      <c r="C550" s="140"/>
      <c r="D550" s="140"/>
      <c r="E550" s="146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  <c r="AA550" s="140"/>
    </row>
    <row r="551" customFormat="false" ht="15.75" hidden="false" customHeight="false" outlineLevel="0" collapsed="false">
      <c r="A551" s="140" t="str">
        <f aca="false">IF(ISBLANK(B551),"",B551&amp;"|"&amp;C551)</f>
        <v/>
      </c>
      <c r="B551" s="140"/>
      <c r="C551" s="140"/>
      <c r="D551" s="140"/>
      <c r="E551" s="146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  <c r="AA551" s="140"/>
    </row>
    <row r="552" customFormat="false" ht="15.75" hidden="false" customHeight="false" outlineLevel="0" collapsed="false">
      <c r="A552" s="140" t="str">
        <f aca="false">IF(ISBLANK(B552),"",B552&amp;"|"&amp;C552)</f>
        <v/>
      </c>
      <c r="B552" s="140"/>
      <c r="C552" s="140"/>
      <c r="D552" s="140"/>
      <c r="E552" s="146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  <c r="AA552" s="140"/>
    </row>
    <row r="553" customFormat="false" ht="15.75" hidden="false" customHeight="false" outlineLevel="0" collapsed="false">
      <c r="A553" s="140" t="str">
        <f aca="false">IF(ISBLANK(B553),"",B553&amp;"|"&amp;C553)</f>
        <v/>
      </c>
      <c r="B553" s="140"/>
      <c r="C553" s="140"/>
      <c r="D553" s="140"/>
      <c r="E553" s="146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  <c r="AA553" s="140"/>
    </row>
    <row r="554" customFormat="false" ht="15.75" hidden="false" customHeight="false" outlineLevel="0" collapsed="false">
      <c r="A554" s="140" t="str">
        <f aca="false">IF(ISBLANK(B554),"",B554&amp;"|"&amp;C554)</f>
        <v/>
      </c>
      <c r="B554" s="140"/>
      <c r="C554" s="140"/>
      <c r="D554" s="140"/>
      <c r="E554" s="146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  <c r="AA554" s="140"/>
    </row>
    <row r="555" customFormat="false" ht="15.75" hidden="false" customHeight="false" outlineLevel="0" collapsed="false">
      <c r="A555" s="140" t="str">
        <f aca="false">IF(ISBLANK(B555),"",B555&amp;"|"&amp;C555)</f>
        <v/>
      </c>
      <c r="B555" s="140"/>
      <c r="C555" s="140"/>
      <c r="D555" s="140"/>
      <c r="E555" s="146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40"/>
    </row>
    <row r="556" customFormat="false" ht="15.75" hidden="false" customHeight="false" outlineLevel="0" collapsed="false">
      <c r="A556" s="140" t="str">
        <f aca="false">IF(ISBLANK(B556),"",B556&amp;"|"&amp;C556)</f>
        <v/>
      </c>
      <c r="B556" s="140"/>
      <c r="C556" s="140"/>
      <c r="D556" s="140"/>
      <c r="E556" s="146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  <c r="AA556" s="140"/>
    </row>
    <row r="557" customFormat="false" ht="15.75" hidden="false" customHeight="false" outlineLevel="0" collapsed="false">
      <c r="A557" s="140" t="str">
        <f aca="false">IF(ISBLANK(B557),"",B557&amp;"|"&amp;C557)</f>
        <v/>
      </c>
      <c r="B557" s="140"/>
      <c r="C557" s="140"/>
      <c r="D557" s="140"/>
      <c r="E557" s="146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  <c r="AA557" s="140"/>
    </row>
    <row r="558" customFormat="false" ht="15.75" hidden="false" customHeight="false" outlineLevel="0" collapsed="false">
      <c r="A558" s="140" t="str">
        <f aca="false">IF(ISBLANK(B558),"",B558&amp;"|"&amp;C558)</f>
        <v/>
      </c>
      <c r="B558" s="140"/>
      <c r="C558" s="140"/>
      <c r="D558" s="140"/>
      <c r="E558" s="146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  <c r="AA558" s="140"/>
    </row>
    <row r="559" customFormat="false" ht="15.75" hidden="false" customHeight="false" outlineLevel="0" collapsed="false">
      <c r="A559" s="140" t="str">
        <f aca="false">IF(ISBLANK(B559),"",B559&amp;"|"&amp;C559)</f>
        <v/>
      </c>
      <c r="B559" s="140"/>
      <c r="C559" s="140"/>
      <c r="D559" s="140"/>
      <c r="E559" s="146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  <c r="AA559" s="140"/>
    </row>
    <row r="560" customFormat="false" ht="15.75" hidden="false" customHeight="false" outlineLevel="0" collapsed="false">
      <c r="A560" s="140" t="str">
        <f aca="false">IF(ISBLANK(B560),"",B560&amp;"|"&amp;C560)</f>
        <v/>
      </c>
      <c r="B560" s="140"/>
      <c r="C560" s="140"/>
      <c r="D560" s="140"/>
      <c r="E560" s="146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  <c r="AA560" s="140"/>
    </row>
    <row r="561" customFormat="false" ht="15.75" hidden="false" customHeight="false" outlineLevel="0" collapsed="false">
      <c r="A561" s="140" t="str">
        <f aca="false">IF(ISBLANK(B561),"",B561&amp;"|"&amp;C561)</f>
        <v/>
      </c>
      <c r="B561" s="140"/>
      <c r="C561" s="140"/>
      <c r="D561" s="140"/>
      <c r="E561" s="146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  <c r="AA561" s="140"/>
    </row>
    <row r="562" customFormat="false" ht="15.75" hidden="false" customHeight="false" outlineLevel="0" collapsed="false">
      <c r="A562" s="140" t="str">
        <f aca="false">IF(ISBLANK(B562),"",B562&amp;"|"&amp;C562)</f>
        <v/>
      </c>
      <c r="B562" s="140"/>
      <c r="C562" s="140"/>
      <c r="D562" s="140"/>
      <c r="E562" s="146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  <c r="AA562" s="140"/>
    </row>
    <row r="563" customFormat="false" ht="15.75" hidden="false" customHeight="false" outlineLevel="0" collapsed="false">
      <c r="A563" s="140" t="str">
        <f aca="false">IF(ISBLANK(B563),"",B563&amp;"|"&amp;C563)</f>
        <v/>
      </c>
      <c r="B563" s="140"/>
      <c r="C563" s="140"/>
      <c r="D563" s="140"/>
      <c r="E563" s="146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  <c r="AA563" s="140"/>
    </row>
    <row r="564" customFormat="false" ht="15.75" hidden="false" customHeight="false" outlineLevel="0" collapsed="false">
      <c r="A564" s="140" t="str">
        <f aca="false">IF(ISBLANK(B564),"",B564&amp;"|"&amp;C564)</f>
        <v/>
      </c>
      <c r="B564" s="140"/>
      <c r="C564" s="140"/>
      <c r="D564" s="140"/>
      <c r="E564" s="146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  <c r="AA564" s="140"/>
    </row>
    <row r="565" customFormat="false" ht="15.75" hidden="false" customHeight="false" outlineLevel="0" collapsed="false">
      <c r="A565" s="140" t="str">
        <f aca="false">IF(ISBLANK(B565),"",B565&amp;"|"&amp;C565)</f>
        <v/>
      </c>
      <c r="B565" s="140"/>
      <c r="C565" s="140"/>
      <c r="D565" s="140"/>
      <c r="E565" s="146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  <c r="AA565" s="140"/>
    </row>
    <row r="566" customFormat="false" ht="15.75" hidden="false" customHeight="false" outlineLevel="0" collapsed="false">
      <c r="A566" s="140" t="str">
        <f aca="false">IF(ISBLANK(B566),"",B566&amp;"|"&amp;C566)</f>
        <v/>
      </c>
      <c r="B566" s="140"/>
      <c r="C566" s="140"/>
      <c r="D566" s="140"/>
      <c r="E566" s="146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  <c r="AA566" s="140"/>
    </row>
    <row r="567" customFormat="false" ht="15.75" hidden="false" customHeight="false" outlineLevel="0" collapsed="false">
      <c r="A567" s="140" t="str">
        <f aca="false">IF(ISBLANK(B567),"",B567&amp;"|"&amp;C567)</f>
        <v/>
      </c>
      <c r="B567" s="140"/>
      <c r="C567" s="140"/>
      <c r="D567" s="140"/>
      <c r="E567" s="146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  <c r="AA567" s="140"/>
    </row>
    <row r="568" customFormat="false" ht="15.75" hidden="false" customHeight="false" outlineLevel="0" collapsed="false">
      <c r="A568" s="140" t="str">
        <f aca="false">IF(ISBLANK(B568),"",B568&amp;"|"&amp;C568)</f>
        <v/>
      </c>
      <c r="B568" s="140"/>
      <c r="C568" s="140"/>
      <c r="D568" s="140"/>
      <c r="E568" s="146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  <c r="AA568" s="140"/>
    </row>
    <row r="569" customFormat="false" ht="15.75" hidden="false" customHeight="false" outlineLevel="0" collapsed="false">
      <c r="A569" s="140" t="str">
        <f aca="false">IF(ISBLANK(B569),"",B569&amp;"|"&amp;C569)</f>
        <v/>
      </c>
      <c r="B569" s="140"/>
      <c r="C569" s="140"/>
      <c r="D569" s="140"/>
      <c r="E569" s="146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  <c r="AA569" s="140"/>
    </row>
    <row r="570" customFormat="false" ht="15.75" hidden="false" customHeight="false" outlineLevel="0" collapsed="false">
      <c r="A570" s="140" t="str">
        <f aca="false">IF(ISBLANK(B570),"",B570&amp;"|"&amp;C570)</f>
        <v/>
      </c>
      <c r="B570" s="140"/>
      <c r="C570" s="140"/>
      <c r="D570" s="140"/>
      <c r="E570" s="146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  <c r="AA570" s="140"/>
    </row>
    <row r="571" customFormat="false" ht="15.75" hidden="false" customHeight="false" outlineLevel="0" collapsed="false">
      <c r="A571" s="140" t="str">
        <f aca="false">IF(ISBLANK(B571),"",B571&amp;"|"&amp;C571)</f>
        <v/>
      </c>
      <c r="B571" s="140"/>
      <c r="C571" s="140"/>
      <c r="D571" s="140"/>
      <c r="E571" s="146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  <c r="AA571" s="140"/>
    </row>
    <row r="572" customFormat="false" ht="15.75" hidden="false" customHeight="false" outlineLevel="0" collapsed="false">
      <c r="A572" s="140" t="str">
        <f aca="false">IF(ISBLANK(B572),"",B572&amp;"|"&amp;C572)</f>
        <v/>
      </c>
      <c r="B572" s="140"/>
      <c r="C572" s="140"/>
      <c r="D572" s="140"/>
      <c r="E572" s="146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  <c r="AA572" s="140"/>
    </row>
    <row r="573" customFormat="false" ht="15.75" hidden="false" customHeight="false" outlineLevel="0" collapsed="false">
      <c r="A573" s="140" t="str">
        <f aca="false">IF(ISBLANK(B573),"",B573&amp;"|"&amp;C573)</f>
        <v/>
      </c>
      <c r="B573" s="140"/>
      <c r="C573" s="140"/>
      <c r="D573" s="140"/>
      <c r="E573" s="146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  <c r="AA573" s="140"/>
    </row>
    <row r="574" customFormat="false" ht="15.75" hidden="false" customHeight="false" outlineLevel="0" collapsed="false">
      <c r="A574" s="140" t="str">
        <f aca="false">IF(ISBLANK(B574),"",B574&amp;"|"&amp;C574)</f>
        <v/>
      </c>
      <c r="B574" s="140"/>
      <c r="C574" s="140"/>
      <c r="D574" s="140"/>
      <c r="E574" s="146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  <c r="AA574" s="140"/>
    </row>
    <row r="575" customFormat="false" ht="15.75" hidden="false" customHeight="false" outlineLevel="0" collapsed="false">
      <c r="A575" s="140" t="str">
        <f aca="false">IF(ISBLANK(B575),"",B575&amp;"|"&amp;C575)</f>
        <v/>
      </c>
      <c r="B575" s="140"/>
      <c r="C575" s="140"/>
      <c r="D575" s="140"/>
      <c r="E575" s="146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  <c r="AA575" s="140"/>
    </row>
    <row r="576" customFormat="false" ht="15.75" hidden="false" customHeight="false" outlineLevel="0" collapsed="false">
      <c r="A576" s="140" t="str">
        <f aca="false">IF(ISBLANK(B576),"",B576&amp;"|"&amp;C576)</f>
        <v/>
      </c>
      <c r="B576" s="140"/>
      <c r="C576" s="140"/>
      <c r="D576" s="140"/>
      <c r="E576" s="146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  <c r="AA576" s="140"/>
    </row>
    <row r="577" customFormat="false" ht="15.75" hidden="false" customHeight="false" outlineLevel="0" collapsed="false">
      <c r="A577" s="140" t="str">
        <f aca="false">IF(ISBLANK(B577),"",B577&amp;"|"&amp;C577)</f>
        <v/>
      </c>
      <c r="B577" s="140"/>
      <c r="C577" s="140"/>
      <c r="D577" s="140"/>
      <c r="E577" s="146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  <c r="AA577" s="140"/>
    </row>
    <row r="578" customFormat="false" ht="15.75" hidden="false" customHeight="false" outlineLevel="0" collapsed="false">
      <c r="A578" s="140" t="str">
        <f aca="false">IF(ISBLANK(B578),"",B578&amp;"|"&amp;C578)</f>
        <v/>
      </c>
      <c r="B578" s="140"/>
      <c r="C578" s="140"/>
      <c r="D578" s="140"/>
      <c r="E578" s="146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  <c r="AA578" s="140"/>
    </row>
    <row r="579" customFormat="false" ht="15.75" hidden="false" customHeight="false" outlineLevel="0" collapsed="false">
      <c r="A579" s="140" t="str">
        <f aca="false">IF(ISBLANK(B579),"",B579&amp;"|"&amp;C579)</f>
        <v/>
      </c>
      <c r="B579" s="140"/>
      <c r="C579" s="140"/>
      <c r="D579" s="140"/>
      <c r="E579" s="146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  <c r="AA579" s="140"/>
    </row>
    <row r="580" customFormat="false" ht="15.75" hidden="false" customHeight="false" outlineLevel="0" collapsed="false">
      <c r="A580" s="140" t="str">
        <f aca="false">IF(ISBLANK(B580),"",B580&amp;"|"&amp;C580)</f>
        <v/>
      </c>
      <c r="B580" s="140"/>
      <c r="C580" s="140"/>
      <c r="D580" s="140"/>
      <c r="E580" s="146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  <c r="AA580" s="140"/>
    </row>
    <row r="581" customFormat="false" ht="15.75" hidden="false" customHeight="false" outlineLevel="0" collapsed="false">
      <c r="A581" s="140" t="str">
        <f aca="false">IF(ISBLANK(B581),"",B581&amp;"|"&amp;C581)</f>
        <v/>
      </c>
      <c r="B581" s="140"/>
      <c r="C581" s="140"/>
      <c r="D581" s="140"/>
      <c r="E581" s="146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  <c r="AA581" s="140"/>
    </row>
    <row r="582" customFormat="false" ht="15.75" hidden="false" customHeight="false" outlineLevel="0" collapsed="false">
      <c r="A582" s="140" t="str">
        <f aca="false">IF(ISBLANK(B582),"",B582&amp;"|"&amp;C582)</f>
        <v/>
      </c>
      <c r="B582" s="140"/>
      <c r="C582" s="140"/>
      <c r="D582" s="140"/>
      <c r="E582" s="146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  <c r="AA582" s="140"/>
    </row>
    <row r="583" customFormat="false" ht="15.75" hidden="false" customHeight="false" outlineLevel="0" collapsed="false">
      <c r="A583" s="140" t="str">
        <f aca="false">IF(ISBLANK(B583),"",B583&amp;"|"&amp;C583)</f>
        <v/>
      </c>
      <c r="B583" s="140"/>
      <c r="C583" s="140"/>
      <c r="D583" s="140"/>
      <c r="E583" s="146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  <c r="AA583" s="140"/>
    </row>
    <row r="584" customFormat="false" ht="15.75" hidden="false" customHeight="false" outlineLevel="0" collapsed="false">
      <c r="A584" s="140" t="str">
        <f aca="false">IF(ISBLANK(B584),"",B584&amp;"|"&amp;C584)</f>
        <v/>
      </c>
      <c r="B584" s="140"/>
      <c r="C584" s="140"/>
      <c r="D584" s="140"/>
      <c r="E584" s="146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  <c r="AA584" s="140"/>
    </row>
    <row r="585" customFormat="false" ht="15.75" hidden="false" customHeight="false" outlineLevel="0" collapsed="false">
      <c r="A585" s="140" t="str">
        <f aca="false">IF(ISBLANK(B585),"",B585&amp;"|"&amp;C585)</f>
        <v/>
      </c>
      <c r="B585" s="140"/>
      <c r="C585" s="140"/>
      <c r="D585" s="140"/>
      <c r="E585" s="146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  <c r="AA585" s="140"/>
    </row>
    <row r="586" customFormat="false" ht="15.75" hidden="false" customHeight="false" outlineLevel="0" collapsed="false">
      <c r="A586" s="140" t="str">
        <f aca="false">IF(ISBLANK(B586),"",B586&amp;"|"&amp;C586)</f>
        <v/>
      </c>
      <c r="B586" s="140"/>
      <c r="C586" s="140"/>
      <c r="D586" s="140"/>
      <c r="E586" s="146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  <c r="AA586" s="140"/>
    </row>
    <row r="587" customFormat="false" ht="15.75" hidden="false" customHeight="false" outlineLevel="0" collapsed="false">
      <c r="A587" s="140" t="str">
        <f aca="false">IF(ISBLANK(B587),"",B587&amp;"|"&amp;C587)</f>
        <v/>
      </c>
      <c r="B587" s="140"/>
      <c r="C587" s="140"/>
      <c r="D587" s="140"/>
      <c r="E587" s="146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  <c r="AA587" s="140"/>
    </row>
    <row r="588" customFormat="false" ht="15.75" hidden="false" customHeight="false" outlineLevel="0" collapsed="false">
      <c r="A588" s="140" t="str">
        <f aca="false">IF(ISBLANK(B588),"",B588&amp;"|"&amp;C588)</f>
        <v/>
      </c>
      <c r="B588" s="140"/>
      <c r="C588" s="140"/>
      <c r="D588" s="140"/>
      <c r="E588" s="146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  <c r="AA588" s="140"/>
    </row>
    <row r="589" customFormat="false" ht="15.75" hidden="false" customHeight="false" outlineLevel="0" collapsed="false">
      <c r="A589" s="140" t="str">
        <f aca="false">IF(ISBLANK(B589),"",B589&amp;"|"&amp;C589)</f>
        <v/>
      </c>
      <c r="B589" s="140"/>
      <c r="C589" s="140"/>
      <c r="D589" s="140"/>
      <c r="E589" s="146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  <c r="AA589" s="140"/>
    </row>
    <row r="590" customFormat="false" ht="15.75" hidden="false" customHeight="false" outlineLevel="0" collapsed="false">
      <c r="A590" s="140" t="str">
        <f aca="false">IF(ISBLANK(B590),"",B590&amp;"|"&amp;C590)</f>
        <v/>
      </c>
      <c r="B590" s="140"/>
      <c r="C590" s="140"/>
      <c r="D590" s="140"/>
      <c r="E590" s="146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  <c r="AA590" s="140"/>
    </row>
    <row r="591" customFormat="false" ht="15.75" hidden="false" customHeight="false" outlineLevel="0" collapsed="false">
      <c r="A591" s="140" t="str">
        <f aca="false">IF(ISBLANK(B591),"",B591&amp;"|"&amp;C591)</f>
        <v/>
      </c>
      <c r="B591" s="140"/>
      <c r="C591" s="140"/>
      <c r="D591" s="140"/>
      <c r="E591" s="146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  <c r="AA591" s="140"/>
    </row>
    <row r="592" customFormat="false" ht="15.75" hidden="false" customHeight="false" outlineLevel="0" collapsed="false">
      <c r="A592" s="140" t="str">
        <f aca="false">IF(ISBLANK(B592),"",B592&amp;"|"&amp;C592)</f>
        <v/>
      </c>
      <c r="B592" s="140"/>
      <c r="C592" s="140"/>
      <c r="D592" s="140"/>
      <c r="E592" s="146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  <c r="AA592" s="140"/>
    </row>
    <row r="593" customFormat="false" ht="15.75" hidden="false" customHeight="false" outlineLevel="0" collapsed="false">
      <c r="A593" s="140" t="str">
        <f aca="false">IF(ISBLANK(B593),"",B593&amp;"|"&amp;C593)</f>
        <v/>
      </c>
      <c r="B593" s="140"/>
      <c r="C593" s="140"/>
      <c r="D593" s="140"/>
      <c r="E593" s="146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  <c r="AA593" s="140"/>
    </row>
    <row r="594" customFormat="false" ht="15.75" hidden="false" customHeight="false" outlineLevel="0" collapsed="false">
      <c r="A594" s="140" t="str">
        <f aca="false">IF(ISBLANK(B594),"",B594&amp;"|"&amp;C594)</f>
        <v/>
      </c>
      <c r="B594" s="140"/>
      <c r="C594" s="140"/>
      <c r="D594" s="140"/>
      <c r="E594" s="146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  <c r="AA594" s="140"/>
    </row>
    <row r="595" customFormat="false" ht="15.75" hidden="false" customHeight="false" outlineLevel="0" collapsed="false">
      <c r="A595" s="140" t="str">
        <f aca="false">IF(ISBLANK(B595),"",B595&amp;"|"&amp;C595)</f>
        <v/>
      </c>
      <c r="B595" s="140"/>
      <c r="C595" s="140"/>
      <c r="D595" s="140"/>
      <c r="E595" s="146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  <c r="AA595" s="140"/>
    </row>
    <row r="596" customFormat="false" ht="15.75" hidden="false" customHeight="false" outlineLevel="0" collapsed="false">
      <c r="A596" s="140" t="str">
        <f aca="false">IF(ISBLANK(B596),"",B596&amp;"|"&amp;C596)</f>
        <v/>
      </c>
      <c r="B596" s="140"/>
      <c r="C596" s="140"/>
      <c r="D596" s="140"/>
      <c r="E596" s="146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  <c r="AA596" s="140"/>
    </row>
    <row r="597" customFormat="false" ht="15.75" hidden="false" customHeight="false" outlineLevel="0" collapsed="false">
      <c r="A597" s="140" t="str">
        <f aca="false">IF(ISBLANK(B597),"",B597&amp;"|"&amp;C597)</f>
        <v/>
      </c>
      <c r="B597" s="140"/>
      <c r="C597" s="140"/>
      <c r="D597" s="140"/>
      <c r="E597" s="146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  <c r="AA597" s="140"/>
    </row>
    <row r="598" customFormat="false" ht="15.75" hidden="false" customHeight="false" outlineLevel="0" collapsed="false">
      <c r="A598" s="140" t="str">
        <f aca="false">IF(ISBLANK(B598),"",B598&amp;"|"&amp;C598)</f>
        <v/>
      </c>
      <c r="B598" s="140"/>
      <c r="C598" s="140"/>
      <c r="D598" s="140"/>
      <c r="E598" s="146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  <c r="AA598" s="140"/>
    </row>
    <row r="599" customFormat="false" ht="15.75" hidden="false" customHeight="false" outlineLevel="0" collapsed="false">
      <c r="A599" s="140" t="str">
        <f aca="false">IF(ISBLANK(B599),"",B599&amp;"|"&amp;C599)</f>
        <v/>
      </c>
      <c r="B599" s="140"/>
      <c r="C599" s="140"/>
      <c r="D599" s="140"/>
      <c r="E599" s="146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  <c r="AA599" s="140"/>
    </row>
    <row r="600" customFormat="false" ht="15.75" hidden="false" customHeight="false" outlineLevel="0" collapsed="false">
      <c r="A600" s="140" t="str">
        <f aca="false">IF(ISBLANK(B600),"",B600&amp;"|"&amp;C600)</f>
        <v/>
      </c>
      <c r="B600" s="140"/>
      <c r="C600" s="140"/>
      <c r="D600" s="140"/>
      <c r="E600" s="146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  <c r="AA600" s="140"/>
    </row>
    <row r="601" customFormat="false" ht="15.75" hidden="false" customHeight="false" outlineLevel="0" collapsed="false">
      <c r="A601" s="140" t="str">
        <f aca="false">IF(ISBLANK(B601),"",B601&amp;"|"&amp;C601)</f>
        <v/>
      </c>
      <c r="B601" s="140"/>
      <c r="C601" s="140"/>
      <c r="D601" s="140"/>
      <c r="E601" s="146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  <c r="AA601" s="140"/>
    </row>
    <row r="602" customFormat="false" ht="15.75" hidden="false" customHeight="false" outlineLevel="0" collapsed="false">
      <c r="A602" s="140" t="str">
        <f aca="false">IF(ISBLANK(B602),"",B602&amp;"|"&amp;C602)</f>
        <v/>
      </c>
      <c r="B602" s="140"/>
      <c r="C602" s="140"/>
      <c r="D602" s="140"/>
      <c r="E602" s="146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  <c r="AA602" s="140"/>
    </row>
    <row r="603" customFormat="false" ht="15.75" hidden="false" customHeight="false" outlineLevel="0" collapsed="false">
      <c r="A603" s="140" t="str">
        <f aca="false">IF(ISBLANK(B603),"",B603&amp;"|"&amp;C603)</f>
        <v/>
      </c>
      <c r="B603" s="140"/>
      <c r="C603" s="140"/>
      <c r="D603" s="140"/>
      <c r="E603" s="146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  <c r="AA603" s="140"/>
    </row>
    <row r="604" customFormat="false" ht="15.75" hidden="false" customHeight="false" outlineLevel="0" collapsed="false">
      <c r="A604" s="140" t="str">
        <f aca="false">IF(ISBLANK(B604),"",B604&amp;"|"&amp;C604)</f>
        <v/>
      </c>
      <c r="B604" s="140"/>
      <c r="C604" s="140"/>
      <c r="D604" s="140"/>
      <c r="E604" s="146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  <c r="AA604" s="140"/>
    </row>
    <row r="605" customFormat="false" ht="15.75" hidden="false" customHeight="false" outlineLevel="0" collapsed="false">
      <c r="A605" s="140" t="str">
        <f aca="false">IF(ISBLANK(B605),"",B605&amp;"|"&amp;C605)</f>
        <v/>
      </c>
      <c r="B605" s="140"/>
      <c r="C605" s="140"/>
      <c r="D605" s="140"/>
      <c r="E605" s="146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  <c r="AA605" s="140"/>
    </row>
    <row r="606" customFormat="false" ht="15.75" hidden="false" customHeight="false" outlineLevel="0" collapsed="false">
      <c r="A606" s="140" t="str">
        <f aca="false">IF(ISBLANK(B606),"",B606&amp;"|"&amp;C606)</f>
        <v/>
      </c>
      <c r="B606" s="140"/>
      <c r="C606" s="140"/>
      <c r="D606" s="140"/>
      <c r="E606" s="146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  <c r="AA606" s="140"/>
    </row>
    <row r="607" customFormat="false" ht="15.75" hidden="false" customHeight="false" outlineLevel="0" collapsed="false">
      <c r="A607" s="140" t="str">
        <f aca="false">IF(ISBLANK(B607),"",B607&amp;"|"&amp;C607)</f>
        <v/>
      </c>
      <c r="B607" s="140"/>
      <c r="C607" s="140"/>
      <c r="D607" s="140"/>
      <c r="E607" s="146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  <c r="AA607" s="140"/>
    </row>
    <row r="608" customFormat="false" ht="15.75" hidden="false" customHeight="false" outlineLevel="0" collapsed="false">
      <c r="A608" s="140" t="str">
        <f aca="false">IF(ISBLANK(B608),"",B608&amp;"|"&amp;C608)</f>
        <v/>
      </c>
      <c r="B608" s="140"/>
      <c r="C608" s="140"/>
      <c r="D608" s="140"/>
      <c r="E608" s="146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  <c r="AA608" s="140"/>
    </row>
    <row r="609" customFormat="false" ht="15.75" hidden="false" customHeight="false" outlineLevel="0" collapsed="false">
      <c r="A609" s="140" t="str">
        <f aca="false">IF(ISBLANK(B609),"",B609&amp;"|"&amp;C609)</f>
        <v/>
      </c>
      <c r="B609" s="140"/>
      <c r="C609" s="140"/>
      <c r="D609" s="140"/>
      <c r="E609" s="146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  <c r="AA609" s="140"/>
    </row>
    <row r="610" customFormat="false" ht="15.75" hidden="false" customHeight="false" outlineLevel="0" collapsed="false">
      <c r="A610" s="140" t="str">
        <f aca="false">IF(ISBLANK(B610),"",B610&amp;"|"&amp;C610)</f>
        <v/>
      </c>
      <c r="B610" s="140"/>
      <c r="C610" s="140"/>
      <c r="D610" s="140"/>
      <c r="E610" s="146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  <c r="AA610" s="140"/>
    </row>
    <row r="611" customFormat="false" ht="15.75" hidden="false" customHeight="false" outlineLevel="0" collapsed="false">
      <c r="A611" s="140" t="str">
        <f aca="false">IF(ISBLANK(B611),"",B611&amp;"|"&amp;C611)</f>
        <v/>
      </c>
      <c r="B611" s="140"/>
      <c r="C611" s="140"/>
      <c r="D611" s="140"/>
      <c r="E611" s="146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  <c r="AA611" s="140"/>
    </row>
    <row r="612" customFormat="false" ht="15.75" hidden="false" customHeight="false" outlineLevel="0" collapsed="false">
      <c r="A612" s="140" t="str">
        <f aca="false">IF(ISBLANK(B612),"",B612&amp;"|"&amp;C612)</f>
        <v/>
      </c>
      <c r="B612" s="140"/>
      <c r="C612" s="140"/>
      <c r="D612" s="140"/>
      <c r="E612" s="146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  <c r="AA612" s="140"/>
    </row>
    <row r="613" customFormat="false" ht="15.75" hidden="false" customHeight="false" outlineLevel="0" collapsed="false">
      <c r="A613" s="140" t="str">
        <f aca="false">IF(ISBLANK(B613),"",B613&amp;"|"&amp;C613)</f>
        <v/>
      </c>
      <c r="B613" s="140"/>
      <c r="C613" s="140"/>
      <c r="D613" s="140"/>
      <c r="E613" s="146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  <c r="AA613" s="140"/>
    </row>
    <row r="614" customFormat="false" ht="15.75" hidden="false" customHeight="false" outlineLevel="0" collapsed="false">
      <c r="A614" s="140" t="str">
        <f aca="false">IF(ISBLANK(B614),"",B614&amp;"|"&amp;C614)</f>
        <v/>
      </c>
      <c r="B614" s="140"/>
      <c r="C614" s="140"/>
      <c r="D614" s="140"/>
      <c r="E614" s="146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  <c r="AA614" s="140"/>
    </row>
    <row r="615" customFormat="false" ht="15.75" hidden="false" customHeight="false" outlineLevel="0" collapsed="false">
      <c r="A615" s="140" t="str">
        <f aca="false">IF(ISBLANK(B615),"",B615&amp;"|"&amp;C615)</f>
        <v/>
      </c>
      <c r="B615" s="140"/>
      <c r="C615" s="140"/>
      <c r="D615" s="140"/>
      <c r="E615" s="146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  <c r="AA615" s="140"/>
    </row>
    <row r="616" customFormat="false" ht="15.75" hidden="false" customHeight="false" outlineLevel="0" collapsed="false">
      <c r="A616" s="140" t="str">
        <f aca="false">IF(ISBLANK(B616),"",B616&amp;"|"&amp;C616)</f>
        <v/>
      </c>
      <c r="B616" s="140"/>
      <c r="C616" s="140"/>
      <c r="D616" s="140"/>
      <c r="E616" s="146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  <c r="AA616" s="140"/>
    </row>
    <row r="617" customFormat="false" ht="15.75" hidden="false" customHeight="false" outlineLevel="0" collapsed="false">
      <c r="A617" s="140" t="str">
        <f aca="false">IF(ISBLANK(B617),"",B617&amp;"|"&amp;C617)</f>
        <v/>
      </c>
      <c r="B617" s="140"/>
      <c r="C617" s="140"/>
      <c r="D617" s="140"/>
      <c r="E617" s="146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  <c r="AA617" s="140"/>
    </row>
    <row r="618" customFormat="false" ht="15.75" hidden="false" customHeight="false" outlineLevel="0" collapsed="false">
      <c r="A618" s="140" t="str">
        <f aca="false">IF(ISBLANK(B618),"",B618&amp;"|"&amp;C618)</f>
        <v/>
      </c>
      <c r="B618" s="140"/>
      <c r="C618" s="140"/>
      <c r="D618" s="140"/>
      <c r="E618" s="146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  <c r="AA618" s="140"/>
    </row>
    <row r="619" customFormat="false" ht="15.75" hidden="false" customHeight="false" outlineLevel="0" collapsed="false">
      <c r="A619" s="140" t="str">
        <f aca="false">IF(ISBLANK(B619),"",B619&amp;"|"&amp;C619)</f>
        <v/>
      </c>
      <c r="B619" s="140"/>
      <c r="C619" s="140"/>
      <c r="D619" s="140"/>
      <c r="E619" s="146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  <c r="AA619" s="140"/>
    </row>
    <row r="620" customFormat="false" ht="15.75" hidden="false" customHeight="false" outlineLevel="0" collapsed="false">
      <c r="A620" s="140" t="str">
        <f aca="false">IF(ISBLANK(B620),"",B620&amp;"|"&amp;C620)</f>
        <v/>
      </c>
      <c r="B620" s="140"/>
      <c r="C620" s="140"/>
      <c r="D620" s="140"/>
      <c r="E620" s="146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  <c r="AA620" s="140"/>
    </row>
    <row r="621" customFormat="false" ht="15.75" hidden="false" customHeight="false" outlineLevel="0" collapsed="false">
      <c r="A621" s="140" t="str">
        <f aca="false">IF(ISBLANK(B621),"",B621&amp;"|"&amp;C621)</f>
        <v/>
      </c>
      <c r="B621" s="140"/>
      <c r="C621" s="140"/>
      <c r="D621" s="140"/>
      <c r="E621" s="146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  <c r="AA621" s="140"/>
    </row>
    <row r="622" customFormat="false" ht="15.75" hidden="false" customHeight="false" outlineLevel="0" collapsed="false">
      <c r="A622" s="140" t="str">
        <f aca="false">IF(ISBLANK(B622),"",B622&amp;"|"&amp;C622)</f>
        <v/>
      </c>
      <c r="B622" s="140"/>
      <c r="C622" s="140"/>
      <c r="D622" s="140"/>
      <c r="E622" s="146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  <c r="AA622" s="140"/>
    </row>
    <row r="623" customFormat="false" ht="15.75" hidden="false" customHeight="false" outlineLevel="0" collapsed="false">
      <c r="A623" s="140" t="str">
        <f aca="false">IF(ISBLANK(B623),"",B623&amp;"|"&amp;C623)</f>
        <v/>
      </c>
      <c r="B623" s="140"/>
      <c r="C623" s="140"/>
      <c r="D623" s="140"/>
      <c r="E623" s="146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  <c r="AA623" s="140"/>
    </row>
    <row r="624" customFormat="false" ht="15.75" hidden="false" customHeight="false" outlineLevel="0" collapsed="false">
      <c r="A624" s="140" t="str">
        <f aca="false">IF(ISBLANK(B624),"",B624&amp;"|"&amp;C624)</f>
        <v/>
      </c>
      <c r="B624" s="140"/>
      <c r="C624" s="140"/>
      <c r="D624" s="140"/>
      <c r="E624" s="146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  <c r="AA624" s="140"/>
    </row>
    <row r="625" customFormat="false" ht="15.75" hidden="false" customHeight="false" outlineLevel="0" collapsed="false">
      <c r="A625" s="140" t="str">
        <f aca="false">IF(ISBLANK(B625),"",B625&amp;"|"&amp;C625)</f>
        <v/>
      </c>
      <c r="B625" s="140"/>
      <c r="C625" s="140"/>
      <c r="D625" s="140"/>
      <c r="E625" s="146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  <c r="AA625" s="140"/>
    </row>
    <row r="626" customFormat="false" ht="15.75" hidden="false" customHeight="false" outlineLevel="0" collapsed="false">
      <c r="A626" s="140" t="str">
        <f aca="false">IF(ISBLANK(B626),"",B626&amp;"|"&amp;C626)</f>
        <v/>
      </c>
      <c r="B626" s="140"/>
      <c r="C626" s="140"/>
      <c r="D626" s="140"/>
      <c r="E626" s="146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  <c r="AA626" s="140"/>
    </row>
    <row r="627" customFormat="false" ht="15.75" hidden="false" customHeight="false" outlineLevel="0" collapsed="false">
      <c r="A627" s="140" t="str">
        <f aca="false">IF(ISBLANK(B627),"",B627&amp;"|"&amp;C627)</f>
        <v/>
      </c>
      <c r="B627" s="140"/>
      <c r="C627" s="140"/>
      <c r="D627" s="140"/>
      <c r="E627" s="146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  <c r="AA627" s="140"/>
    </row>
    <row r="628" customFormat="false" ht="15.75" hidden="false" customHeight="false" outlineLevel="0" collapsed="false">
      <c r="A628" s="140" t="str">
        <f aca="false">IF(ISBLANK(B628),"",B628&amp;"|"&amp;C628)</f>
        <v/>
      </c>
      <c r="B628" s="140"/>
      <c r="C628" s="140"/>
      <c r="D628" s="140"/>
      <c r="E628" s="146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  <c r="AA628" s="140"/>
    </row>
    <row r="629" customFormat="false" ht="15.75" hidden="false" customHeight="false" outlineLevel="0" collapsed="false">
      <c r="A629" s="140" t="str">
        <f aca="false">IF(ISBLANK(B629),"",B629&amp;"|"&amp;C629)</f>
        <v/>
      </c>
      <c r="B629" s="140"/>
      <c r="C629" s="140"/>
      <c r="D629" s="140"/>
      <c r="E629" s="146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  <c r="AA629" s="140"/>
    </row>
    <row r="630" customFormat="false" ht="15.75" hidden="false" customHeight="false" outlineLevel="0" collapsed="false">
      <c r="A630" s="140" t="str">
        <f aca="false">IF(ISBLANK(B630),"",B630&amp;"|"&amp;C630)</f>
        <v/>
      </c>
      <c r="B630" s="140"/>
      <c r="C630" s="140"/>
      <c r="D630" s="140"/>
      <c r="E630" s="146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  <c r="AA630" s="140"/>
    </row>
    <row r="631" customFormat="false" ht="15.75" hidden="false" customHeight="false" outlineLevel="0" collapsed="false">
      <c r="A631" s="140" t="str">
        <f aca="false">IF(ISBLANK(B631),"",B631&amp;"|"&amp;C631)</f>
        <v/>
      </c>
      <c r="B631" s="140"/>
      <c r="C631" s="140"/>
      <c r="D631" s="140"/>
      <c r="E631" s="146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  <c r="AA631" s="140"/>
    </row>
    <row r="632" customFormat="false" ht="15.75" hidden="false" customHeight="false" outlineLevel="0" collapsed="false">
      <c r="A632" s="140" t="str">
        <f aca="false">IF(ISBLANK(B632),"",B632&amp;"|"&amp;C632)</f>
        <v/>
      </c>
      <c r="B632" s="140"/>
      <c r="C632" s="140"/>
      <c r="D632" s="140"/>
      <c r="E632" s="146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  <c r="AA632" s="140"/>
    </row>
    <row r="633" customFormat="false" ht="15.75" hidden="false" customHeight="false" outlineLevel="0" collapsed="false">
      <c r="A633" s="140" t="str">
        <f aca="false">IF(ISBLANK(B633),"",B633&amp;"|"&amp;C633)</f>
        <v/>
      </c>
      <c r="B633" s="140"/>
      <c r="C633" s="140"/>
      <c r="D633" s="140"/>
      <c r="E633" s="146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  <c r="AA633" s="140"/>
    </row>
    <row r="634" customFormat="false" ht="15.75" hidden="false" customHeight="false" outlineLevel="0" collapsed="false">
      <c r="A634" s="140" t="str">
        <f aca="false">IF(ISBLANK(B634),"",B634&amp;"|"&amp;C634)</f>
        <v/>
      </c>
      <c r="B634" s="140"/>
      <c r="C634" s="140"/>
      <c r="D634" s="140"/>
      <c r="E634" s="146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  <c r="AA634" s="140"/>
    </row>
    <row r="635" customFormat="false" ht="15.75" hidden="false" customHeight="false" outlineLevel="0" collapsed="false">
      <c r="A635" s="140" t="str">
        <f aca="false">IF(ISBLANK(B635),"",B635&amp;"|"&amp;C635)</f>
        <v/>
      </c>
      <c r="B635" s="140"/>
      <c r="C635" s="140"/>
      <c r="D635" s="140"/>
      <c r="E635" s="146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  <c r="AA635" s="140"/>
    </row>
    <row r="636" customFormat="false" ht="15.75" hidden="false" customHeight="false" outlineLevel="0" collapsed="false">
      <c r="A636" s="140" t="str">
        <f aca="false">IF(ISBLANK(B636),"",B636&amp;"|"&amp;C636)</f>
        <v/>
      </c>
      <c r="B636" s="140"/>
      <c r="C636" s="140"/>
      <c r="D636" s="140"/>
      <c r="E636" s="146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  <c r="AA636" s="140"/>
    </row>
    <row r="637" customFormat="false" ht="15.75" hidden="false" customHeight="false" outlineLevel="0" collapsed="false">
      <c r="A637" s="140" t="str">
        <f aca="false">IF(ISBLANK(B637),"",B637&amp;"|"&amp;C637)</f>
        <v/>
      </c>
      <c r="B637" s="140"/>
      <c r="C637" s="140"/>
      <c r="D637" s="140"/>
      <c r="E637" s="146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  <c r="AA637" s="140"/>
    </row>
    <row r="638" customFormat="false" ht="15.75" hidden="false" customHeight="false" outlineLevel="0" collapsed="false">
      <c r="A638" s="140" t="str">
        <f aca="false">IF(ISBLANK(B638),"",B638&amp;"|"&amp;C638)</f>
        <v/>
      </c>
      <c r="B638" s="140"/>
      <c r="C638" s="140"/>
      <c r="D638" s="140"/>
      <c r="E638" s="146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  <c r="AA638" s="140"/>
    </row>
    <row r="639" customFormat="false" ht="15.75" hidden="false" customHeight="false" outlineLevel="0" collapsed="false">
      <c r="A639" s="140" t="str">
        <f aca="false">IF(ISBLANK(B639),"",B639&amp;"|"&amp;C639)</f>
        <v/>
      </c>
      <c r="B639" s="140"/>
      <c r="C639" s="140"/>
      <c r="D639" s="140"/>
      <c r="E639" s="146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  <c r="AA639" s="140"/>
    </row>
    <row r="640" customFormat="false" ht="15.75" hidden="false" customHeight="false" outlineLevel="0" collapsed="false">
      <c r="A640" s="140" t="str">
        <f aca="false">IF(ISBLANK(B640),"",B640&amp;"|"&amp;C640)</f>
        <v/>
      </c>
      <c r="B640" s="140"/>
      <c r="C640" s="140"/>
      <c r="D640" s="140"/>
      <c r="E640" s="146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  <c r="AA640" s="140"/>
    </row>
    <row r="641" customFormat="false" ht="15.75" hidden="false" customHeight="false" outlineLevel="0" collapsed="false">
      <c r="A641" s="140" t="str">
        <f aca="false">IF(ISBLANK(B641),"",B641&amp;"|"&amp;C641)</f>
        <v/>
      </c>
      <c r="B641" s="140"/>
      <c r="C641" s="140"/>
      <c r="D641" s="140"/>
      <c r="E641" s="146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  <c r="AA641" s="140"/>
    </row>
    <row r="642" customFormat="false" ht="15.75" hidden="false" customHeight="false" outlineLevel="0" collapsed="false">
      <c r="A642" s="140" t="str">
        <f aca="false">IF(ISBLANK(B642),"",B642&amp;"|"&amp;C642)</f>
        <v/>
      </c>
      <c r="B642" s="140"/>
      <c r="C642" s="140"/>
      <c r="D642" s="140"/>
      <c r="E642" s="146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  <c r="AA642" s="140"/>
    </row>
    <row r="643" customFormat="false" ht="15.75" hidden="false" customHeight="false" outlineLevel="0" collapsed="false">
      <c r="A643" s="140" t="str">
        <f aca="false">IF(ISBLANK(B643),"",B643&amp;"|"&amp;C643)</f>
        <v/>
      </c>
      <c r="B643" s="140"/>
      <c r="C643" s="140"/>
      <c r="D643" s="140"/>
      <c r="E643" s="146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  <c r="AA643" s="140"/>
    </row>
    <row r="644" customFormat="false" ht="15.75" hidden="false" customHeight="false" outlineLevel="0" collapsed="false">
      <c r="A644" s="140" t="str">
        <f aca="false">IF(ISBLANK(B644),"",B644&amp;"|"&amp;C644)</f>
        <v/>
      </c>
      <c r="B644" s="140"/>
      <c r="C644" s="140"/>
      <c r="D644" s="140"/>
      <c r="E644" s="146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  <c r="AA644" s="140"/>
    </row>
    <row r="645" customFormat="false" ht="15.75" hidden="false" customHeight="false" outlineLevel="0" collapsed="false">
      <c r="A645" s="140" t="str">
        <f aca="false">IF(ISBLANK(B645),"",B645&amp;"|"&amp;C645)</f>
        <v/>
      </c>
      <c r="B645" s="140"/>
      <c r="C645" s="140"/>
      <c r="D645" s="140"/>
      <c r="E645" s="146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  <c r="AA645" s="140"/>
    </row>
    <row r="646" customFormat="false" ht="15.75" hidden="false" customHeight="false" outlineLevel="0" collapsed="false">
      <c r="A646" s="140" t="str">
        <f aca="false">IF(ISBLANK(B646),"",B646&amp;"|"&amp;C646)</f>
        <v/>
      </c>
      <c r="B646" s="140"/>
      <c r="C646" s="140"/>
      <c r="D646" s="140"/>
      <c r="E646" s="146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  <c r="AA646" s="140"/>
    </row>
    <row r="647" customFormat="false" ht="15.75" hidden="false" customHeight="false" outlineLevel="0" collapsed="false">
      <c r="A647" s="140" t="str">
        <f aca="false">IF(ISBLANK(B647),"",B647&amp;"|"&amp;C647)</f>
        <v/>
      </c>
      <c r="B647" s="140"/>
      <c r="C647" s="140"/>
      <c r="D647" s="140"/>
      <c r="E647" s="146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  <c r="AA647" s="140"/>
    </row>
    <row r="648" customFormat="false" ht="15.75" hidden="false" customHeight="false" outlineLevel="0" collapsed="false">
      <c r="A648" s="140" t="str">
        <f aca="false">IF(ISBLANK(B648),"",B648&amp;"|"&amp;C648)</f>
        <v/>
      </c>
      <c r="B648" s="140"/>
      <c r="C648" s="140"/>
      <c r="D648" s="140"/>
      <c r="E648" s="146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  <c r="AA648" s="140"/>
    </row>
    <row r="649" customFormat="false" ht="15.75" hidden="false" customHeight="false" outlineLevel="0" collapsed="false">
      <c r="A649" s="140" t="str">
        <f aca="false">IF(ISBLANK(B649),"",B649&amp;"|"&amp;C649)</f>
        <v/>
      </c>
      <c r="B649" s="140"/>
      <c r="C649" s="140"/>
      <c r="D649" s="140"/>
      <c r="E649" s="146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  <c r="AA649" s="140"/>
    </row>
    <row r="650" customFormat="false" ht="15.75" hidden="false" customHeight="false" outlineLevel="0" collapsed="false">
      <c r="A650" s="140" t="str">
        <f aca="false">IF(ISBLANK(B650),"",B650&amp;"|"&amp;C650)</f>
        <v/>
      </c>
      <c r="B650" s="140"/>
      <c r="C650" s="140"/>
      <c r="D650" s="140"/>
      <c r="E650" s="146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  <c r="AA650" s="140"/>
    </row>
    <row r="651" customFormat="false" ht="15.75" hidden="false" customHeight="false" outlineLevel="0" collapsed="false">
      <c r="A651" s="140" t="str">
        <f aca="false">IF(ISBLANK(B651),"",B651&amp;"|"&amp;C651)</f>
        <v/>
      </c>
      <c r="B651" s="140"/>
      <c r="C651" s="140"/>
      <c r="D651" s="140"/>
      <c r="E651" s="146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  <c r="AA651" s="140"/>
    </row>
    <row r="652" customFormat="false" ht="15.75" hidden="false" customHeight="false" outlineLevel="0" collapsed="false">
      <c r="A652" s="140" t="str">
        <f aca="false">IF(ISBLANK(B652),"",B652&amp;"|"&amp;C652)</f>
        <v/>
      </c>
      <c r="B652" s="140"/>
      <c r="C652" s="140"/>
      <c r="D652" s="140"/>
      <c r="E652" s="146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  <c r="AA652" s="140"/>
    </row>
    <row r="653" customFormat="false" ht="15.75" hidden="false" customHeight="false" outlineLevel="0" collapsed="false">
      <c r="A653" s="140" t="str">
        <f aca="false">IF(ISBLANK(B653),"",B653&amp;"|"&amp;C653)</f>
        <v/>
      </c>
      <c r="B653" s="140"/>
      <c r="C653" s="140"/>
      <c r="D653" s="140"/>
      <c r="E653" s="146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  <c r="AA653" s="140"/>
    </row>
    <row r="654" customFormat="false" ht="15.75" hidden="false" customHeight="false" outlineLevel="0" collapsed="false">
      <c r="A654" s="140" t="str">
        <f aca="false">IF(ISBLANK(B654),"",B654&amp;"|"&amp;C654)</f>
        <v/>
      </c>
      <c r="B654" s="140"/>
      <c r="C654" s="140"/>
      <c r="D654" s="140"/>
      <c r="E654" s="146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  <c r="AA654" s="140"/>
    </row>
    <row r="655" customFormat="false" ht="15.75" hidden="false" customHeight="false" outlineLevel="0" collapsed="false">
      <c r="A655" s="140" t="str">
        <f aca="false">IF(ISBLANK(B655),"",B655&amp;"|"&amp;C655)</f>
        <v/>
      </c>
      <c r="B655" s="140"/>
      <c r="C655" s="140"/>
      <c r="D655" s="140"/>
      <c r="E655" s="146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  <c r="AA655" s="140"/>
    </row>
    <row r="656" customFormat="false" ht="15.75" hidden="false" customHeight="false" outlineLevel="0" collapsed="false">
      <c r="A656" s="140" t="str">
        <f aca="false">IF(ISBLANK(B656),"",B656&amp;"|"&amp;C656)</f>
        <v/>
      </c>
      <c r="B656" s="140"/>
      <c r="C656" s="140"/>
      <c r="D656" s="140"/>
      <c r="E656" s="146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  <c r="AA656" s="140"/>
    </row>
    <row r="657" customFormat="false" ht="15.75" hidden="false" customHeight="false" outlineLevel="0" collapsed="false">
      <c r="A657" s="140" t="str">
        <f aca="false">IF(ISBLANK(B657),"",B657&amp;"|"&amp;C657)</f>
        <v/>
      </c>
      <c r="B657" s="140"/>
      <c r="C657" s="140"/>
      <c r="D657" s="140"/>
      <c r="E657" s="146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  <c r="AA657" s="140"/>
    </row>
    <row r="658" customFormat="false" ht="15.75" hidden="false" customHeight="false" outlineLevel="0" collapsed="false">
      <c r="A658" s="140" t="str">
        <f aca="false">IF(ISBLANK(B658),"",B658&amp;"|"&amp;C658)</f>
        <v/>
      </c>
      <c r="B658" s="140"/>
      <c r="C658" s="140"/>
      <c r="D658" s="140"/>
      <c r="E658" s="146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  <c r="AA658" s="140"/>
    </row>
    <row r="659" customFormat="false" ht="15.75" hidden="false" customHeight="false" outlineLevel="0" collapsed="false">
      <c r="A659" s="140" t="str">
        <f aca="false">IF(ISBLANK(B659),"",B659&amp;"|"&amp;C659)</f>
        <v/>
      </c>
      <c r="B659" s="140"/>
      <c r="C659" s="140"/>
      <c r="D659" s="140"/>
      <c r="E659" s="146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  <c r="AA659" s="140"/>
    </row>
    <row r="660" customFormat="false" ht="15.75" hidden="false" customHeight="false" outlineLevel="0" collapsed="false">
      <c r="A660" s="140" t="str">
        <f aca="false">IF(ISBLANK(B660),"",B660&amp;"|"&amp;C660)</f>
        <v/>
      </c>
      <c r="B660" s="140"/>
      <c r="C660" s="140"/>
      <c r="D660" s="140"/>
      <c r="E660" s="146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  <c r="AA660" s="140"/>
    </row>
    <row r="661" customFormat="false" ht="15.75" hidden="false" customHeight="false" outlineLevel="0" collapsed="false">
      <c r="A661" s="140" t="str">
        <f aca="false">IF(ISBLANK(B661),"",B661&amp;"|"&amp;C661)</f>
        <v/>
      </c>
      <c r="B661" s="140"/>
      <c r="C661" s="140"/>
      <c r="D661" s="140"/>
      <c r="E661" s="146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  <c r="AA661" s="140"/>
    </row>
    <row r="662" customFormat="false" ht="15.75" hidden="false" customHeight="false" outlineLevel="0" collapsed="false">
      <c r="A662" s="140" t="str">
        <f aca="false">IF(ISBLANK(B662),"",B662&amp;"|"&amp;C662)</f>
        <v/>
      </c>
      <c r="B662" s="140"/>
      <c r="C662" s="140"/>
      <c r="D662" s="140"/>
      <c r="E662" s="146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  <c r="AA662" s="140"/>
    </row>
    <row r="663" customFormat="false" ht="15.75" hidden="false" customHeight="false" outlineLevel="0" collapsed="false">
      <c r="A663" s="140" t="str">
        <f aca="false">IF(ISBLANK(B663),"",B663&amp;"|"&amp;C663)</f>
        <v/>
      </c>
      <c r="B663" s="140"/>
      <c r="C663" s="140"/>
      <c r="D663" s="140"/>
      <c r="E663" s="146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  <c r="AA663" s="140"/>
    </row>
    <row r="664" customFormat="false" ht="15.75" hidden="false" customHeight="false" outlineLevel="0" collapsed="false">
      <c r="A664" s="140" t="str">
        <f aca="false">IF(ISBLANK(B664),"",B664&amp;"|"&amp;C664)</f>
        <v/>
      </c>
      <c r="B664" s="140"/>
      <c r="C664" s="140"/>
      <c r="D664" s="140"/>
      <c r="E664" s="146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  <c r="AA664" s="140"/>
    </row>
    <row r="665" customFormat="false" ht="15.75" hidden="false" customHeight="false" outlineLevel="0" collapsed="false">
      <c r="A665" s="140" t="str">
        <f aca="false">IF(ISBLANK(B665),"",B665&amp;"|"&amp;C665)</f>
        <v/>
      </c>
      <c r="B665" s="140"/>
      <c r="C665" s="140"/>
      <c r="D665" s="140"/>
      <c r="E665" s="146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  <c r="AA665" s="140"/>
    </row>
    <row r="666" customFormat="false" ht="15.75" hidden="false" customHeight="false" outlineLevel="0" collapsed="false">
      <c r="A666" s="140" t="str">
        <f aca="false">IF(ISBLANK(B666),"",B666&amp;"|"&amp;C666)</f>
        <v/>
      </c>
      <c r="B666" s="140"/>
      <c r="C666" s="140"/>
      <c r="D666" s="140"/>
      <c r="E666" s="146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  <c r="AA666" s="140"/>
    </row>
    <row r="667" customFormat="false" ht="15.75" hidden="false" customHeight="false" outlineLevel="0" collapsed="false">
      <c r="A667" s="140" t="str">
        <f aca="false">IF(ISBLANK(B667),"",B667&amp;"|"&amp;C667)</f>
        <v/>
      </c>
      <c r="B667" s="140"/>
      <c r="C667" s="140"/>
      <c r="D667" s="140"/>
      <c r="E667" s="146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  <c r="AA667" s="140"/>
    </row>
    <row r="668" customFormat="false" ht="15.75" hidden="false" customHeight="false" outlineLevel="0" collapsed="false">
      <c r="A668" s="140" t="str">
        <f aca="false">IF(ISBLANK(B668),"",B668&amp;"|"&amp;C668)</f>
        <v/>
      </c>
      <c r="B668" s="140"/>
      <c r="C668" s="140"/>
      <c r="D668" s="140"/>
      <c r="E668" s="146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  <c r="AA668" s="140"/>
    </row>
    <row r="669" customFormat="false" ht="15.75" hidden="false" customHeight="false" outlineLevel="0" collapsed="false">
      <c r="A669" s="140" t="str">
        <f aca="false">IF(ISBLANK(B669),"",B669&amp;"|"&amp;C669)</f>
        <v/>
      </c>
      <c r="B669" s="140"/>
      <c r="C669" s="140"/>
      <c r="D669" s="140"/>
      <c r="E669" s="146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</row>
    <row r="670" customFormat="false" ht="15.75" hidden="false" customHeight="false" outlineLevel="0" collapsed="false">
      <c r="A670" s="140" t="str">
        <f aca="false">IF(ISBLANK(B670),"",B670&amp;"|"&amp;C670)</f>
        <v/>
      </c>
      <c r="B670" s="140"/>
      <c r="C670" s="140"/>
      <c r="D670" s="140"/>
      <c r="E670" s="146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  <c r="AA670" s="140"/>
    </row>
    <row r="671" customFormat="false" ht="15.75" hidden="false" customHeight="false" outlineLevel="0" collapsed="false">
      <c r="A671" s="140" t="str">
        <f aca="false">IF(ISBLANK(B671),"",B671&amp;"|"&amp;C671)</f>
        <v/>
      </c>
      <c r="B671" s="140"/>
      <c r="C671" s="140"/>
      <c r="D671" s="140"/>
      <c r="E671" s="146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  <c r="AA671" s="140"/>
    </row>
    <row r="672" customFormat="false" ht="15.75" hidden="false" customHeight="false" outlineLevel="0" collapsed="false">
      <c r="A672" s="140" t="str">
        <f aca="false">IF(ISBLANK(B672),"",B672&amp;"|"&amp;C672)</f>
        <v/>
      </c>
      <c r="B672" s="140"/>
      <c r="C672" s="140"/>
      <c r="D672" s="140"/>
      <c r="E672" s="146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  <c r="AA672" s="140"/>
    </row>
    <row r="673" customFormat="false" ht="15.75" hidden="false" customHeight="false" outlineLevel="0" collapsed="false">
      <c r="A673" s="140" t="str">
        <f aca="false">IF(ISBLANK(B673),"",B673&amp;"|"&amp;C673)</f>
        <v/>
      </c>
      <c r="B673" s="140"/>
      <c r="C673" s="140"/>
      <c r="D673" s="140"/>
      <c r="E673" s="146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  <c r="AA673" s="140"/>
    </row>
    <row r="674" customFormat="false" ht="15.75" hidden="false" customHeight="false" outlineLevel="0" collapsed="false">
      <c r="A674" s="140" t="str">
        <f aca="false">IF(ISBLANK(B674),"",B674&amp;"|"&amp;C674)</f>
        <v/>
      </c>
      <c r="B674" s="140"/>
      <c r="C674" s="140"/>
      <c r="D674" s="140"/>
      <c r="E674" s="146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  <c r="AA674" s="140"/>
    </row>
    <row r="675" customFormat="false" ht="15.75" hidden="false" customHeight="false" outlineLevel="0" collapsed="false">
      <c r="A675" s="140" t="str">
        <f aca="false">IF(ISBLANK(B675),"",B675&amp;"|"&amp;C675)</f>
        <v/>
      </c>
      <c r="B675" s="140"/>
      <c r="C675" s="140"/>
      <c r="D675" s="140"/>
      <c r="E675" s="146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  <c r="AA675" s="140"/>
    </row>
    <row r="676" customFormat="false" ht="15.75" hidden="false" customHeight="false" outlineLevel="0" collapsed="false">
      <c r="A676" s="140" t="str">
        <f aca="false">IF(ISBLANK(B676),"",B676&amp;"|"&amp;C676)</f>
        <v/>
      </c>
      <c r="B676" s="140"/>
      <c r="C676" s="140"/>
      <c r="D676" s="140"/>
      <c r="E676" s="146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  <c r="AA676" s="140"/>
    </row>
    <row r="677" customFormat="false" ht="15.75" hidden="false" customHeight="false" outlineLevel="0" collapsed="false">
      <c r="A677" s="140" t="str">
        <f aca="false">IF(ISBLANK(B677),"",B677&amp;"|"&amp;C677)</f>
        <v/>
      </c>
      <c r="B677" s="140"/>
      <c r="C677" s="140"/>
      <c r="D677" s="140"/>
      <c r="E677" s="146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  <c r="AA677" s="140"/>
    </row>
    <row r="678" customFormat="false" ht="15.75" hidden="false" customHeight="false" outlineLevel="0" collapsed="false">
      <c r="A678" s="140" t="str">
        <f aca="false">IF(ISBLANK(B678),"",B678&amp;"|"&amp;C678)</f>
        <v/>
      </c>
      <c r="B678" s="140"/>
      <c r="C678" s="140"/>
      <c r="D678" s="140"/>
      <c r="E678" s="146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  <c r="AA678" s="140"/>
    </row>
    <row r="679" customFormat="false" ht="15.75" hidden="false" customHeight="false" outlineLevel="0" collapsed="false">
      <c r="A679" s="140" t="str">
        <f aca="false">IF(ISBLANK(B679),"",B679&amp;"|"&amp;C679)</f>
        <v/>
      </c>
      <c r="B679" s="140"/>
      <c r="C679" s="140"/>
      <c r="D679" s="140"/>
      <c r="E679" s="146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  <c r="AA679" s="140"/>
    </row>
    <row r="680" customFormat="false" ht="15.75" hidden="false" customHeight="false" outlineLevel="0" collapsed="false">
      <c r="A680" s="140" t="str">
        <f aca="false">IF(ISBLANK(B680),"",B680&amp;"|"&amp;C680)</f>
        <v/>
      </c>
      <c r="B680" s="140"/>
      <c r="C680" s="140"/>
      <c r="D680" s="140"/>
      <c r="E680" s="146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  <c r="AA680" s="140"/>
    </row>
    <row r="681" customFormat="false" ht="15.75" hidden="false" customHeight="false" outlineLevel="0" collapsed="false">
      <c r="A681" s="140" t="str">
        <f aca="false">IF(ISBLANK(B681),"",B681&amp;"|"&amp;C681)</f>
        <v/>
      </c>
      <c r="B681" s="140"/>
      <c r="C681" s="140"/>
      <c r="D681" s="140"/>
      <c r="E681" s="146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  <c r="AA681" s="140"/>
    </row>
    <row r="682" customFormat="false" ht="15.75" hidden="false" customHeight="false" outlineLevel="0" collapsed="false">
      <c r="A682" s="140" t="str">
        <f aca="false">IF(ISBLANK(B682),"",B682&amp;"|"&amp;C682)</f>
        <v/>
      </c>
      <c r="B682" s="140"/>
      <c r="C682" s="140"/>
      <c r="D682" s="140"/>
      <c r="E682" s="146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  <c r="AA682" s="140"/>
    </row>
    <row r="683" customFormat="false" ht="15.75" hidden="false" customHeight="false" outlineLevel="0" collapsed="false">
      <c r="A683" s="140" t="str">
        <f aca="false">IF(ISBLANK(B683),"",B683&amp;"|"&amp;C683)</f>
        <v/>
      </c>
      <c r="B683" s="140"/>
      <c r="C683" s="140"/>
      <c r="D683" s="140"/>
      <c r="E683" s="146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  <c r="AA683" s="140"/>
    </row>
    <row r="684" customFormat="false" ht="15.75" hidden="false" customHeight="false" outlineLevel="0" collapsed="false">
      <c r="A684" s="140" t="str">
        <f aca="false">IF(ISBLANK(B684),"",B684&amp;"|"&amp;C684)</f>
        <v/>
      </c>
      <c r="B684" s="140"/>
      <c r="C684" s="140"/>
      <c r="D684" s="140"/>
      <c r="E684" s="146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  <c r="AA684" s="140"/>
    </row>
    <row r="685" customFormat="false" ht="15.75" hidden="false" customHeight="false" outlineLevel="0" collapsed="false">
      <c r="A685" s="140" t="str">
        <f aca="false">IF(ISBLANK(B685),"",B685&amp;"|"&amp;C685)</f>
        <v/>
      </c>
      <c r="B685" s="140"/>
      <c r="C685" s="140"/>
      <c r="D685" s="140"/>
      <c r="E685" s="146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  <c r="AA685" s="140"/>
    </row>
    <row r="686" customFormat="false" ht="15.75" hidden="false" customHeight="false" outlineLevel="0" collapsed="false">
      <c r="A686" s="140" t="str">
        <f aca="false">IF(ISBLANK(B686),"",B686&amp;"|"&amp;C686)</f>
        <v/>
      </c>
      <c r="B686" s="140"/>
      <c r="C686" s="140"/>
      <c r="D686" s="140"/>
      <c r="E686" s="146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  <c r="AA686" s="140"/>
    </row>
    <row r="687" customFormat="false" ht="15.75" hidden="false" customHeight="false" outlineLevel="0" collapsed="false">
      <c r="A687" s="140" t="str">
        <f aca="false">IF(ISBLANK(B687),"",B687&amp;"|"&amp;C687)</f>
        <v/>
      </c>
      <c r="B687" s="140"/>
      <c r="C687" s="140"/>
      <c r="D687" s="140"/>
      <c r="E687" s="146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  <c r="AA687" s="140"/>
    </row>
    <row r="688" customFormat="false" ht="15.75" hidden="false" customHeight="false" outlineLevel="0" collapsed="false">
      <c r="A688" s="140" t="str">
        <f aca="false">IF(ISBLANK(B688),"",B688&amp;"|"&amp;C688)</f>
        <v/>
      </c>
      <c r="B688" s="140"/>
      <c r="C688" s="140"/>
      <c r="D688" s="140"/>
      <c r="E688" s="146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  <c r="AA688" s="140"/>
    </row>
    <row r="689" customFormat="false" ht="15.75" hidden="false" customHeight="false" outlineLevel="0" collapsed="false">
      <c r="A689" s="140" t="str">
        <f aca="false">IF(ISBLANK(B689),"",B689&amp;"|"&amp;C689)</f>
        <v/>
      </c>
      <c r="B689" s="140"/>
      <c r="C689" s="140"/>
      <c r="D689" s="140"/>
      <c r="E689" s="146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  <c r="AA689" s="140"/>
    </row>
    <row r="690" customFormat="false" ht="15.75" hidden="false" customHeight="false" outlineLevel="0" collapsed="false">
      <c r="A690" s="140" t="str">
        <f aca="false">IF(ISBLANK(B690),"",B690&amp;"|"&amp;C690)</f>
        <v/>
      </c>
      <c r="B690" s="140"/>
      <c r="C690" s="140"/>
      <c r="D690" s="140"/>
      <c r="E690" s="146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  <c r="AA690" s="140"/>
    </row>
    <row r="691" customFormat="false" ht="15.75" hidden="false" customHeight="false" outlineLevel="0" collapsed="false">
      <c r="A691" s="140" t="str">
        <f aca="false">IF(ISBLANK(B691),"",B691&amp;"|"&amp;C691)</f>
        <v/>
      </c>
      <c r="B691" s="140"/>
      <c r="C691" s="140"/>
      <c r="D691" s="140"/>
      <c r="E691" s="146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  <c r="AA691" s="140"/>
    </row>
    <row r="692" customFormat="false" ht="15.75" hidden="false" customHeight="false" outlineLevel="0" collapsed="false">
      <c r="A692" s="140" t="str">
        <f aca="false">IF(ISBLANK(B692),"",B692&amp;"|"&amp;C692)</f>
        <v/>
      </c>
      <c r="B692" s="140"/>
      <c r="C692" s="140"/>
      <c r="D692" s="140"/>
      <c r="E692" s="146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  <c r="AA692" s="140"/>
    </row>
    <row r="693" customFormat="false" ht="15.75" hidden="false" customHeight="false" outlineLevel="0" collapsed="false">
      <c r="A693" s="140" t="str">
        <f aca="false">IF(ISBLANK(B693),"",B693&amp;"|"&amp;C693)</f>
        <v/>
      </c>
      <c r="B693" s="140"/>
      <c r="C693" s="140"/>
      <c r="D693" s="140"/>
      <c r="E693" s="146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  <c r="AA693" s="140"/>
    </row>
    <row r="694" customFormat="false" ht="15.75" hidden="false" customHeight="false" outlineLevel="0" collapsed="false">
      <c r="A694" s="140" t="str">
        <f aca="false">IF(ISBLANK(B694),"",B694&amp;"|"&amp;C694)</f>
        <v/>
      </c>
      <c r="B694" s="140"/>
      <c r="C694" s="140"/>
      <c r="D694" s="140"/>
      <c r="E694" s="146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  <c r="AA694" s="140"/>
    </row>
    <row r="695" customFormat="false" ht="15.75" hidden="false" customHeight="false" outlineLevel="0" collapsed="false">
      <c r="A695" s="140" t="str">
        <f aca="false">IF(ISBLANK(B695),"",B695&amp;"|"&amp;C695)</f>
        <v/>
      </c>
      <c r="B695" s="140"/>
      <c r="C695" s="140"/>
      <c r="D695" s="140"/>
      <c r="E695" s="146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  <c r="AA695" s="140"/>
    </row>
    <row r="696" customFormat="false" ht="15.75" hidden="false" customHeight="false" outlineLevel="0" collapsed="false">
      <c r="A696" s="140" t="str">
        <f aca="false">IF(ISBLANK(B696),"",B696&amp;"|"&amp;C696)</f>
        <v/>
      </c>
      <c r="B696" s="140"/>
      <c r="C696" s="140"/>
      <c r="D696" s="140"/>
      <c r="E696" s="146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  <c r="AA696" s="140"/>
    </row>
    <row r="697" customFormat="false" ht="15.75" hidden="false" customHeight="false" outlineLevel="0" collapsed="false">
      <c r="A697" s="140" t="str">
        <f aca="false">IF(ISBLANK(B697),"",B697&amp;"|"&amp;C697)</f>
        <v/>
      </c>
      <c r="B697" s="140"/>
      <c r="C697" s="140"/>
      <c r="D697" s="140"/>
      <c r="E697" s="146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  <c r="AA697" s="140"/>
    </row>
    <row r="698" customFormat="false" ht="15.75" hidden="false" customHeight="false" outlineLevel="0" collapsed="false">
      <c r="A698" s="140" t="str">
        <f aca="false">IF(ISBLANK(B698),"",B698&amp;"|"&amp;C698)</f>
        <v/>
      </c>
      <c r="B698" s="140"/>
      <c r="C698" s="140"/>
      <c r="D698" s="140"/>
      <c r="E698" s="146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  <c r="AA698" s="140"/>
    </row>
    <row r="699" customFormat="false" ht="15.75" hidden="false" customHeight="false" outlineLevel="0" collapsed="false">
      <c r="A699" s="140" t="str">
        <f aca="false">IF(ISBLANK(B699),"",B699&amp;"|"&amp;C699)</f>
        <v/>
      </c>
      <c r="B699" s="140"/>
      <c r="C699" s="140"/>
      <c r="D699" s="140"/>
      <c r="E699" s="146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  <c r="AA699" s="140"/>
    </row>
    <row r="700" customFormat="false" ht="15.75" hidden="false" customHeight="false" outlineLevel="0" collapsed="false">
      <c r="A700" s="140" t="str">
        <f aca="false">IF(ISBLANK(B700),"",B700&amp;"|"&amp;C700)</f>
        <v/>
      </c>
      <c r="B700" s="140"/>
      <c r="C700" s="140"/>
      <c r="D700" s="140"/>
      <c r="E700" s="146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  <c r="AA700" s="140"/>
    </row>
    <row r="701" customFormat="false" ht="15.75" hidden="false" customHeight="false" outlineLevel="0" collapsed="false">
      <c r="A701" s="140" t="str">
        <f aca="false">IF(ISBLANK(B701),"",B701&amp;"|"&amp;C701)</f>
        <v/>
      </c>
      <c r="B701" s="140"/>
      <c r="C701" s="140"/>
      <c r="D701" s="140"/>
      <c r="E701" s="146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  <c r="AA701" s="140"/>
    </row>
    <row r="702" customFormat="false" ht="15.75" hidden="false" customHeight="false" outlineLevel="0" collapsed="false">
      <c r="A702" s="140" t="str">
        <f aca="false">IF(ISBLANK(B702),"",B702&amp;"|"&amp;C702)</f>
        <v/>
      </c>
      <c r="B702" s="140"/>
      <c r="C702" s="140"/>
      <c r="D702" s="140"/>
      <c r="E702" s="146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  <c r="AA702" s="140"/>
    </row>
    <row r="703" customFormat="false" ht="15.75" hidden="false" customHeight="false" outlineLevel="0" collapsed="false">
      <c r="A703" s="140" t="str">
        <f aca="false">IF(ISBLANK(B703),"",B703&amp;"|"&amp;C703)</f>
        <v/>
      </c>
      <c r="B703" s="140"/>
      <c r="C703" s="140"/>
      <c r="D703" s="140"/>
      <c r="E703" s="146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  <c r="AA703" s="140"/>
    </row>
    <row r="704" customFormat="false" ht="15.75" hidden="false" customHeight="false" outlineLevel="0" collapsed="false">
      <c r="A704" s="140" t="str">
        <f aca="false">IF(ISBLANK(B704),"",B704&amp;"|"&amp;C704)</f>
        <v/>
      </c>
      <c r="B704" s="140"/>
      <c r="C704" s="140"/>
      <c r="D704" s="140"/>
      <c r="E704" s="146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  <c r="AA704" s="140"/>
    </row>
    <row r="705" customFormat="false" ht="15.75" hidden="false" customHeight="false" outlineLevel="0" collapsed="false">
      <c r="A705" s="140" t="str">
        <f aca="false">IF(ISBLANK(B705),"",B705&amp;"|"&amp;C705)</f>
        <v/>
      </c>
      <c r="B705" s="140"/>
      <c r="C705" s="140"/>
      <c r="D705" s="140"/>
      <c r="E705" s="146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  <c r="AA705" s="140"/>
    </row>
    <row r="706" customFormat="false" ht="15.75" hidden="false" customHeight="false" outlineLevel="0" collapsed="false">
      <c r="A706" s="140" t="str">
        <f aca="false">IF(ISBLANK(B706),"",B706&amp;"|"&amp;C706)</f>
        <v/>
      </c>
      <c r="B706" s="140"/>
      <c r="C706" s="140"/>
      <c r="D706" s="140"/>
      <c r="E706" s="146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  <c r="AA706" s="140"/>
    </row>
    <row r="707" customFormat="false" ht="15.75" hidden="false" customHeight="false" outlineLevel="0" collapsed="false">
      <c r="A707" s="140" t="str">
        <f aca="false">IF(ISBLANK(B707),"",B707&amp;"|"&amp;C707)</f>
        <v/>
      </c>
      <c r="B707" s="140"/>
      <c r="C707" s="140"/>
      <c r="D707" s="140"/>
      <c r="E707" s="146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  <c r="AA707" s="140"/>
    </row>
    <row r="708" customFormat="false" ht="15.75" hidden="false" customHeight="false" outlineLevel="0" collapsed="false">
      <c r="A708" s="140" t="str">
        <f aca="false">IF(ISBLANK(B708),"",B708&amp;"|"&amp;C708)</f>
        <v/>
      </c>
      <c r="B708" s="140"/>
      <c r="C708" s="140"/>
      <c r="D708" s="140"/>
      <c r="E708" s="146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  <c r="AA708" s="140"/>
    </row>
    <row r="709" customFormat="false" ht="15.75" hidden="false" customHeight="false" outlineLevel="0" collapsed="false">
      <c r="A709" s="140" t="str">
        <f aca="false">IF(ISBLANK(B709),"",B709&amp;"|"&amp;C709)</f>
        <v/>
      </c>
      <c r="B709" s="140"/>
      <c r="C709" s="140"/>
      <c r="D709" s="140"/>
      <c r="E709" s="146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  <c r="AA709" s="140"/>
    </row>
    <row r="710" customFormat="false" ht="15.75" hidden="false" customHeight="false" outlineLevel="0" collapsed="false">
      <c r="A710" s="140" t="str">
        <f aca="false">IF(ISBLANK(B710),"",B710&amp;"|"&amp;C710)</f>
        <v/>
      </c>
      <c r="B710" s="140"/>
      <c r="C710" s="140"/>
      <c r="D710" s="140"/>
      <c r="E710" s="146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  <c r="AA710" s="140"/>
    </row>
    <row r="711" customFormat="false" ht="15.75" hidden="false" customHeight="false" outlineLevel="0" collapsed="false">
      <c r="A711" s="140" t="str">
        <f aca="false">IF(ISBLANK(B711),"",B711&amp;"|"&amp;C711)</f>
        <v/>
      </c>
      <c r="B711" s="140"/>
      <c r="C711" s="140"/>
      <c r="D711" s="140"/>
      <c r="E711" s="146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  <c r="AA711" s="140"/>
    </row>
    <row r="712" customFormat="false" ht="15.75" hidden="false" customHeight="false" outlineLevel="0" collapsed="false">
      <c r="A712" s="140" t="str">
        <f aca="false">IF(ISBLANK(B712),"",B712&amp;"|"&amp;C712)</f>
        <v/>
      </c>
      <c r="B712" s="140"/>
      <c r="C712" s="140"/>
      <c r="D712" s="140"/>
      <c r="E712" s="146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  <c r="AA712" s="140"/>
    </row>
    <row r="713" customFormat="false" ht="15.75" hidden="false" customHeight="false" outlineLevel="0" collapsed="false">
      <c r="A713" s="140" t="str">
        <f aca="false">IF(ISBLANK(B713),"",B713&amp;"|"&amp;C713)</f>
        <v/>
      </c>
      <c r="B713" s="140"/>
      <c r="C713" s="140"/>
      <c r="D713" s="140"/>
      <c r="E713" s="146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  <c r="AA713" s="140"/>
    </row>
    <row r="714" customFormat="false" ht="15.75" hidden="false" customHeight="false" outlineLevel="0" collapsed="false">
      <c r="A714" s="140" t="str">
        <f aca="false">IF(ISBLANK(B714),"",B714&amp;"|"&amp;C714)</f>
        <v/>
      </c>
      <c r="B714" s="140"/>
      <c r="C714" s="140"/>
      <c r="D714" s="140"/>
      <c r="E714" s="146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  <c r="AA714" s="140"/>
    </row>
    <row r="715" customFormat="false" ht="15.75" hidden="false" customHeight="false" outlineLevel="0" collapsed="false">
      <c r="A715" s="140" t="str">
        <f aca="false">IF(ISBLANK(B715),"",B715&amp;"|"&amp;C715)</f>
        <v/>
      </c>
      <c r="B715" s="140"/>
      <c r="C715" s="140"/>
      <c r="D715" s="140"/>
      <c r="E715" s="146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  <c r="AA715" s="140"/>
    </row>
    <row r="716" customFormat="false" ht="15.75" hidden="false" customHeight="false" outlineLevel="0" collapsed="false">
      <c r="A716" s="140" t="str">
        <f aca="false">IF(ISBLANK(B716),"",B716&amp;"|"&amp;C716)</f>
        <v/>
      </c>
      <c r="B716" s="140"/>
      <c r="C716" s="140"/>
      <c r="D716" s="140"/>
      <c r="E716" s="146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  <c r="AA716" s="140"/>
    </row>
    <row r="717" customFormat="false" ht="15.75" hidden="false" customHeight="false" outlineLevel="0" collapsed="false">
      <c r="A717" s="140" t="str">
        <f aca="false">IF(ISBLANK(B717),"",B717&amp;"|"&amp;C717)</f>
        <v/>
      </c>
      <c r="B717" s="140"/>
      <c r="C717" s="140"/>
      <c r="D717" s="140"/>
      <c r="E717" s="146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  <c r="AA717" s="140"/>
    </row>
    <row r="718" customFormat="false" ht="15.75" hidden="false" customHeight="false" outlineLevel="0" collapsed="false">
      <c r="A718" s="140" t="str">
        <f aca="false">IF(ISBLANK(B718),"",B718&amp;"|"&amp;C718)</f>
        <v/>
      </c>
      <c r="B718" s="140"/>
      <c r="C718" s="140"/>
      <c r="D718" s="140"/>
      <c r="E718" s="146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  <c r="AA718" s="140"/>
    </row>
    <row r="719" customFormat="false" ht="15.75" hidden="false" customHeight="false" outlineLevel="0" collapsed="false">
      <c r="A719" s="140" t="str">
        <f aca="false">IF(ISBLANK(B719),"",B719&amp;"|"&amp;C719)</f>
        <v/>
      </c>
      <c r="B719" s="140"/>
      <c r="C719" s="140"/>
      <c r="D719" s="140"/>
      <c r="E719" s="146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  <c r="AA719" s="140"/>
    </row>
    <row r="720" customFormat="false" ht="15.75" hidden="false" customHeight="false" outlineLevel="0" collapsed="false">
      <c r="A720" s="140" t="str">
        <f aca="false">IF(ISBLANK(B720),"",B720&amp;"|"&amp;C720)</f>
        <v/>
      </c>
      <c r="B720" s="140"/>
      <c r="C720" s="140"/>
      <c r="D720" s="140"/>
      <c r="E720" s="146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  <c r="AA720" s="140"/>
    </row>
    <row r="721" customFormat="false" ht="15.75" hidden="false" customHeight="false" outlineLevel="0" collapsed="false">
      <c r="A721" s="140" t="str">
        <f aca="false">IF(ISBLANK(B721),"",B721&amp;"|"&amp;C721)</f>
        <v/>
      </c>
      <c r="B721" s="140"/>
      <c r="C721" s="140"/>
      <c r="D721" s="140"/>
      <c r="E721" s="146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  <c r="AA721" s="140"/>
    </row>
    <row r="722" customFormat="false" ht="15.75" hidden="false" customHeight="false" outlineLevel="0" collapsed="false">
      <c r="A722" s="140" t="str">
        <f aca="false">IF(ISBLANK(B722),"",B722&amp;"|"&amp;C722)</f>
        <v/>
      </c>
      <c r="B722" s="140"/>
      <c r="C722" s="140"/>
      <c r="D722" s="140"/>
      <c r="E722" s="146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  <c r="AA722" s="140"/>
    </row>
    <row r="723" customFormat="false" ht="15.75" hidden="false" customHeight="false" outlineLevel="0" collapsed="false">
      <c r="A723" s="140" t="str">
        <f aca="false">IF(ISBLANK(B723),"",B723&amp;"|"&amp;C723)</f>
        <v/>
      </c>
      <c r="B723" s="140"/>
      <c r="C723" s="140"/>
      <c r="D723" s="140"/>
      <c r="E723" s="146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  <c r="AA723" s="140"/>
    </row>
    <row r="724" customFormat="false" ht="15.75" hidden="false" customHeight="false" outlineLevel="0" collapsed="false">
      <c r="A724" s="140" t="str">
        <f aca="false">IF(ISBLANK(B724),"",B724&amp;"|"&amp;C724)</f>
        <v/>
      </c>
      <c r="B724" s="140"/>
      <c r="C724" s="140"/>
      <c r="D724" s="140"/>
      <c r="E724" s="146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  <c r="AA724" s="140"/>
    </row>
    <row r="725" customFormat="false" ht="15.75" hidden="false" customHeight="false" outlineLevel="0" collapsed="false">
      <c r="A725" s="140" t="str">
        <f aca="false">IF(ISBLANK(B725),"",B725&amp;"|"&amp;C725)</f>
        <v/>
      </c>
      <c r="B725" s="140"/>
      <c r="C725" s="140"/>
      <c r="D725" s="140"/>
      <c r="E725" s="146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  <c r="AA725" s="140"/>
    </row>
    <row r="726" customFormat="false" ht="15.75" hidden="false" customHeight="false" outlineLevel="0" collapsed="false">
      <c r="A726" s="140" t="str">
        <f aca="false">IF(ISBLANK(B726),"",B726&amp;"|"&amp;C726)</f>
        <v/>
      </c>
      <c r="B726" s="140"/>
      <c r="C726" s="140"/>
      <c r="D726" s="140"/>
      <c r="E726" s="146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  <c r="AA726" s="140"/>
    </row>
    <row r="727" customFormat="false" ht="15.75" hidden="false" customHeight="false" outlineLevel="0" collapsed="false">
      <c r="A727" s="140" t="str">
        <f aca="false">IF(ISBLANK(B727),"",B727&amp;"|"&amp;C727)</f>
        <v/>
      </c>
      <c r="B727" s="140"/>
      <c r="C727" s="140"/>
      <c r="D727" s="140"/>
      <c r="E727" s="146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  <c r="AA727" s="140"/>
    </row>
    <row r="728" customFormat="false" ht="15.75" hidden="false" customHeight="false" outlineLevel="0" collapsed="false">
      <c r="A728" s="140" t="str">
        <f aca="false">IF(ISBLANK(B728),"",B728&amp;"|"&amp;C728)</f>
        <v/>
      </c>
      <c r="B728" s="140"/>
      <c r="C728" s="140"/>
      <c r="D728" s="140"/>
      <c r="E728" s="146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  <c r="AA728" s="140"/>
    </row>
    <row r="729" customFormat="false" ht="15.75" hidden="false" customHeight="false" outlineLevel="0" collapsed="false">
      <c r="A729" s="140" t="str">
        <f aca="false">IF(ISBLANK(B729),"",B729&amp;"|"&amp;C729)</f>
        <v/>
      </c>
      <c r="B729" s="140"/>
      <c r="C729" s="140"/>
      <c r="D729" s="140"/>
      <c r="E729" s="146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  <c r="AA729" s="140"/>
    </row>
    <row r="730" customFormat="false" ht="15.75" hidden="false" customHeight="false" outlineLevel="0" collapsed="false">
      <c r="A730" s="140" t="str">
        <f aca="false">IF(ISBLANK(B730),"",B730&amp;"|"&amp;C730)</f>
        <v/>
      </c>
      <c r="B730" s="140"/>
      <c r="C730" s="140"/>
      <c r="D730" s="140"/>
      <c r="E730" s="146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  <c r="AA730" s="140"/>
    </row>
    <row r="731" customFormat="false" ht="15.75" hidden="false" customHeight="false" outlineLevel="0" collapsed="false">
      <c r="A731" s="140" t="str">
        <f aca="false">IF(ISBLANK(B731),"",B731&amp;"|"&amp;C731)</f>
        <v/>
      </c>
      <c r="B731" s="140"/>
      <c r="C731" s="140"/>
      <c r="D731" s="140"/>
      <c r="E731" s="146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  <c r="AA731" s="140"/>
    </row>
    <row r="732" customFormat="false" ht="15.75" hidden="false" customHeight="false" outlineLevel="0" collapsed="false">
      <c r="A732" s="140" t="str">
        <f aca="false">IF(ISBLANK(B732),"",B732&amp;"|"&amp;C732)</f>
        <v/>
      </c>
      <c r="B732" s="140"/>
      <c r="C732" s="140"/>
      <c r="D732" s="140"/>
      <c r="E732" s="146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  <c r="AA732" s="140"/>
    </row>
    <row r="733" customFormat="false" ht="15.75" hidden="false" customHeight="false" outlineLevel="0" collapsed="false">
      <c r="A733" s="140" t="str">
        <f aca="false">IF(ISBLANK(B733),"",B733&amp;"|"&amp;C733)</f>
        <v/>
      </c>
      <c r="B733" s="140"/>
      <c r="C733" s="140"/>
      <c r="D733" s="140"/>
      <c r="E733" s="146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  <c r="AA733" s="140"/>
    </row>
    <row r="734" customFormat="false" ht="15.75" hidden="false" customHeight="false" outlineLevel="0" collapsed="false">
      <c r="A734" s="140" t="str">
        <f aca="false">IF(ISBLANK(B734),"",B734&amp;"|"&amp;C734)</f>
        <v/>
      </c>
      <c r="B734" s="140"/>
      <c r="C734" s="140"/>
      <c r="D734" s="140"/>
      <c r="E734" s="146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  <c r="AA734" s="140"/>
    </row>
    <row r="735" customFormat="false" ht="15.75" hidden="false" customHeight="false" outlineLevel="0" collapsed="false">
      <c r="A735" s="140" t="str">
        <f aca="false">IF(ISBLANK(B735),"",B735&amp;"|"&amp;C735)</f>
        <v/>
      </c>
      <c r="B735" s="140"/>
      <c r="C735" s="140"/>
      <c r="D735" s="140"/>
      <c r="E735" s="146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  <c r="AA735" s="140"/>
    </row>
    <row r="736" customFormat="false" ht="15.75" hidden="false" customHeight="false" outlineLevel="0" collapsed="false">
      <c r="A736" s="140" t="str">
        <f aca="false">IF(ISBLANK(B736),"",B736&amp;"|"&amp;C736)</f>
        <v/>
      </c>
      <c r="B736" s="140"/>
      <c r="C736" s="140"/>
      <c r="D736" s="140"/>
      <c r="E736" s="146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  <c r="AA736" s="140"/>
    </row>
    <row r="737" customFormat="false" ht="15.75" hidden="false" customHeight="false" outlineLevel="0" collapsed="false">
      <c r="A737" s="140" t="str">
        <f aca="false">IF(ISBLANK(B737),"",B737&amp;"|"&amp;C737)</f>
        <v/>
      </c>
      <c r="B737" s="140"/>
      <c r="C737" s="140"/>
      <c r="D737" s="140"/>
      <c r="E737" s="146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  <c r="AA737" s="140"/>
    </row>
    <row r="738" customFormat="false" ht="15.75" hidden="false" customHeight="false" outlineLevel="0" collapsed="false">
      <c r="A738" s="140" t="str">
        <f aca="false">IF(ISBLANK(B738),"",B738&amp;"|"&amp;C738)</f>
        <v/>
      </c>
      <c r="B738" s="140"/>
      <c r="C738" s="140"/>
      <c r="D738" s="140"/>
      <c r="E738" s="146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  <c r="AA738" s="140"/>
    </row>
    <row r="739" customFormat="false" ht="15.75" hidden="false" customHeight="false" outlineLevel="0" collapsed="false">
      <c r="A739" s="140" t="str">
        <f aca="false">IF(ISBLANK(B739),"",B739&amp;"|"&amp;C739)</f>
        <v/>
      </c>
      <c r="B739" s="140"/>
      <c r="C739" s="140"/>
      <c r="D739" s="140"/>
      <c r="E739" s="146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  <c r="AA739" s="140"/>
    </row>
    <row r="740" customFormat="false" ht="15.75" hidden="false" customHeight="false" outlineLevel="0" collapsed="false">
      <c r="A740" s="140" t="str">
        <f aca="false">IF(ISBLANK(B740),"",B740&amp;"|"&amp;C740)</f>
        <v/>
      </c>
      <c r="B740" s="140"/>
      <c r="C740" s="140"/>
      <c r="D740" s="140"/>
      <c r="E740" s="146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  <c r="AA740" s="140"/>
    </row>
    <row r="741" customFormat="false" ht="15.75" hidden="false" customHeight="false" outlineLevel="0" collapsed="false">
      <c r="A741" s="140" t="str">
        <f aca="false">IF(ISBLANK(B741),"",B741&amp;"|"&amp;C741)</f>
        <v/>
      </c>
      <c r="B741" s="140"/>
      <c r="C741" s="140"/>
      <c r="D741" s="140"/>
      <c r="E741" s="146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  <c r="AA741" s="140"/>
    </row>
    <row r="742" customFormat="false" ht="15.75" hidden="false" customHeight="false" outlineLevel="0" collapsed="false">
      <c r="A742" s="140" t="str">
        <f aca="false">IF(ISBLANK(B742),"",B742&amp;"|"&amp;C742)</f>
        <v/>
      </c>
      <c r="B742" s="140"/>
      <c r="C742" s="140"/>
      <c r="D742" s="140"/>
      <c r="E742" s="146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  <c r="AA742" s="140"/>
    </row>
    <row r="743" customFormat="false" ht="15.75" hidden="false" customHeight="false" outlineLevel="0" collapsed="false">
      <c r="A743" s="140" t="str">
        <f aca="false">IF(ISBLANK(B743),"",B743&amp;"|"&amp;C743)</f>
        <v/>
      </c>
      <c r="B743" s="140"/>
      <c r="C743" s="140"/>
      <c r="D743" s="140"/>
      <c r="E743" s="146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  <c r="AA743" s="140"/>
    </row>
    <row r="744" customFormat="false" ht="15.75" hidden="false" customHeight="false" outlineLevel="0" collapsed="false">
      <c r="A744" s="140" t="str">
        <f aca="false">IF(ISBLANK(B744),"",B744&amp;"|"&amp;C744)</f>
        <v/>
      </c>
      <c r="B744" s="140"/>
      <c r="C744" s="140"/>
      <c r="D744" s="140"/>
      <c r="E744" s="146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  <c r="AA744" s="140"/>
    </row>
    <row r="745" customFormat="false" ht="15.75" hidden="false" customHeight="false" outlineLevel="0" collapsed="false">
      <c r="A745" s="140" t="str">
        <f aca="false">IF(ISBLANK(B745),"",B745&amp;"|"&amp;C745)</f>
        <v/>
      </c>
      <c r="B745" s="140"/>
      <c r="C745" s="140"/>
      <c r="D745" s="140"/>
      <c r="E745" s="146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  <c r="AA745" s="140"/>
    </row>
    <row r="746" customFormat="false" ht="15.75" hidden="false" customHeight="false" outlineLevel="0" collapsed="false">
      <c r="A746" s="140" t="str">
        <f aca="false">IF(ISBLANK(B746),"",B746&amp;"|"&amp;C746)</f>
        <v/>
      </c>
      <c r="B746" s="140"/>
      <c r="C746" s="140"/>
      <c r="D746" s="140"/>
      <c r="E746" s="146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  <c r="AA746" s="140"/>
    </row>
    <row r="747" customFormat="false" ht="15.75" hidden="false" customHeight="false" outlineLevel="0" collapsed="false">
      <c r="A747" s="140" t="str">
        <f aca="false">IF(ISBLANK(B747),"",B747&amp;"|"&amp;C747)</f>
        <v/>
      </c>
      <c r="B747" s="140"/>
      <c r="C747" s="140"/>
      <c r="D747" s="140"/>
      <c r="E747" s="146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  <c r="AA747" s="140"/>
    </row>
    <row r="748" customFormat="false" ht="15.75" hidden="false" customHeight="false" outlineLevel="0" collapsed="false">
      <c r="A748" s="140" t="str">
        <f aca="false">IF(ISBLANK(B748),"",B748&amp;"|"&amp;C748)</f>
        <v/>
      </c>
      <c r="B748" s="140"/>
      <c r="C748" s="140"/>
      <c r="D748" s="140"/>
      <c r="E748" s="146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  <c r="AA748" s="140"/>
    </row>
    <row r="749" customFormat="false" ht="15.75" hidden="false" customHeight="false" outlineLevel="0" collapsed="false">
      <c r="A749" s="140" t="str">
        <f aca="false">IF(ISBLANK(B749),"",B749&amp;"|"&amp;C749)</f>
        <v/>
      </c>
      <c r="B749" s="140"/>
      <c r="C749" s="140"/>
      <c r="D749" s="140"/>
      <c r="E749" s="146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  <c r="AA749" s="140"/>
    </row>
    <row r="750" customFormat="false" ht="15.75" hidden="false" customHeight="false" outlineLevel="0" collapsed="false">
      <c r="A750" s="140" t="str">
        <f aca="false">IF(ISBLANK(B750),"",B750&amp;"|"&amp;C750)</f>
        <v/>
      </c>
      <c r="B750" s="140"/>
      <c r="C750" s="140"/>
      <c r="D750" s="140"/>
      <c r="E750" s="146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  <c r="AA750" s="140"/>
    </row>
    <row r="751" customFormat="false" ht="15.75" hidden="false" customHeight="false" outlineLevel="0" collapsed="false">
      <c r="A751" s="140" t="str">
        <f aca="false">IF(ISBLANK(B751),"",B751&amp;"|"&amp;C751)</f>
        <v/>
      </c>
      <c r="B751" s="140"/>
      <c r="C751" s="140"/>
      <c r="D751" s="140"/>
      <c r="E751" s="146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  <c r="AA751" s="140"/>
    </row>
    <row r="752" customFormat="false" ht="15.75" hidden="false" customHeight="false" outlineLevel="0" collapsed="false">
      <c r="A752" s="140" t="str">
        <f aca="false">IF(ISBLANK(B752),"",B752&amp;"|"&amp;C752)</f>
        <v/>
      </c>
      <c r="B752" s="140"/>
      <c r="C752" s="140"/>
      <c r="D752" s="140"/>
      <c r="E752" s="146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  <c r="AA752" s="140"/>
    </row>
    <row r="753" customFormat="false" ht="15.75" hidden="false" customHeight="false" outlineLevel="0" collapsed="false">
      <c r="A753" s="140" t="str">
        <f aca="false">IF(ISBLANK(B753),"",B753&amp;"|"&amp;C753)</f>
        <v/>
      </c>
      <c r="B753" s="140"/>
      <c r="C753" s="140"/>
      <c r="D753" s="140"/>
      <c r="E753" s="146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  <c r="AA753" s="140"/>
    </row>
    <row r="754" customFormat="false" ht="15.75" hidden="false" customHeight="false" outlineLevel="0" collapsed="false">
      <c r="A754" s="140" t="str">
        <f aca="false">IF(ISBLANK(B754),"",B754&amp;"|"&amp;C754)</f>
        <v/>
      </c>
      <c r="B754" s="140"/>
      <c r="C754" s="140"/>
      <c r="D754" s="140"/>
      <c r="E754" s="146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  <c r="AA754" s="140"/>
    </row>
    <row r="755" customFormat="false" ht="15.75" hidden="false" customHeight="false" outlineLevel="0" collapsed="false">
      <c r="A755" s="140" t="str">
        <f aca="false">IF(ISBLANK(B755),"",B755&amp;"|"&amp;C755)</f>
        <v/>
      </c>
      <c r="B755" s="140"/>
      <c r="C755" s="140"/>
      <c r="D755" s="140"/>
      <c r="E755" s="146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  <c r="AA755" s="140"/>
    </row>
    <row r="756" customFormat="false" ht="15.75" hidden="false" customHeight="false" outlineLevel="0" collapsed="false">
      <c r="A756" s="140" t="str">
        <f aca="false">IF(ISBLANK(B756),"",B756&amp;"|"&amp;C756)</f>
        <v/>
      </c>
      <c r="B756" s="140"/>
      <c r="C756" s="140"/>
      <c r="D756" s="140"/>
      <c r="E756" s="146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  <c r="AA756" s="140"/>
    </row>
    <row r="757" customFormat="false" ht="15.75" hidden="false" customHeight="false" outlineLevel="0" collapsed="false">
      <c r="A757" s="140" t="str">
        <f aca="false">IF(ISBLANK(B757),"",B757&amp;"|"&amp;C757)</f>
        <v/>
      </c>
      <c r="B757" s="140"/>
      <c r="C757" s="140"/>
      <c r="D757" s="140"/>
      <c r="E757" s="146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  <c r="AA757" s="140"/>
    </row>
    <row r="758" customFormat="false" ht="15.75" hidden="false" customHeight="false" outlineLevel="0" collapsed="false">
      <c r="A758" s="140" t="str">
        <f aca="false">IF(ISBLANK(B758),"",B758&amp;"|"&amp;C758)</f>
        <v/>
      </c>
      <c r="B758" s="140"/>
      <c r="C758" s="140"/>
      <c r="D758" s="140"/>
      <c r="E758" s="146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  <c r="AA758" s="140"/>
    </row>
    <row r="759" customFormat="false" ht="15.75" hidden="false" customHeight="false" outlineLevel="0" collapsed="false">
      <c r="A759" s="140" t="str">
        <f aca="false">IF(ISBLANK(B759),"",B759&amp;"|"&amp;C759)</f>
        <v/>
      </c>
      <c r="B759" s="140"/>
      <c r="C759" s="140"/>
      <c r="D759" s="140"/>
      <c r="E759" s="146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  <c r="AA759" s="140"/>
    </row>
    <row r="760" customFormat="false" ht="15.75" hidden="false" customHeight="false" outlineLevel="0" collapsed="false">
      <c r="A760" s="140" t="str">
        <f aca="false">IF(ISBLANK(B760),"",B760&amp;"|"&amp;C760)</f>
        <v/>
      </c>
      <c r="B760" s="140"/>
      <c r="C760" s="140"/>
      <c r="D760" s="140"/>
      <c r="E760" s="146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  <c r="AA760" s="140"/>
    </row>
    <row r="761" customFormat="false" ht="15.75" hidden="false" customHeight="false" outlineLevel="0" collapsed="false">
      <c r="A761" s="140" t="str">
        <f aca="false">IF(ISBLANK(B761),"",B761&amp;"|"&amp;C761)</f>
        <v/>
      </c>
      <c r="B761" s="140"/>
      <c r="C761" s="140"/>
      <c r="D761" s="140"/>
      <c r="E761" s="146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  <c r="AA761" s="140"/>
    </row>
    <row r="762" customFormat="false" ht="15.75" hidden="false" customHeight="false" outlineLevel="0" collapsed="false">
      <c r="A762" s="140" t="str">
        <f aca="false">IF(ISBLANK(B762),"",B762&amp;"|"&amp;C762)</f>
        <v/>
      </c>
      <c r="B762" s="140"/>
      <c r="C762" s="140"/>
      <c r="D762" s="140"/>
      <c r="E762" s="146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  <c r="AA762" s="140"/>
    </row>
    <row r="763" customFormat="false" ht="15.75" hidden="false" customHeight="false" outlineLevel="0" collapsed="false">
      <c r="A763" s="140" t="str">
        <f aca="false">IF(ISBLANK(B763),"",B763&amp;"|"&amp;C763)</f>
        <v/>
      </c>
      <c r="B763" s="140"/>
      <c r="C763" s="140"/>
      <c r="D763" s="140"/>
      <c r="E763" s="146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  <c r="AA763" s="140"/>
    </row>
    <row r="764" customFormat="false" ht="15.75" hidden="false" customHeight="false" outlineLevel="0" collapsed="false">
      <c r="A764" s="140" t="str">
        <f aca="false">IF(ISBLANK(B764),"",B764&amp;"|"&amp;C764)</f>
        <v/>
      </c>
      <c r="B764" s="140"/>
      <c r="C764" s="140"/>
      <c r="D764" s="140"/>
      <c r="E764" s="146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  <c r="AA764" s="140"/>
    </row>
    <row r="765" customFormat="false" ht="15.75" hidden="false" customHeight="false" outlineLevel="0" collapsed="false">
      <c r="A765" s="140" t="str">
        <f aca="false">IF(ISBLANK(B765),"",B765&amp;"|"&amp;C765)</f>
        <v/>
      </c>
      <c r="B765" s="140"/>
      <c r="C765" s="140"/>
      <c r="D765" s="140"/>
      <c r="E765" s="146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  <c r="AA765" s="140"/>
    </row>
    <row r="766" customFormat="false" ht="15.75" hidden="false" customHeight="false" outlineLevel="0" collapsed="false">
      <c r="A766" s="140" t="str">
        <f aca="false">IF(ISBLANK(B766),"",B766&amp;"|"&amp;C766)</f>
        <v/>
      </c>
      <c r="B766" s="140"/>
      <c r="C766" s="140"/>
      <c r="D766" s="140"/>
      <c r="E766" s="146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  <c r="AA766" s="140"/>
    </row>
    <row r="767" customFormat="false" ht="15.75" hidden="false" customHeight="false" outlineLevel="0" collapsed="false">
      <c r="A767" s="140" t="str">
        <f aca="false">IF(ISBLANK(B767),"",B767&amp;"|"&amp;C767)</f>
        <v/>
      </c>
      <c r="B767" s="140"/>
      <c r="C767" s="140"/>
      <c r="D767" s="140"/>
      <c r="E767" s="146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  <c r="AA767" s="140"/>
    </row>
    <row r="768" customFormat="false" ht="15.75" hidden="false" customHeight="false" outlineLevel="0" collapsed="false">
      <c r="A768" s="140" t="str">
        <f aca="false">IF(ISBLANK(B768),"",B768&amp;"|"&amp;C768)</f>
        <v/>
      </c>
      <c r="B768" s="140"/>
      <c r="C768" s="140"/>
      <c r="D768" s="140"/>
      <c r="E768" s="146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  <c r="AA768" s="140"/>
    </row>
    <row r="769" customFormat="false" ht="15.75" hidden="false" customHeight="false" outlineLevel="0" collapsed="false">
      <c r="A769" s="140" t="str">
        <f aca="false">IF(ISBLANK(B769),"",B769&amp;"|"&amp;C769)</f>
        <v/>
      </c>
      <c r="B769" s="140"/>
      <c r="C769" s="140"/>
      <c r="D769" s="140"/>
      <c r="E769" s="146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  <c r="AA769" s="140"/>
    </row>
    <row r="770" customFormat="false" ht="15.75" hidden="false" customHeight="false" outlineLevel="0" collapsed="false">
      <c r="A770" s="140" t="str">
        <f aca="false">IF(ISBLANK(B770),"",B770&amp;"|"&amp;C770)</f>
        <v/>
      </c>
      <c r="B770" s="140"/>
      <c r="C770" s="140"/>
      <c r="D770" s="140"/>
      <c r="E770" s="146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  <c r="AA770" s="140"/>
    </row>
    <row r="771" customFormat="false" ht="15.75" hidden="false" customHeight="false" outlineLevel="0" collapsed="false">
      <c r="A771" s="140" t="str">
        <f aca="false">IF(ISBLANK(B771),"",B771&amp;"|"&amp;C771)</f>
        <v/>
      </c>
      <c r="B771" s="140"/>
      <c r="C771" s="140"/>
      <c r="D771" s="140"/>
      <c r="E771" s="146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  <c r="AA771" s="140"/>
    </row>
    <row r="772" customFormat="false" ht="15.75" hidden="false" customHeight="false" outlineLevel="0" collapsed="false">
      <c r="A772" s="140" t="str">
        <f aca="false">IF(ISBLANK(B772),"",B772&amp;"|"&amp;C772)</f>
        <v/>
      </c>
      <c r="B772" s="140"/>
      <c r="C772" s="140"/>
      <c r="D772" s="140"/>
      <c r="E772" s="146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  <c r="AA772" s="140"/>
    </row>
    <row r="773" customFormat="false" ht="15.75" hidden="false" customHeight="false" outlineLevel="0" collapsed="false">
      <c r="A773" s="140" t="str">
        <f aca="false">IF(ISBLANK(B773),"",B773&amp;"|"&amp;C773)</f>
        <v/>
      </c>
      <c r="B773" s="140"/>
      <c r="C773" s="140"/>
      <c r="D773" s="140"/>
      <c r="E773" s="146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  <c r="AA773" s="140"/>
    </row>
    <row r="774" customFormat="false" ht="15.75" hidden="false" customHeight="false" outlineLevel="0" collapsed="false">
      <c r="A774" s="140" t="str">
        <f aca="false">IF(ISBLANK(B774),"",B774&amp;"|"&amp;C774)</f>
        <v/>
      </c>
      <c r="B774" s="140"/>
      <c r="C774" s="140"/>
      <c r="D774" s="140"/>
      <c r="E774" s="146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  <c r="AA774" s="140"/>
    </row>
    <row r="775" customFormat="false" ht="15.75" hidden="false" customHeight="false" outlineLevel="0" collapsed="false">
      <c r="A775" s="140" t="str">
        <f aca="false">IF(ISBLANK(B775),"",B775&amp;"|"&amp;C775)</f>
        <v/>
      </c>
      <c r="B775" s="140"/>
      <c r="C775" s="140"/>
      <c r="D775" s="140"/>
      <c r="E775" s="146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  <c r="AA775" s="140"/>
    </row>
    <row r="776" customFormat="false" ht="15.75" hidden="false" customHeight="false" outlineLevel="0" collapsed="false">
      <c r="A776" s="140" t="str">
        <f aca="false">IF(ISBLANK(B776),"",B776&amp;"|"&amp;C776)</f>
        <v/>
      </c>
      <c r="B776" s="140"/>
      <c r="C776" s="140"/>
      <c r="D776" s="140"/>
      <c r="E776" s="146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  <c r="AA776" s="140"/>
    </row>
    <row r="777" customFormat="false" ht="15.75" hidden="false" customHeight="false" outlineLevel="0" collapsed="false">
      <c r="A777" s="140" t="str">
        <f aca="false">IF(ISBLANK(B777),"",B777&amp;"|"&amp;C777)</f>
        <v/>
      </c>
      <c r="B777" s="140"/>
      <c r="C777" s="140"/>
      <c r="D777" s="140"/>
      <c r="E777" s="146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  <c r="AA777" s="140"/>
    </row>
    <row r="778" customFormat="false" ht="15.75" hidden="false" customHeight="false" outlineLevel="0" collapsed="false">
      <c r="A778" s="140" t="str">
        <f aca="false">IF(ISBLANK(B778),"",B778&amp;"|"&amp;C778)</f>
        <v/>
      </c>
      <c r="B778" s="140"/>
      <c r="C778" s="140"/>
      <c r="D778" s="140"/>
      <c r="E778" s="146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  <c r="AA778" s="140"/>
    </row>
    <row r="779" customFormat="false" ht="15.75" hidden="false" customHeight="false" outlineLevel="0" collapsed="false">
      <c r="A779" s="140" t="str">
        <f aca="false">IF(ISBLANK(B779),"",B779&amp;"|"&amp;C779)</f>
        <v/>
      </c>
      <c r="B779" s="140"/>
      <c r="C779" s="140"/>
      <c r="D779" s="140"/>
      <c r="E779" s="146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  <c r="AA779" s="140"/>
    </row>
    <row r="780" customFormat="false" ht="15.75" hidden="false" customHeight="false" outlineLevel="0" collapsed="false">
      <c r="A780" s="140" t="str">
        <f aca="false">IF(ISBLANK(B780),"",B780&amp;"|"&amp;C780)</f>
        <v/>
      </c>
      <c r="B780" s="140"/>
      <c r="C780" s="140"/>
      <c r="D780" s="140"/>
      <c r="E780" s="146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  <c r="AA780" s="140"/>
    </row>
    <row r="781" customFormat="false" ht="15.75" hidden="false" customHeight="false" outlineLevel="0" collapsed="false">
      <c r="A781" s="140" t="str">
        <f aca="false">IF(ISBLANK(B781),"",B781&amp;"|"&amp;C781)</f>
        <v/>
      </c>
      <c r="B781" s="140"/>
      <c r="C781" s="140"/>
      <c r="D781" s="140"/>
      <c r="E781" s="146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  <c r="AA781" s="140"/>
    </row>
    <row r="782" customFormat="false" ht="15.75" hidden="false" customHeight="false" outlineLevel="0" collapsed="false">
      <c r="A782" s="140" t="str">
        <f aca="false">IF(ISBLANK(B782),"",B782&amp;"|"&amp;C782)</f>
        <v/>
      </c>
      <c r="B782" s="140"/>
      <c r="C782" s="140"/>
      <c r="D782" s="140"/>
      <c r="E782" s="146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  <c r="AA782" s="140"/>
    </row>
    <row r="783" customFormat="false" ht="15.75" hidden="false" customHeight="false" outlineLevel="0" collapsed="false">
      <c r="A783" s="140" t="str">
        <f aca="false">IF(ISBLANK(B783),"",B783&amp;"|"&amp;C783)</f>
        <v/>
      </c>
      <c r="B783" s="140"/>
      <c r="C783" s="140"/>
      <c r="D783" s="140"/>
      <c r="E783" s="146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  <c r="AA783" s="140"/>
    </row>
    <row r="784" customFormat="false" ht="15.75" hidden="false" customHeight="false" outlineLevel="0" collapsed="false">
      <c r="A784" s="140" t="str">
        <f aca="false">IF(ISBLANK(B784),"",B784&amp;"|"&amp;C784)</f>
        <v/>
      </c>
      <c r="B784" s="140"/>
      <c r="C784" s="140"/>
      <c r="D784" s="140"/>
      <c r="E784" s="146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  <c r="AA784" s="140"/>
    </row>
    <row r="785" customFormat="false" ht="15.75" hidden="false" customHeight="false" outlineLevel="0" collapsed="false">
      <c r="A785" s="140" t="str">
        <f aca="false">IF(ISBLANK(B785),"",B785&amp;"|"&amp;C785)</f>
        <v/>
      </c>
      <c r="B785" s="140"/>
      <c r="C785" s="140"/>
      <c r="D785" s="140"/>
      <c r="E785" s="146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  <c r="AA785" s="140"/>
    </row>
    <row r="786" customFormat="false" ht="15.75" hidden="false" customHeight="false" outlineLevel="0" collapsed="false">
      <c r="A786" s="140" t="str">
        <f aca="false">IF(ISBLANK(B786),"",B786&amp;"|"&amp;C786)</f>
        <v/>
      </c>
      <c r="B786" s="140"/>
      <c r="C786" s="140"/>
      <c r="D786" s="140"/>
      <c r="E786" s="146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  <c r="AA786" s="140"/>
    </row>
    <row r="787" customFormat="false" ht="15.75" hidden="false" customHeight="false" outlineLevel="0" collapsed="false">
      <c r="A787" s="140" t="str">
        <f aca="false">IF(ISBLANK(B787),"",B787&amp;"|"&amp;C787)</f>
        <v/>
      </c>
      <c r="B787" s="140"/>
      <c r="C787" s="140"/>
      <c r="D787" s="140"/>
      <c r="E787" s="146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  <c r="AA787" s="140"/>
    </row>
    <row r="788" customFormat="false" ht="15.75" hidden="false" customHeight="false" outlineLevel="0" collapsed="false">
      <c r="A788" s="140" t="str">
        <f aca="false">IF(ISBLANK(B788),"",B788&amp;"|"&amp;C788)</f>
        <v/>
      </c>
      <c r="B788" s="140"/>
      <c r="C788" s="140"/>
      <c r="D788" s="140"/>
      <c r="E788" s="146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  <c r="AA788" s="140"/>
    </row>
    <row r="789" customFormat="false" ht="15.75" hidden="false" customHeight="false" outlineLevel="0" collapsed="false">
      <c r="A789" s="140" t="str">
        <f aca="false">IF(ISBLANK(B789),"",B789&amp;"|"&amp;C789)</f>
        <v/>
      </c>
      <c r="B789" s="140"/>
      <c r="C789" s="140"/>
      <c r="D789" s="140"/>
      <c r="E789" s="146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  <c r="AA789" s="140"/>
    </row>
    <row r="790" customFormat="false" ht="15.75" hidden="false" customHeight="false" outlineLevel="0" collapsed="false">
      <c r="A790" s="140" t="str">
        <f aca="false">IF(ISBLANK(B790),"",B790&amp;"|"&amp;C790)</f>
        <v/>
      </c>
      <c r="B790" s="140"/>
      <c r="C790" s="140"/>
      <c r="D790" s="140"/>
      <c r="E790" s="146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  <c r="AA790" s="140"/>
    </row>
    <row r="791" customFormat="false" ht="15.75" hidden="false" customHeight="false" outlineLevel="0" collapsed="false">
      <c r="A791" s="140" t="str">
        <f aca="false">IF(ISBLANK(B791),"",B791&amp;"|"&amp;C791)</f>
        <v/>
      </c>
      <c r="B791" s="140"/>
      <c r="C791" s="140"/>
      <c r="D791" s="140"/>
      <c r="E791" s="146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  <c r="AA791" s="140"/>
    </row>
    <row r="792" customFormat="false" ht="15.75" hidden="false" customHeight="false" outlineLevel="0" collapsed="false">
      <c r="A792" s="140" t="str">
        <f aca="false">IF(ISBLANK(B792),"",B792&amp;"|"&amp;C792)</f>
        <v/>
      </c>
      <c r="B792" s="140"/>
      <c r="C792" s="140"/>
      <c r="D792" s="140"/>
      <c r="E792" s="146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  <c r="AA792" s="140"/>
    </row>
    <row r="793" customFormat="false" ht="15.75" hidden="false" customHeight="false" outlineLevel="0" collapsed="false">
      <c r="A793" s="140" t="str">
        <f aca="false">IF(ISBLANK(B793),"",B793&amp;"|"&amp;C793)</f>
        <v/>
      </c>
      <c r="B793" s="140"/>
      <c r="C793" s="140"/>
      <c r="D793" s="140"/>
      <c r="E793" s="146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  <c r="AA793" s="140"/>
    </row>
    <row r="794" customFormat="false" ht="15.75" hidden="false" customHeight="false" outlineLevel="0" collapsed="false">
      <c r="A794" s="140" t="str">
        <f aca="false">IF(ISBLANK(B794),"",B794&amp;"|"&amp;C794)</f>
        <v/>
      </c>
      <c r="B794" s="140"/>
      <c r="C794" s="140"/>
      <c r="D794" s="140"/>
      <c r="E794" s="146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  <c r="AA794" s="140"/>
    </row>
    <row r="795" customFormat="false" ht="15.75" hidden="false" customHeight="false" outlineLevel="0" collapsed="false">
      <c r="A795" s="140" t="str">
        <f aca="false">IF(ISBLANK(B795),"",B795&amp;"|"&amp;C795)</f>
        <v/>
      </c>
      <c r="B795" s="140"/>
      <c r="C795" s="140"/>
      <c r="D795" s="140"/>
      <c r="E795" s="146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  <c r="AA795" s="140"/>
    </row>
    <row r="796" customFormat="false" ht="15.75" hidden="false" customHeight="false" outlineLevel="0" collapsed="false">
      <c r="A796" s="140" t="str">
        <f aca="false">IF(ISBLANK(B796),"",B796&amp;"|"&amp;C796)</f>
        <v/>
      </c>
      <c r="B796" s="140"/>
      <c r="C796" s="140"/>
      <c r="D796" s="140"/>
      <c r="E796" s="146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  <c r="AA796" s="140"/>
    </row>
    <row r="797" customFormat="false" ht="15.75" hidden="false" customHeight="false" outlineLevel="0" collapsed="false">
      <c r="A797" s="140" t="str">
        <f aca="false">IF(ISBLANK(B797),"",B797&amp;"|"&amp;C797)</f>
        <v/>
      </c>
      <c r="B797" s="140"/>
      <c r="C797" s="140"/>
      <c r="D797" s="140"/>
      <c r="E797" s="146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  <c r="AA797" s="140"/>
    </row>
    <row r="798" customFormat="false" ht="15.75" hidden="false" customHeight="false" outlineLevel="0" collapsed="false">
      <c r="A798" s="140" t="str">
        <f aca="false">IF(ISBLANK(B798),"",B798&amp;"|"&amp;C798)</f>
        <v/>
      </c>
      <c r="B798" s="140"/>
      <c r="C798" s="140"/>
      <c r="D798" s="140"/>
      <c r="E798" s="146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  <c r="AA798" s="140"/>
    </row>
    <row r="799" customFormat="false" ht="15.75" hidden="false" customHeight="false" outlineLevel="0" collapsed="false">
      <c r="A799" s="140" t="str">
        <f aca="false">IF(ISBLANK(B799),"",B799&amp;"|"&amp;C799)</f>
        <v/>
      </c>
      <c r="B799" s="140"/>
      <c r="C799" s="140"/>
      <c r="D799" s="140"/>
      <c r="E799" s="146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  <c r="AA799" s="140"/>
    </row>
    <row r="800" customFormat="false" ht="15.75" hidden="false" customHeight="false" outlineLevel="0" collapsed="false">
      <c r="A800" s="140" t="str">
        <f aca="false">IF(ISBLANK(B800),"",B800&amp;"|"&amp;C800)</f>
        <v/>
      </c>
      <c r="B800" s="140"/>
      <c r="C800" s="140"/>
      <c r="D800" s="140"/>
      <c r="E800" s="146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  <c r="AA800" s="140"/>
    </row>
    <row r="801" customFormat="false" ht="15.75" hidden="false" customHeight="false" outlineLevel="0" collapsed="false">
      <c r="A801" s="140" t="str">
        <f aca="false">IF(ISBLANK(B801),"",B801&amp;"|"&amp;C801)</f>
        <v/>
      </c>
      <c r="B801" s="140"/>
      <c r="C801" s="140"/>
      <c r="D801" s="140"/>
      <c r="E801" s="146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  <c r="AA801" s="140"/>
    </row>
    <row r="802" customFormat="false" ht="15.75" hidden="false" customHeight="false" outlineLevel="0" collapsed="false">
      <c r="A802" s="140" t="str">
        <f aca="false">IF(ISBLANK(B802),"",B802&amp;"|"&amp;C802)</f>
        <v/>
      </c>
      <c r="B802" s="140"/>
      <c r="C802" s="140"/>
      <c r="D802" s="140"/>
      <c r="E802" s="146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  <c r="AA802" s="140"/>
    </row>
    <row r="803" customFormat="false" ht="15.75" hidden="false" customHeight="false" outlineLevel="0" collapsed="false">
      <c r="A803" s="140" t="str">
        <f aca="false">IF(ISBLANK(B803),"",B803&amp;"|"&amp;C803)</f>
        <v/>
      </c>
      <c r="B803" s="140"/>
      <c r="C803" s="140"/>
      <c r="D803" s="140"/>
      <c r="E803" s="146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  <c r="AA803" s="140"/>
    </row>
    <row r="804" customFormat="false" ht="15.75" hidden="false" customHeight="false" outlineLevel="0" collapsed="false">
      <c r="A804" s="140" t="str">
        <f aca="false">IF(ISBLANK(B804),"",B804&amp;"|"&amp;C804)</f>
        <v/>
      </c>
      <c r="B804" s="140"/>
      <c r="C804" s="140"/>
      <c r="D804" s="140"/>
      <c r="E804" s="146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  <c r="AA804" s="140"/>
    </row>
    <row r="805" customFormat="false" ht="15.75" hidden="false" customHeight="false" outlineLevel="0" collapsed="false">
      <c r="A805" s="140" t="str">
        <f aca="false">IF(ISBLANK(B805),"",B805&amp;"|"&amp;C805)</f>
        <v/>
      </c>
      <c r="B805" s="140"/>
      <c r="C805" s="140"/>
      <c r="D805" s="140"/>
      <c r="E805" s="146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  <c r="AA805" s="140"/>
    </row>
    <row r="806" customFormat="false" ht="15.75" hidden="false" customHeight="false" outlineLevel="0" collapsed="false">
      <c r="A806" s="140" t="str">
        <f aca="false">IF(ISBLANK(B806),"",B806&amp;"|"&amp;C806)</f>
        <v/>
      </c>
      <c r="B806" s="140"/>
      <c r="C806" s="140"/>
      <c r="D806" s="140"/>
      <c r="E806" s="146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  <c r="AA806" s="140"/>
    </row>
    <row r="807" customFormat="false" ht="15.75" hidden="false" customHeight="false" outlineLevel="0" collapsed="false">
      <c r="A807" s="140" t="str">
        <f aca="false">IF(ISBLANK(B807),"",B807&amp;"|"&amp;C807)</f>
        <v/>
      </c>
      <c r="B807" s="140"/>
      <c r="C807" s="140"/>
      <c r="D807" s="140"/>
      <c r="E807" s="146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  <c r="AA807" s="140"/>
    </row>
    <row r="808" customFormat="false" ht="15.75" hidden="false" customHeight="false" outlineLevel="0" collapsed="false">
      <c r="A808" s="140" t="str">
        <f aca="false">IF(ISBLANK(B808),"",B808&amp;"|"&amp;C808)</f>
        <v/>
      </c>
      <c r="B808" s="140"/>
      <c r="C808" s="140"/>
      <c r="D808" s="140"/>
      <c r="E808" s="146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  <c r="AA808" s="140"/>
    </row>
    <row r="809" customFormat="false" ht="15.75" hidden="false" customHeight="false" outlineLevel="0" collapsed="false">
      <c r="A809" s="140" t="str">
        <f aca="false">IF(ISBLANK(B809),"",B809&amp;"|"&amp;C809)</f>
        <v/>
      </c>
      <c r="B809" s="140"/>
      <c r="C809" s="140"/>
      <c r="D809" s="140"/>
      <c r="E809" s="146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  <c r="AA809" s="140"/>
    </row>
    <row r="810" customFormat="false" ht="15.75" hidden="false" customHeight="false" outlineLevel="0" collapsed="false">
      <c r="A810" s="140" t="str">
        <f aca="false">IF(ISBLANK(B810),"",B810&amp;"|"&amp;C810)</f>
        <v/>
      </c>
      <c r="B810" s="140"/>
      <c r="C810" s="140"/>
      <c r="D810" s="140"/>
      <c r="E810" s="146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  <c r="AA810" s="140"/>
    </row>
    <row r="811" customFormat="false" ht="15.75" hidden="false" customHeight="false" outlineLevel="0" collapsed="false">
      <c r="A811" s="140" t="str">
        <f aca="false">IF(ISBLANK(B811),"",B811&amp;"|"&amp;C811)</f>
        <v/>
      </c>
      <c r="B811" s="140"/>
      <c r="C811" s="140"/>
      <c r="D811" s="140"/>
      <c r="E811" s="146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  <c r="AA811" s="140"/>
    </row>
    <row r="812" customFormat="false" ht="15.75" hidden="false" customHeight="false" outlineLevel="0" collapsed="false">
      <c r="A812" s="140" t="str">
        <f aca="false">IF(ISBLANK(B812),"",B812&amp;"|"&amp;C812)</f>
        <v/>
      </c>
      <c r="B812" s="140"/>
      <c r="C812" s="140"/>
      <c r="D812" s="140"/>
      <c r="E812" s="146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  <c r="AA812" s="140"/>
    </row>
    <row r="813" customFormat="false" ht="15.75" hidden="false" customHeight="false" outlineLevel="0" collapsed="false">
      <c r="A813" s="140" t="str">
        <f aca="false">IF(ISBLANK(B813),"",B813&amp;"|"&amp;C813)</f>
        <v/>
      </c>
      <c r="B813" s="140"/>
      <c r="C813" s="140"/>
      <c r="D813" s="140"/>
      <c r="E813" s="146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  <c r="AA813" s="140"/>
    </row>
    <row r="814" customFormat="false" ht="15.75" hidden="false" customHeight="false" outlineLevel="0" collapsed="false">
      <c r="A814" s="140" t="str">
        <f aca="false">IF(ISBLANK(B814),"",B814&amp;"|"&amp;C814)</f>
        <v/>
      </c>
      <c r="B814" s="140"/>
      <c r="C814" s="140"/>
      <c r="D814" s="140"/>
      <c r="E814" s="146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  <c r="AA814" s="140"/>
    </row>
    <row r="815" customFormat="false" ht="15.75" hidden="false" customHeight="false" outlineLevel="0" collapsed="false">
      <c r="A815" s="140" t="str">
        <f aca="false">IF(ISBLANK(B815),"",B815&amp;"|"&amp;C815)</f>
        <v/>
      </c>
      <c r="B815" s="140"/>
      <c r="C815" s="140"/>
      <c r="D815" s="140"/>
      <c r="E815" s="146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  <c r="AA815" s="140"/>
    </row>
    <row r="816" customFormat="false" ht="15.75" hidden="false" customHeight="false" outlineLevel="0" collapsed="false">
      <c r="A816" s="140" t="str">
        <f aca="false">IF(ISBLANK(B816),"",B816&amp;"|"&amp;C816)</f>
        <v/>
      </c>
      <c r="B816" s="140"/>
      <c r="C816" s="140"/>
      <c r="D816" s="140"/>
      <c r="E816" s="146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  <c r="AA816" s="140"/>
    </row>
    <row r="817" customFormat="false" ht="15.75" hidden="false" customHeight="false" outlineLevel="0" collapsed="false">
      <c r="A817" s="140" t="str">
        <f aca="false">IF(ISBLANK(B817),"",B817&amp;"|"&amp;C817)</f>
        <v/>
      </c>
      <c r="B817" s="140"/>
      <c r="C817" s="140"/>
      <c r="D817" s="140"/>
      <c r="E817" s="146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  <c r="AA817" s="140"/>
    </row>
    <row r="818" customFormat="false" ht="15.75" hidden="false" customHeight="false" outlineLevel="0" collapsed="false">
      <c r="A818" s="140" t="str">
        <f aca="false">IF(ISBLANK(B818),"",B818&amp;"|"&amp;C818)</f>
        <v/>
      </c>
      <c r="B818" s="140"/>
      <c r="C818" s="140"/>
      <c r="D818" s="140"/>
      <c r="E818" s="146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  <c r="AA818" s="140"/>
    </row>
    <row r="819" customFormat="false" ht="15.75" hidden="false" customHeight="false" outlineLevel="0" collapsed="false">
      <c r="A819" s="140" t="str">
        <f aca="false">IF(ISBLANK(B819),"",B819&amp;"|"&amp;C819)</f>
        <v/>
      </c>
      <c r="B819" s="140"/>
      <c r="C819" s="140"/>
      <c r="D819" s="140"/>
      <c r="E819" s="146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  <c r="AA819" s="140"/>
    </row>
    <row r="820" customFormat="false" ht="15.75" hidden="false" customHeight="false" outlineLevel="0" collapsed="false">
      <c r="A820" s="140" t="str">
        <f aca="false">IF(ISBLANK(B820),"",B820&amp;"|"&amp;C820)</f>
        <v/>
      </c>
      <c r="B820" s="140"/>
      <c r="C820" s="140"/>
      <c r="D820" s="140"/>
      <c r="E820" s="146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  <c r="AA820" s="140"/>
    </row>
    <row r="821" customFormat="false" ht="15.75" hidden="false" customHeight="false" outlineLevel="0" collapsed="false">
      <c r="A821" s="140" t="str">
        <f aca="false">IF(ISBLANK(B821),"",B821&amp;"|"&amp;C821)</f>
        <v/>
      </c>
      <c r="B821" s="140"/>
      <c r="C821" s="140"/>
      <c r="D821" s="140"/>
      <c r="E821" s="146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  <c r="AA821" s="140"/>
    </row>
    <row r="822" customFormat="false" ht="15.75" hidden="false" customHeight="false" outlineLevel="0" collapsed="false">
      <c r="A822" s="140" t="str">
        <f aca="false">IF(ISBLANK(B822),"",B822&amp;"|"&amp;C822)</f>
        <v/>
      </c>
      <c r="B822" s="140"/>
      <c r="C822" s="140"/>
      <c r="D822" s="140"/>
      <c r="E822" s="146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  <c r="AA822" s="140"/>
    </row>
    <row r="823" customFormat="false" ht="15.75" hidden="false" customHeight="false" outlineLevel="0" collapsed="false">
      <c r="A823" s="140" t="str">
        <f aca="false">IF(ISBLANK(B823),"",B823&amp;"|"&amp;C823)</f>
        <v/>
      </c>
      <c r="B823" s="140"/>
      <c r="C823" s="140"/>
      <c r="D823" s="140"/>
      <c r="E823" s="146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  <c r="AA823" s="140"/>
    </row>
    <row r="824" customFormat="false" ht="15.75" hidden="false" customHeight="false" outlineLevel="0" collapsed="false">
      <c r="A824" s="140" t="str">
        <f aca="false">IF(ISBLANK(B824),"",B824&amp;"|"&amp;C824)</f>
        <v/>
      </c>
      <c r="B824" s="140"/>
      <c r="C824" s="140"/>
      <c r="D824" s="140"/>
      <c r="E824" s="146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  <c r="AA824" s="140"/>
    </row>
    <row r="825" customFormat="false" ht="15.75" hidden="false" customHeight="false" outlineLevel="0" collapsed="false">
      <c r="A825" s="140" t="str">
        <f aca="false">IF(ISBLANK(B825),"",B825&amp;"|"&amp;C825)</f>
        <v/>
      </c>
      <c r="B825" s="140"/>
      <c r="C825" s="140"/>
      <c r="D825" s="140"/>
      <c r="E825" s="146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  <c r="AA825" s="140"/>
    </row>
    <row r="826" customFormat="false" ht="15.75" hidden="false" customHeight="false" outlineLevel="0" collapsed="false">
      <c r="A826" s="140" t="str">
        <f aca="false">IF(ISBLANK(B826),"",B826&amp;"|"&amp;C826)</f>
        <v/>
      </c>
      <c r="B826" s="140"/>
      <c r="C826" s="140"/>
      <c r="D826" s="140"/>
      <c r="E826" s="146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  <c r="AA826" s="140"/>
    </row>
    <row r="827" customFormat="false" ht="15.75" hidden="false" customHeight="false" outlineLevel="0" collapsed="false">
      <c r="A827" s="140" t="str">
        <f aca="false">IF(ISBLANK(B827),"",B827&amp;"|"&amp;C827)</f>
        <v/>
      </c>
      <c r="B827" s="140"/>
      <c r="C827" s="140"/>
      <c r="D827" s="140"/>
      <c r="E827" s="146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  <c r="AA827" s="140"/>
    </row>
    <row r="828" customFormat="false" ht="15.75" hidden="false" customHeight="false" outlineLevel="0" collapsed="false">
      <c r="A828" s="140" t="str">
        <f aca="false">IF(ISBLANK(B828),"",B828&amp;"|"&amp;C828)</f>
        <v/>
      </c>
      <c r="B828" s="140"/>
      <c r="C828" s="140"/>
      <c r="D828" s="140"/>
      <c r="E828" s="146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  <c r="AA828" s="140"/>
    </row>
    <row r="829" customFormat="false" ht="15.75" hidden="false" customHeight="false" outlineLevel="0" collapsed="false">
      <c r="A829" s="140" t="str">
        <f aca="false">IF(ISBLANK(B829),"",B829&amp;"|"&amp;C829)</f>
        <v/>
      </c>
      <c r="B829" s="140"/>
      <c r="C829" s="140"/>
      <c r="D829" s="140"/>
      <c r="E829" s="146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  <c r="AA829" s="140"/>
    </row>
    <row r="830" customFormat="false" ht="15.75" hidden="false" customHeight="false" outlineLevel="0" collapsed="false">
      <c r="A830" s="140" t="str">
        <f aca="false">IF(ISBLANK(B830),"",B830&amp;"|"&amp;C830)</f>
        <v/>
      </c>
      <c r="B830" s="140"/>
      <c r="C830" s="140"/>
      <c r="D830" s="140"/>
      <c r="E830" s="146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  <c r="AA830" s="140"/>
    </row>
    <row r="831" customFormat="false" ht="15.75" hidden="false" customHeight="false" outlineLevel="0" collapsed="false">
      <c r="A831" s="140" t="str">
        <f aca="false">IF(ISBLANK(B831),"",B831&amp;"|"&amp;C831)</f>
        <v/>
      </c>
      <c r="B831" s="140"/>
      <c r="C831" s="140"/>
      <c r="D831" s="140"/>
      <c r="E831" s="146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  <c r="AA831" s="140"/>
    </row>
    <row r="832" customFormat="false" ht="15.75" hidden="false" customHeight="false" outlineLevel="0" collapsed="false">
      <c r="A832" s="140" t="str">
        <f aca="false">IF(ISBLANK(B832),"",B832&amp;"|"&amp;C832)</f>
        <v/>
      </c>
      <c r="B832" s="140"/>
      <c r="C832" s="140"/>
      <c r="D832" s="140"/>
      <c r="E832" s="146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  <c r="AA832" s="140"/>
    </row>
    <row r="833" customFormat="false" ht="15.75" hidden="false" customHeight="false" outlineLevel="0" collapsed="false">
      <c r="A833" s="140" t="str">
        <f aca="false">IF(ISBLANK(B833),"",B833&amp;"|"&amp;C833)</f>
        <v/>
      </c>
      <c r="B833" s="140"/>
      <c r="C833" s="140"/>
      <c r="D833" s="140"/>
      <c r="E833" s="146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  <c r="AA833" s="140"/>
    </row>
    <row r="834" customFormat="false" ht="15.75" hidden="false" customHeight="false" outlineLevel="0" collapsed="false">
      <c r="A834" s="140" t="str">
        <f aca="false">IF(ISBLANK(B834),"",B834&amp;"|"&amp;C834)</f>
        <v/>
      </c>
      <c r="B834" s="140"/>
      <c r="C834" s="140"/>
      <c r="D834" s="140"/>
      <c r="E834" s="146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  <c r="AA834" s="140"/>
    </row>
    <row r="835" customFormat="false" ht="15.75" hidden="false" customHeight="false" outlineLevel="0" collapsed="false">
      <c r="A835" s="140" t="str">
        <f aca="false">IF(ISBLANK(B835),"",B835&amp;"|"&amp;C835)</f>
        <v/>
      </c>
      <c r="B835" s="140"/>
      <c r="C835" s="140"/>
      <c r="D835" s="140"/>
      <c r="E835" s="146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  <c r="AA835" s="140"/>
    </row>
    <row r="836" customFormat="false" ht="15.75" hidden="false" customHeight="false" outlineLevel="0" collapsed="false">
      <c r="A836" s="140" t="str">
        <f aca="false">IF(ISBLANK(B836),"",B836&amp;"|"&amp;C836)</f>
        <v/>
      </c>
      <c r="B836" s="140"/>
      <c r="C836" s="140"/>
      <c r="D836" s="140"/>
      <c r="E836" s="146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  <c r="AA836" s="140"/>
    </row>
    <row r="837" customFormat="false" ht="15.75" hidden="false" customHeight="false" outlineLevel="0" collapsed="false">
      <c r="A837" s="140" t="str">
        <f aca="false">IF(ISBLANK(B837),"",B837&amp;"|"&amp;C837)</f>
        <v/>
      </c>
      <c r="B837" s="140"/>
      <c r="C837" s="140"/>
      <c r="D837" s="140"/>
      <c r="E837" s="146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  <c r="AA837" s="140"/>
    </row>
    <row r="838" customFormat="false" ht="15.75" hidden="false" customHeight="false" outlineLevel="0" collapsed="false">
      <c r="A838" s="140" t="str">
        <f aca="false">IF(ISBLANK(B838),"",B838&amp;"|"&amp;C838)</f>
        <v/>
      </c>
      <c r="B838" s="140"/>
      <c r="C838" s="140"/>
      <c r="D838" s="140"/>
      <c r="E838" s="146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  <c r="AA838" s="140"/>
    </row>
    <row r="839" customFormat="false" ht="15.75" hidden="false" customHeight="false" outlineLevel="0" collapsed="false">
      <c r="A839" s="140" t="str">
        <f aca="false">IF(ISBLANK(B839),"",B839&amp;"|"&amp;C839)</f>
        <v/>
      </c>
      <c r="B839" s="140"/>
      <c r="C839" s="140"/>
      <c r="D839" s="140"/>
      <c r="E839" s="146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  <c r="AA839" s="140"/>
    </row>
    <row r="840" customFormat="false" ht="15.75" hidden="false" customHeight="false" outlineLevel="0" collapsed="false">
      <c r="A840" s="140" t="str">
        <f aca="false">IF(ISBLANK(B840),"",B840&amp;"|"&amp;C840)</f>
        <v/>
      </c>
      <c r="B840" s="140"/>
      <c r="C840" s="140"/>
      <c r="D840" s="140"/>
      <c r="E840" s="146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  <c r="AA840" s="140"/>
    </row>
    <row r="841" customFormat="false" ht="15.75" hidden="false" customHeight="false" outlineLevel="0" collapsed="false">
      <c r="A841" s="140" t="str">
        <f aca="false">IF(ISBLANK(B841),"",B841&amp;"|"&amp;C841)</f>
        <v/>
      </c>
      <c r="B841" s="140"/>
      <c r="C841" s="140"/>
      <c r="D841" s="140"/>
      <c r="E841" s="146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  <c r="AA841" s="140"/>
    </row>
    <row r="842" customFormat="false" ht="15.75" hidden="false" customHeight="false" outlineLevel="0" collapsed="false">
      <c r="A842" s="140" t="str">
        <f aca="false">IF(ISBLANK(B842),"",B842&amp;"|"&amp;C842)</f>
        <v/>
      </c>
      <c r="B842" s="140"/>
      <c r="C842" s="140"/>
      <c r="D842" s="140"/>
      <c r="E842" s="146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  <c r="AA842" s="140"/>
    </row>
    <row r="843" customFormat="false" ht="15.75" hidden="false" customHeight="false" outlineLevel="0" collapsed="false">
      <c r="A843" s="140" t="str">
        <f aca="false">IF(ISBLANK(B843),"",B843&amp;"|"&amp;C843)</f>
        <v/>
      </c>
      <c r="B843" s="140"/>
      <c r="C843" s="140"/>
      <c r="D843" s="140"/>
      <c r="E843" s="146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  <c r="AA843" s="140"/>
    </row>
    <row r="844" customFormat="false" ht="15.75" hidden="false" customHeight="false" outlineLevel="0" collapsed="false">
      <c r="A844" s="140" t="str">
        <f aca="false">IF(ISBLANK(B844),"",B844&amp;"|"&amp;C844)</f>
        <v/>
      </c>
      <c r="B844" s="140"/>
      <c r="C844" s="140"/>
      <c r="D844" s="140"/>
      <c r="E844" s="146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  <c r="AA844" s="140"/>
    </row>
    <row r="845" customFormat="false" ht="15.75" hidden="false" customHeight="false" outlineLevel="0" collapsed="false">
      <c r="A845" s="140" t="str">
        <f aca="false">IF(ISBLANK(B845),"",B845&amp;"|"&amp;C845)</f>
        <v/>
      </c>
      <c r="B845" s="140"/>
      <c r="C845" s="140"/>
      <c r="D845" s="140"/>
      <c r="E845" s="146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  <c r="AA845" s="140"/>
    </row>
    <row r="846" customFormat="false" ht="15.75" hidden="false" customHeight="false" outlineLevel="0" collapsed="false">
      <c r="A846" s="140" t="str">
        <f aca="false">IF(ISBLANK(B846),"",B846&amp;"|"&amp;C846)</f>
        <v/>
      </c>
      <c r="B846" s="140"/>
      <c r="C846" s="140"/>
      <c r="D846" s="140"/>
      <c r="E846" s="146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  <c r="AA846" s="140"/>
    </row>
    <row r="847" customFormat="false" ht="15.75" hidden="false" customHeight="false" outlineLevel="0" collapsed="false">
      <c r="A847" s="140" t="str">
        <f aca="false">IF(ISBLANK(B847),"",B847&amp;"|"&amp;C847)</f>
        <v/>
      </c>
      <c r="B847" s="140"/>
      <c r="C847" s="140"/>
      <c r="D847" s="140"/>
      <c r="E847" s="146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  <c r="AA847" s="140"/>
    </row>
    <row r="848" customFormat="false" ht="15.75" hidden="false" customHeight="false" outlineLevel="0" collapsed="false">
      <c r="A848" s="140" t="str">
        <f aca="false">IF(ISBLANK(B848),"",B848&amp;"|"&amp;C848)</f>
        <v/>
      </c>
      <c r="B848" s="140"/>
      <c r="C848" s="140"/>
      <c r="D848" s="140"/>
      <c r="E848" s="146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  <c r="AA848" s="140"/>
    </row>
    <row r="849" customFormat="false" ht="15.75" hidden="false" customHeight="false" outlineLevel="0" collapsed="false">
      <c r="A849" s="140" t="str">
        <f aca="false">IF(ISBLANK(B849),"",B849&amp;"|"&amp;C849)</f>
        <v/>
      </c>
      <c r="B849" s="140"/>
      <c r="C849" s="140"/>
      <c r="D849" s="140"/>
      <c r="E849" s="146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  <c r="AA849" s="140"/>
    </row>
    <row r="850" customFormat="false" ht="15.75" hidden="false" customHeight="false" outlineLevel="0" collapsed="false">
      <c r="A850" s="140" t="str">
        <f aca="false">IF(ISBLANK(B850),"",B850&amp;"|"&amp;C850)</f>
        <v/>
      </c>
      <c r="B850" s="140"/>
      <c r="C850" s="140"/>
      <c r="D850" s="140"/>
      <c r="E850" s="146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  <c r="AA850" s="140"/>
    </row>
    <row r="851" customFormat="false" ht="15.75" hidden="false" customHeight="false" outlineLevel="0" collapsed="false">
      <c r="A851" s="140" t="str">
        <f aca="false">IF(ISBLANK(B851),"",B851&amp;"|"&amp;C851)</f>
        <v/>
      </c>
      <c r="B851" s="140"/>
      <c r="C851" s="140"/>
      <c r="D851" s="140"/>
      <c r="E851" s="146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  <c r="AA851" s="140"/>
    </row>
    <row r="852" customFormat="false" ht="15.75" hidden="false" customHeight="false" outlineLevel="0" collapsed="false">
      <c r="A852" s="140" t="str">
        <f aca="false">IF(ISBLANK(B852),"",B852&amp;"|"&amp;C852)</f>
        <v/>
      </c>
      <c r="B852" s="140"/>
      <c r="C852" s="140"/>
      <c r="D852" s="140"/>
      <c r="E852" s="146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  <c r="AA852" s="140"/>
    </row>
    <row r="853" customFormat="false" ht="15.75" hidden="false" customHeight="false" outlineLevel="0" collapsed="false">
      <c r="A853" s="140" t="str">
        <f aca="false">IF(ISBLANK(B853),"",B853&amp;"|"&amp;C853)</f>
        <v/>
      </c>
      <c r="B853" s="140"/>
      <c r="C853" s="140"/>
      <c r="D853" s="140"/>
      <c r="E853" s="146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  <c r="AA853" s="140"/>
    </row>
    <row r="854" customFormat="false" ht="15.75" hidden="false" customHeight="false" outlineLevel="0" collapsed="false">
      <c r="A854" s="140" t="str">
        <f aca="false">IF(ISBLANK(B854),"",B854&amp;"|"&amp;C854)</f>
        <v/>
      </c>
      <c r="B854" s="140"/>
      <c r="C854" s="140"/>
      <c r="D854" s="140"/>
      <c r="E854" s="146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  <c r="AA854" s="140"/>
    </row>
    <row r="855" customFormat="false" ht="15.75" hidden="false" customHeight="false" outlineLevel="0" collapsed="false">
      <c r="A855" s="140" t="str">
        <f aca="false">IF(ISBLANK(B855),"",B855&amp;"|"&amp;C855)</f>
        <v/>
      </c>
      <c r="B855" s="140"/>
      <c r="C855" s="140"/>
      <c r="D855" s="140"/>
      <c r="E855" s="146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  <c r="AA855" s="140"/>
    </row>
    <row r="856" customFormat="false" ht="15.75" hidden="false" customHeight="false" outlineLevel="0" collapsed="false">
      <c r="A856" s="140" t="str">
        <f aca="false">IF(ISBLANK(B856),"",B856&amp;"|"&amp;C856)</f>
        <v/>
      </c>
      <c r="B856" s="140"/>
      <c r="C856" s="140"/>
      <c r="D856" s="140"/>
      <c r="E856" s="146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  <c r="AA856" s="140"/>
    </row>
    <row r="857" customFormat="false" ht="15.75" hidden="false" customHeight="false" outlineLevel="0" collapsed="false">
      <c r="A857" s="140" t="str">
        <f aca="false">IF(ISBLANK(B857),"",B857&amp;"|"&amp;C857)</f>
        <v/>
      </c>
      <c r="B857" s="140"/>
      <c r="C857" s="140"/>
      <c r="D857" s="140"/>
      <c r="E857" s="146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  <c r="AA857" s="140"/>
    </row>
    <row r="858" customFormat="false" ht="15.75" hidden="false" customHeight="false" outlineLevel="0" collapsed="false">
      <c r="A858" s="140" t="str">
        <f aca="false">IF(ISBLANK(B858),"",B858&amp;"|"&amp;C858)</f>
        <v/>
      </c>
      <c r="B858" s="140"/>
      <c r="C858" s="140"/>
      <c r="D858" s="140"/>
      <c r="E858" s="146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  <c r="AA858" s="140"/>
    </row>
    <row r="859" customFormat="false" ht="15.75" hidden="false" customHeight="false" outlineLevel="0" collapsed="false">
      <c r="A859" s="140" t="str">
        <f aca="false">IF(ISBLANK(B859),"",B859&amp;"|"&amp;C859)</f>
        <v/>
      </c>
      <c r="B859" s="140"/>
      <c r="C859" s="140"/>
      <c r="D859" s="140"/>
      <c r="E859" s="146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  <c r="AA859" s="140"/>
    </row>
    <row r="860" customFormat="false" ht="15.75" hidden="false" customHeight="false" outlineLevel="0" collapsed="false">
      <c r="A860" s="140" t="str">
        <f aca="false">IF(ISBLANK(B860),"",B860&amp;"|"&amp;C860)</f>
        <v/>
      </c>
      <c r="B860" s="140"/>
      <c r="C860" s="140"/>
      <c r="D860" s="140"/>
      <c r="E860" s="146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  <c r="AA860" s="140"/>
    </row>
    <row r="861" customFormat="false" ht="15.75" hidden="false" customHeight="false" outlineLevel="0" collapsed="false">
      <c r="A861" s="140" t="str">
        <f aca="false">IF(ISBLANK(B861),"",B861&amp;"|"&amp;C861)</f>
        <v/>
      </c>
      <c r="B861" s="140"/>
      <c r="C861" s="140"/>
      <c r="D861" s="140"/>
      <c r="E861" s="146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  <c r="AA861" s="140"/>
    </row>
    <row r="862" customFormat="false" ht="15.75" hidden="false" customHeight="false" outlineLevel="0" collapsed="false">
      <c r="A862" s="140" t="str">
        <f aca="false">IF(ISBLANK(B862),"",B862&amp;"|"&amp;C862)</f>
        <v/>
      </c>
      <c r="B862" s="140"/>
      <c r="C862" s="140"/>
      <c r="D862" s="140"/>
      <c r="E862" s="146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  <c r="AA862" s="140"/>
    </row>
    <row r="863" customFormat="false" ht="15.75" hidden="false" customHeight="false" outlineLevel="0" collapsed="false">
      <c r="A863" s="140" t="str">
        <f aca="false">IF(ISBLANK(B863),"",B863&amp;"|"&amp;C863)</f>
        <v/>
      </c>
      <c r="B863" s="140"/>
      <c r="C863" s="140"/>
      <c r="D863" s="140"/>
      <c r="E863" s="146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  <c r="AA863" s="140"/>
    </row>
    <row r="864" customFormat="false" ht="15.75" hidden="false" customHeight="false" outlineLevel="0" collapsed="false">
      <c r="A864" s="140" t="str">
        <f aca="false">IF(ISBLANK(B864),"",B864&amp;"|"&amp;C864)</f>
        <v/>
      </c>
      <c r="B864" s="140"/>
      <c r="C864" s="140"/>
      <c r="D864" s="140"/>
      <c r="E864" s="146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  <c r="AA864" s="140"/>
    </row>
    <row r="865" customFormat="false" ht="15.75" hidden="false" customHeight="false" outlineLevel="0" collapsed="false">
      <c r="A865" s="140" t="str">
        <f aca="false">IF(ISBLANK(B865),"",B865&amp;"|"&amp;C865)</f>
        <v/>
      </c>
      <c r="B865" s="140"/>
      <c r="C865" s="140"/>
      <c r="D865" s="140"/>
      <c r="E865" s="146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  <c r="AA865" s="140"/>
    </row>
    <row r="866" customFormat="false" ht="15.75" hidden="false" customHeight="false" outlineLevel="0" collapsed="false">
      <c r="A866" s="140" t="str">
        <f aca="false">IF(ISBLANK(B866),"",B866&amp;"|"&amp;C866)</f>
        <v/>
      </c>
      <c r="B866" s="140"/>
      <c r="C866" s="140"/>
      <c r="D866" s="140"/>
      <c r="E866" s="146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  <c r="AA866" s="140"/>
    </row>
    <row r="867" customFormat="false" ht="15.75" hidden="false" customHeight="false" outlineLevel="0" collapsed="false">
      <c r="A867" s="140" t="str">
        <f aca="false">IF(ISBLANK(B867),"",B867&amp;"|"&amp;C867)</f>
        <v/>
      </c>
      <c r="B867" s="140"/>
      <c r="C867" s="140"/>
      <c r="D867" s="140"/>
      <c r="E867" s="146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  <c r="AA867" s="140"/>
    </row>
    <row r="868" customFormat="false" ht="15.75" hidden="false" customHeight="false" outlineLevel="0" collapsed="false">
      <c r="A868" s="140" t="str">
        <f aca="false">IF(ISBLANK(B868),"",B868&amp;"|"&amp;C868)</f>
        <v/>
      </c>
      <c r="B868" s="140"/>
      <c r="C868" s="140"/>
      <c r="D868" s="140"/>
      <c r="E868" s="146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  <c r="AA868" s="140"/>
    </row>
    <row r="869" customFormat="false" ht="15.75" hidden="false" customHeight="false" outlineLevel="0" collapsed="false">
      <c r="A869" s="140" t="str">
        <f aca="false">IF(ISBLANK(B869),"",B869&amp;"|"&amp;C869)</f>
        <v/>
      </c>
      <c r="B869" s="140"/>
      <c r="C869" s="140"/>
      <c r="D869" s="140"/>
      <c r="E869" s="146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  <c r="AA869" s="140"/>
    </row>
    <row r="870" customFormat="false" ht="15.75" hidden="false" customHeight="false" outlineLevel="0" collapsed="false">
      <c r="A870" s="140" t="str">
        <f aca="false">IF(ISBLANK(B870),"",B870&amp;"|"&amp;C870)</f>
        <v/>
      </c>
      <c r="B870" s="140"/>
      <c r="C870" s="140"/>
      <c r="D870" s="140"/>
      <c r="E870" s="146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  <c r="AA870" s="140"/>
    </row>
    <row r="871" customFormat="false" ht="15.75" hidden="false" customHeight="false" outlineLevel="0" collapsed="false">
      <c r="A871" s="140" t="str">
        <f aca="false">IF(ISBLANK(B871),"",B871&amp;"|"&amp;C871)</f>
        <v/>
      </c>
      <c r="B871" s="140"/>
      <c r="C871" s="140"/>
      <c r="D871" s="140"/>
      <c r="E871" s="146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  <c r="AA871" s="140"/>
    </row>
    <row r="872" customFormat="false" ht="15.75" hidden="false" customHeight="false" outlineLevel="0" collapsed="false">
      <c r="A872" s="140" t="str">
        <f aca="false">IF(ISBLANK(B872),"",B872&amp;"|"&amp;C872)</f>
        <v/>
      </c>
      <c r="B872" s="140"/>
      <c r="C872" s="140"/>
      <c r="D872" s="140"/>
      <c r="E872" s="146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  <c r="AA872" s="140"/>
    </row>
    <row r="873" customFormat="false" ht="15.75" hidden="false" customHeight="false" outlineLevel="0" collapsed="false">
      <c r="A873" s="140" t="str">
        <f aca="false">IF(ISBLANK(B873),"",B873&amp;"|"&amp;C873)</f>
        <v/>
      </c>
      <c r="B873" s="140"/>
      <c r="C873" s="140"/>
      <c r="D873" s="140"/>
      <c r="E873" s="146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  <c r="AA873" s="140"/>
    </row>
    <row r="874" customFormat="false" ht="15.75" hidden="false" customHeight="false" outlineLevel="0" collapsed="false">
      <c r="A874" s="140" t="str">
        <f aca="false">IF(ISBLANK(B874),"",B874&amp;"|"&amp;C874)</f>
        <v/>
      </c>
      <c r="B874" s="140"/>
      <c r="C874" s="140"/>
      <c r="D874" s="140"/>
      <c r="E874" s="146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  <c r="AA874" s="140"/>
    </row>
    <row r="875" customFormat="false" ht="15.75" hidden="false" customHeight="false" outlineLevel="0" collapsed="false">
      <c r="A875" s="140" t="str">
        <f aca="false">IF(ISBLANK(B875),"",B875&amp;"|"&amp;C875)</f>
        <v/>
      </c>
      <c r="B875" s="140"/>
      <c r="C875" s="140"/>
      <c r="D875" s="140"/>
      <c r="E875" s="146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  <c r="AA875" s="140"/>
    </row>
    <row r="876" customFormat="false" ht="15.75" hidden="false" customHeight="false" outlineLevel="0" collapsed="false">
      <c r="A876" s="140" t="str">
        <f aca="false">IF(ISBLANK(B876),"",B876&amp;"|"&amp;C876)</f>
        <v/>
      </c>
      <c r="B876" s="140"/>
      <c r="C876" s="140"/>
      <c r="D876" s="140"/>
      <c r="E876" s="146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  <c r="AA876" s="140"/>
    </row>
    <row r="877" customFormat="false" ht="15.75" hidden="false" customHeight="false" outlineLevel="0" collapsed="false">
      <c r="A877" s="140" t="str">
        <f aca="false">IF(ISBLANK(B877),"",B877&amp;"|"&amp;C877)</f>
        <v/>
      </c>
      <c r="B877" s="140"/>
      <c r="C877" s="140"/>
      <c r="D877" s="140"/>
      <c r="E877" s="146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  <c r="AA877" s="140"/>
    </row>
    <row r="878" customFormat="false" ht="15.75" hidden="false" customHeight="false" outlineLevel="0" collapsed="false">
      <c r="A878" s="140" t="str">
        <f aca="false">IF(ISBLANK(B878),"",B878&amp;"|"&amp;C878)</f>
        <v/>
      </c>
      <c r="B878" s="140"/>
      <c r="C878" s="140"/>
      <c r="D878" s="140"/>
      <c r="E878" s="146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  <c r="AA878" s="140"/>
    </row>
    <row r="879" customFormat="false" ht="15.75" hidden="false" customHeight="false" outlineLevel="0" collapsed="false">
      <c r="A879" s="140" t="str">
        <f aca="false">IF(ISBLANK(B879),"",B879&amp;"|"&amp;C879)</f>
        <v/>
      </c>
      <c r="B879" s="140"/>
      <c r="C879" s="140"/>
      <c r="D879" s="140"/>
      <c r="E879" s="146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  <c r="AA879" s="140"/>
    </row>
    <row r="880" customFormat="false" ht="15.75" hidden="false" customHeight="false" outlineLevel="0" collapsed="false">
      <c r="A880" s="140" t="str">
        <f aca="false">IF(ISBLANK(B880),"",B880&amp;"|"&amp;C880)</f>
        <v/>
      </c>
      <c r="B880" s="140"/>
      <c r="C880" s="140"/>
      <c r="D880" s="140"/>
      <c r="E880" s="146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  <c r="AA880" s="140"/>
    </row>
    <row r="881" customFormat="false" ht="15.75" hidden="false" customHeight="false" outlineLevel="0" collapsed="false">
      <c r="A881" s="140" t="str">
        <f aca="false">IF(ISBLANK(B881),"",B881&amp;"|"&amp;C881)</f>
        <v/>
      </c>
      <c r="B881" s="140"/>
      <c r="C881" s="140"/>
      <c r="D881" s="140"/>
      <c r="E881" s="146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  <c r="AA881" s="140"/>
    </row>
    <row r="882" customFormat="false" ht="15.75" hidden="false" customHeight="false" outlineLevel="0" collapsed="false">
      <c r="A882" s="140" t="str">
        <f aca="false">IF(ISBLANK(B882),"",B882&amp;"|"&amp;C882)</f>
        <v/>
      </c>
      <c r="B882" s="140"/>
      <c r="C882" s="140"/>
      <c r="D882" s="140"/>
      <c r="E882" s="146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  <c r="AA882" s="140"/>
    </row>
    <row r="883" customFormat="false" ht="15.75" hidden="false" customHeight="false" outlineLevel="0" collapsed="false">
      <c r="A883" s="140" t="str">
        <f aca="false">IF(ISBLANK(B883),"",B883&amp;"|"&amp;C883)</f>
        <v/>
      </c>
      <c r="B883" s="140"/>
      <c r="C883" s="140"/>
      <c r="D883" s="140"/>
      <c r="E883" s="146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  <c r="AA883" s="140"/>
    </row>
    <row r="884" customFormat="false" ht="15.75" hidden="false" customHeight="false" outlineLevel="0" collapsed="false">
      <c r="A884" s="140" t="str">
        <f aca="false">IF(ISBLANK(B884),"",B884&amp;"|"&amp;C884)</f>
        <v/>
      </c>
      <c r="B884" s="140"/>
      <c r="C884" s="140"/>
      <c r="D884" s="140"/>
      <c r="E884" s="146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  <c r="AA884" s="140"/>
    </row>
    <row r="885" customFormat="false" ht="15.75" hidden="false" customHeight="false" outlineLevel="0" collapsed="false">
      <c r="A885" s="140" t="str">
        <f aca="false">IF(ISBLANK(B885),"",B885&amp;"|"&amp;C885)</f>
        <v/>
      </c>
      <c r="B885" s="140"/>
      <c r="C885" s="140"/>
      <c r="D885" s="140"/>
      <c r="E885" s="146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  <c r="AA885" s="140"/>
    </row>
    <row r="886" customFormat="false" ht="15.75" hidden="false" customHeight="false" outlineLevel="0" collapsed="false">
      <c r="A886" s="140" t="str">
        <f aca="false">IF(ISBLANK(B886),"",B886&amp;"|"&amp;C886)</f>
        <v/>
      </c>
      <c r="B886" s="140"/>
      <c r="C886" s="140"/>
      <c r="D886" s="140"/>
      <c r="E886" s="146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  <c r="AA886" s="140"/>
    </row>
    <row r="887" customFormat="false" ht="15.75" hidden="false" customHeight="false" outlineLevel="0" collapsed="false">
      <c r="A887" s="140" t="str">
        <f aca="false">IF(ISBLANK(B887),"",B887&amp;"|"&amp;C887)</f>
        <v/>
      </c>
      <c r="B887" s="140"/>
      <c r="C887" s="140"/>
      <c r="D887" s="140"/>
      <c r="E887" s="146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  <c r="AA887" s="140"/>
    </row>
    <row r="888" customFormat="false" ht="15.75" hidden="false" customHeight="false" outlineLevel="0" collapsed="false">
      <c r="A888" s="140" t="str">
        <f aca="false">IF(ISBLANK(B888),"",B888&amp;"|"&amp;C888)</f>
        <v/>
      </c>
      <c r="B888" s="140"/>
      <c r="C888" s="140"/>
      <c r="D888" s="140"/>
      <c r="E888" s="146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  <c r="AA888" s="140"/>
    </row>
    <row r="889" customFormat="false" ht="15.75" hidden="false" customHeight="false" outlineLevel="0" collapsed="false">
      <c r="A889" s="140" t="str">
        <f aca="false">IF(ISBLANK(B889),"",B889&amp;"|"&amp;C889)</f>
        <v/>
      </c>
      <c r="B889" s="140"/>
      <c r="C889" s="140"/>
      <c r="D889" s="140"/>
      <c r="E889" s="146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  <c r="AA889" s="140"/>
    </row>
    <row r="890" customFormat="false" ht="15.75" hidden="false" customHeight="false" outlineLevel="0" collapsed="false">
      <c r="A890" s="140" t="str">
        <f aca="false">IF(ISBLANK(B890),"",B890&amp;"|"&amp;C890)</f>
        <v/>
      </c>
      <c r="B890" s="140"/>
      <c r="C890" s="140"/>
      <c r="D890" s="140"/>
      <c r="E890" s="146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  <c r="AA890" s="140"/>
    </row>
    <row r="891" customFormat="false" ht="15.75" hidden="false" customHeight="false" outlineLevel="0" collapsed="false">
      <c r="A891" s="140" t="str">
        <f aca="false">IF(ISBLANK(B891),"",B891&amp;"|"&amp;C891)</f>
        <v/>
      </c>
      <c r="B891" s="140"/>
      <c r="C891" s="140"/>
      <c r="D891" s="140"/>
      <c r="E891" s="146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  <c r="AA891" s="140"/>
    </row>
    <row r="892" customFormat="false" ht="15.75" hidden="false" customHeight="false" outlineLevel="0" collapsed="false">
      <c r="A892" s="140" t="str">
        <f aca="false">IF(ISBLANK(B892),"",B892&amp;"|"&amp;C892)</f>
        <v/>
      </c>
      <c r="B892" s="140"/>
      <c r="C892" s="140"/>
      <c r="D892" s="140"/>
      <c r="E892" s="146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  <c r="AA892" s="140"/>
    </row>
    <row r="893" customFormat="false" ht="15.75" hidden="false" customHeight="false" outlineLevel="0" collapsed="false">
      <c r="A893" s="140" t="str">
        <f aca="false">IF(ISBLANK(B893),"",B893&amp;"|"&amp;C893)</f>
        <v/>
      </c>
      <c r="B893" s="140"/>
      <c r="C893" s="140"/>
      <c r="D893" s="140"/>
      <c r="E893" s="146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  <c r="AA893" s="140"/>
    </row>
    <row r="894" customFormat="false" ht="15.75" hidden="false" customHeight="false" outlineLevel="0" collapsed="false">
      <c r="A894" s="140" t="str">
        <f aca="false">IF(ISBLANK(B894),"",B894&amp;"|"&amp;C894)</f>
        <v/>
      </c>
      <c r="B894" s="140"/>
      <c r="C894" s="140"/>
      <c r="D894" s="140"/>
      <c r="E894" s="146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  <c r="AA894" s="140"/>
    </row>
    <row r="895" customFormat="false" ht="15.75" hidden="false" customHeight="false" outlineLevel="0" collapsed="false">
      <c r="A895" s="140" t="str">
        <f aca="false">IF(ISBLANK(B895),"",B895&amp;"|"&amp;C895)</f>
        <v/>
      </c>
      <c r="B895" s="140"/>
      <c r="C895" s="140"/>
      <c r="D895" s="140"/>
      <c r="E895" s="146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  <c r="AA895" s="140"/>
    </row>
    <row r="896" customFormat="false" ht="15.75" hidden="false" customHeight="false" outlineLevel="0" collapsed="false">
      <c r="A896" s="140" t="str">
        <f aca="false">IF(ISBLANK(B896),"",B896&amp;"|"&amp;C896)</f>
        <v/>
      </c>
      <c r="B896" s="140"/>
      <c r="C896" s="140"/>
      <c r="D896" s="140"/>
      <c r="E896" s="146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  <c r="AA896" s="140"/>
    </row>
    <row r="897" customFormat="false" ht="15.75" hidden="false" customHeight="false" outlineLevel="0" collapsed="false">
      <c r="A897" s="140" t="str">
        <f aca="false">IF(ISBLANK(B897),"",B897&amp;"|"&amp;C897)</f>
        <v/>
      </c>
      <c r="B897" s="140"/>
      <c r="C897" s="140"/>
      <c r="D897" s="140"/>
      <c r="E897" s="146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  <c r="AA897" s="140"/>
    </row>
    <row r="898" customFormat="false" ht="15.75" hidden="false" customHeight="false" outlineLevel="0" collapsed="false">
      <c r="A898" s="140" t="str">
        <f aca="false">IF(ISBLANK(B898),"",B898&amp;"|"&amp;C898)</f>
        <v/>
      </c>
      <c r="B898" s="140"/>
      <c r="C898" s="140"/>
      <c r="D898" s="140"/>
      <c r="E898" s="146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  <c r="AA898" s="140"/>
    </row>
    <row r="899" customFormat="false" ht="15.75" hidden="false" customHeight="false" outlineLevel="0" collapsed="false">
      <c r="A899" s="140" t="str">
        <f aca="false">IF(ISBLANK(B899),"",B899&amp;"|"&amp;C899)</f>
        <v/>
      </c>
      <c r="B899" s="140"/>
      <c r="C899" s="140"/>
      <c r="D899" s="140"/>
      <c r="E899" s="146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  <c r="AA899" s="140"/>
    </row>
    <row r="900" customFormat="false" ht="15.75" hidden="false" customHeight="false" outlineLevel="0" collapsed="false">
      <c r="A900" s="140" t="str">
        <f aca="false">IF(ISBLANK(B900),"",B900&amp;"|"&amp;C900)</f>
        <v/>
      </c>
      <c r="B900" s="140"/>
      <c r="C900" s="140"/>
      <c r="D900" s="140"/>
      <c r="E900" s="146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  <c r="AA900" s="140"/>
    </row>
    <row r="901" customFormat="false" ht="15.75" hidden="false" customHeight="false" outlineLevel="0" collapsed="false">
      <c r="A901" s="140" t="str">
        <f aca="false">IF(ISBLANK(B901),"",B901&amp;"|"&amp;C901)</f>
        <v/>
      </c>
      <c r="B901" s="140"/>
      <c r="C901" s="140"/>
      <c r="D901" s="140"/>
      <c r="E901" s="146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  <c r="AA901" s="140"/>
    </row>
    <row r="902" customFormat="false" ht="15.75" hidden="false" customHeight="false" outlineLevel="0" collapsed="false">
      <c r="A902" s="140" t="str">
        <f aca="false">IF(ISBLANK(B902),"",B902&amp;"|"&amp;C902)</f>
        <v/>
      </c>
      <c r="B902" s="140"/>
      <c r="C902" s="140"/>
      <c r="D902" s="140"/>
      <c r="E902" s="146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  <c r="AA902" s="140"/>
    </row>
    <row r="903" customFormat="false" ht="15.75" hidden="false" customHeight="false" outlineLevel="0" collapsed="false">
      <c r="A903" s="140" t="str">
        <f aca="false">IF(ISBLANK(B903),"",B903&amp;"|"&amp;C903)</f>
        <v/>
      </c>
      <c r="B903" s="140"/>
      <c r="C903" s="140"/>
      <c r="D903" s="140"/>
      <c r="E903" s="146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  <c r="AA903" s="140"/>
    </row>
    <row r="904" customFormat="false" ht="15.75" hidden="false" customHeight="false" outlineLevel="0" collapsed="false">
      <c r="A904" s="140" t="str">
        <f aca="false">IF(ISBLANK(B904),"",B904&amp;"|"&amp;C904)</f>
        <v/>
      </c>
      <c r="B904" s="140"/>
      <c r="C904" s="140"/>
      <c r="D904" s="140"/>
      <c r="E904" s="146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  <c r="AA904" s="140"/>
    </row>
    <row r="905" customFormat="false" ht="15.75" hidden="false" customHeight="false" outlineLevel="0" collapsed="false">
      <c r="A905" s="140" t="str">
        <f aca="false">IF(ISBLANK(B905),"",B905&amp;"|"&amp;C905)</f>
        <v/>
      </c>
      <c r="B905" s="140"/>
      <c r="C905" s="140"/>
      <c r="D905" s="140"/>
      <c r="E905" s="146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  <c r="AA905" s="140"/>
    </row>
    <row r="906" customFormat="false" ht="15.75" hidden="false" customHeight="false" outlineLevel="0" collapsed="false">
      <c r="A906" s="140" t="str">
        <f aca="false">IF(ISBLANK(B906),"",B906&amp;"|"&amp;C906)</f>
        <v/>
      </c>
      <c r="B906" s="140"/>
      <c r="C906" s="140"/>
      <c r="D906" s="140"/>
      <c r="E906" s="146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  <c r="AA906" s="140"/>
    </row>
    <row r="907" customFormat="false" ht="15.75" hidden="false" customHeight="false" outlineLevel="0" collapsed="false">
      <c r="A907" s="140" t="str">
        <f aca="false">IF(ISBLANK(B907),"",B907&amp;"|"&amp;C907)</f>
        <v/>
      </c>
      <c r="B907" s="140"/>
      <c r="C907" s="140"/>
      <c r="D907" s="140"/>
      <c r="E907" s="146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  <c r="AA907" s="140"/>
    </row>
    <row r="908" customFormat="false" ht="15.75" hidden="false" customHeight="false" outlineLevel="0" collapsed="false">
      <c r="A908" s="140" t="str">
        <f aca="false">IF(ISBLANK(B908),"",B908&amp;"|"&amp;C908)</f>
        <v/>
      </c>
      <c r="B908" s="140"/>
      <c r="C908" s="140"/>
      <c r="D908" s="140"/>
      <c r="E908" s="146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  <c r="AA908" s="140"/>
    </row>
    <row r="909" customFormat="false" ht="15.75" hidden="false" customHeight="false" outlineLevel="0" collapsed="false">
      <c r="A909" s="140" t="str">
        <f aca="false">IF(ISBLANK(B909),"",B909&amp;"|"&amp;C909)</f>
        <v/>
      </c>
      <c r="B909" s="140"/>
      <c r="C909" s="140"/>
      <c r="D909" s="140"/>
      <c r="E909" s="146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  <c r="AA909" s="140"/>
    </row>
    <row r="910" customFormat="false" ht="15.75" hidden="false" customHeight="false" outlineLevel="0" collapsed="false">
      <c r="A910" s="140" t="str">
        <f aca="false">IF(ISBLANK(B910),"",B910&amp;"|"&amp;C910)</f>
        <v/>
      </c>
      <c r="B910" s="140"/>
      <c r="C910" s="140"/>
      <c r="D910" s="140"/>
      <c r="E910" s="146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  <c r="AA910" s="140"/>
    </row>
    <row r="911" customFormat="false" ht="15.75" hidden="false" customHeight="false" outlineLevel="0" collapsed="false">
      <c r="A911" s="140" t="str">
        <f aca="false">IF(ISBLANK(B911),"",B911&amp;"|"&amp;C911)</f>
        <v/>
      </c>
      <c r="B911" s="140"/>
      <c r="C911" s="140"/>
      <c r="D911" s="140"/>
      <c r="E911" s="146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  <c r="AA911" s="140"/>
    </row>
    <row r="912" customFormat="false" ht="15.75" hidden="false" customHeight="false" outlineLevel="0" collapsed="false">
      <c r="A912" s="140" t="str">
        <f aca="false">IF(ISBLANK(B912),"",B912&amp;"|"&amp;C912)</f>
        <v/>
      </c>
      <c r="B912" s="140"/>
      <c r="C912" s="140"/>
      <c r="D912" s="140"/>
      <c r="E912" s="146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  <c r="AA912" s="140"/>
    </row>
    <row r="913" customFormat="false" ht="15.75" hidden="false" customHeight="false" outlineLevel="0" collapsed="false">
      <c r="A913" s="140" t="str">
        <f aca="false">IF(ISBLANK(B913),"",B913&amp;"|"&amp;C913)</f>
        <v/>
      </c>
      <c r="B913" s="140"/>
      <c r="C913" s="140"/>
      <c r="D913" s="140"/>
      <c r="E913" s="146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  <c r="AA913" s="140"/>
    </row>
    <row r="914" customFormat="false" ht="15.75" hidden="false" customHeight="false" outlineLevel="0" collapsed="false">
      <c r="A914" s="140" t="str">
        <f aca="false">IF(ISBLANK(B914),"",B914&amp;"|"&amp;C914)</f>
        <v/>
      </c>
      <c r="B914" s="140"/>
      <c r="C914" s="140"/>
      <c r="D914" s="140"/>
      <c r="E914" s="146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  <c r="AA914" s="140"/>
    </row>
    <row r="915" customFormat="false" ht="15.75" hidden="false" customHeight="false" outlineLevel="0" collapsed="false">
      <c r="A915" s="140" t="str">
        <f aca="false">IF(ISBLANK(B915),"",B915&amp;"|"&amp;C915)</f>
        <v/>
      </c>
      <c r="B915" s="140"/>
      <c r="C915" s="140"/>
      <c r="D915" s="140"/>
      <c r="E915" s="146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  <c r="AA915" s="140"/>
    </row>
    <row r="916" customFormat="false" ht="15.75" hidden="false" customHeight="false" outlineLevel="0" collapsed="false">
      <c r="A916" s="140" t="str">
        <f aca="false">IF(ISBLANK(B916),"",B916&amp;"|"&amp;C916)</f>
        <v/>
      </c>
      <c r="B916" s="140"/>
      <c r="C916" s="140"/>
      <c r="D916" s="140"/>
      <c r="E916" s="146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  <c r="AA916" s="140"/>
    </row>
    <row r="917" customFormat="false" ht="15.75" hidden="false" customHeight="false" outlineLevel="0" collapsed="false">
      <c r="A917" s="140" t="str">
        <f aca="false">IF(ISBLANK(B917),"",B917&amp;"|"&amp;C917)</f>
        <v/>
      </c>
      <c r="B917" s="140"/>
      <c r="C917" s="140"/>
      <c r="D917" s="140"/>
      <c r="E917" s="146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  <c r="AA917" s="140"/>
    </row>
    <row r="918" customFormat="false" ht="15.75" hidden="false" customHeight="false" outlineLevel="0" collapsed="false">
      <c r="A918" s="140" t="str">
        <f aca="false">IF(ISBLANK(B918),"",B918&amp;"|"&amp;C918)</f>
        <v/>
      </c>
      <c r="B918" s="140"/>
      <c r="C918" s="140"/>
      <c r="D918" s="140"/>
      <c r="E918" s="146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  <c r="AA918" s="140"/>
    </row>
    <row r="919" customFormat="false" ht="15.75" hidden="false" customHeight="false" outlineLevel="0" collapsed="false">
      <c r="A919" s="140" t="str">
        <f aca="false">IF(ISBLANK(B919),"",B919&amp;"|"&amp;C919)</f>
        <v/>
      </c>
      <c r="B919" s="140"/>
      <c r="C919" s="140"/>
      <c r="D919" s="140"/>
      <c r="E919" s="146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  <c r="AA919" s="140"/>
    </row>
    <row r="920" customFormat="false" ht="15.75" hidden="false" customHeight="false" outlineLevel="0" collapsed="false">
      <c r="A920" s="140" t="str">
        <f aca="false">IF(ISBLANK(B920),"",B920&amp;"|"&amp;C920)</f>
        <v/>
      </c>
      <c r="B920" s="140"/>
      <c r="C920" s="140"/>
      <c r="D920" s="140"/>
      <c r="E920" s="146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  <c r="AA920" s="140"/>
    </row>
    <row r="921" customFormat="false" ht="15.75" hidden="false" customHeight="false" outlineLevel="0" collapsed="false">
      <c r="A921" s="140" t="str">
        <f aca="false">IF(ISBLANK(B921),"",B921&amp;"|"&amp;C921)</f>
        <v/>
      </c>
      <c r="B921" s="140"/>
      <c r="C921" s="140"/>
      <c r="D921" s="140"/>
      <c r="E921" s="146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  <c r="AA921" s="140"/>
    </row>
    <row r="922" customFormat="false" ht="15.75" hidden="false" customHeight="false" outlineLevel="0" collapsed="false">
      <c r="A922" s="140" t="str">
        <f aca="false">IF(ISBLANK(B922),"",B922&amp;"|"&amp;C922)</f>
        <v/>
      </c>
      <c r="B922" s="140"/>
      <c r="C922" s="140"/>
      <c r="D922" s="140"/>
      <c r="E922" s="146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  <c r="AA922" s="140"/>
    </row>
    <row r="923" customFormat="false" ht="15.75" hidden="false" customHeight="false" outlineLevel="0" collapsed="false">
      <c r="A923" s="140" t="str">
        <f aca="false">IF(ISBLANK(B923),"",B923&amp;"|"&amp;C923)</f>
        <v/>
      </c>
      <c r="B923" s="140"/>
      <c r="C923" s="140"/>
      <c r="D923" s="140"/>
      <c r="E923" s="146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  <c r="AA923" s="140"/>
    </row>
    <row r="924" customFormat="false" ht="15.75" hidden="false" customHeight="false" outlineLevel="0" collapsed="false">
      <c r="A924" s="140" t="str">
        <f aca="false">IF(ISBLANK(B924),"",B924&amp;"|"&amp;C924)</f>
        <v/>
      </c>
      <c r="B924" s="140"/>
      <c r="C924" s="140"/>
      <c r="D924" s="140"/>
      <c r="E924" s="146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  <c r="AA924" s="140"/>
    </row>
    <row r="925" customFormat="false" ht="15.75" hidden="false" customHeight="false" outlineLevel="0" collapsed="false">
      <c r="A925" s="140" t="str">
        <f aca="false">IF(ISBLANK(B925),"",B925&amp;"|"&amp;C925)</f>
        <v/>
      </c>
      <c r="B925" s="140"/>
      <c r="C925" s="140"/>
      <c r="D925" s="140"/>
      <c r="E925" s="146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  <c r="AA925" s="140"/>
    </row>
    <row r="926" customFormat="false" ht="15.75" hidden="false" customHeight="false" outlineLevel="0" collapsed="false">
      <c r="A926" s="140" t="str">
        <f aca="false">IF(ISBLANK(B926),"",B926&amp;"|"&amp;C926)</f>
        <v/>
      </c>
      <c r="B926" s="140"/>
      <c r="C926" s="140"/>
      <c r="D926" s="140"/>
      <c r="E926" s="146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  <c r="AA926" s="140"/>
    </row>
    <row r="927" customFormat="false" ht="15.75" hidden="false" customHeight="false" outlineLevel="0" collapsed="false">
      <c r="A927" s="140" t="str">
        <f aca="false">IF(ISBLANK(B927),"",B927&amp;"|"&amp;C927)</f>
        <v/>
      </c>
      <c r="B927" s="140"/>
      <c r="C927" s="140"/>
      <c r="D927" s="140"/>
      <c r="E927" s="146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  <c r="AA927" s="140"/>
    </row>
    <row r="928" customFormat="false" ht="15.75" hidden="false" customHeight="false" outlineLevel="0" collapsed="false">
      <c r="A928" s="140" t="str">
        <f aca="false">IF(ISBLANK(B928),"",B928&amp;"|"&amp;C928)</f>
        <v/>
      </c>
      <c r="B928" s="140"/>
      <c r="C928" s="140"/>
      <c r="D928" s="140"/>
      <c r="E928" s="146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  <c r="AA928" s="140"/>
    </row>
    <row r="929" customFormat="false" ht="15.75" hidden="false" customHeight="false" outlineLevel="0" collapsed="false">
      <c r="A929" s="140" t="str">
        <f aca="false">IF(ISBLANK(B929),"",B929&amp;"|"&amp;C929)</f>
        <v/>
      </c>
      <c r="B929" s="140"/>
      <c r="C929" s="140"/>
      <c r="D929" s="140"/>
      <c r="E929" s="146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  <c r="AA929" s="140"/>
    </row>
    <row r="930" customFormat="false" ht="15.75" hidden="false" customHeight="false" outlineLevel="0" collapsed="false">
      <c r="A930" s="140" t="str">
        <f aca="false">IF(ISBLANK(B930),"",B930&amp;"|"&amp;C930)</f>
        <v/>
      </c>
      <c r="B930" s="140"/>
      <c r="C930" s="140"/>
      <c r="D930" s="140"/>
      <c r="E930" s="146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  <c r="AA930" s="140"/>
    </row>
    <row r="931" customFormat="false" ht="15.75" hidden="false" customHeight="false" outlineLevel="0" collapsed="false">
      <c r="A931" s="140" t="str">
        <f aca="false">IF(ISBLANK(B931),"",B931&amp;"|"&amp;C931)</f>
        <v/>
      </c>
      <c r="B931" s="140"/>
      <c r="C931" s="140"/>
      <c r="D931" s="140"/>
      <c r="E931" s="146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  <c r="AA931" s="140"/>
    </row>
    <row r="932" customFormat="false" ht="15.75" hidden="false" customHeight="false" outlineLevel="0" collapsed="false">
      <c r="A932" s="140" t="str">
        <f aca="false">IF(ISBLANK(B932),"",B932&amp;"|"&amp;C932)</f>
        <v/>
      </c>
      <c r="B932" s="140"/>
      <c r="C932" s="140"/>
      <c r="D932" s="140"/>
      <c r="E932" s="146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  <c r="AA932" s="140"/>
    </row>
    <row r="933" customFormat="false" ht="15.75" hidden="false" customHeight="false" outlineLevel="0" collapsed="false">
      <c r="A933" s="140" t="str">
        <f aca="false">IF(ISBLANK(B933),"",B933&amp;"|"&amp;C933)</f>
        <v/>
      </c>
      <c r="B933" s="140"/>
      <c r="C933" s="140"/>
      <c r="D933" s="140"/>
      <c r="E933" s="146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  <c r="AA933" s="140"/>
    </row>
    <row r="934" customFormat="false" ht="15.75" hidden="false" customHeight="false" outlineLevel="0" collapsed="false">
      <c r="A934" s="140" t="str">
        <f aca="false">IF(ISBLANK(B934),"",B934&amp;"|"&amp;C934)</f>
        <v/>
      </c>
      <c r="B934" s="140"/>
      <c r="C934" s="140"/>
      <c r="D934" s="140"/>
      <c r="E934" s="146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  <c r="AA934" s="140"/>
    </row>
    <row r="935" customFormat="false" ht="15.75" hidden="false" customHeight="false" outlineLevel="0" collapsed="false">
      <c r="A935" s="140" t="str">
        <f aca="false">IF(ISBLANK(B935),"",B935&amp;"|"&amp;C935)</f>
        <v/>
      </c>
      <c r="B935" s="140"/>
      <c r="C935" s="140"/>
      <c r="D935" s="140"/>
      <c r="E935" s="146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  <c r="AA935" s="140"/>
    </row>
    <row r="936" customFormat="false" ht="15.75" hidden="false" customHeight="false" outlineLevel="0" collapsed="false">
      <c r="A936" s="140" t="str">
        <f aca="false">IF(ISBLANK(B936),"",B936&amp;"|"&amp;C936)</f>
        <v/>
      </c>
      <c r="B936" s="140"/>
      <c r="C936" s="140"/>
      <c r="D936" s="140"/>
      <c r="E936" s="146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  <c r="AA936" s="140"/>
    </row>
    <row r="937" customFormat="false" ht="15.75" hidden="false" customHeight="false" outlineLevel="0" collapsed="false">
      <c r="A937" s="140" t="str">
        <f aca="false">IF(ISBLANK(B937),"",B937&amp;"|"&amp;C937)</f>
        <v/>
      </c>
      <c r="B937" s="140"/>
      <c r="C937" s="140"/>
      <c r="D937" s="140"/>
      <c r="E937" s="146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  <c r="AA937" s="140"/>
    </row>
    <row r="938" customFormat="false" ht="15.75" hidden="false" customHeight="false" outlineLevel="0" collapsed="false">
      <c r="A938" s="140" t="str">
        <f aca="false">IF(ISBLANK(B938),"",B938&amp;"|"&amp;C938)</f>
        <v/>
      </c>
      <c r="B938" s="140"/>
      <c r="C938" s="140"/>
      <c r="D938" s="140"/>
      <c r="E938" s="146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  <c r="AA938" s="140"/>
    </row>
    <row r="939" customFormat="false" ht="15.75" hidden="false" customHeight="false" outlineLevel="0" collapsed="false">
      <c r="A939" s="140" t="str">
        <f aca="false">IF(ISBLANK(B939),"",B939&amp;"|"&amp;C939)</f>
        <v/>
      </c>
      <c r="B939" s="140"/>
      <c r="C939" s="140"/>
      <c r="D939" s="140"/>
      <c r="E939" s="146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  <c r="AA939" s="140"/>
    </row>
    <row r="940" customFormat="false" ht="15.75" hidden="false" customHeight="false" outlineLevel="0" collapsed="false">
      <c r="A940" s="140" t="str">
        <f aca="false">IF(ISBLANK(B940),"",B940&amp;"|"&amp;C940)</f>
        <v/>
      </c>
      <c r="B940" s="140"/>
      <c r="C940" s="140"/>
      <c r="D940" s="140"/>
      <c r="E940" s="146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  <c r="AA940" s="140"/>
    </row>
    <row r="941" customFormat="false" ht="15.75" hidden="false" customHeight="false" outlineLevel="0" collapsed="false">
      <c r="A941" s="140" t="str">
        <f aca="false">IF(ISBLANK(B941),"",B941&amp;"|"&amp;C941)</f>
        <v/>
      </c>
      <c r="B941" s="140"/>
      <c r="C941" s="140"/>
      <c r="D941" s="140"/>
      <c r="E941" s="146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  <c r="AA941" s="140"/>
    </row>
    <row r="942" customFormat="false" ht="15.75" hidden="false" customHeight="false" outlineLevel="0" collapsed="false">
      <c r="A942" s="140" t="str">
        <f aca="false">IF(ISBLANK(B942),"",B942&amp;"|"&amp;C942)</f>
        <v/>
      </c>
      <c r="B942" s="140"/>
      <c r="C942" s="140"/>
      <c r="D942" s="140"/>
      <c r="E942" s="146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  <c r="AA942" s="140"/>
    </row>
    <row r="943" customFormat="false" ht="15.75" hidden="false" customHeight="false" outlineLevel="0" collapsed="false">
      <c r="A943" s="140" t="str">
        <f aca="false">IF(ISBLANK(B943),"",B943&amp;"|"&amp;C943)</f>
        <v/>
      </c>
      <c r="B943" s="140"/>
      <c r="C943" s="140"/>
      <c r="D943" s="140"/>
      <c r="E943" s="146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  <c r="AA943" s="140"/>
    </row>
    <row r="944" customFormat="false" ht="15.75" hidden="false" customHeight="false" outlineLevel="0" collapsed="false">
      <c r="A944" s="140" t="str">
        <f aca="false">IF(ISBLANK(B944),"",B944&amp;"|"&amp;C944)</f>
        <v/>
      </c>
      <c r="B944" s="140"/>
      <c r="C944" s="140"/>
      <c r="D944" s="140"/>
      <c r="E944" s="146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  <c r="AA944" s="140"/>
    </row>
    <row r="945" customFormat="false" ht="15.75" hidden="false" customHeight="false" outlineLevel="0" collapsed="false">
      <c r="A945" s="140" t="str">
        <f aca="false">IF(ISBLANK(B945),"",B945&amp;"|"&amp;C945)</f>
        <v/>
      </c>
      <c r="B945" s="140"/>
      <c r="C945" s="140"/>
      <c r="D945" s="140"/>
      <c r="E945" s="146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  <c r="AA945" s="140"/>
    </row>
    <row r="946" customFormat="false" ht="15.75" hidden="false" customHeight="false" outlineLevel="0" collapsed="false">
      <c r="A946" s="140" t="str">
        <f aca="false">IF(ISBLANK(B946),"",B946&amp;"|"&amp;C946)</f>
        <v/>
      </c>
      <c r="B946" s="140"/>
      <c r="C946" s="140"/>
      <c r="D946" s="140"/>
      <c r="E946" s="146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  <c r="AA946" s="140"/>
    </row>
    <row r="947" customFormat="false" ht="15.75" hidden="false" customHeight="false" outlineLevel="0" collapsed="false">
      <c r="A947" s="140" t="str">
        <f aca="false">IF(ISBLANK(B947),"",B947&amp;"|"&amp;C947)</f>
        <v/>
      </c>
      <c r="B947" s="140"/>
      <c r="C947" s="140"/>
      <c r="D947" s="140"/>
      <c r="E947" s="146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  <c r="AA947" s="140"/>
    </row>
    <row r="948" customFormat="false" ht="15.75" hidden="false" customHeight="false" outlineLevel="0" collapsed="false">
      <c r="A948" s="140" t="str">
        <f aca="false">IF(ISBLANK(B948),"",B948&amp;"|"&amp;C948)</f>
        <v/>
      </c>
      <c r="B948" s="140"/>
      <c r="C948" s="140"/>
      <c r="D948" s="140"/>
      <c r="E948" s="146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  <c r="AA948" s="140"/>
    </row>
    <row r="949" customFormat="false" ht="15.75" hidden="false" customHeight="false" outlineLevel="0" collapsed="false">
      <c r="A949" s="140" t="str">
        <f aca="false">IF(ISBLANK(B949),"",B949&amp;"|"&amp;C949)</f>
        <v/>
      </c>
      <c r="B949" s="140"/>
      <c r="C949" s="140"/>
      <c r="D949" s="140"/>
      <c r="E949" s="146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  <c r="AA949" s="140"/>
    </row>
    <row r="950" customFormat="false" ht="15.75" hidden="false" customHeight="false" outlineLevel="0" collapsed="false">
      <c r="A950" s="140" t="str">
        <f aca="false">IF(ISBLANK(B950),"",B950&amp;"|"&amp;C950)</f>
        <v/>
      </c>
      <c r="B950" s="140"/>
      <c r="C950" s="140"/>
      <c r="D950" s="140"/>
      <c r="E950" s="146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  <c r="AA950" s="140"/>
    </row>
    <row r="951" customFormat="false" ht="15.75" hidden="false" customHeight="false" outlineLevel="0" collapsed="false">
      <c r="A951" s="140" t="str">
        <f aca="false">IF(ISBLANK(B951),"",B951&amp;"|"&amp;C951)</f>
        <v/>
      </c>
      <c r="B951" s="140"/>
      <c r="C951" s="140"/>
      <c r="D951" s="140"/>
      <c r="E951" s="146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  <c r="AA951" s="140"/>
    </row>
    <row r="952" customFormat="false" ht="15.75" hidden="false" customHeight="false" outlineLevel="0" collapsed="false">
      <c r="A952" s="140" t="str">
        <f aca="false">IF(ISBLANK(B952),"",B952&amp;"|"&amp;C952)</f>
        <v/>
      </c>
      <c r="B952" s="140"/>
      <c r="C952" s="140"/>
      <c r="D952" s="140"/>
      <c r="E952" s="146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  <c r="AA952" s="140"/>
    </row>
    <row r="953" customFormat="false" ht="15.75" hidden="false" customHeight="false" outlineLevel="0" collapsed="false">
      <c r="A953" s="140" t="str">
        <f aca="false">IF(ISBLANK(B953),"",B953&amp;"|"&amp;C953)</f>
        <v/>
      </c>
      <c r="B953" s="140"/>
      <c r="C953" s="140"/>
      <c r="D953" s="140"/>
      <c r="E953" s="146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  <c r="AA953" s="140"/>
    </row>
    <row r="954" customFormat="false" ht="15.75" hidden="false" customHeight="false" outlineLevel="0" collapsed="false">
      <c r="A954" s="140" t="str">
        <f aca="false">IF(ISBLANK(B954),"",B954&amp;"|"&amp;C954)</f>
        <v/>
      </c>
      <c r="B954" s="140"/>
      <c r="C954" s="140"/>
      <c r="D954" s="140"/>
      <c r="E954" s="146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  <c r="AA954" s="140"/>
    </row>
    <row r="955" customFormat="false" ht="15.75" hidden="false" customHeight="false" outlineLevel="0" collapsed="false">
      <c r="A955" s="140" t="str">
        <f aca="false">IF(ISBLANK(B955),"",B955&amp;"|"&amp;C955)</f>
        <v/>
      </c>
      <c r="B955" s="140"/>
      <c r="C955" s="140"/>
      <c r="D955" s="140"/>
      <c r="E955" s="146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  <c r="AA955" s="140"/>
    </row>
    <row r="956" customFormat="false" ht="15.75" hidden="false" customHeight="false" outlineLevel="0" collapsed="false">
      <c r="A956" s="140" t="str">
        <f aca="false">IF(ISBLANK(B956),"",B956&amp;"|"&amp;C956)</f>
        <v/>
      </c>
      <c r="B956" s="140"/>
      <c r="C956" s="140"/>
      <c r="D956" s="140"/>
      <c r="E956" s="146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  <c r="AA956" s="140"/>
    </row>
    <row r="957" customFormat="false" ht="15.75" hidden="false" customHeight="false" outlineLevel="0" collapsed="false">
      <c r="A957" s="140" t="str">
        <f aca="false">IF(ISBLANK(B957),"",B957&amp;"|"&amp;C957)</f>
        <v/>
      </c>
      <c r="B957" s="140"/>
      <c r="C957" s="140"/>
      <c r="D957" s="140"/>
      <c r="E957" s="146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  <c r="AA957" s="140"/>
    </row>
    <row r="958" customFormat="false" ht="15.75" hidden="false" customHeight="false" outlineLevel="0" collapsed="false">
      <c r="A958" s="140" t="str">
        <f aca="false">IF(ISBLANK(B958),"",B958&amp;"|"&amp;C958)</f>
        <v/>
      </c>
      <c r="B958" s="140"/>
      <c r="C958" s="140"/>
      <c r="D958" s="140"/>
      <c r="E958" s="146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  <c r="AA958" s="140"/>
    </row>
    <row r="959" customFormat="false" ht="15.75" hidden="false" customHeight="false" outlineLevel="0" collapsed="false">
      <c r="A959" s="140" t="str">
        <f aca="false">IF(ISBLANK(B959),"",B959&amp;"|"&amp;C959)</f>
        <v/>
      </c>
      <c r="B959" s="140"/>
      <c r="C959" s="140"/>
      <c r="D959" s="140"/>
      <c r="E959" s="146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  <c r="AA959" s="140"/>
    </row>
    <row r="960" customFormat="false" ht="15.75" hidden="false" customHeight="false" outlineLevel="0" collapsed="false">
      <c r="A960" s="140" t="str">
        <f aca="false">IF(ISBLANK(B960),"",B960&amp;"|"&amp;C960)</f>
        <v/>
      </c>
      <c r="B960" s="140"/>
      <c r="C960" s="140"/>
      <c r="D960" s="140"/>
      <c r="E960" s="146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  <c r="AA960" s="140"/>
    </row>
    <row r="961" customFormat="false" ht="15.75" hidden="false" customHeight="false" outlineLevel="0" collapsed="false">
      <c r="A961" s="140" t="str">
        <f aca="false">IF(ISBLANK(B961),"",B961&amp;"|"&amp;C961)</f>
        <v/>
      </c>
      <c r="B961" s="140"/>
      <c r="C961" s="140"/>
      <c r="D961" s="140"/>
      <c r="E961" s="146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  <c r="AA961" s="140"/>
    </row>
    <row r="962" customFormat="false" ht="15.75" hidden="false" customHeight="false" outlineLevel="0" collapsed="false">
      <c r="A962" s="140" t="str">
        <f aca="false">IF(ISBLANK(B962),"",B962&amp;"|"&amp;C962)</f>
        <v/>
      </c>
      <c r="B962" s="140"/>
      <c r="C962" s="140"/>
      <c r="D962" s="140"/>
      <c r="E962" s="146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  <c r="AA962" s="140"/>
    </row>
    <row r="963" customFormat="false" ht="15.75" hidden="false" customHeight="false" outlineLevel="0" collapsed="false">
      <c r="A963" s="140" t="str">
        <f aca="false">IF(ISBLANK(B963),"",B963&amp;"|"&amp;C963)</f>
        <v/>
      </c>
      <c r="B963" s="140"/>
      <c r="C963" s="140"/>
      <c r="D963" s="140"/>
      <c r="E963" s="146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  <c r="AA963" s="140"/>
    </row>
    <row r="964" customFormat="false" ht="15.75" hidden="false" customHeight="false" outlineLevel="0" collapsed="false">
      <c r="A964" s="140" t="str">
        <f aca="false">IF(ISBLANK(B964),"",B964&amp;"|"&amp;C964)</f>
        <v/>
      </c>
      <c r="B964" s="140"/>
      <c r="C964" s="140"/>
      <c r="D964" s="140"/>
      <c r="E964" s="146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  <c r="AA964" s="140"/>
    </row>
    <row r="965" customFormat="false" ht="15.75" hidden="false" customHeight="false" outlineLevel="0" collapsed="false">
      <c r="A965" s="140" t="str">
        <f aca="false">IF(ISBLANK(B965),"",B965&amp;"|"&amp;C965)</f>
        <v/>
      </c>
      <c r="B965" s="140"/>
      <c r="C965" s="140"/>
      <c r="D965" s="140"/>
      <c r="E965" s="146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  <c r="AA965" s="140"/>
    </row>
    <row r="966" customFormat="false" ht="15.75" hidden="false" customHeight="false" outlineLevel="0" collapsed="false">
      <c r="A966" s="140" t="str">
        <f aca="false">IF(ISBLANK(B966),"",B966&amp;"|"&amp;C966)</f>
        <v/>
      </c>
      <c r="B966" s="140"/>
      <c r="C966" s="140"/>
      <c r="D966" s="140"/>
      <c r="E966" s="146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  <c r="AA966" s="140"/>
    </row>
    <row r="967" customFormat="false" ht="15.75" hidden="false" customHeight="false" outlineLevel="0" collapsed="false">
      <c r="A967" s="140" t="str">
        <f aca="false">IF(ISBLANK(B967),"",B967&amp;"|"&amp;C967)</f>
        <v/>
      </c>
      <c r="B967" s="140"/>
      <c r="C967" s="140"/>
      <c r="D967" s="140"/>
      <c r="E967" s="146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  <c r="AA967" s="140"/>
    </row>
    <row r="968" customFormat="false" ht="15.75" hidden="false" customHeight="false" outlineLevel="0" collapsed="false">
      <c r="A968" s="140" t="str">
        <f aca="false">IF(ISBLANK(B968),"",B968&amp;"|"&amp;C968)</f>
        <v/>
      </c>
      <c r="B968" s="140"/>
      <c r="C968" s="140"/>
      <c r="D968" s="140"/>
      <c r="E968" s="146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  <c r="AA968" s="140"/>
    </row>
    <row r="969" customFormat="false" ht="15.75" hidden="false" customHeight="false" outlineLevel="0" collapsed="false">
      <c r="A969" s="140" t="str">
        <f aca="false">IF(ISBLANK(B969),"",B969&amp;"|"&amp;C969)</f>
        <v/>
      </c>
      <c r="B969" s="140"/>
      <c r="C969" s="140"/>
      <c r="D969" s="140"/>
      <c r="E969" s="146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  <c r="AA969" s="140"/>
    </row>
    <row r="970" customFormat="false" ht="15.75" hidden="false" customHeight="false" outlineLevel="0" collapsed="false">
      <c r="A970" s="140" t="str">
        <f aca="false">IF(ISBLANK(B970),"",B970&amp;"|"&amp;C970)</f>
        <v/>
      </c>
      <c r="B970" s="140"/>
      <c r="C970" s="140"/>
      <c r="D970" s="140"/>
      <c r="E970" s="146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  <c r="AA970" s="140"/>
    </row>
    <row r="971" customFormat="false" ht="15.75" hidden="false" customHeight="false" outlineLevel="0" collapsed="false">
      <c r="A971" s="140" t="str">
        <f aca="false">IF(ISBLANK(B971),"",B971&amp;"|"&amp;C971)</f>
        <v/>
      </c>
      <c r="B971" s="140"/>
      <c r="C971" s="140"/>
      <c r="D971" s="140"/>
      <c r="E971" s="146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  <c r="AA971" s="140"/>
    </row>
    <row r="972" customFormat="false" ht="15.75" hidden="false" customHeight="false" outlineLevel="0" collapsed="false">
      <c r="A972" s="140" t="str">
        <f aca="false">IF(ISBLANK(B972),"",B972&amp;"|"&amp;C972)</f>
        <v/>
      </c>
      <c r="B972" s="140"/>
      <c r="C972" s="140"/>
      <c r="D972" s="140"/>
      <c r="E972" s="146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  <c r="AA972" s="140"/>
    </row>
    <row r="973" customFormat="false" ht="15.75" hidden="false" customHeight="false" outlineLevel="0" collapsed="false">
      <c r="A973" s="140" t="str">
        <f aca="false">IF(ISBLANK(B973),"",B973&amp;"|"&amp;C973)</f>
        <v/>
      </c>
      <c r="B973" s="140"/>
      <c r="C973" s="140"/>
      <c r="D973" s="140"/>
      <c r="E973" s="146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  <c r="AA973" s="140"/>
    </row>
    <row r="974" customFormat="false" ht="15.75" hidden="false" customHeight="false" outlineLevel="0" collapsed="false">
      <c r="A974" s="140" t="str">
        <f aca="false">IF(ISBLANK(B974),"",B974&amp;"|"&amp;C974)</f>
        <v/>
      </c>
      <c r="B974" s="140"/>
      <c r="C974" s="140"/>
      <c r="D974" s="140"/>
      <c r="E974" s="146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  <c r="AA974" s="140"/>
    </row>
    <row r="975" customFormat="false" ht="15.75" hidden="false" customHeight="false" outlineLevel="0" collapsed="false">
      <c r="A975" s="140" t="str">
        <f aca="false">IF(ISBLANK(B975),"",B975&amp;"|"&amp;C975)</f>
        <v/>
      </c>
      <c r="B975" s="140"/>
      <c r="C975" s="140"/>
      <c r="D975" s="140"/>
      <c r="E975" s="146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  <c r="AA975" s="140"/>
    </row>
    <row r="976" customFormat="false" ht="15.75" hidden="false" customHeight="false" outlineLevel="0" collapsed="false">
      <c r="A976" s="140" t="str">
        <f aca="false">IF(ISBLANK(B976),"",B976&amp;"|"&amp;C976)</f>
        <v/>
      </c>
      <c r="B976" s="140"/>
      <c r="C976" s="140"/>
      <c r="D976" s="140"/>
      <c r="E976" s="146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  <c r="AA976" s="140"/>
    </row>
    <row r="977" customFormat="false" ht="15.75" hidden="false" customHeight="false" outlineLevel="0" collapsed="false">
      <c r="A977" s="140" t="str">
        <f aca="false">IF(ISBLANK(B977),"",B977&amp;"|"&amp;C977)</f>
        <v/>
      </c>
      <c r="B977" s="140"/>
      <c r="C977" s="140"/>
      <c r="D977" s="140"/>
      <c r="E977" s="146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  <c r="AA977" s="140"/>
    </row>
    <row r="978" customFormat="false" ht="15.75" hidden="false" customHeight="false" outlineLevel="0" collapsed="false">
      <c r="A978" s="140" t="str">
        <f aca="false">IF(ISBLANK(B978),"",B978&amp;"|"&amp;C978)</f>
        <v/>
      </c>
      <c r="B978" s="140"/>
      <c r="C978" s="140"/>
      <c r="D978" s="140"/>
      <c r="E978" s="146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  <c r="AA978" s="140"/>
    </row>
    <row r="979" customFormat="false" ht="15.75" hidden="false" customHeight="false" outlineLevel="0" collapsed="false">
      <c r="A979" s="140" t="str">
        <f aca="false">IF(ISBLANK(B979),"",B979&amp;"|"&amp;C979)</f>
        <v/>
      </c>
      <c r="B979" s="140"/>
      <c r="C979" s="140"/>
      <c r="D979" s="140"/>
      <c r="E979" s="146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  <c r="AA979" s="140"/>
    </row>
    <row r="980" customFormat="false" ht="15.75" hidden="false" customHeight="false" outlineLevel="0" collapsed="false">
      <c r="A980" s="140" t="str">
        <f aca="false">IF(ISBLANK(B980),"",B980&amp;"|"&amp;C980)</f>
        <v/>
      </c>
      <c r="B980" s="140"/>
      <c r="C980" s="140"/>
      <c r="D980" s="140"/>
      <c r="E980" s="146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  <c r="AA980" s="140"/>
    </row>
    <row r="981" customFormat="false" ht="15.75" hidden="false" customHeight="false" outlineLevel="0" collapsed="false">
      <c r="A981" s="140" t="str">
        <f aca="false">IF(ISBLANK(B981),"",B981&amp;"|"&amp;C981)</f>
        <v/>
      </c>
      <c r="B981" s="140"/>
      <c r="C981" s="140"/>
      <c r="D981" s="140"/>
      <c r="E981" s="146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  <c r="AA981" s="140"/>
    </row>
    <row r="982" customFormat="false" ht="15.75" hidden="false" customHeight="false" outlineLevel="0" collapsed="false">
      <c r="A982" s="140" t="str">
        <f aca="false">IF(ISBLANK(B982),"",B982&amp;"|"&amp;C982)</f>
        <v/>
      </c>
      <c r="B982" s="140"/>
      <c r="C982" s="140"/>
      <c r="D982" s="140"/>
      <c r="E982" s="146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  <c r="AA982" s="140"/>
    </row>
    <row r="983" customFormat="false" ht="15.75" hidden="false" customHeight="false" outlineLevel="0" collapsed="false">
      <c r="A983" s="140" t="str">
        <f aca="false">IF(ISBLANK(B983),"",B983&amp;"|"&amp;C983)</f>
        <v/>
      </c>
      <c r="B983" s="140"/>
      <c r="C983" s="140"/>
      <c r="D983" s="140"/>
      <c r="E983" s="146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  <c r="AA983" s="140"/>
    </row>
    <row r="984" customFormat="false" ht="15.75" hidden="false" customHeight="false" outlineLevel="0" collapsed="false">
      <c r="A984" s="140" t="str">
        <f aca="false">IF(ISBLANK(B984),"",B984&amp;"|"&amp;C984)</f>
        <v/>
      </c>
      <c r="B984" s="140"/>
      <c r="C984" s="140"/>
      <c r="D984" s="140"/>
      <c r="E984" s="146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  <c r="AA984" s="140"/>
    </row>
    <row r="985" customFormat="false" ht="15.75" hidden="false" customHeight="false" outlineLevel="0" collapsed="false">
      <c r="A985" s="140" t="str">
        <f aca="false">IF(ISBLANK(B985),"",B985&amp;"|"&amp;C985)</f>
        <v/>
      </c>
      <c r="B985" s="140"/>
      <c r="C985" s="140"/>
      <c r="D985" s="140"/>
      <c r="E985" s="146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  <c r="AA985" s="140"/>
    </row>
    <row r="986" customFormat="false" ht="15.75" hidden="false" customHeight="false" outlineLevel="0" collapsed="false">
      <c r="A986" s="140" t="str">
        <f aca="false">IF(ISBLANK(B986),"",B986&amp;"|"&amp;C986)</f>
        <v/>
      </c>
      <c r="B986" s="140"/>
      <c r="C986" s="140"/>
      <c r="D986" s="140"/>
      <c r="E986" s="146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  <c r="AA986" s="140"/>
    </row>
    <row r="987" customFormat="false" ht="15.75" hidden="false" customHeight="false" outlineLevel="0" collapsed="false">
      <c r="A987" s="140" t="str">
        <f aca="false">IF(ISBLANK(B987),"",B987&amp;"|"&amp;C987)</f>
        <v/>
      </c>
      <c r="B987" s="140"/>
      <c r="C987" s="140"/>
      <c r="D987" s="140"/>
      <c r="E987" s="146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  <c r="AA987" s="140"/>
    </row>
    <row r="988" customFormat="false" ht="15.75" hidden="false" customHeight="false" outlineLevel="0" collapsed="false">
      <c r="A988" s="140" t="str">
        <f aca="false">IF(ISBLANK(B988),"",B988&amp;"|"&amp;C988)</f>
        <v/>
      </c>
      <c r="B988" s="140"/>
      <c r="C988" s="140"/>
      <c r="D988" s="140"/>
      <c r="E988" s="146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  <c r="AA988" s="140"/>
    </row>
    <row r="989" customFormat="false" ht="15.75" hidden="false" customHeight="false" outlineLevel="0" collapsed="false">
      <c r="A989" s="140" t="str">
        <f aca="false">IF(ISBLANK(B989),"",B989&amp;"|"&amp;C989)</f>
        <v/>
      </c>
      <c r="B989" s="140"/>
      <c r="C989" s="140"/>
      <c r="D989" s="140"/>
      <c r="E989" s="146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  <c r="AA989" s="140"/>
    </row>
    <row r="990" customFormat="false" ht="15.75" hidden="false" customHeight="false" outlineLevel="0" collapsed="false">
      <c r="A990" s="140" t="str">
        <f aca="false">IF(ISBLANK(B990),"",B990&amp;"|"&amp;C990)</f>
        <v/>
      </c>
      <c r="B990" s="140"/>
      <c r="C990" s="140"/>
      <c r="D990" s="140"/>
      <c r="E990" s="146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  <c r="AA990" s="140"/>
    </row>
    <row r="991" customFormat="false" ht="15.75" hidden="false" customHeight="false" outlineLevel="0" collapsed="false">
      <c r="A991" s="140" t="str">
        <f aca="false">IF(ISBLANK(B991),"",B991&amp;"|"&amp;C991)</f>
        <v/>
      </c>
      <c r="B991" s="140"/>
      <c r="C991" s="140"/>
      <c r="D991" s="140"/>
      <c r="E991" s="146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  <c r="AA991" s="140"/>
    </row>
    <row r="992" customFormat="false" ht="15.75" hidden="false" customHeight="false" outlineLevel="0" collapsed="false">
      <c r="A992" s="140" t="str">
        <f aca="false">IF(ISBLANK(B992),"",B992&amp;"|"&amp;C992)</f>
        <v/>
      </c>
      <c r="B992" s="140"/>
      <c r="C992" s="140"/>
      <c r="D992" s="140"/>
      <c r="E992" s="146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  <c r="AA992" s="140"/>
    </row>
    <row r="993" customFormat="false" ht="15.75" hidden="false" customHeight="false" outlineLevel="0" collapsed="false">
      <c r="A993" s="140" t="str">
        <f aca="false">IF(ISBLANK(B993),"",B993&amp;"|"&amp;C993)</f>
        <v/>
      </c>
      <c r="B993" s="140"/>
      <c r="C993" s="140"/>
      <c r="D993" s="140"/>
      <c r="E993" s="146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  <c r="AA993" s="140"/>
    </row>
    <row r="994" customFormat="false" ht="15.75" hidden="false" customHeight="false" outlineLevel="0" collapsed="false">
      <c r="A994" s="140" t="str">
        <f aca="false">IF(ISBLANK(B994),"",B994&amp;"|"&amp;C994)</f>
        <v/>
      </c>
      <c r="B994" s="140"/>
      <c r="C994" s="140"/>
      <c r="D994" s="140"/>
      <c r="E994" s="146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  <c r="AA994" s="140"/>
    </row>
    <row r="995" customFormat="false" ht="15.75" hidden="false" customHeight="false" outlineLevel="0" collapsed="false">
      <c r="A995" s="140" t="str">
        <f aca="false">IF(ISBLANK(B995),"",B995&amp;"|"&amp;C995)</f>
        <v/>
      </c>
      <c r="B995" s="140"/>
      <c r="C995" s="140"/>
      <c r="D995" s="140"/>
      <c r="E995" s="146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  <c r="AA995" s="140"/>
    </row>
    <row r="996" customFormat="false" ht="15.75" hidden="false" customHeight="false" outlineLevel="0" collapsed="false">
      <c r="A996" s="140" t="str">
        <f aca="false">IF(ISBLANK(B996),"",B996&amp;"|"&amp;C996)</f>
        <v/>
      </c>
      <c r="B996" s="140"/>
      <c r="C996" s="140"/>
      <c r="D996" s="140"/>
      <c r="E996" s="146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  <c r="AA996" s="140"/>
    </row>
    <row r="997" customFormat="false" ht="15.75" hidden="false" customHeight="false" outlineLevel="0" collapsed="false">
      <c r="A997" s="140" t="str">
        <f aca="false">IF(ISBLANK(B997),"",B997&amp;"|"&amp;C997)</f>
        <v/>
      </c>
      <c r="B997" s="140"/>
      <c r="C997" s="140"/>
      <c r="D997" s="140"/>
      <c r="E997" s="146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  <c r="AA997" s="140"/>
    </row>
    <row r="998" customFormat="false" ht="15.75" hidden="false" customHeight="false" outlineLevel="0" collapsed="false">
      <c r="A998" s="140" t="str">
        <f aca="false">IF(ISBLANK(B998),"",B998&amp;"|"&amp;C998)</f>
        <v/>
      </c>
      <c r="B998" s="140"/>
      <c r="C998" s="140"/>
      <c r="D998" s="140"/>
      <c r="E998" s="146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  <c r="AA998" s="140"/>
    </row>
    <row r="999" customFormat="false" ht="15.75" hidden="false" customHeight="false" outlineLevel="0" collapsed="false">
      <c r="A999" s="140" t="str">
        <f aca="false">IF(ISBLANK(B999),"",B999&amp;"|"&amp;C999)</f>
        <v/>
      </c>
      <c r="B999" s="140"/>
      <c r="C999" s="140"/>
      <c r="D999" s="140"/>
      <c r="E999" s="146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  <c r="AA999" s="140"/>
    </row>
    <row r="1000" customFormat="false" ht="15.75" hidden="false" customHeight="false" outlineLevel="0" collapsed="false">
      <c r="A1000" s="140" t="str">
        <f aca="false">IF(ISBLANK(B1000),"",B1000&amp;"|"&amp;C1000)</f>
        <v/>
      </c>
      <c r="B1000" s="140"/>
      <c r="C1000" s="140"/>
      <c r="D1000" s="140"/>
      <c r="E1000" s="146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  <c r="AA1000" s="14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2"/>
    <col collapsed="false" customWidth="true" hidden="false" outlineLevel="0" max="2" min="2" style="1" width="15.85"/>
    <col collapsed="false" customWidth="false" hidden="true" outlineLevel="0" max="8" min="4" style="1" width="12.63"/>
  </cols>
  <sheetData>
    <row r="1" customFormat="false" ht="15.75" hidden="false" customHeight="false" outlineLevel="0" collapsed="false">
      <c r="A1" s="140" t="s">
        <v>78</v>
      </c>
      <c r="B1" s="140" t="s">
        <v>79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customFormat="false" ht="15.75" hidden="false" customHeight="false" outlineLevel="0" collapsed="false">
      <c r="A2" s="140" t="s">
        <v>80</v>
      </c>
      <c r="B2" s="147" t="n">
        <v>46296</v>
      </c>
      <c r="C2" s="140"/>
      <c r="D2" s="140" t="s">
        <v>81</v>
      </c>
      <c r="E2" s="140" t="s">
        <v>82</v>
      </c>
      <c r="F2" s="140" t="s">
        <v>83</v>
      </c>
      <c r="G2" s="140" t="s">
        <v>84</v>
      </c>
      <c r="H2" s="140" t="s">
        <v>85</v>
      </c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 customFormat="false" ht="15.75" hidden="false" customHeight="false" outlineLevel="0" collapsed="false">
      <c r="A3" s="140" t="s">
        <v>86</v>
      </c>
      <c r="B3" s="140" t="s">
        <v>87</v>
      </c>
      <c r="C3" s="140"/>
      <c r="D3" s="140" t="n">
        <f aca="false">FIND(".",B3)</f>
        <v>2</v>
      </c>
      <c r="E3" s="140" t="n">
        <f aca="false">FIND(".",B3,D3+1)</f>
        <v>4</v>
      </c>
      <c r="F3" s="140" t="str">
        <f aca="false">LEFT(B3,D3-1)</f>
        <v>0</v>
      </c>
      <c r="G3" s="140" t="str">
        <f aca="false">MID(B3,D3+1,E3-D3-1)</f>
        <v>1</v>
      </c>
      <c r="H3" s="140" t="str">
        <f aca="false">RIGHT(B3,LEN(B3)-E3)</f>
        <v>0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customFormat="false" ht="15.75" hidden="false" customHeight="false" outlineLevel="0" collapsed="false">
      <c r="A4" s="140" t="s">
        <v>88</v>
      </c>
      <c r="B4" s="140" t="s">
        <v>58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 customFormat="false" ht="15.75" hidden="false" customHeight="false" outlineLevel="0" collapsed="false">
      <c r="A5" s="140" t="s">
        <v>89</v>
      </c>
      <c r="B5" s="140" t="n">
        <v>2027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 customFormat="false" ht="15.75" hidden="false" customHeight="false" outlineLevel="0" collapsed="false">
      <c r="A6" s="140" t="s">
        <v>90</v>
      </c>
      <c r="B6" s="140" t="str">
        <f aca="false">B1&amp;"|"&amp;B4</f>
        <v>Wright Stuff|C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 customFormat="false" ht="15.75" hidden="false" customHeight="false" outlineLevel="0" collapsed="false">
      <c r="A7" s="140" t="s">
        <v>91</v>
      </c>
      <c r="B7" s="140"/>
      <c r="C7" s="140"/>
      <c r="D7" s="140" t="e">
        <f aca="false">FIND(".",B7)</f>
        <v>#VALUE!</v>
      </c>
      <c r="E7" s="140" t="e">
        <f aca="false">FIND(".",B7,D7+1)</f>
        <v>#VALUE!</v>
      </c>
      <c r="F7" s="140" t="e">
        <f aca="false">LEFT(B7,D7-1)</f>
        <v>#VALUE!</v>
      </c>
      <c r="G7" s="140" t="e">
        <f aca="false">MID(B7,D7+1,E7-D7-1)</f>
        <v>#VALUE!</v>
      </c>
      <c r="H7" s="140" t="e">
        <f aca="false">RIGHT(B7,LEN(B7)-E7)</f>
        <v>#VALUE!</v>
      </c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 customFormat="false" ht="15.75" hidden="false" customHeight="false" outlineLevel="0" collapsed="false">
      <c r="A8" s="140" t="s">
        <v>92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customFormat="false" ht="15.75" hidden="false" customHeight="false" outlineLevel="0" collapsed="false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customFormat="false" ht="15.75" hidden="false" customHeight="false" outlineLevel="0" collapsed="false">
      <c r="A10" s="140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customFormat="false" ht="15.75" hidden="false" customHeight="false" outlineLevel="0" collapsed="false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customFormat="false" ht="15.75" hidden="false" customHeight="false" outlineLevel="0" collapsed="false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 customFormat="false" ht="15.75" hidden="false" customHeight="false" outlineLevel="0" collapsed="false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customFormat="false" ht="15.75" hidden="false" customHeight="false" outlineLevel="0" collapsed="false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customFormat="false" ht="15.75" hidden="false" customHeight="false" outlineLevel="0" collapsed="false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customFormat="false" ht="15.75" hidden="false" customHeight="false" outlineLevel="0" collapsed="false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customFormat="false" ht="15.75" hidden="false" customHeight="false" outlineLevel="0" collapsed="false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customFormat="false" ht="15.75" hidden="false" customHeight="false" outlineLevel="0" collapsed="false">
      <c r="A18" s="140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customFormat="false" ht="15.75" hidden="false" customHeight="false" outlineLevel="0" collapsed="false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customFormat="false" ht="15.75" hidden="false" customHeight="false" outlineLevel="0" collapsed="false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customFormat="false" ht="15.75" hidden="false" customHeight="false" outlineLevel="0" collapsed="false">
      <c r="A21" s="140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customFormat="false" ht="15.75" hidden="false" customHeight="false" outlineLevel="0" collapsed="false">
      <c r="A22" s="140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customFormat="false" ht="15.75" hidden="false" customHeight="false" outlineLevel="0" collapsed="false">
      <c r="A23" s="140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customFormat="false" ht="15.75" hidden="false" customHeight="false" outlineLevel="0" collapsed="false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customFormat="false" ht="15.75" hidden="false" customHeight="false" outlineLevel="0" collapsed="false">
      <c r="A25" s="14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customFormat="false" ht="15.75" hidden="false" customHeight="false" outlineLevel="0" collapsed="false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customFormat="false" ht="15.75" hidden="false" customHeight="false" outlineLevel="0" collapsed="false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customFormat="false" ht="15.75" hidden="false" customHeight="false" outlineLevel="0" collapsed="false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customFormat="false" ht="15.75" hidden="false" customHeight="false" outlineLevel="0" collapsed="false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customFormat="false" ht="15.75" hidden="false" customHeight="false" outlineLevel="0" collapsed="false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customFormat="false" ht="15.75" hidden="false" customHeight="false" outlineLevel="0" collapsed="false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customFormat="false" ht="15.75" hidden="false" customHeight="false" outlineLevel="0" collapsed="false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customFormat="false" ht="15.75" hidden="false" customHeight="false" outlineLevel="0" collapsed="false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customFormat="false" ht="15.75" hidden="false" customHeight="false" outlineLevel="0" collapsed="false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customFormat="false" ht="15.75" hidden="false" customHeight="false" outlineLevel="0" collapsed="false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customFormat="false" ht="15.75" hidden="false" customHeight="false" outlineLevel="0" collapsed="false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 customFormat="false" ht="15.75" hidden="false" customHeight="false" outlineLevel="0" collapsed="false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 customFormat="false" ht="15.75" hidden="false" customHeight="false" outlineLevel="0" collapsed="false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customFormat="false" ht="15.75" hidden="false" customHeight="false" outlineLevel="0" collapsed="false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 customFormat="false" ht="15.75" hidden="false" customHeight="false" outlineLevel="0" collapsed="false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customFormat="false" ht="15.75" hidden="false" customHeight="false" outlineLevel="0" collapsed="false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customFormat="false" ht="15.75" hidden="false" customHeight="false" outlineLevel="0" collapsed="false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customFormat="false" ht="15.75" hidden="false" customHeight="false" outlineLevel="0" collapsed="false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 customFormat="false" ht="15.75" hidden="false" customHeight="false" outlineLevel="0" collapsed="false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customFormat="false" ht="15.75" hidden="false" customHeight="false" outlineLevel="0" collapsed="false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customFormat="false" ht="15.75" hidden="false" customHeight="false" outlineLevel="0" collapsed="false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customFormat="false" ht="15.75" hidden="false" customHeight="false" outlineLevel="0" collapsed="false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customFormat="false" ht="15.75" hidden="false" customHeight="false" outlineLevel="0" collapsed="false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</row>
    <row r="49" customFormat="false" ht="15.75" hidden="false" customHeight="false" outlineLevel="0" collapsed="false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</row>
    <row r="50" customFormat="false" ht="15.75" hidden="false" customHeight="false" outlineLevel="0" collapsed="false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 customFormat="false" ht="15.75" hidden="false" customHeight="false" outlineLevel="0" collapsed="false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 customFormat="false" ht="15.75" hidden="false" customHeight="false" outlineLevel="0" collapsed="false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 customFormat="false" ht="15.75" hidden="false" customHeight="false" outlineLevel="0" collapsed="false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</row>
    <row r="54" customFormat="false" ht="15.75" hidden="false" customHeight="false" outlineLevel="0" collapsed="false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</row>
    <row r="55" customFormat="false" ht="15.75" hidden="false" customHeight="false" outlineLevel="0" collapsed="false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</row>
    <row r="56" customFormat="false" ht="15.75" hidden="false" customHeight="false" outlineLevel="0" collapsed="false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</row>
    <row r="57" customFormat="false" ht="15.75" hidden="false" customHeight="false" outlineLevel="0" collapsed="false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</row>
    <row r="58" customFormat="false" ht="15.75" hidden="false" customHeight="false" outlineLevel="0" collapsed="false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</row>
    <row r="59" customFormat="false" ht="15.75" hidden="false" customHeight="false" outlineLevel="0" collapsed="false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</row>
    <row r="60" customFormat="false" ht="15.75" hidden="false" customHeight="false" outlineLevel="0" collapsed="false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</row>
    <row r="61" customFormat="false" ht="15.75" hidden="false" customHeight="false" outlineLevel="0" collapsed="false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</row>
    <row r="62" customFormat="false" ht="15.75" hidden="false" customHeight="false" outlineLevel="0" collapsed="false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customFormat="false" ht="15.75" hidden="false" customHeight="false" outlineLevel="0" collapsed="false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</row>
    <row r="64" customFormat="false" ht="15.75" hidden="false" customHeight="false" outlineLevel="0" collapsed="false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</row>
    <row r="65" customFormat="false" ht="15.75" hidden="false" customHeight="false" outlineLevel="0" collapsed="false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</row>
    <row r="66" customFormat="false" ht="15.75" hidden="false" customHeight="false" outlineLevel="0" collapsed="false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 customFormat="false" ht="15.75" hidden="false" customHeight="false" outlineLevel="0" collapsed="false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 customFormat="false" ht="15.75" hidden="false" customHeight="false" outlineLevel="0" collapsed="false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</row>
    <row r="69" customFormat="false" ht="15.75" hidden="false" customHeight="false" outlineLevel="0" collapsed="false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</row>
    <row r="70" customFormat="false" ht="15.75" hidden="false" customHeight="false" outlineLevel="0" collapsed="false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</row>
    <row r="71" customFormat="false" ht="15.75" hidden="false" customHeight="false" outlineLevel="0" collapsed="false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</row>
    <row r="72" customFormat="false" ht="15.75" hidden="false" customHeight="false" outlineLevel="0" collapsed="false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</row>
    <row r="73" customFormat="false" ht="15.75" hidden="false" customHeight="false" outlineLevel="0" collapsed="false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</row>
    <row r="74" customFormat="false" ht="15.75" hidden="false" customHeight="false" outlineLevel="0" collapsed="false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</row>
    <row r="75" customFormat="false" ht="15.75" hidden="false" customHeight="false" outlineLevel="0" collapsed="false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</row>
    <row r="76" customFormat="false" ht="15.75" hidden="false" customHeight="false" outlineLevel="0" collapsed="false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</row>
    <row r="77" customFormat="false" ht="15.75" hidden="false" customHeight="false" outlineLevel="0" collapsed="false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</row>
    <row r="78" customFormat="false" ht="15.75" hidden="false" customHeight="false" outlineLevel="0" collapsed="false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</row>
    <row r="79" customFormat="false" ht="15.75" hidden="false" customHeight="false" outlineLevel="0" collapsed="false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</row>
    <row r="80" customFormat="false" ht="15.75" hidden="false" customHeight="false" outlineLevel="0" collapsed="false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</row>
    <row r="81" customFormat="false" ht="15.75" hidden="false" customHeight="false" outlineLevel="0" collapsed="false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 customFormat="false" ht="15.75" hidden="false" customHeight="false" outlineLevel="0" collapsed="false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</row>
    <row r="83" customFormat="false" ht="15.75" hidden="false" customHeight="false" outlineLevel="0" collapsed="false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</row>
    <row r="84" customFormat="false" ht="15.75" hidden="false" customHeight="false" outlineLevel="0" collapsed="false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</row>
    <row r="85" customFormat="false" ht="15.75" hidden="false" customHeight="false" outlineLevel="0" collapsed="false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</row>
    <row r="86" customFormat="false" ht="15.75" hidden="false" customHeight="false" outlineLevel="0" collapsed="false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</row>
    <row r="87" customFormat="false" ht="15.75" hidden="false" customHeight="false" outlineLevel="0" collapsed="false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</row>
    <row r="88" customFormat="false" ht="15.75" hidden="false" customHeight="false" outlineLevel="0" collapsed="false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</row>
    <row r="89" customFormat="false" ht="15.75" hidden="false" customHeight="false" outlineLevel="0" collapsed="false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customFormat="false" ht="15.75" hidden="false" customHeight="false" outlineLevel="0" collapsed="false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 customFormat="false" ht="15.75" hidden="false" customHeight="false" outlineLevel="0" collapsed="false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</row>
    <row r="92" customFormat="false" ht="15.75" hidden="false" customHeight="false" outlineLevel="0" collapsed="false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</row>
    <row r="93" customFormat="false" ht="15.75" hidden="false" customHeight="false" outlineLevel="0" collapsed="false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</row>
    <row r="94" customFormat="false" ht="15.75" hidden="false" customHeight="false" outlineLevel="0" collapsed="false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</row>
    <row r="95" customFormat="false" ht="15.75" hidden="false" customHeight="false" outlineLevel="0" collapsed="false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</row>
    <row r="96" customFormat="false" ht="15.75" hidden="false" customHeight="false" outlineLevel="0" collapsed="false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</row>
    <row r="97" customFormat="false" ht="15.75" hidden="false" customHeight="false" outlineLevel="0" collapsed="false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</row>
    <row r="98" customFormat="false" ht="15.75" hidden="false" customHeight="false" outlineLevel="0" collapsed="false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</row>
    <row r="99" customFormat="false" ht="15.75" hidden="false" customHeight="false" outlineLevel="0" collapsed="false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</row>
    <row r="100" customFormat="false" ht="15.75" hidden="false" customHeight="false" outlineLevel="0" collapsed="false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</row>
    <row r="101" customFormat="false" ht="15.75" hidden="false" customHeight="false" outlineLevel="0" collapsed="false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 customFormat="false" ht="15.75" hidden="false" customHeight="false" outlineLevel="0" collapsed="false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 customFormat="false" ht="15.75" hidden="false" customHeight="false" outlineLevel="0" collapsed="false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 customFormat="false" ht="15.75" hidden="false" customHeight="false" outlineLevel="0" collapsed="false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 customFormat="false" ht="15.75" hidden="false" customHeight="false" outlineLevel="0" collapsed="false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 customFormat="false" ht="15.75" hidden="false" customHeight="false" outlineLevel="0" collapsed="false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 customFormat="false" ht="15.75" hidden="false" customHeight="false" outlineLevel="0" collapsed="false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 customFormat="false" ht="15.75" hidden="false" customHeight="false" outlineLevel="0" collapsed="false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 customFormat="false" ht="15.75" hidden="false" customHeight="false" outlineLevel="0" collapsed="false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 customFormat="false" ht="15.75" hidden="false" customHeight="false" outlineLevel="0" collapsed="false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 customFormat="false" ht="15.75" hidden="false" customHeight="false" outlineLevel="0" collapsed="false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 customFormat="false" ht="15.75" hidden="false" customHeight="false" outlineLevel="0" collapsed="false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 customFormat="false" ht="15.75" hidden="false" customHeight="false" outlineLevel="0" collapsed="false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 customFormat="false" ht="15.75" hidden="false" customHeight="false" outlineLevel="0" collapsed="false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 customFormat="false" ht="15.75" hidden="false" customHeight="false" outlineLevel="0" collapsed="false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 customFormat="false" ht="15.75" hidden="false" customHeight="false" outlineLevel="0" collapsed="false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 customFormat="false" ht="15.75" hidden="false" customHeight="false" outlineLevel="0" collapsed="false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 customFormat="false" ht="15.75" hidden="false" customHeight="false" outlineLevel="0" collapsed="false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 customFormat="false" ht="15.75" hidden="false" customHeight="false" outlineLevel="0" collapsed="false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 customFormat="false" ht="15.75" hidden="false" customHeight="false" outlineLevel="0" collapsed="false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 customFormat="false" ht="15.75" hidden="false" customHeight="fals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 customFormat="false" ht="15.75" hidden="false" customHeight="false" outlineLevel="0" collapsed="false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 customFormat="false" ht="15.75" hidden="false" customHeight="fals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 customFormat="false" ht="15.75" hidden="false" customHeight="false" outlineLevel="0" collapsed="false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 customFormat="false" ht="15.75" hidden="false" customHeight="fals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 customFormat="false" ht="15.75" hidden="false" customHeight="false" outlineLevel="0" collapsed="false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 customFormat="false" ht="15.75" hidden="false" customHeight="fals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 customFormat="false" ht="15.75" hidden="false" customHeight="false" outlineLevel="0" collapsed="false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 customFormat="false" ht="15.75" hidden="false" customHeight="fals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 customFormat="false" ht="15.75" hidden="false" customHeight="false" outlineLevel="0" collapsed="false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 customFormat="false" ht="15.75" hidden="false" customHeight="fals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 customFormat="false" ht="15.75" hidden="false" customHeight="false" outlineLevel="0" collapsed="false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 customFormat="false" ht="15.75" hidden="false" customHeight="fals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 customFormat="false" ht="15.75" hidden="false" customHeight="false" outlineLevel="0" collapsed="false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 customFormat="false" ht="15.75" hidden="false" customHeight="fals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 customFormat="false" ht="15.75" hidden="false" customHeight="false" outlineLevel="0" collapsed="false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 customFormat="false" ht="15.75" hidden="false" customHeight="fals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 customFormat="false" ht="15.75" hidden="false" customHeight="false" outlineLevel="0" collapsed="false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 customFormat="false" ht="15.75" hidden="false" customHeight="fals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 customFormat="false" ht="15.75" hidden="false" customHeight="false" outlineLevel="0" collapsed="false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 customFormat="false" ht="15.75" hidden="false" customHeight="fals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 customFormat="false" ht="15.75" hidden="false" customHeight="false" outlineLevel="0" collapsed="false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 customFormat="false" ht="15.75" hidden="false" customHeight="fals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 customFormat="false" ht="15.75" hidden="false" customHeight="false" outlineLevel="0" collapsed="false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 customFormat="false" ht="15.75" hidden="false" customHeight="fals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 customFormat="false" ht="15.75" hidden="false" customHeight="false" outlineLevel="0" collapsed="false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 customFormat="false" ht="15.75" hidden="false" customHeight="fals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 customFormat="false" ht="15.75" hidden="false" customHeight="false" outlineLevel="0" collapsed="false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 customFormat="false" ht="15.75" hidden="false" customHeight="fals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 customFormat="false" ht="15.75" hidden="false" customHeight="false" outlineLevel="0" collapsed="false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 customFormat="false" ht="15.75" hidden="false" customHeight="fals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 customFormat="false" ht="15.75" hidden="false" customHeight="false" outlineLevel="0" collapsed="false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 customFormat="false" ht="15.75" hidden="false" customHeight="fals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 customFormat="false" ht="15.75" hidden="false" customHeight="false" outlineLevel="0" collapsed="false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 customFormat="false" ht="15.75" hidden="false" customHeight="fals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customFormat="false" ht="15.75" hidden="false" customHeight="false" outlineLevel="0" collapsed="false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customFormat="false" ht="15.75" hidden="false" customHeight="fals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customFormat="false" ht="15.75" hidden="false" customHeight="false" outlineLevel="0" collapsed="false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customFormat="false" ht="15.75" hidden="false" customHeight="fals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customFormat="false" ht="15.75" hidden="false" customHeight="false" outlineLevel="0" collapsed="false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 customFormat="false" ht="15.75" hidden="false" customHeight="fals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 customFormat="false" ht="15.75" hidden="false" customHeight="false" outlineLevel="0" collapsed="false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 customFormat="false" ht="15.75" hidden="false" customHeight="fals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 customFormat="false" ht="15.75" hidden="false" customHeight="false" outlineLevel="0" collapsed="false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 customFormat="false" ht="15.75" hidden="false" customHeight="fals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 customFormat="false" ht="15.75" hidden="false" customHeight="false" outlineLevel="0" collapsed="false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 customFormat="false" ht="15.75" hidden="false" customHeight="fals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 customFormat="false" ht="15.75" hidden="false" customHeight="false" outlineLevel="0" collapsed="false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 customFormat="false" ht="15.75" hidden="false" customHeight="fals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 customFormat="false" ht="15.75" hidden="false" customHeight="false" outlineLevel="0" collapsed="false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 customFormat="false" ht="15.75" hidden="false" customHeight="fals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 customFormat="false" ht="15.75" hidden="false" customHeight="false" outlineLevel="0" collapsed="false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 customFormat="false" ht="15.75" hidden="false" customHeight="fals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 customFormat="false" ht="15.75" hidden="false" customHeight="false" outlineLevel="0" collapsed="false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 customFormat="false" ht="15.75" hidden="false" customHeight="fals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 customFormat="false" ht="15.75" hidden="false" customHeight="false" outlineLevel="0" collapsed="false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 customFormat="false" ht="15.75" hidden="false" customHeight="fals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 customFormat="false" ht="15.75" hidden="false" customHeight="false" outlineLevel="0" collapsed="false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 customFormat="false" ht="15.75" hidden="false" customHeight="fals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 customFormat="false" ht="15.75" hidden="false" customHeight="false" outlineLevel="0" collapsed="false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 customFormat="false" ht="15.75" hidden="false" customHeight="fals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 customFormat="false" ht="15.75" hidden="false" customHeight="false" outlineLevel="0" collapsed="false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 customFormat="false" ht="15.75" hidden="false" customHeight="fals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 customFormat="false" ht="15.75" hidden="false" customHeight="false" outlineLevel="0" collapsed="false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 customFormat="false" ht="15.75" hidden="false" customHeight="fals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 customFormat="false" ht="15.75" hidden="false" customHeight="false" outlineLevel="0" collapsed="false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 customFormat="false" ht="15.75" hidden="false" customHeight="fals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 customFormat="false" ht="15.75" hidden="false" customHeight="false" outlineLevel="0" collapsed="false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 customFormat="false" ht="15.75" hidden="false" customHeight="fals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 customFormat="false" ht="15.75" hidden="false" customHeight="false" outlineLevel="0" collapsed="false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 customFormat="false" ht="15.75" hidden="false" customHeight="fals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 customFormat="false" ht="15.75" hidden="false" customHeight="false" outlineLevel="0" collapsed="false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 customFormat="false" ht="15.75" hidden="false" customHeight="fals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 customFormat="false" ht="15.75" hidden="false" customHeight="false" outlineLevel="0" collapsed="false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 customFormat="false" ht="15.75" hidden="false" customHeight="fals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 customFormat="false" ht="15.75" hidden="false" customHeight="false" outlineLevel="0" collapsed="false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 customFormat="false" ht="15.75" hidden="false" customHeight="fals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 customFormat="false" ht="15.75" hidden="false" customHeight="false" outlineLevel="0" collapsed="false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 customFormat="false" ht="15.75" hidden="false" customHeight="fals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 customFormat="false" ht="15.75" hidden="false" customHeight="false" outlineLevel="0" collapsed="false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 customFormat="false" ht="15.75" hidden="false" customHeight="fals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 customFormat="false" ht="15.75" hidden="false" customHeight="false" outlineLevel="0" collapsed="false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 customFormat="false" ht="15.75" hidden="false" customHeight="fals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 customFormat="false" ht="15.75" hidden="false" customHeight="false" outlineLevel="0" collapsed="false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 customFormat="false" ht="15.75" hidden="false" customHeight="fals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 customFormat="false" ht="15.75" hidden="false" customHeight="false" outlineLevel="0" collapsed="false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 customFormat="false" ht="15.75" hidden="false" customHeight="fals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 customFormat="false" ht="15.75" hidden="false" customHeight="false" outlineLevel="0" collapsed="false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 customFormat="false" ht="15.75" hidden="false" customHeight="fals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 customFormat="false" ht="15.75" hidden="false" customHeight="false" outlineLevel="0" collapsed="false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 customFormat="false" ht="15.75" hidden="false" customHeight="fals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 customFormat="false" ht="15.75" hidden="false" customHeight="false" outlineLevel="0" collapsed="false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 customFormat="false" ht="15.75" hidden="false" customHeight="fals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 customFormat="false" ht="15.75" hidden="false" customHeight="false" outlineLevel="0" collapsed="false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 customFormat="false" ht="15.75" hidden="false" customHeight="fals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 customFormat="false" ht="15.75" hidden="false" customHeight="false" outlineLevel="0" collapsed="false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 customFormat="false" ht="15.75" hidden="false" customHeight="fals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 customFormat="false" ht="15.75" hidden="false" customHeight="false" outlineLevel="0" collapsed="false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 customFormat="false" ht="15.75" hidden="false" customHeight="fals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 customFormat="false" ht="15.75" hidden="false" customHeight="false" outlineLevel="0" collapsed="false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 customFormat="false" ht="15.75" hidden="false" customHeight="fals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 customFormat="false" ht="15.75" hidden="false" customHeight="false" outlineLevel="0" collapsed="false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 customFormat="false" ht="15.75" hidden="false" customHeight="fals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 customFormat="false" ht="15.75" hidden="false" customHeight="false" outlineLevel="0" collapsed="false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 customFormat="false" ht="15.75" hidden="false" customHeight="fals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 customFormat="false" ht="15.75" hidden="false" customHeight="false" outlineLevel="0" collapsed="false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 customFormat="false" ht="15.75" hidden="false" customHeight="fals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 customFormat="false" ht="15.75" hidden="false" customHeight="false" outlineLevel="0" collapsed="false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 customFormat="false" ht="15.75" hidden="false" customHeight="fals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 customFormat="false" ht="15.75" hidden="false" customHeight="false" outlineLevel="0" collapsed="false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 customFormat="false" ht="15.75" hidden="false" customHeight="fals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 customFormat="false" ht="15.75" hidden="false" customHeight="false" outlineLevel="0" collapsed="false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 customFormat="false" ht="15.75" hidden="false" customHeight="fals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 customFormat="false" ht="15.75" hidden="false" customHeight="false" outlineLevel="0" collapsed="false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 customFormat="false" ht="15.75" hidden="false" customHeight="fals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 customFormat="false" ht="15.75" hidden="false" customHeight="false" outlineLevel="0" collapsed="false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 customFormat="false" ht="15.75" hidden="false" customHeight="fals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 customFormat="false" ht="15.75" hidden="false" customHeight="false" outlineLevel="0" collapsed="false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 customFormat="false" ht="15.75" hidden="false" customHeight="fals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 customFormat="false" ht="15.75" hidden="false" customHeight="false" outlineLevel="0" collapsed="false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 customFormat="false" ht="15.75" hidden="false" customHeight="fals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 customFormat="false" ht="15.75" hidden="false" customHeight="false" outlineLevel="0" collapsed="false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 customFormat="false" ht="15.75" hidden="false" customHeight="fals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 customFormat="false" ht="15.75" hidden="false" customHeight="false" outlineLevel="0" collapsed="false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 customFormat="false" ht="15.75" hidden="false" customHeight="fals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 customFormat="false" ht="15.75" hidden="false" customHeight="false" outlineLevel="0" collapsed="false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 customFormat="false" ht="15.75" hidden="false" customHeight="fals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 customFormat="false" ht="15.75" hidden="false" customHeight="false" outlineLevel="0" collapsed="false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 customFormat="false" ht="15.75" hidden="false" customHeight="fals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 customFormat="false" ht="15.75" hidden="false" customHeight="false" outlineLevel="0" collapsed="false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 customFormat="false" ht="15.75" hidden="false" customHeight="fals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 customFormat="false" ht="15.75" hidden="false" customHeight="false" outlineLevel="0" collapsed="false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 customFormat="false" ht="15.75" hidden="false" customHeight="fals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 customFormat="false" ht="15.75" hidden="false" customHeight="false" outlineLevel="0" collapsed="false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 customFormat="false" ht="15.75" hidden="false" customHeight="fals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 customFormat="false" ht="15.75" hidden="false" customHeight="false" outlineLevel="0" collapsed="false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 customFormat="false" ht="15.75" hidden="false" customHeight="fals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 customFormat="false" ht="15.75" hidden="false" customHeight="false" outlineLevel="0" collapsed="false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 customFormat="false" ht="15.75" hidden="false" customHeight="fals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 customFormat="false" ht="15.75" hidden="false" customHeight="false" outlineLevel="0" collapsed="false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 customFormat="false" ht="15.75" hidden="false" customHeight="fals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 customFormat="false" ht="15.75" hidden="false" customHeight="false" outlineLevel="0" collapsed="false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 customFormat="false" ht="15.75" hidden="false" customHeight="fals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 customFormat="false" ht="15.75" hidden="false" customHeight="false" outlineLevel="0" collapsed="false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 customFormat="false" ht="15.75" hidden="false" customHeight="fals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 customFormat="false" ht="15.75" hidden="false" customHeight="false" outlineLevel="0" collapsed="false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 customFormat="false" ht="15.75" hidden="false" customHeight="fals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 customFormat="false" ht="15.75" hidden="false" customHeight="false" outlineLevel="0" collapsed="false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 customFormat="false" ht="15.75" hidden="false" customHeight="fals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customFormat="false" ht="15.75" hidden="false" customHeight="false" outlineLevel="0" collapsed="false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customFormat="false" ht="15.75" hidden="false" customHeight="fals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customFormat="false" ht="15.75" hidden="false" customHeight="false" outlineLevel="0" collapsed="false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 customFormat="false" ht="15.75" hidden="false" customHeight="fals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 customFormat="false" ht="15.75" hidden="false" customHeight="false" outlineLevel="0" collapsed="false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 customFormat="false" ht="15.75" hidden="false" customHeight="fals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 customFormat="false" ht="15.75" hidden="false" customHeight="false" outlineLevel="0" collapsed="false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 customFormat="false" ht="15.75" hidden="false" customHeight="fals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 customFormat="false" ht="15.75" hidden="false" customHeight="false" outlineLevel="0" collapsed="false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 customFormat="false" ht="15.75" hidden="false" customHeight="fals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 customFormat="false" ht="15.75" hidden="false" customHeight="false" outlineLevel="0" collapsed="false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 customFormat="false" ht="15.75" hidden="false" customHeight="fals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 customFormat="false" ht="15.75" hidden="false" customHeight="false" outlineLevel="0" collapsed="false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 customFormat="false" ht="15.75" hidden="false" customHeight="fals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 customFormat="false" ht="15.75" hidden="false" customHeight="false" outlineLevel="0" collapsed="false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 customFormat="false" ht="15.75" hidden="false" customHeight="fals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 customFormat="false" ht="15.75" hidden="false" customHeight="false" outlineLevel="0" collapsed="false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 customFormat="false" ht="15.75" hidden="false" customHeight="fals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 customFormat="false" ht="15.75" hidden="false" customHeight="false" outlineLevel="0" collapsed="false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 customFormat="false" ht="15.75" hidden="false" customHeight="fals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 customFormat="false" ht="15.75" hidden="false" customHeight="false" outlineLevel="0" collapsed="false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 customFormat="false" ht="15.75" hidden="false" customHeight="fals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 customFormat="false" ht="15.75" hidden="false" customHeight="false" outlineLevel="0" collapsed="false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 customFormat="false" ht="15.75" hidden="false" customHeight="fals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 customFormat="false" ht="15.75" hidden="false" customHeight="false" outlineLevel="0" collapsed="false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 customFormat="false" ht="15.75" hidden="false" customHeight="fals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 customFormat="false" ht="15.75" hidden="false" customHeight="false" outlineLevel="0" collapsed="false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 customFormat="false" ht="15.75" hidden="false" customHeight="fals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 customFormat="false" ht="15.75" hidden="false" customHeight="false" outlineLevel="0" collapsed="false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 customFormat="false" ht="15.75" hidden="false" customHeight="fals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 customFormat="false" ht="15.75" hidden="false" customHeight="false" outlineLevel="0" collapsed="false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 customFormat="false" ht="15.75" hidden="false" customHeight="fals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 customFormat="false" ht="15.75" hidden="false" customHeight="false" outlineLevel="0" collapsed="false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 customFormat="false" ht="15.75" hidden="false" customHeight="fals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 customFormat="false" ht="15.75" hidden="false" customHeight="false" outlineLevel="0" collapsed="false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 customFormat="false" ht="15.75" hidden="false" customHeight="fals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 customFormat="false" ht="15.75" hidden="false" customHeight="false" outlineLevel="0" collapsed="false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 customFormat="false" ht="15.75" hidden="false" customHeight="fals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 customFormat="false" ht="15.75" hidden="false" customHeight="false" outlineLevel="0" collapsed="false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 customFormat="false" ht="15.75" hidden="false" customHeight="fals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 customFormat="false" ht="15.75" hidden="false" customHeight="false" outlineLevel="0" collapsed="false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 customFormat="false" ht="15.75" hidden="false" customHeight="fals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 customFormat="false" ht="15.75" hidden="false" customHeight="false" outlineLevel="0" collapsed="false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 customFormat="false" ht="15.75" hidden="false" customHeight="fals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 customFormat="false" ht="15.75" hidden="false" customHeight="false" outlineLevel="0" collapsed="false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 customFormat="false" ht="15.75" hidden="false" customHeight="fals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 customFormat="false" ht="15.75" hidden="false" customHeight="false" outlineLevel="0" collapsed="false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 customFormat="false" ht="15.75" hidden="false" customHeight="fals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 customFormat="false" ht="15.75" hidden="false" customHeight="false" outlineLevel="0" collapsed="false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 customFormat="false" ht="15.75" hidden="false" customHeight="fals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 customFormat="false" ht="15.75" hidden="false" customHeight="false" outlineLevel="0" collapsed="false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 customFormat="false" ht="15.75" hidden="false" customHeight="fals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 customFormat="false" ht="15.75" hidden="false" customHeight="false" outlineLevel="0" collapsed="false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 customFormat="false" ht="15.75" hidden="false" customHeight="fals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 customFormat="false" ht="15.75" hidden="false" customHeight="false" outlineLevel="0" collapsed="false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 customFormat="false" ht="15.75" hidden="false" customHeight="fals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 customFormat="false" ht="15.75" hidden="false" customHeight="false" outlineLevel="0" collapsed="false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 customFormat="false" ht="15.75" hidden="false" customHeight="fals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 customFormat="false" ht="15.75" hidden="false" customHeight="false" outlineLevel="0" collapsed="false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 customFormat="false" ht="15.75" hidden="false" customHeight="fals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 customFormat="false" ht="15.75" hidden="false" customHeight="false" outlineLevel="0" collapsed="false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 customFormat="false" ht="15.75" hidden="false" customHeight="fals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 customFormat="false" ht="15.75" hidden="false" customHeight="false" outlineLevel="0" collapsed="false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 customFormat="false" ht="15.75" hidden="false" customHeight="fals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 customFormat="false" ht="15.75" hidden="false" customHeight="false" outlineLevel="0" collapsed="false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 customFormat="false" ht="15.75" hidden="false" customHeight="fals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 customFormat="false" ht="15.75" hidden="false" customHeight="false" outlineLevel="0" collapsed="false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 customFormat="false" ht="15.75" hidden="false" customHeight="fals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 customFormat="false" ht="15.75" hidden="false" customHeight="false" outlineLevel="0" collapsed="false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 customFormat="false" ht="15.75" hidden="false" customHeight="fals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 customFormat="false" ht="15.75" hidden="false" customHeight="false" outlineLevel="0" collapsed="false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 customFormat="false" ht="15.75" hidden="false" customHeight="fals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 customFormat="false" ht="15.75" hidden="false" customHeight="false" outlineLevel="0" collapsed="false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 customFormat="false" ht="15.75" hidden="false" customHeight="fals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 customFormat="false" ht="15.75" hidden="false" customHeight="false" outlineLevel="0" collapsed="false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 customFormat="false" ht="15.75" hidden="false" customHeight="fals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 customFormat="false" ht="15.75" hidden="false" customHeight="false" outlineLevel="0" collapsed="false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 customFormat="false" ht="15.75" hidden="false" customHeight="fals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 customFormat="false" ht="15.75" hidden="false" customHeight="false" outlineLevel="0" collapsed="false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 customFormat="false" ht="15.75" hidden="false" customHeight="fals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 customFormat="false" ht="15.75" hidden="false" customHeight="false" outlineLevel="0" collapsed="false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 customFormat="false" ht="15.75" hidden="false" customHeight="fals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 customFormat="false" ht="15.75" hidden="false" customHeight="false" outlineLevel="0" collapsed="false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 customFormat="false" ht="15.75" hidden="false" customHeight="fals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 customFormat="false" ht="15.75" hidden="false" customHeight="false" outlineLevel="0" collapsed="false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 customFormat="false" ht="15.75" hidden="false" customHeight="fals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 customFormat="false" ht="15.75" hidden="false" customHeight="false" outlineLevel="0" collapsed="false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 customFormat="false" ht="15.75" hidden="false" customHeight="fals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 customFormat="false" ht="15.75" hidden="false" customHeight="false" outlineLevel="0" collapsed="false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 customFormat="false" ht="15.75" hidden="false" customHeight="fals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 customFormat="false" ht="15.75" hidden="false" customHeight="false" outlineLevel="0" collapsed="false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 customFormat="false" ht="15.75" hidden="false" customHeight="fals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 customFormat="false" ht="15.75" hidden="false" customHeight="false" outlineLevel="0" collapsed="false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 customFormat="false" ht="15.75" hidden="false" customHeight="fals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 customFormat="false" ht="15.75" hidden="false" customHeight="false" outlineLevel="0" collapsed="false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 customFormat="false" ht="15.75" hidden="false" customHeight="fals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 customFormat="false" ht="15.75" hidden="false" customHeight="false" outlineLevel="0" collapsed="false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 customFormat="false" ht="15.75" hidden="false" customHeight="fals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 customFormat="false" ht="15.75" hidden="false" customHeight="false" outlineLevel="0" collapsed="false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 customFormat="false" ht="15.75" hidden="false" customHeight="fals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 customFormat="false" ht="15.75" hidden="false" customHeight="false" outlineLevel="0" collapsed="false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 customFormat="false" ht="15.75" hidden="false" customHeight="fals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 customFormat="false" ht="15.75" hidden="false" customHeight="false" outlineLevel="0" collapsed="false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 customFormat="false" ht="15.75" hidden="false" customHeight="fals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 customFormat="false" ht="15.75" hidden="false" customHeight="false" outlineLevel="0" collapsed="false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 customFormat="false" ht="15.75" hidden="false" customHeight="fals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 customFormat="false" ht="15.75" hidden="false" customHeight="false" outlineLevel="0" collapsed="false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 customFormat="false" ht="15.75" hidden="false" customHeight="fals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 customFormat="false" ht="15.75" hidden="false" customHeight="false" outlineLevel="0" collapsed="false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 customFormat="false" ht="15.75" hidden="false" customHeight="fals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 customFormat="false" ht="15.75" hidden="false" customHeight="false" outlineLevel="0" collapsed="false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 customFormat="false" ht="15.75" hidden="false" customHeight="fals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 customFormat="false" ht="15.75" hidden="false" customHeight="false" outlineLevel="0" collapsed="false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 customFormat="false" ht="15.75" hidden="false" customHeight="fals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 customFormat="false" ht="15.75" hidden="false" customHeight="false" outlineLevel="0" collapsed="false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 customFormat="false" ht="15.75" hidden="false" customHeight="fals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 customFormat="false" ht="15.75" hidden="false" customHeight="false" outlineLevel="0" collapsed="false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 customFormat="false" ht="15.75" hidden="false" customHeight="fals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 customFormat="false" ht="15.75" hidden="false" customHeight="false" outlineLevel="0" collapsed="false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 customFormat="false" ht="15.75" hidden="false" customHeight="fals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 customFormat="false" ht="15.75" hidden="false" customHeight="false" outlineLevel="0" collapsed="false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 customFormat="false" ht="15.75" hidden="false" customHeight="fals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 customFormat="false" ht="15.75" hidden="false" customHeight="false" outlineLevel="0" collapsed="false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 customFormat="false" ht="15.75" hidden="false" customHeight="fals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 customFormat="false" ht="15.75" hidden="false" customHeight="false" outlineLevel="0" collapsed="false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 customFormat="false" ht="15.75" hidden="false" customHeight="fals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 customFormat="false" ht="15.75" hidden="false" customHeight="false" outlineLevel="0" collapsed="false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 customFormat="false" ht="15.75" hidden="false" customHeight="fals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 customFormat="false" ht="15.75" hidden="false" customHeight="false" outlineLevel="0" collapsed="false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 customFormat="false" ht="15.75" hidden="false" customHeight="fals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 customFormat="false" ht="15.75" hidden="false" customHeight="false" outlineLevel="0" collapsed="false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 customFormat="false" ht="15.75" hidden="false" customHeight="fals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 customFormat="false" ht="15.75" hidden="false" customHeight="false" outlineLevel="0" collapsed="false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 customFormat="false" ht="15.75" hidden="false" customHeight="fals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 customFormat="false" ht="15.75" hidden="false" customHeight="false" outlineLevel="0" collapsed="false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 customFormat="false" ht="15.75" hidden="false" customHeight="fals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 customFormat="false" ht="15.75" hidden="false" customHeight="false" outlineLevel="0" collapsed="false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 customFormat="false" ht="15.75" hidden="false" customHeight="fals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 customFormat="false" ht="15.75" hidden="false" customHeight="false" outlineLevel="0" collapsed="false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 customFormat="false" ht="15.75" hidden="false" customHeight="fals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 customFormat="false" ht="15.75" hidden="false" customHeight="false" outlineLevel="0" collapsed="false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 customFormat="false" ht="15.75" hidden="false" customHeight="fals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 customFormat="false" ht="15.75" hidden="false" customHeight="false" outlineLevel="0" collapsed="false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 customFormat="false" ht="15.75" hidden="false" customHeight="fals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 customFormat="false" ht="15.75" hidden="false" customHeight="false" outlineLevel="0" collapsed="false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 customFormat="false" ht="15.75" hidden="false" customHeight="fals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 customFormat="false" ht="15.75" hidden="false" customHeight="false" outlineLevel="0" collapsed="false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 customFormat="false" ht="15.75" hidden="false" customHeight="fals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 customFormat="false" ht="15.75" hidden="false" customHeight="false" outlineLevel="0" collapsed="false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 customFormat="false" ht="15.75" hidden="false" customHeight="fals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 customFormat="false" ht="15.75" hidden="false" customHeight="false" outlineLevel="0" collapsed="false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 customFormat="false" ht="15.75" hidden="false" customHeight="fals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 customFormat="false" ht="15.75" hidden="false" customHeight="false" outlineLevel="0" collapsed="false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 customFormat="false" ht="15.75" hidden="false" customHeight="fals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 customFormat="false" ht="15.75" hidden="false" customHeight="false" outlineLevel="0" collapsed="false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 customFormat="false" ht="15.75" hidden="false" customHeight="fals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 customFormat="false" ht="15.75" hidden="false" customHeight="false" outlineLevel="0" collapsed="false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 customFormat="false" ht="15.75" hidden="false" customHeight="fals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 customFormat="false" ht="15.75" hidden="false" customHeight="false" outlineLevel="0" collapsed="false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 customFormat="false" ht="15.75" hidden="false" customHeight="fals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 customFormat="false" ht="15.75" hidden="false" customHeight="false" outlineLevel="0" collapsed="false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 customFormat="false" ht="15.75" hidden="false" customHeight="fals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 customFormat="false" ht="15.75" hidden="false" customHeight="false" outlineLevel="0" collapsed="false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 customFormat="false" ht="15.75" hidden="false" customHeight="fals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 customFormat="false" ht="15.75" hidden="false" customHeight="false" outlineLevel="0" collapsed="false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 customFormat="false" ht="15.75" hidden="false" customHeight="fals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 customFormat="false" ht="15.75" hidden="false" customHeight="false" outlineLevel="0" collapsed="false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 customFormat="false" ht="15.75" hidden="false" customHeight="fals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 customFormat="false" ht="15.75" hidden="false" customHeight="false" outlineLevel="0" collapsed="false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 customFormat="false" ht="15.75" hidden="false" customHeight="fals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 customFormat="false" ht="15.75" hidden="false" customHeight="false" outlineLevel="0" collapsed="false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 customFormat="false" ht="15.75" hidden="false" customHeight="fals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 customFormat="false" ht="15.75" hidden="false" customHeight="false" outlineLevel="0" collapsed="false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 customFormat="false" ht="15.75" hidden="false" customHeight="fals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 customFormat="false" ht="15.75" hidden="false" customHeight="false" outlineLevel="0" collapsed="false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 customFormat="false" ht="15.75" hidden="false" customHeight="fals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 customFormat="false" ht="15.75" hidden="false" customHeight="false" outlineLevel="0" collapsed="false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 customFormat="false" ht="15.75" hidden="false" customHeight="fals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 customFormat="false" ht="15.75" hidden="false" customHeight="false" outlineLevel="0" collapsed="false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 customFormat="false" ht="15.75" hidden="false" customHeight="fals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 customFormat="false" ht="15.75" hidden="false" customHeight="false" outlineLevel="0" collapsed="false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 customFormat="false" ht="15.75" hidden="false" customHeight="fals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 customFormat="false" ht="15.75" hidden="false" customHeight="false" outlineLevel="0" collapsed="false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 customFormat="false" ht="15.75" hidden="false" customHeight="fals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 customFormat="false" ht="15.75" hidden="false" customHeight="false" outlineLevel="0" collapsed="false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 customFormat="false" ht="15.75" hidden="false" customHeight="fals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 customFormat="false" ht="15.75" hidden="false" customHeight="false" outlineLevel="0" collapsed="false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 customFormat="false" ht="15.75" hidden="false" customHeight="fals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 customFormat="false" ht="15.75" hidden="false" customHeight="false" outlineLevel="0" collapsed="false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 customFormat="false" ht="15.75" hidden="false" customHeight="fals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 customFormat="false" ht="15.75" hidden="false" customHeight="false" outlineLevel="0" collapsed="false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 customFormat="false" ht="15.75" hidden="false" customHeight="fals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 customFormat="false" ht="15.75" hidden="false" customHeight="false" outlineLevel="0" collapsed="false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 customFormat="false" ht="15.75" hidden="false" customHeight="fals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 customFormat="false" ht="15.75" hidden="false" customHeight="false" outlineLevel="0" collapsed="false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 customFormat="false" ht="15.75" hidden="false" customHeight="fals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 customFormat="false" ht="15.75" hidden="false" customHeight="false" outlineLevel="0" collapsed="false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 customFormat="false" ht="15.75" hidden="false" customHeight="fals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 customFormat="false" ht="15.75" hidden="false" customHeight="false" outlineLevel="0" collapsed="false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 customFormat="false" ht="15.75" hidden="false" customHeight="fals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 customFormat="false" ht="15.75" hidden="false" customHeight="false" outlineLevel="0" collapsed="false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 customFormat="false" ht="15.75" hidden="false" customHeight="fals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 customFormat="false" ht="15.75" hidden="false" customHeight="false" outlineLevel="0" collapsed="false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 customFormat="false" ht="15.75" hidden="false" customHeight="fals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 customFormat="false" ht="15.75" hidden="false" customHeight="false" outlineLevel="0" collapsed="false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 customFormat="false" ht="15.75" hidden="false" customHeight="fals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 customFormat="false" ht="15.75" hidden="false" customHeight="false" outlineLevel="0" collapsed="false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 customFormat="false" ht="15.75" hidden="false" customHeight="fals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 customFormat="false" ht="15.75" hidden="false" customHeight="false" outlineLevel="0" collapsed="false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 customFormat="false" ht="15.75" hidden="false" customHeight="fals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 customFormat="false" ht="15.75" hidden="false" customHeight="false" outlineLevel="0" collapsed="false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 customFormat="false" ht="15.75" hidden="false" customHeight="fals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 customFormat="false" ht="15.75" hidden="false" customHeight="false" outlineLevel="0" collapsed="false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 customFormat="false" ht="15.75" hidden="false" customHeight="fals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 customFormat="false" ht="15.75" hidden="false" customHeight="false" outlineLevel="0" collapsed="false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 customFormat="false" ht="15.75" hidden="false" customHeight="fals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 customFormat="false" ht="15.75" hidden="false" customHeight="false" outlineLevel="0" collapsed="false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 customFormat="false" ht="15.75" hidden="false" customHeight="fals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 customFormat="false" ht="15.75" hidden="false" customHeight="false" outlineLevel="0" collapsed="false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 customFormat="false" ht="15.75" hidden="false" customHeight="fals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 customFormat="false" ht="15.75" hidden="false" customHeight="false" outlineLevel="0" collapsed="false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 customFormat="false" ht="15.75" hidden="false" customHeight="fals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 customFormat="false" ht="15.75" hidden="false" customHeight="false" outlineLevel="0" collapsed="false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 customFormat="false" ht="15.75" hidden="false" customHeight="fals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 customFormat="false" ht="15.75" hidden="false" customHeight="false" outlineLevel="0" collapsed="false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 customFormat="false" ht="15.75" hidden="false" customHeight="fals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 customFormat="false" ht="15.75" hidden="false" customHeight="false" outlineLevel="0" collapsed="false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 customFormat="false" ht="15.75" hidden="false" customHeight="fals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 customFormat="false" ht="15.75" hidden="false" customHeight="false" outlineLevel="0" collapsed="false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 customFormat="false" ht="15.75" hidden="false" customHeight="fals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 customFormat="false" ht="15.75" hidden="false" customHeight="false" outlineLevel="0" collapsed="false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 customFormat="false" ht="15.75" hidden="false" customHeight="fals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 customFormat="false" ht="15.75" hidden="false" customHeight="false" outlineLevel="0" collapsed="false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 customFormat="false" ht="15.75" hidden="false" customHeight="fals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 customFormat="false" ht="15.75" hidden="false" customHeight="false" outlineLevel="0" collapsed="false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 customFormat="false" ht="15.75" hidden="false" customHeight="fals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 customFormat="false" ht="15.75" hidden="false" customHeight="false" outlineLevel="0" collapsed="false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 customFormat="false" ht="15.75" hidden="false" customHeight="false" outlineLevel="0" collapsed="false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 customFormat="false" ht="15.75" hidden="false" customHeight="false" outlineLevel="0" collapsed="false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 customFormat="false" ht="15.75" hidden="false" customHeight="false" outlineLevel="0" collapsed="false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 customFormat="false" ht="15.75" hidden="false" customHeight="false" outlineLevel="0" collapsed="false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 customFormat="false" ht="15.75" hidden="false" customHeight="false" outlineLevel="0" collapsed="false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 customFormat="false" ht="15.75" hidden="false" customHeight="false" outlineLevel="0" collapsed="false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 customFormat="false" ht="15.75" hidden="false" customHeight="false" outlineLevel="0" collapsed="false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 customFormat="false" ht="15.75" hidden="false" customHeight="false" outlineLevel="0" collapsed="false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 customFormat="false" ht="15.75" hidden="false" customHeight="false" outlineLevel="0" collapsed="false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 customFormat="false" ht="15.75" hidden="false" customHeight="false" outlineLevel="0" collapsed="false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 customFormat="false" ht="15.75" hidden="false" customHeight="false" outlineLevel="0" collapsed="false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 customFormat="false" ht="15.75" hidden="false" customHeight="false" outlineLevel="0" collapsed="false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 customFormat="false" ht="15.75" hidden="false" customHeight="false" outlineLevel="0" collapsed="false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 customFormat="false" ht="15.75" hidden="false" customHeight="false" outlineLevel="0" collapsed="false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 customFormat="false" ht="15.75" hidden="false" customHeight="false" outlineLevel="0" collapsed="false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 customFormat="false" ht="15.75" hidden="false" customHeight="false" outlineLevel="0" collapsed="false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 customFormat="false" ht="15.75" hidden="false" customHeight="false" outlineLevel="0" collapsed="false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 customFormat="false" ht="15.75" hidden="false" customHeight="false" outlineLevel="0" collapsed="false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 customFormat="false" ht="15.75" hidden="false" customHeight="false" outlineLevel="0" collapsed="false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 customFormat="false" ht="15.75" hidden="false" customHeight="false" outlineLevel="0" collapsed="false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 customFormat="false" ht="15.75" hidden="false" customHeight="false" outlineLevel="0" collapsed="false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 customFormat="false" ht="15.75" hidden="false" customHeight="false" outlineLevel="0" collapsed="false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 customFormat="false" ht="15.75" hidden="false" customHeight="false" outlineLevel="0" collapsed="false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 customFormat="false" ht="15.75" hidden="false" customHeight="false" outlineLevel="0" collapsed="false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 customFormat="false" ht="15.75" hidden="false" customHeight="false" outlineLevel="0" collapsed="false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 customFormat="false" ht="15.75" hidden="false" customHeight="false" outlineLevel="0" collapsed="false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 customFormat="false" ht="15.75" hidden="false" customHeight="false" outlineLevel="0" collapsed="false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 customFormat="false" ht="15.75" hidden="false" customHeight="false" outlineLevel="0" collapsed="false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 customFormat="false" ht="15.75" hidden="false" customHeight="false" outlineLevel="0" collapsed="false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 customFormat="false" ht="15.75" hidden="false" customHeight="false" outlineLevel="0" collapsed="false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 customFormat="false" ht="15.75" hidden="false" customHeight="false" outlineLevel="0" collapsed="false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 customFormat="false" ht="15.75" hidden="false" customHeight="false" outlineLevel="0" collapsed="false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 customFormat="false" ht="15.75" hidden="false" customHeight="false" outlineLevel="0" collapsed="false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 customFormat="false" ht="15.75" hidden="false" customHeight="false" outlineLevel="0" collapsed="false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 customFormat="false" ht="15.75" hidden="false" customHeight="false" outlineLevel="0" collapsed="false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 customFormat="false" ht="15.75" hidden="false" customHeight="false" outlineLevel="0" collapsed="false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 customFormat="false" ht="15.75" hidden="false" customHeight="false" outlineLevel="0" collapsed="false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 customFormat="false" ht="15.75" hidden="false" customHeight="false" outlineLevel="0" collapsed="false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 customFormat="false" ht="15.75" hidden="false" customHeight="false" outlineLevel="0" collapsed="false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 customFormat="false" ht="15.75" hidden="false" customHeight="false" outlineLevel="0" collapsed="false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 customFormat="false" ht="15.75" hidden="false" customHeight="false" outlineLevel="0" collapsed="false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 customFormat="false" ht="15.75" hidden="false" customHeight="false" outlineLevel="0" collapsed="false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 customFormat="false" ht="15.75" hidden="false" customHeight="false" outlineLevel="0" collapsed="false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 customFormat="false" ht="15.75" hidden="false" customHeight="false" outlineLevel="0" collapsed="false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 customFormat="false" ht="15.75" hidden="false" customHeight="false" outlineLevel="0" collapsed="false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 customFormat="false" ht="15.75" hidden="false" customHeight="false" outlineLevel="0" collapsed="false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 customFormat="false" ht="15.75" hidden="false" customHeight="false" outlineLevel="0" collapsed="false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 customFormat="false" ht="15.75" hidden="false" customHeight="false" outlineLevel="0" collapsed="false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 customFormat="false" ht="15.75" hidden="false" customHeight="false" outlineLevel="0" collapsed="false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 customFormat="false" ht="15.75" hidden="false" customHeight="false" outlineLevel="0" collapsed="false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 customFormat="false" ht="15.75" hidden="false" customHeight="false" outlineLevel="0" collapsed="false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 customFormat="false" ht="15.75" hidden="false" customHeight="false" outlineLevel="0" collapsed="false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 customFormat="false" ht="15.75" hidden="false" customHeight="false" outlineLevel="0" collapsed="false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 customFormat="false" ht="15.75" hidden="false" customHeight="false" outlineLevel="0" collapsed="false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 customFormat="false" ht="15.75" hidden="false" customHeight="false" outlineLevel="0" collapsed="false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 customFormat="false" ht="15.75" hidden="false" customHeight="false" outlineLevel="0" collapsed="false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 customFormat="false" ht="15.75" hidden="false" customHeight="false" outlineLevel="0" collapsed="false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 customFormat="false" ht="15.75" hidden="false" customHeight="false" outlineLevel="0" collapsed="false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 customFormat="false" ht="15.75" hidden="false" customHeight="false" outlineLevel="0" collapsed="false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 customFormat="false" ht="15.75" hidden="false" customHeight="false" outlineLevel="0" collapsed="false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 customFormat="false" ht="15.75" hidden="false" customHeight="false" outlineLevel="0" collapsed="false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 customFormat="false" ht="15.75" hidden="false" customHeight="false" outlineLevel="0" collapsed="false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 customFormat="false" ht="15.75" hidden="false" customHeight="false" outlineLevel="0" collapsed="false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 customFormat="false" ht="15.75" hidden="false" customHeight="false" outlineLevel="0" collapsed="false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 customFormat="false" ht="15.75" hidden="false" customHeight="false" outlineLevel="0" collapsed="false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 customFormat="false" ht="15.75" hidden="false" customHeight="false" outlineLevel="0" collapsed="false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 customFormat="false" ht="15.75" hidden="false" customHeight="false" outlineLevel="0" collapsed="false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 customFormat="false" ht="15.75" hidden="false" customHeight="false" outlineLevel="0" collapsed="false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 customFormat="false" ht="15.75" hidden="false" customHeight="false" outlineLevel="0" collapsed="false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 customFormat="false" ht="15.75" hidden="false" customHeight="false" outlineLevel="0" collapsed="false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 customFormat="false" ht="15.75" hidden="false" customHeight="false" outlineLevel="0" collapsed="false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 customFormat="false" ht="15.75" hidden="false" customHeight="false" outlineLevel="0" collapsed="false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 customFormat="false" ht="15.75" hidden="false" customHeight="false" outlineLevel="0" collapsed="false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 customFormat="false" ht="15.75" hidden="false" customHeight="false" outlineLevel="0" collapsed="false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 customFormat="false" ht="15.75" hidden="false" customHeight="false" outlineLevel="0" collapsed="false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 customFormat="false" ht="15.75" hidden="false" customHeight="false" outlineLevel="0" collapsed="false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 customFormat="false" ht="15.75" hidden="false" customHeight="false" outlineLevel="0" collapsed="false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 customFormat="false" ht="15.75" hidden="false" customHeight="false" outlineLevel="0" collapsed="false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 customFormat="false" ht="15.75" hidden="false" customHeight="false" outlineLevel="0" collapsed="false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 customFormat="false" ht="15.75" hidden="false" customHeight="false" outlineLevel="0" collapsed="false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 customFormat="false" ht="15.75" hidden="false" customHeight="false" outlineLevel="0" collapsed="false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 customFormat="false" ht="15.75" hidden="false" customHeight="false" outlineLevel="0" collapsed="false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 customFormat="false" ht="15.75" hidden="false" customHeight="false" outlineLevel="0" collapsed="false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 customFormat="false" ht="15.75" hidden="false" customHeight="false" outlineLevel="0" collapsed="false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 customFormat="false" ht="15.75" hidden="false" customHeight="false" outlineLevel="0" collapsed="false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 customFormat="false" ht="15.75" hidden="false" customHeight="false" outlineLevel="0" collapsed="false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 customFormat="false" ht="15.75" hidden="false" customHeight="false" outlineLevel="0" collapsed="false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 customFormat="false" ht="15.75" hidden="false" customHeight="false" outlineLevel="0" collapsed="false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 customFormat="false" ht="15.75" hidden="false" customHeight="false" outlineLevel="0" collapsed="false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 customFormat="false" ht="15.75" hidden="false" customHeight="false" outlineLevel="0" collapsed="false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 customFormat="false" ht="15.75" hidden="false" customHeight="false" outlineLevel="0" collapsed="false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 customFormat="false" ht="15.75" hidden="false" customHeight="false" outlineLevel="0" collapsed="false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 customFormat="false" ht="15.75" hidden="false" customHeight="false" outlineLevel="0" collapsed="false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 customFormat="false" ht="15.75" hidden="false" customHeight="false" outlineLevel="0" collapsed="false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 customFormat="false" ht="15.75" hidden="false" customHeight="false" outlineLevel="0" collapsed="false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 customFormat="false" ht="15.75" hidden="false" customHeight="false" outlineLevel="0" collapsed="false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 customFormat="false" ht="15.75" hidden="false" customHeight="false" outlineLevel="0" collapsed="false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 customFormat="false" ht="15.75" hidden="false" customHeight="false" outlineLevel="0" collapsed="false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 customFormat="false" ht="15.75" hidden="false" customHeight="false" outlineLevel="0" collapsed="false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 customFormat="false" ht="15.75" hidden="false" customHeight="false" outlineLevel="0" collapsed="false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 customFormat="false" ht="15.75" hidden="false" customHeight="false" outlineLevel="0" collapsed="false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 customFormat="false" ht="15.75" hidden="false" customHeight="false" outlineLevel="0" collapsed="false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 customFormat="false" ht="15.75" hidden="false" customHeight="false" outlineLevel="0" collapsed="false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 customFormat="false" ht="15.75" hidden="false" customHeight="false" outlineLevel="0" collapsed="false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 customFormat="false" ht="15.75" hidden="false" customHeight="false" outlineLevel="0" collapsed="false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 customFormat="false" ht="15.75" hidden="false" customHeight="false" outlineLevel="0" collapsed="false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 customFormat="false" ht="15.75" hidden="false" customHeight="false" outlineLevel="0" collapsed="false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 customFormat="false" ht="15.75" hidden="false" customHeight="false" outlineLevel="0" collapsed="false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 customFormat="false" ht="15.75" hidden="false" customHeight="false" outlineLevel="0" collapsed="false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 customFormat="false" ht="15.75" hidden="false" customHeight="false" outlineLevel="0" collapsed="false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 customFormat="false" ht="15.75" hidden="false" customHeight="false" outlineLevel="0" collapsed="false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 customFormat="false" ht="15.75" hidden="false" customHeight="false" outlineLevel="0" collapsed="false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 customFormat="false" ht="15.75" hidden="false" customHeight="false" outlineLevel="0" collapsed="false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 customFormat="false" ht="15.75" hidden="false" customHeight="false" outlineLevel="0" collapsed="false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 customFormat="false" ht="15.75" hidden="false" customHeight="false" outlineLevel="0" collapsed="false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 customFormat="false" ht="15.75" hidden="false" customHeight="false" outlineLevel="0" collapsed="false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 customFormat="false" ht="15.75" hidden="false" customHeight="false" outlineLevel="0" collapsed="false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 customFormat="false" ht="15.75" hidden="false" customHeight="false" outlineLevel="0" collapsed="false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 customFormat="false" ht="15.75" hidden="false" customHeight="false" outlineLevel="0" collapsed="false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 customFormat="false" ht="15.75" hidden="false" customHeight="false" outlineLevel="0" collapsed="false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 customFormat="false" ht="15.75" hidden="false" customHeight="false" outlineLevel="0" collapsed="false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 customFormat="false" ht="15.75" hidden="false" customHeight="false" outlineLevel="0" collapsed="false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 customFormat="false" ht="15.75" hidden="false" customHeight="false" outlineLevel="0" collapsed="false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 customFormat="false" ht="15.75" hidden="false" customHeight="false" outlineLevel="0" collapsed="false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 customFormat="false" ht="15.75" hidden="false" customHeight="false" outlineLevel="0" collapsed="false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 customFormat="false" ht="15.75" hidden="false" customHeight="false" outlineLevel="0" collapsed="false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 customFormat="false" ht="15.75" hidden="false" customHeight="false" outlineLevel="0" collapsed="false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 customFormat="false" ht="15.75" hidden="false" customHeight="false" outlineLevel="0" collapsed="false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 customFormat="false" ht="15.75" hidden="false" customHeight="false" outlineLevel="0" collapsed="false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 customFormat="false" ht="15.75" hidden="false" customHeight="false" outlineLevel="0" collapsed="false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 customFormat="false" ht="15.75" hidden="false" customHeight="false" outlineLevel="0" collapsed="false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 customFormat="false" ht="15.75" hidden="false" customHeight="false" outlineLevel="0" collapsed="false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 customFormat="false" ht="15.75" hidden="false" customHeight="false" outlineLevel="0" collapsed="false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 customFormat="false" ht="15.75" hidden="false" customHeight="false" outlineLevel="0" collapsed="false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 customFormat="false" ht="15.75" hidden="false" customHeight="false" outlineLevel="0" collapsed="false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 customFormat="false" ht="15.75" hidden="false" customHeight="false" outlineLevel="0" collapsed="false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 customFormat="false" ht="15.75" hidden="false" customHeight="false" outlineLevel="0" collapsed="false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 customFormat="false" ht="15.75" hidden="false" customHeight="false" outlineLevel="0" collapsed="false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 customFormat="false" ht="15.75" hidden="false" customHeight="false" outlineLevel="0" collapsed="false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 customFormat="false" ht="15.75" hidden="false" customHeight="false" outlineLevel="0" collapsed="false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 customFormat="false" ht="15.75" hidden="false" customHeight="false" outlineLevel="0" collapsed="false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 customFormat="false" ht="15.75" hidden="false" customHeight="false" outlineLevel="0" collapsed="false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 customFormat="false" ht="15.75" hidden="false" customHeight="false" outlineLevel="0" collapsed="false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 customFormat="false" ht="15.75" hidden="false" customHeight="false" outlineLevel="0" collapsed="false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 customFormat="false" ht="15.75" hidden="false" customHeight="false" outlineLevel="0" collapsed="false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 customFormat="false" ht="15.75" hidden="false" customHeight="false" outlineLevel="0" collapsed="false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 customFormat="false" ht="15.75" hidden="false" customHeight="false" outlineLevel="0" collapsed="false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 customFormat="false" ht="15.75" hidden="false" customHeight="false" outlineLevel="0" collapsed="false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 customFormat="false" ht="15.75" hidden="false" customHeight="false" outlineLevel="0" collapsed="false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 customFormat="false" ht="15.75" hidden="false" customHeight="false" outlineLevel="0" collapsed="false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 customFormat="false" ht="15.75" hidden="false" customHeight="false" outlineLevel="0" collapsed="false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 customFormat="false" ht="15.75" hidden="false" customHeight="false" outlineLevel="0" collapsed="false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 customFormat="false" ht="15.75" hidden="false" customHeight="false" outlineLevel="0" collapsed="false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 customFormat="false" ht="15.75" hidden="false" customHeight="false" outlineLevel="0" collapsed="false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 customFormat="false" ht="15.75" hidden="false" customHeight="false" outlineLevel="0" collapsed="false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 customFormat="false" ht="15.75" hidden="false" customHeight="false" outlineLevel="0" collapsed="false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 customFormat="false" ht="15.75" hidden="false" customHeight="false" outlineLevel="0" collapsed="false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 customFormat="false" ht="15.75" hidden="false" customHeight="false" outlineLevel="0" collapsed="false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 customFormat="false" ht="15.75" hidden="false" customHeight="false" outlineLevel="0" collapsed="false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 customFormat="false" ht="15.75" hidden="false" customHeight="false" outlineLevel="0" collapsed="false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 customFormat="false" ht="15.75" hidden="false" customHeight="false" outlineLevel="0" collapsed="false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 customFormat="false" ht="15.75" hidden="false" customHeight="false" outlineLevel="0" collapsed="false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 customFormat="false" ht="15.75" hidden="false" customHeight="false" outlineLevel="0" collapsed="false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 customFormat="false" ht="15.75" hidden="false" customHeight="false" outlineLevel="0" collapsed="false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 customFormat="false" ht="15.75" hidden="false" customHeight="false" outlineLevel="0" collapsed="false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 customFormat="false" ht="15.75" hidden="false" customHeight="false" outlineLevel="0" collapsed="false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 customFormat="false" ht="15.75" hidden="false" customHeight="false" outlineLevel="0" collapsed="false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 customFormat="false" ht="15.75" hidden="false" customHeight="false" outlineLevel="0" collapsed="false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 customFormat="false" ht="15.75" hidden="false" customHeight="false" outlineLevel="0" collapsed="false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 customFormat="false" ht="15.75" hidden="false" customHeight="false" outlineLevel="0" collapsed="false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 customFormat="false" ht="15.75" hidden="false" customHeight="false" outlineLevel="0" collapsed="false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 customFormat="false" ht="15.75" hidden="false" customHeight="false" outlineLevel="0" collapsed="false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 customFormat="false" ht="15.75" hidden="false" customHeight="false" outlineLevel="0" collapsed="false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 customFormat="false" ht="15.75" hidden="false" customHeight="false" outlineLevel="0" collapsed="false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 customFormat="false" ht="15.75" hidden="false" customHeight="false" outlineLevel="0" collapsed="false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 customFormat="false" ht="15.75" hidden="false" customHeight="false" outlineLevel="0" collapsed="false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 customFormat="false" ht="15.75" hidden="false" customHeight="false" outlineLevel="0" collapsed="false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 customFormat="false" ht="15.75" hidden="false" customHeight="false" outlineLevel="0" collapsed="false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 customFormat="false" ht="15.75" hidden="false" customHeight="false" outlineLevel="0" collapsed="false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 customFormat="false" ht="15.75" hidden="false" customHeight="false" outlineLevel="0" collapsed="false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 customFormat="false" ht="15.75" hidden="false" customHeight="false" outlineLevel="0" collapsed="false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 customFormat="false" ht="15.75" hidden="false" customHeight="false" outlineLevel="0" collapsed="false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 customFormat="false" ht="15.75" hidden="false" customHeight="false" outlineLevel="0" collapsed="false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 customFormat="false" ht="15.75" hidden="false" customHeight="false" outlineLevel="0" collapsed="false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 customFormat="false" ht="15.75" hidden="false" customHeight="false" outlineLevel="0" collapsed="false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 customFormat="false" ht="15.75" hidden="false" customHeight="false" outlineLevel="0" collapsed="false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 customFormat="false" ht="15.75" hidden="false" customHeight="false" outlineLevel="0" collapsed="false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 customFormat="false" ht="15.75" hidden="false" customHeight="false" outlineLevel="0" collapsed="false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 customFormat="false" ht="15.75" hidden="false" customHeight="false" outlineLevel="0" collapsed="false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 customFormat="false" ht="15.75" hidden="false" customHeight="false" outlineLevel="0" collapsed="false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 customFormat="false" ht="15.75" hidden="false" customHeight="false" outlineLevel="0" collapsed="false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 customFormat="false" ht="15.75" hidden="false" customHeight="false" outlineLevel="0" collapsed="false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 customFormat="false" ht="15.75" hidden="false" customHeight="false" outlineLevel="0" collapsed="false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 customFormat="false" ht="15.75" hidden="false" customHeight="false" outlineLevel="0" collapsed="false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 customFormat="false" ht="15.75" hidden="false" customHeight="false" outlineLevel="0" collapsed="false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 customFormat="false" ht="15.75" hidden="false" customHeight="false" outlineLevel="0" collapsed="false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 customFormat="false" ht="15.75" hidden="false" customHeight="false" outlineLevel="0" collapsed="false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 customFormat="false" ht="15.75" hidden="false" customHeight="false" outlineLevel="0" collapsed="false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 customFormat="false" ht="15.75" hidden="false" customHeight="false" outlineLevel="0" collapsed="false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 customFormat="false" ht="15.75" hidden="false" customHeight="false" outlineLevel="0" collapsed="false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 customFormat="false" ht="15.75" hidden="false" customHeight="false" outlineLevel="0" collapsed="false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 customFormat="false" ht="15.75" hidden="false" customHeight="false" outlineLevel="0" collapsed="false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 customFormat="false" ht="15.75" hidden="false" customHeight="false" outlineLevel="0" collapsed="false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 customFormat="false" ht="15.75" hidden="false" customHeight="false" outlineLevel="0" collapsed="false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 customFormat="false" ht="15.75" hidden="false" customHeight="false" outlineLevel="0" collapsed="false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 customFormat="false" ht="15.75" hidden="false" customHeight="false" outlineLevel="0" collapsed="false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 customFormat="false" ht="15.75" hidden="false" customHeight="false" outlineLevel="0" collapsed="false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 customFormat="false" ht="15.75" hidden="false" customHeight="false" outlineLevel="0" collapsed="false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 customFormat="false" ht="15.75" hidden="false" customHeight="false" outlineLevel="0" collapsed="false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 customFormat="false" ht="15.75" hidden="false" customHeight="false" outlineLevel="0" collapsed="false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 customFormat="false" ht="15.75" hidden="false" customHeight="false" outlineLevel="0" collapsed="false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 customFormat="false" ht="15.75" hidden="false" customHeight="false" outlineLevel="0" collapsed="false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 customFormat="false" ht="15.75" hidden="false" customHeight="false" outlineLevel="0" collapsed="false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 customFormat="false" ht="15.75" hidden="false" customHeight="false" outlineLevel="0" collapsed="false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 customFormat="false" ht="15.75" hidden="false" customHeight="false" outlineLevel="0" collapsed="false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 customFormat="false" ht="15.75" hidden="false" customHeight="false" outlineLevel="0" collapsed="false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 customFormat="false" ht="15.75" hidden="false" customHeight="false" outlineLevel="0" collapsed="false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 customFormat="false" ht="15.75" hidden="false" customHeight="false" outlineLevel="0" collapsed="false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 customFormat="false" ht="15.75" hidden="false" customHeight="false" outlineLevel="0" collapsed="false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 customFormat="false" ht="15.75" hidden="false" customHeight="false" outlineLevel="0" collapsed="false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 customFormat="false" ht="15.75" hidden="false" customHeight="false" outlineLevel="0" collapsed="false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 customFormat="false" ht="15.75" hidden="false" customHeight="false" outlineLevel="0" collapsed="false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 customFormat="false" ht="15.75" hidden="false" customHeight="false" outlineLevel="0" collapsed="false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 customFormat="false" ht="15.75" hidden="false" customHeight="false" outlineLevel="0" collapsed="false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 customFormat="false" ht="15.75" hidden="false" customHeight="false" outlineLevel="0" collapsed="false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 customFormat="false" ht="15.75" hidden="false" customHeight="false" outlineLevel="0" collapsed="false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 customFormat="false" ht="15.75" hidden="false" customHeight="false" outlineLevel="0" collapsed="false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 customFormat="false" ht="15.75" hidden="false" customHeight="false" outlineLevel="0" collapsed="false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 customFormat="false" ht="15.75" hidden="false" customHeight="false" outlineLevel="0" collapsed="false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 customFormat="false" ht="15.75" hidden="false" customHeight="false" outlineLevel="0" collapsed="false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 customFormat="false" ht="15.75" hidden="false" customHeight="false" outlineLevel="0" collapsed="false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 customFormat="false" ht="15.75" hidden="false" customHeight="false" outlineLevel="0" collapsed="false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 customFormat="false" ht="15.75" hidden="false" customHeight="false" outlineLevel="0" collapsed="false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 customFormat="false" ht="15.75" hidden="false" customHeight="false" outlineLevel="0" collapsed="false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 customFormat="false" ht="15.75" hidden="false" customHeight="false" outlineLevel="0" collapsed="false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 customFormat="false" ht="15.75" hidden="false" customHeight="false" outlineLevel="0" collapsed="false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 customFormat="false" ht="15.75" hidden="false" customHeight="false" outlineLevel="0" collapsed="false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 customFormat="false" ht="15.75" hidden="false" customHeight="false" outlineLevel="0" collapsed="false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 customFormat="false" ht="15.75" hidden="false" customHeight="false" outlineLevel="0" collapsed="false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 customFormat="false" ht="15.75" hidden="false" customHeight="false" outlineLevel="0" collapsed="false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 customFormat="false" ht="15.75" hidden="false" customHeight="false" outlineLevel="0" collapsed="false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 customFormat="false" ht="15.75" hidden="false" customHeight="false" outlineLevel="0" collapsed="false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 customFormat="false" ht="15.75" hidden="false" customHeight="false" outlineLevel="0" collapsed="false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 customFormat="false" ht="15.75" hidden="false" customHeight="false" outlineLevel="0" collapsed="false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 customFormat="false" ht="15.75" hidden="false" customHeight="false" outlineLevel="0" collapsed="false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 customFormat="false" ht="15.75" hidden="false" customHeight="false" outlineLevel="0" collapsed="false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 customFormat="false" ht="15.75" hidden="false" customHeight="false" outlineLevel="0" collapsed="false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 customFormat="false" ht="15.75" hidden="false" customHeight="false" outlineLevel="0" collapsed="false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 customFormat="false" ht="15.75" hidden="false" customHeight="false" outlineLevel="0" collapsed="false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 customFormat="false" ht="15.75" hidden="false" customHeight="false" outlineLevel="0" collapsed="false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 customFormat="false" ht="15.75" hidden="false" customHeight="false" outlineLevel="0" collapsed="false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 customFormat="false" ht="15.75" hidden="false" customHeight="false" outlineLevel="0" collapsed="false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 customFormat="false" ht="15.75" hidden="false" customHeight="false" outlineLevel="0" collapsed="false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 customFormat="false" ht="15.75" hidden="false" customHeight="false" outlineLevel="0" collapsed="false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 customFormat="false" ht="15.75" hidden="false" customHeight="false" outlineLevel="0" collapsed="false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 customFormat="false" ht="15.75" hidden="false" customHeight="false" outlineLevel="0" collapsed="false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 customFormat="false" ht="15.75" hidden="false" customHeight="false" outlineLevel="0" collapsed="false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 customFormat="false" ht="15.75" hidden="false" customHeight="false" outlineLevel="0" collapsed="false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 customFormat="false" ht="15.75" hidden="false" customHeight="false" outlineLevel="0" collapsed="false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 customFormat="false" ht="15.75" hidden="false" customHeight="false" outlineLevel="0" collapsed="false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 customFormat="false" ht="15.75" hidden="false" customHeight="false" outlineLevel="0" collapsed="false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 customFormat="false" ht="15.75" hidden="false" customHeight="false" outlineLevel="0" collapsed="false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 customFormat="false" ht="15.75" hidden="false" customHeight="false" outlineLevel="0" collapsed="false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 customFormat="false" ht="15.75" hidden="false" customHeight="false" outlineLevel="0" collapsed="false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 customFormat="false" ht="15.75" hidden="false" customHeight="false" outlineLevel="0" collapsed="false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 customFormat="false" ht="15.75" hidden="false" customHeight="false" outlineLevel="0" collapsed="false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 customFormat="false" ht="15.75" hidden="false" customHeight="false" outlineLevel="0" collapsed="false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 customFormat="false" ht="15.75" hidden="false" customHeight="false" outlineLevel="0" collapsed="false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 customFormat="false" ht="15.75" hidden="false" customHeight="false" outlineLevel="0" collapsed="false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 customFormat="false" ht="15.75" hidden="false" customHeight="false" outlineLevel="0" collapsed="false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 customFormat="false" ht="15.75" hidden="false" customHeight="false" outlineLevel="0" collapsed="false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 customFormat="false" ht="15.75" hidden="false" customHeight="false" outlineLevel="0" collapsed="false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 customFormat="false" ht="15.75" hidden="false" customHeight="false" outlineLevel="0" collapsed="false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 customFormat="false" ht="15.75" hidden="false" customHeight="false" outlineLevel="0" collapsed="false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 customFormat="false" ht="15.75" hidden="false" customHeight="false" outlineLevel="0" collapsed="false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 customFormat="false" ht="15.75" hidden="false" customHeight="false" outlineLevel="0" collapsed="false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 customFormat="false" ht="15.75" hidden="false" customHeight="false" outlineLevel="0" collapsed="false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 customFormat="false" ht="15.75" hidden="false" customHeight="false" outlineLevel="0" collapsed="false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 customFormat="false" ht="15.75" hidden="false" customHeight="false" outlineLevel="0" collapsed="false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 customFormat="false" ht="15.75" hidden="false" customHeight="false" outlineLevel="0" collapsed="false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 customFormat="false" ht="15.75" hidden="false" customHeight="false" outlineLevel="0" collapsed="false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 customFormat="false" ht="15.75" hidden="false" customHeight="false" outlineLevel="0" collapsed="false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 customFormat="false" ht="15.75" hidden="false" customHeight="false" outlineLevel="0" collapsed="false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 customFormat="false" ht="15.75" hidden="false" customHeight="false" outlineLevel="0" collapsed="false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 customFormat="false" ht="15.75" hidden="false" customHeight="false" outlineLevel="0" collapsed="false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 customFormat="false" ht="15.75" hidden="false" customHeight="false" outlineLevel="0" collapsed="false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 customFormat="false" ht="15.75" hidden="false" customHeight="false" outlineLevel="0" collapsed="false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 customFormat="false" ht="15.75" hidden="false" customHeight="false" outlineLevel="0" collapsed="false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 customFormat="false" ht="15.75" hidden="false" customHeight="false" outlineLevel="0" collapsed="false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 customFormat="false" ht="15.75" hidden="false" customHeight="false" outlineLevel="0" collapsed="false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 customFormat="false" ht="15.75" hidden="false" customHeight="false" outlineLevel="0" collapsed="false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 customFormat="false" ht="15.75" hidden="false" customHeight="false" outlineLevel="0" collapsed="false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 customFormat="false" ht="15.75" hidden="false" customHeight="false" outlineLevel="0" collapsed="false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 customFormat="false" ht="15.75" hidden="false" customHeight="false" outlineLevel="0" collapsed="false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 customFormat="false" ht="15.75" hidden="false" customHeight="false" outlineLevel="0" collapsed="false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 customFormat="false" ht="15.75" hidden="false" customHeight="false" outlineLevel="0" collapsed="false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 customFormat="false" ht="15.75" hidden="false" customHeight="false" outlineLevel="0" collapsed="false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 customFormat="false" ht="15.75" hidden="false" customHeight="false" outlineLevel="0" collapsed="false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 customFormat="false" ht="15.75" hidden="false" customHeight="false" outlineLevel="0" collapsed="false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 customFormat="false" ht="15.75" hidden="false" customHeight="false" outlineLevel="0" collapsed="false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 customFormat="false" ht="15.75" hidden="false" customHeight="false" outlineLevel="0" collapsed="false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 customFormat="false" ht="15.75" hidden="false" customHeight="false" outlineLevel="0" collapsed="false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 customFormat="false" ht="15.75" hidden="false" customHeight="false" outlineLevel="0" collapsed="false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 customFormat="false" ht="15.75" hidden="false" customHeight="false" outlineLevel="0" collapsed="false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 customFormat="false" ht="15.75" hidden="false" customHeight="false" outlineLevel="0" collapsed="false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 customFormat="false" ht="15.75" hidden="false" customHeight="false" outlineLevel="0" collapsed="false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 customFormat="false" ht="15.75" hidden="false" customHeight="false" outlineLevel="0" collapsed="false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 customFormat="false" ht="15.75" hidden="false" customHeight="false" outlineLevel="0" collapsed="false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 customFormat="false" ht="15.75" hidden="false" customHeight="false" outlineLevel="0" collapsed="false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 customFormat="false" ht="15.75" hidden="false" customHeight="false" outlineLevel="0" collapsed="false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 customFormat="false" ht="15.75" hidden="false" customHeight="false" outlineLevel="0" collapsed="false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 customFormat="false" ht="15.75" hidden="false" customHeight="false" outlineLevel="0" collapsed="false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 customFormat="false" ht="15.75" hidden="false" customHeight="false" outlineLevel="0" collapsed="false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 customFormat="false" ht="15.75" hidden="false" customHeight="false" outlineLevel="0" collapsed="false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 customFormat="false" ht="15.75" hidden="false" customHeight="false" outlineLevel="0" collapsed="false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 customFormat="false" ht="15.75" hidden="false" customHeight="false" outlineLevel="0" collapsed="false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 customFormat="false" ht="15.75" hidden="false" customHeight="false" outlineLevel="0" collapsed="false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 customFormat="false" ht="15.75" hidden="false" customHeight="false" outlineLevel="0" collapsed="false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 customFormat="false" ht="15.75" hidden="false" customHeight="false" outlineLevel="0" collapsed="false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 customFormat="false" ht="15.75" hidden="false" customHeight="false" outlineLevel="0" collapsed="false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 customFormat="false" ht="15.75" hidden="false" customHeight="false" outlineLevel="0" collapsed="false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 customFormat="false" ht="15.75" hidden="false" customHeight="false" outlineLevel="0" collapsed="false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 customFormat="false" ht="15.75" hidden="false" customHeight="false" outlineLevel="0" collapsed="false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 customFormat="false" ht="15.75" hidden="false" customHeight="false" outlineLevel="0" collapsed="false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 customFormat="false" ht="15.75" hidden="false" customHeight="false" outlineLevel="0" collapsed="false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 customFormat="false" ht="15.75" hidden="false" customHeight="false" outlineLevel="0" collapsed="false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 customFormat="false" ht="15.75" hidden="false" customHeight="false" outlineLevel="0" collapsed="false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 customFormat="false" ht="15.75" hidden="false" customHeight="false" outlineLevel="0" collapsed="false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 customFormat="false" ht="15.75" hidden="false" customHeight="false" outlineLevel="0" collapsed="false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 customFormat="false" ht="15.75" hidden="false" customHeight="false" outlineLevel="0" collapsed="false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 customFormat="false" ht="15.75" hidden="false" customHeight="false" outlineLevel="0" collapsed="false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 customFormat="false" ht="15.75" hidden="false" customHeight="false" outlineLevel="0" collapsed="false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 customFormat="false" ht="15.75" hidden="false" customHeight="false" outlineLevel="0" collapsed="false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 customFormat="false" ht="15.75" hidden="false" customHeight="false" outlineLevel="0" collapsed="false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 customFormat="false" ht="15.75" hidden="false" customHeight="false" outlineLevel="0" collapsed="false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 customFormat="false" ht="15.75" hidden="false" customHeight="false" outlineLevel="0" collapsed="false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 customFormat="false" ht="15.75" hidden="false" customHeight="false" outlineLevel="0" collapsed="false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 customFormat="false" ht="15.75" hidden="false" customHeight="false" outlineLevel="0" collapsed="false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 customFormat="false" ht="15.75" hidden="false" customHeight="false" outlineLevel="0" collapsed="false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 customFormat="false" ht="15.75" hidden="false" customHeight="false" outlineLevel="0" collapsed="false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 customFormat="false" ht="15.75" hidden="false" customHeight="false" outlineLevel="0" collapsed="false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 customFormat="false" ht="15.75" hidden="false" customHeight="false" outlineLevel="0" collapsed="false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 customFormat="false" ht="15.75" hidden="false" customHeight="false" outlineLevel="0" collapsed="false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 customFormat="false" ht="15.75" hidden="false" customHeight="false" outlineLevel="0" collapsed="false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 customFormat="false" ht="15.75" hidden="false" customHeight="false" outlineLevel="0" collapsed="false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 customFormat="false" ht="15.75" hidden="false" customHeight="false" outlineLevel="0" collapsed="false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 customFormat="false" ht="15.75" hidden="false" customHeight="false" outlineLevel="0" collapsed="false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 customFormat="false" ht="15.75" hidden="false" customHeight="false" outlineLevel="0" collapsed="false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 customFormat="false" ht="15.75" hidden="false" customHeight="false" outlineLevel="0" collapsed="false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 customFormat="false" ht="15.75" hidden="false" customHeight="false" outlineLevel="0" collapsed="false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 customFormat="false" ht="15.75" hidden="false" customHeight="false" outlineLevel="0" collapsed="false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 customFormat="false" ht="15.75" hidden="false" customHeight="false" outlineLevel="0" collapsed="false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 customFormat="false" ht="15.75" hidden="false" customHeight="false" outlineLevel="0" collapsed="false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 customFormat="false" ht="15.75" hidden="false" customHeight="false" outlineLevel="0" collapsed="false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 customFormat="false" ht="15.75" hidden="false" customHeight="false" outlineLevel="0" collapsed="false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 customFormat="false" ht="15.75" hidden="false" customHeight="false" outlineLevel="0" collapsed="false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 customFormat="false" ht="15.75" hidden="false" customHeight="false" outlineLevel="0" collapsed="false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 customFormat="false" ht="15.75" hidden="false" customHeight="false" outlineLevel="0" collapsed="false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 customFormat="false" ht="15.75" hidden="false" customHeight="false" outlineLevel="0" collapsed="false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 customFormat="false" ht="15.75" hidden="false" customHeight="false" outlineLevel="0" collapsed="false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 customFormat="false" ht="15.75" hidden="false" customHeight="false" outlineLevel="0" collapsed="false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 customFormat="false" ht="15.75" hidden="false" customHeight="false" outlineLevel="0" collapsed="false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 customFormat="false" ht="15.75" hidden="false" customHeight="false" outlineLevel="0" collapsed="false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 customFormat="false" ht="15.75" hidden="false" customHeight="false" outlineLevel="0" collapsed="false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 customFormat="false" ht="15.75" hidden="false" customHeight="false" outlineLevel="0" collapsed="false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 customFormat="false" ht="15.75" hidden="false" customHeight="false" outlineLevel="0" collapsed="false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 customFormat="false" ht="15.75" hidden="false" customHeight="false" outlineLevel="0" collapsed="false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 customFormat="false" ht="15.75" hidden="false" customHeight="false" outlineLevel="0" collapsed="false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 customFormat="false" ht="15.75" hidden="false" customHeight="false" outlineLevel="0" collapsed="false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 customFormat="false" ht="15.75" hidden="false" customHeight="false" outlineLevel="0" collapsed="false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 customFormat="false" ht="15.75" hidden="false" customHeight="false" outlineLevel="0" collapsed="false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 customFormat="false" ht="15.75" hidden="false" customHeight="false" outlineLevel="0" collapsed="false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 customFormat="false" ht="15.75" hidden="false" customHeight="false" outlineLevel="0" collapsed="false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 customFormat="false" ht="15.75" hidden="false" customHeight="false" outlineLevel="0" collapsed="false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 customFormat="false" ht="15.75" hidden="false" customHeight="false" outlineLevel="0" collapsed="false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 customFormat="false" ht="15.75" hidden="false" customHeight="false" outlineLevel="0" collapsed="false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 customFormat="false" ht="15.75" hidden="false" customHeight="false" outlineLevel="0" collapsed="false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 customFormat="false" ht="15.75" hidden="false" customHeight="false" outlineLevel="0" collapsed="false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 customFormat="false" ht="15.75" hidden="false" customHeight="false" outlineLevel="0" collapsed="false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 customFormat="false" ht="15.75" hidden="false" customHeight="false" outlineLevel="0" collapsed="false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 customFormat="false" ht="15.75" hidden="false" customHeight="false" outlineLevel="0" collapsed="false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 customFormat="false" ht="15.75" hidden="false" customHeight="false" outlineLevel="0" collapsed="false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 customFormat="false" ht="15.75" hidden="false" customHeight="false" outlineLevel="0" collapsed="false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 customFormat="false" ht="15.75" hidden="false" customHeight="false" outlineLevel="0" collapsed="false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 customFormat="false" ht="15.75" hidden="false" customHeight="false" outlineLevel="0" collapsed="false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 customFormat="false" ht="15.75" hidden="false" customHeight="false" outlineLevel="0" collapsed="false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 customFormat="false" ht="15.75" hidden="false" customHeight="false" outlineLevel="0" collapsed="false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 customFormat="false" ht="15.75" hidden="false" customHeight="false" outlineLevel="0" collapsed="false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 customFormat="false" ht="15.75" hidden="false" customHeight="false" outlineLevel="0" collapsed="false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 customFormat="false" ht="15.75" hidden="false" customHeight="false" outlineLevel="0" collapsed="false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 customFormat="false" ht="15.75" hidden="false" customHeight="false" outlineLevel="0" collapsed="false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 customFormat="false" ht="15.75" hidden="false" customHeight="false" outlineLevel="0" collapsed="false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 customFormat="false" ht="15.75" hidden="false" customHeight="false" outlineLevel="0" collapsed="false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 customFormat="false" ht="15.75" hidden="false" customHeight="false" outlineLevel="0" collapsed="false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 customFormat="false" ht="15.75" hidden="false" customHeight="false" outlineLevel="0" collapsed="false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 customFormat="false" ht="15.75" hidden="false" customHeight="false" outlineLevel="0" collapsed="false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 customFormat="false" ht="15.75" hidden="false" customHeight="false" outlineLevel="0" collapsed="false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 customFormat="false" ht="15.75" hidden="false" customHeight="false" outlineLevel="0" collapsed="false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 customFormat="false" ht="15.75" hidden="false" customHeight="false" outlineLevel="0" collapsed="false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 customFormat="false" ht="15.75" hidden="false" customHeight="false" outlineLevel="0" collapsed="false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 customFormat="false" ht="15.75" hidden="false" customHeight="false" outlineLevel="0" collapsed="false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 customFormat="false" ht="15.75" hidden="false" customHeight="false" outlineLevel="0" collapsed="false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 customFormat="false" ht="15.75" hidden="false" customHeight="false" outlineLevel="0" collapsed="false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 customFormat="false" ht="15.75" hidden="false" customHeight="false" outlineLevel="0" collapsed="false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 customFormat="false" ht="15.75" hidden="false" customHeight="false" outlineLevel="0" collapsed="false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 customFormat="false" ht="15.75" hidden="false" customHeight="false" outlineLevel="0" collapsed="false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 customFormat="false" ht="15.75" hidden="false" customHeight="false" outlineLevel="0" collapsed="false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 customFormat="false" ht="15.75" hidden="false" customHeight="false" outlineLevel="0" collapsed="false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 customFormat="false" ht="15.75" hidden="false" customHeight="false" outlineLevel="0" collapsed="false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 customFormat="false" ht="15.75" hidden="false" customHeight="false" outlineLevel="0" collapsed="false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 customFormat="false" ht="15.75" hidden="false" customHeight="false" outlineLevel="0" collapsed="false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 customFormat="false" ht="15.75" hidden="false" customHeight="false" outlineLevel="0" collapsed="false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 customFormat="false" ht="15.75" hidden="false" customHeight="false" outlineLevel="0" collapsed="false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 customFormat="false" ht="15.75" hidden="false" customHeight="false" outlineLevel="0" collapsed="false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 customFormat="false" ht="15.75" hidden="false" customHeight="false" outlineLevel="0" collapsed="false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 customFormat="false" ht="15.75" hidden="false" customHeight="false" outlineLevel="0" collapsed="false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 customFormat="false" ht="15.75" hidden="false" customHeight="false" outlineLevel="0" collapsed="false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 customFormat="false" ht="15.75" hidden="false" customHeight="false" outlineLevel="0" collapsed="false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 customFormat="false" ht="15.75" hidden="false" customHeight="false" outlineLevel="0" collapsed="false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 customFormat="false" ht="15.75" hidden="false" customHeight="false" outlineLevel="0" collapsed="false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 customFormat="false" ht="15.75" hidden="false" customHeight="false" outlineLevel="0" collapsed="false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 customFormat="false" ht="15.75" hidden="false" customHeight="false" outlineLevel="0" collapsed="false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 customFormat="false" ht="15.75" hidden="false" customHeight="false" outlineLevel="0" collapsed="false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 customFormat="false" ht="15.75" hidden="false" customHeight="false" outlineLevel="0" collapsed="false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 customFormat="false" ht="15.75" hidden="false" customHeight="false" outlineLevel="0" collapsed="false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 customFormat="false" ht="15.75" hidden="false" customHeight="false" outlineLevel="0" collapsed="false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 customFormat="false" ht="15.75" hidden="false" customHeight="false" outlineLevel="0" collapsed="false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 customFormat="false" ht="15.75" hidden="false" customHeight="false" outlineLevel="0" collapsed="false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 customFormat="false" ht="15.75" hidden="false" customHeight="false" outlineLevel="0" collapsed="false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 customFormat="false" ht="15.75" hidden="false" customHeight="false" outlineLevel="0" collapsed="false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 customFormat="false" ht="15.75" hidden="false" customHeight="false" outlineLevel="0" collapsed="false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 customFormat="false" ht="15.75" hidden="false" customHeight="false" outlineLevel="0" collapsed="false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 customFormat="false" ht="15.75" hidden="false" customHeight="false" outlineLevel="0" collapsed="false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 customFormat="false" ht="15.75" hidden="false" customHeight="false" outlineLevel="0" collapsed="false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 customFormat="false" ht="15.75" hidden="false" customHeight="false" outlineLevel="0" collapsed="false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 customFormat="false" ht="15.75" hidden="false" customHeight="false" outlineLevel="0" collapsed="false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 customFormat="false" ht="15.75" hidden="false" customHeight="false" outlineLevel="0" collapsed="false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 customFormat="false" ht="15.75" hidden="false" customHeight="false" outlineLevel="0" collapsed="false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 customFormat="false" ht="15.75" hidden="false" customHeight="false" outlineLevel="0" collapsed="false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 customFormat="false" ht="15.75" hidden="false" customHeight="false" outlineLevel="0" collapsed="false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 customFormat="false" ht="15.75" hidden="false" customHeight="false" outlineLevel="0" collapsed="false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 customFormat="false" ht="15.75" hidden="false" customHeight="false" outlineLevel="0" collapsed="false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 customFormat="false" ht="15.75" hidden="false" customHeight="false" outlineLevel="0" collapsed="false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 customFormat="false" ht="15.75" hidden="false" customHeight="false" outlineLevel="0" collapsed="false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 customFormat="false" ht="15.75" hidden="false" customHeight="false" outlineLevel="0" collapsed="false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 customFormat="false" ht="15.75" hidden="false" customHeight="false" outlineLevel="0" collapsed="false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 customFormat="false" ht="15.75" hidden="false" customHeight="false" outlineLevel="0" collapsed="false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 customFormat="false" ht="15.75" hidden="false" customHeight="false" outlineLevel="0" collapsed="false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 customFormat="false" ht="15.75" hidden="false" customHeight="false" outlineLevel="0" collapsed="false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 customFormat="false" ht="15.75" hidden="false" customHeight="false" outlineLevel="0" collapsed="false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 customFormat="false" ht="15.75" hidden="false" customHeight="false" outlineLevel="0" collapsed="false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 customFormat="false" ht="15.75" hidden="false" customHeight="false" outlineLevel="0" collapsed="false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 customFormat="false" ht="15.75" hidden="false" customHeight="false" outlineLevel="0" collapsed="false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 customFormat="false" ht="15.75" hidden="false" customHeight="false" outlineLevel="0" collapsed="false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 customFormat="false" ht="15.75" hidden="false" customHeight="false" outlineLevel="0" collapsed="false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 customFormat="false" ht="15.75" hidden="false" customHeight="false" outlineLevel="0" collapsed="false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 customFormat="false" ht="15.75" hidden="false" customHeight="false" outlineLevel="0" collapsed="false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 customFormat="false" ht="15.75" hidden="false" customHeight="false" outlineLevel="0" collapsed="false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 customFormat="false" ht="15.75" hidden="false" customHeight="false" outlineLevel="0" collapsed="false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 customFormat="false" ht="15.75" hidden="false" customHeight="false" outlineLevel="0" collapsed="false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 customFormat="false" ht="15.75" hidden="false" customHeight="false" outlineLevel="0" collapsed="false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 customFormat="false" ht="15.75" hidden="false" customHeight="false" outlineLevel="0" collapsed="false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 customFormat="false" ht="15.75" hidden="false" customHeight="false" outlineLevel="0" collapsed="false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 customFormat="false" ht="15.75" hidden="false" customHeight="false" outlineLevel="0" collapsed="false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 customFormat="false" ht="15.75" hidden="false" customHeight="false" outlineLevel="0" collapsed="false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 customFormat="false" ht="15.75" hidden="false" customHeight="false" outlineLevel="0" collapsed="false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 customFormat="false" ht="15.75" hidden="false" customHeight="false" outlineLevel="0" collapsed="false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 customFormat="false" ht="15.75" hidden="false" customHeight="false" outlineLevel="0" collapsed="false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 customFormat="false" ht="15.75" hidden="false" customHeight="false" outlineLevel="0" collapsed="false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 customFormat="false" ht="15.75" hidden="false" customHeight="false" outlineLevel="0" collapsed="false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 customFormat="false" ht="15.75" hidden="false" customHeight="false" outlineLevel="0" collapsed="false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 customFormat="false" ht="15.75" hidden="false" customHeight="false" outlineLevel="0" collapsed="false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 customFormat="false" ht="15.75" hidden="false" customHeight="false" outlineLevel="0" collapsed="false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 customFormat="false" ht="15.75" hidden="false" customHeight="false" outlineLevel="0" collapsed="false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 customFormat="false" ht="15.75" hidden="false" customHeight="false" outlineLevel="0" collapsed="false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 customFormat="false" ht="15.75" hidden="false" customHeight="false" outlineLevel="0" collapsed="false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 customFormat="false" ht="15.75" hidden="false" customHeight="false" outlineLevel="0" collapsed="false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 customFormat="false" ht="15.75" hidden="false" customHeight="false" outlineLevel="0" collapsed="false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 customFormat="false" ht="15.75" hidden="false" customHeight="false" outlineLevel="0" collapsed="false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 customFormat="false" ht="15.75" hidden="false" customHeight="false" outlineLevel="0" collapsed="false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 customFormat="false" ht="15.75" hidden="false" customHeight="false" outlineLevel="0" collapsed="false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 customFormat="false" ht="15.75" hidden="false" customHeight="false" outlineLevel="0" collapsed="false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 customFormat="false" ht="15.75" hidden="false" customHeight="false" outlineLevel="0" collapsed="false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 customFormat="false" ht="15.75" hidden="false" customHeight="false" outlineLevel="0" collapsed="false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 customFormat="false" ht="15.75" hidden="false" customHeight="false" outlineLevel="0" collapsed="false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 customFormat="false" ht="15.75" hidden="false" customHeight="false" outlineLevel="0" collapsed="false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 customFormat="false" ht="15.75" hidden="false" customHeight="false" outlineLevel="0" collapsed="false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 customFormat="false" ht="15.75" hidden="false" customHeight="false" outlineLevel="0" collapsed="false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 customFormat="false" ht="15.75" hidden="false" customHeight="false" outlineLevel="0" collapsed="false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 customFormat="false" ht="15.75" hidden="false" customHeight="false" outlineLevel="0" collapsed="false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 customFormat="false" ht="15.75" hidden="false" customHeight="false" outlineLevel="0" collapsed="false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 customFormat="false" ht="15.75" hidden="false" customHeight="false" outlineLevel="0" collapsed="false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 customFormat="false" ht="15.75" hidden="false" customHeight="false" outlineLevel="0" collapsed="false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 customFormat="false" ht="15.75" hidden="false" customHeight="false" outlineLevel="0" collapsed="false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  <row r="1001" customFormat="false" ht="15.75" hidden="false" customHeight="false" outlineLevel="0" collapsed="false">
      <c r="A1001" s="140"/>
      <c r="B1001" s="140"/>
      <c r="C1001" s="140"/>
      <c r="D1001" s="140"/>
      <c r="E1001" s="140"/>
      <c r="F1001" s="140"/>
      <c r="G1001" s="140"/>
      <c r="H1001" s="140"/>
      <c r="I1001" s="140"/>
      <c r="J1001" s="140"/>
      <c r="K1001" s="140"/>
      <c r="L1001" s="140"/>
      <c r="M1001" s="140"/>
      <c r="N1001" s="140"/>
      <c r="O1001" s="140"/>
      <c r="P1001" s="140"/>
      <c r="Q1001" s="140"/>
      <c r="R1001" s="140"/>
      <c r="S1001" s="140"/>
      <c r="T1001" s="140"/>
      <c r="U1001" s="140"/>
      <c r="V1001" s="140"/>
      <c r="W1001" s="140"/>
      <c r="X1001" s="140"/>
      <c r="Y1001" s="140"/>
      <c r="Z1001" s="14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40" t="s">
        <v>93</v>
      </c>
      <c r="B1" s="140" t="s">
        <v>68</v>
      </c>
      <c r="C1" s="140" t="s">
        <v>25</v>
      </c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customFormat="false" ht="15.75" hidden="false" customHeight="false" outlineLevel="0" collapsed="false">
      <c r="A2" s="140" t="s">
        <v>94</v>
      </c>
      <c r="B2" s="140" t="s">
        <v>94</v>
      </c>
      <c r="C2" s="140" t="s">
        <v>24</v>
      </c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 customFormat="false" ht="15.75" hidden="false" customHeight="false" outlineLevel="0" collapsed="false">
      <c r="A3" s="140" t="s">
        <v>95</v>
      </c>
      <c r="B3" s="140" t="s">
        <v>96</v>
      </c>
      <c r="C3" s="140" t="s">
        <v>27</v>
      </c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customFormat="false" ht="15.75" hidden="false" customHeight="false" outlineLevel="0" collapsed="false">
      <c r="A4" s="140" t="s">
        <v>96</v>
      </c>
      <c r="B4" s="140"/>
      <c r="C4" s="140" t="s">
        <v>21</v>
      </c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 customFormat="false" ht="15.75" hidden="false" customHeight="false" outlineLevel="0" collapsed="false">
      <c r="A5" s="140"/>
      <c r="B5" s="140"/>
      <c r="C5" s="140" t="s">
        <v>37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 customFormat="false" ht="15.75" hidden="false" customHeight="false" outlineLevel="0" collapsed="false">
      <c r="A6" s="140"/>
      <c r="B6" s="140"/>
      <c r="C6" s="140" t="s">
        <v>26</v>
      </c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 customFormat="false" ht="15.75" hidden="false" customHeight="false" outlineLevel="0" collapsed="false">
      <c r="A7" s="140"/>
      <c r="B7" s="140"/>
      <c r="C7" s="140" t="s">
        <v>28</v>
      </c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 customFormat="false" ht="15.75" hidden="false" customHeight="false" outlineLevel="0" collapsed="false">
      <c r="A8" s="140"/>
      <c r="B8" s="140"/>
      <c r="C8" s="140" t="s">
        <v>23</v>
      </c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customFormat="false" ht="15.75" hidden="false" customHeight="false" outlineLevel="0" collapsed="false">
      <c r="A9" s="140"/>
      <c r="B9" s="140"/>
      <c r="C9" s="140" t="s">
        <v>22</v>
      </c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customFormat="false" ht="15.75" hidden="false" customHeight="false" outlineLevel="0" collapsed="false">
      <c r="A10" s="140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customFormat="false" ht="15.75" hidden="false" customHeight="false" outlineLevel="0" collapsed="false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customFormat="false" ht="15.75" hidden="false" customHeight="false" outlineLevel="0" collapsed="false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 customFormat="false" ht="15.75" hidden="false" customHeight="false" outlineLevel="0" collapsed="false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customFormat="false" ht="15.75" hidden="false" customHeight="false" outlineLevel="0" collapsed="false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customFormat="false" ht="15.75" hidden="false" customHeight="false" outlineLevel="0" collapsed="false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customFormat="false" ht="15.75" hidden="false" customHeight="false" outlineLevel="0" collapsed="false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customFormat="false" ht="15.75" hidden="false" customHeight="false" outlineLevel="0" collapsed="false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customFormat="false" ht="15.75" hidden="false" customHeight="false" outlineLevel="0" collapsed="false">
      <c r="A18" s="140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customFormat="false" ht="15.75" hidden="false" customHeight="false" outlineLevel="0" collapsed="false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customFormat="false" ht="15.75" hidden="false" customHeight="false" outlineLevel="0" collapsed="false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customFormat="false" ht="15.75" hidden="false" customHeight="false" outlineLevel="0" collapsed="false">
      <c r="A21" s="140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customFormat="false" ht="15.75" hidden="false" customHeight="false" outlineLevel="0" collapsed="false">
      <c r="A22" s="140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customFormat="false" ht="15.75" hidden="false" customHeight="false" outlineLevel="0" collapsed="false">
      <c r="A23" s="140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customFormat="false" ht="15.75" hidden="false" customHeight="false" outlineLevel="0" collapsed="false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customFormat="false" ht="15.75" hidden="false" customHeight="false" outlineLevel="0" collapsed="false">
      <c r="A25" s="14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customFormat="false" ht="15.75" hidden="false" customHeight="false" outlineLevel="0" collapsed="false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customFormat="false" ht="15.75" hidden="false" customHeight="false" outlineLevel="0" collapsed="false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customFormat="false" ht="15.75" hidden="false" customHeight="false" outlineLevel="0" collapsed="false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customFormat="false" ht="15.75" hidden="false" customHeight="false" outlineLevel="0" collapsed="false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customFormat="false" ht="15.75" hidden="false" customHeight="false" outlineLevel="0" collapsed="false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customFormat="false" ht="15.75" hidden="false" customHeight="false" outlineLevel="0" collapsed="false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customFormat="false" ht="15.75" hidden="false" customHeight="false" outlineLevel="0" collapsed="false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customFormat="false" ht="15.75" hidden="false" customHeight="false" outlineLevel="0" collapsed="false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customFormat="false" ht="15.75" hidden="false" customHeight="false" outlineLevel="0" collapsed="false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customFormat="false" ht="15.75" hidden="false" customHeight="false" outlineLevel="0" collapsed="false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customFormat="false" ht="15.75" hidden="false" customHeight="false" outlineLevel="0" collapsed="false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 customFormat="false" ht="15.75" hidden="false" customHeight="false" outlineLevel="0" collapsed="false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 customFormat="false" ht="15.75" hidden="false" customHeight="false" outlineLevel="0" collapsed="false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customFormat="false" ht="15.75" hidden="false" customHeight="false" outlineLevel="0" collapsed="false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 customFormat="false" ht="15.75" hidden="false" customHeight="false" outlineLevel="0" collapsed="false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customFormat="false" ht="15.75" hidden="false" customHeight="false" outlineLevel="0" collapsed="false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customFormat="false" ht="15.75" hidden="false" customHeight="false" outlineLevel="0" collapsed="false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customFormat="false" ht="15.75" hidden="false" customHeight="false" outlineLevel="0" collapsed="false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 customFormat="false" ht="15.75" hidden="false" customHeight="false" outlineLevel="0" collapsed="false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customFormat="false" ht="15.75" hidden="false" customHeight="false" outlineLevel="0" collapsed="false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customFormat="false" ht="15.75" hidden="false" customHeight="false" outlineLevel="0" collapsed="false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customFormat="false" ht="15.75" hidden="false" customHeight="false" outlineLevel="0" collapsed="false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customFormat="false" ht="15.75" hidden="false" customHeight="false" outlineLevel="0" collapsed="false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</row>
    <row r="49" customFormat="false" ht="15.75" hidden="false" customHeight="false" outlineLevel="0" collapsed="false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</row>
    <row r="50" customFormat="false" ht="15.75" hidden="false" customHeight="false" outlineLevel="0" collapsed="false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 customFormat="false" ht="15.75" hidden="false" customHeight="false" outlineLevel="0" collapsed="false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 customFormat="false" ht="15.75" hidden="false" customHeight="false" outlineLevel="0" collapsed="false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 customFormat="false" ht="15.75" hidden="false" customHeight="false" outlineLevel="0" collapsed="false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</row>
    <row r="54" customFormat="false" ht="15.75" hidden="false" customHeight="false" outlineLevel="0" collapsed="false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</row>
    <row r="55" customFormat="false" ht="15.75" hidden="false" customHeight="false" outlineLevel="0" collapsed="false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</row>
    <row r="56" customFormat="false" ht="15.75" hidden="false" customHeight="false" outlineLevel="0" collapsed="false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</row>
    <row r="57" customFormat="false" ht="15.75" hidden="false" customHeight="false" outlineLevel="0" collapsed="false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</row>
    <row r="58" customFormat="false" ht="15.75" hidden="false" customHeight="false" outlineLevel="0" collapsed="false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</row>
    <row r="59" customFormat="false" ht="15.75" hidden="false" customHeight="false" outlineLevel="0" collapsed="false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</row>
    <row r="60" customFormat="false" ht="15.75" hidden="false" customHeight="false" outlineLevel="0" collapsed="false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</row>
    <row r="61" customFormat="false" ht="15.75" hidden="false" customHeight="false" outlineLevel="0" collapsed="false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</row>
    <row r="62" customFormat="false" ht="15.75" hidden="false" customHeight="false" outlineLevel="0" collapsed="false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customFormat="false" ht="15.75" hidden="false" customHeight="false" outlineLevel="0" collapsed="false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</row>
    <row r="64" customFormat="false" ht="15.75" hidden="false" customHeight="false" outlineLevel="0" collapsed="false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</row>
    <row r="65" customFormat="false" ht="15.75" hidden="false" customHeight="false" outlineLevel="0" collapsed="false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</row>
    <row r="66" customFormat="false" ht="15.75" hidden="false" customHeight="false" outlineLevel="0" collapsed="false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 customFormat="false" ht="15.75" hidden="false" customHeight="false" outlineLevel="0" collapsed="false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 customFormat="false" ht="15.75" hidden="false" customHeight="false" outlineLevel="0" collapsed="false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</row>
    <row r="69" customFormat="false" ht="15.75" hidden="false" customHeight="false" outlineLevel="0" collapsed="false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</row>
    <row r="70" customFormat="false" ht="15.75" hidden="false" customHeight="false" outlineLevel="0" collapsed="false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</row>
    <row r="71" customFormat="false" ht="15.75" hidden="false" customHeight="false" outlineLevel="0" collapsed="false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</row>
    <row r="72" customFormat="false" ht="15.75" hidden="false" customHeight="false" outlineLevel="0" collapsed="false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</row>
    <row r="73" customFormat="false" ht="15.75" hidden="false" customHeight="false" outlineLevel="0" collapsed="false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</row>
    <row r="74" customFormat="false" ht="15.75" hidden="false" customHeight="false" outlineLevel="0" collapsed="false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</row>
    <row r="75" customFormat="false" ht="15.75" hidden="false" customHeight="false" outlineLevel="0" collapsed="false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</row>
    <row r="76" customFormat="false" ht="15.75" hidden="false" customHeight="false" outlineLevel="0" collapsed="false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</row>
    <row r="77" customFormat="false" ht="15.75" hidden="false" customHeight="false" outlineLevel="0" collapsed="false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</row>
    <row r="78" customFormat="false" ht="15.75" hidden="false" customHeight="false" outlineLevel="0" collapsed="false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</row>
    <row r="79" customFormat="false" ht="15.75" hidden="false" customHeight="false" outlineLevel="0" collapsed="false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</row>
    <row r="80" customFormat="false" ht="15.75" hidden="false" customHeight="false" outlineLevel="0" collapsed="false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</row>
    <row r="81" customFormat="false" ht="15.75" hidden="false" customHeight="false" outlineLevel="0" collapsed="false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 customFormat="false" ht="15.75" hidden="false" customHeight="false" outlineLevel="0" collapsed="false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</row>
    <row r="83" customFormat="false" ht="15.75" hidden="false" customHeight="false" outlineLevel="0" collapsed="false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</row>
    <row r="84" customFormat="false" ht="15.75" hidden="false" customHeight="false" outlineLevel="0" collapsed="false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</row>
    <row r="85" customFormat="false" ht="15.75" hidden="false" customHeight="false" outlineLevel="0" collapsed="false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</row>
    <row r="86" customFormat="false" ht="15.75" hidden="false" customHeight="false" outlineLevel="0" collapsed="false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</row>
    <row r="87" customFormat="false" ht="15.75" hidden="false" customHeight="false" outlineLevel="0" collapsed="false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</row>
    <row r="88" customFormat="false" ht="15.75" hidden="false" customHeight="false" outlineLevel="0" collapsed="false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</row>
    <row r="89" customFormat="false" ht="15.75" hidden="false" customHeight="false" outlineLevel="0" collapsed="false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customFormat="false" ht="15.75" hidden="false" customHeight="false" outlineLevel="0" collapsed="false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 customFormat="false" ht="15.75" hidden="false" customHeight="false" outlineLevel="0" collapsed="false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</row>
    <row r="92" customFormat="false" ht="15.75" hidden="false" customHeight="false" outlineLevel="0" collapsed="false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</row>
    <row r="93" customFormat="false" ht="15.75" hidden="false" customHeight="false" outlineLevel="0" collapsed="false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</row>
    <row r="94" customFormat="false" ht="15.75" hidden="false" customHeight="false" outlineLevel="0" collapsed="false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</row>
    <row r="95" customFormat="false" ht="15.75" hidden="false" customHeight="false" outlineLevel="0" collapsed="false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</row>
    <row r="96" customFormat="false" ht="15.75" hidden="false" customHeight="false" outlineLevel="0" collapsed="false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</row>
    <row r="97" customFormat="false" ht="15.75" hidden="false" customHeight="false" outlineLevel="0" collapsed="false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</row>
    <row r="98" customFormat="false" ht="15.75" hidden="false" customHeight="false" outlineLevel="0" collapsed="false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</row>
    <row r="99" customFormat="false" ht="15.75" hidden="false" customHeight="false" outlineLevel="0" collapsed="false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</row>
    <row r="100" customFormat="false" ht="15.75" hidden="false" customHeight="false" outlineLevel="0" collapsed="false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</row>
    <row r="101" customFormat="false" ht="15.75" hidden="false" customHeight="false" outlineLevel="0" collapsed="false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 customFormat="false" ht="15.75" hidden="false" customHeight="false" outlineLevel="0" collapsed="false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 customFormat="false" ht="15.75" hidden="false" customHeight="false" outlineLevel="0" collapsed="false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 customFormat="false" ht="15.75" hidden="false" customHeight="false" outlineLevel="0" collapsed="false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 customFormat="false" ht="15.75" hidden="false" customHeight="false" outlineLevel="0" collapsed="false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 customFormat="false" ht="15.75" hidden="false" customHeight="false" outlineLevel="0" collapsed="false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 customFormat="false" ht="15.75" hidden="false" customHeight="false" outlineLevel="0" collapsed="false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 customFormat="false" ht="15.75" hidden="false" customHeight="false" outlineLevel="0" collapsed="false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 customFormat="false" ht="15.75" hidden="false" customHeight="false" outlineLevel="0" collapsed="false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 customFormat="false" ht="15.75" hidden="false" customHeight="false" outlineLevel="0" collapsed="false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 customFormat="false" ht="15.75" hidden="false" customHeight="false" outlineLevel="0" collapsed="false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 customFormat="false" ht="15.75" hidden="false" customHeight="false" outlineLevel="0" collapsed="false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 customFormat="false" ht="15.75" hidden="false" customHeight="false" outlineLevel="0" collapsed="false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 customFormat="false" ht="15.75" hidden="false" customHeight="false" outlineLevel="0" collapsed="false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 customFormat="false" ht="15.75" hidden="false" customHeight="false" outlineLevel="0" collapsed="false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 customFormat="false" ht="15.75" hidden="false" customHeight="false" outlineLevel="0" collapsed="false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 customFormat="false" ht="15.75" hidden="false" customHeight="false" outlineLevel="0" collapsed="false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 customFormat="false" ht="15.75" hidden="false" customHeight="false" outlineLevel="0" collapsed="false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 customFormat="false" ht="15.75" hidden="false" customHeight="false" outlineLevel="0" collapsed="false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 customFormat="false" ht="15.75" hidden="false" customHeight="false" outlineLevel="0" collapsed="false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 customFormat="false" ht="15.75" hidden="false" customHeight="fals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 customFormat="false" ht="15.75" hidden="false" customHeight="false" outlineLevel="0" collapsed="false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 customFormat="false" ht="15.75" hidden="false" customHeight="fals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 customFormat="false" ht="15.75" hidden="false" customHeight="false" outlineLevel="0" collapsed="false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 customFormat="false" ht="15.75" hidden="false" customHeight="fals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 customFormat="false" ht="15.75" hidden="false" customHeight="false" outlineLevel="0" collapsed="false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 customFormat="false" ht="15.75" hidden="false" customHeight="fals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 customFormat="false" ht="15.75" hidden="false" customHeight="false" outlineLevel="0" collapsed="false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 customFormat="false" ht="15.75" hidden="false" customHeight="fals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 customFormat="false" ht="15.75" hidden="false" customHeight="false" outlineLevel="0" collapsed="false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 customFormat="false" ht="15.75" hidden="false" customHeight="fals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 customFormat="false" ht="15.75" hidden="false" customHeight="false" outlineLevel="0" collapsed="false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 customFormat="false" ht="15.75" hidden="false" customHeight="fals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 customFormat="false" ht="15.75" hidden="false" customHeight="false" outlineLevel="0" collapsed="false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 customFormat="false" ht="15.75" hidden="false" customHeight="fals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 customFormat="false" ht="15.75" hidden="false" customHeight="false" outlineLevel="0" collapsed="false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 customFormat="false" ht="15.75" hidden="false" customHeight="fals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 customFormat="false" ht="15.75" hidden="false" customHeight="false" outlineLevel="0" collapsed="false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 customFormat="false" ht="15.75" hidden="false" customHeight="fals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 customFormat="false" ht="15.75" hidden="false" customHeight="false" outlineLevel="0" collapsed="false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 customFormat="false" ht="15.75" hidden="false" customHeight="fals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 customFormat="false" ht="15.75" hidden="false" customHeight="false" outlineLevel="0" collapsed="false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 customFormat="false" ht="15.75" hidden="false" customHeight="fals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 customFormat="false" ht="15.75" hidden="false" customHeight="false" outlineLevel="0" collapsed="false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 customFormat="false" ht="15.75" hidden="false" customHeight="fals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 customFormat="false" ht="15.75" hidden="false" customHeight="false" outlineLevel="0" collapsed="false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 customFormat="false" ht="15.75" hidden="false" customHeight="fals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 customFormat="false" ht="15.75" hidden="false" customHeight="false" outlineLevel="0" collapsed="false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 customFormat="false" ht="15.75" hidden="false" customHeight="fals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 customFormat="false" ht="15.75" hidden="false" customHeight="false" outlineLevel="0" collapsed="false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 customFormat="false" ht="15.75" hidden="false" customHeight="fals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 customFormat="false" ht="15.75" hidden="false" customHeight="false" outlineLevel="0" collapsed="false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 customFormat="false" ht="15.75" hidden="false" customHeight="fals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 customFormat="false" ht="15.75" hidden="false" customHeight="false" outlineLevel="0" collapsed="false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 customFormat="false" ht="15.75" hidden="false" customHeight="fals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customFormat="false" ht="15.75" hidden="false" customHeight="false" outlineLevel="0" collapsed="false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customFormat="false" ht="15.75" hidden="false" customHeight="fals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customFormat="false" ht="15.75" hidden="false" customHeight="false" outlineLevel="0" collapsed="false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customFormat="false" ht="15.75" hidden="false" customHeight="fals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customFormat="false" ht="15.75" hidden="false" customHeight="false" outlineLevel="0" collapsed="false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 customFormat="false" ht="15.75" hidden="false" customHeight="fals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 customFormat="false" ht="15.75" hidden="false" customHeight="false" outlineLevel="0" collapsed="false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 customFormat="false" ht="15.75" hidden="false" customHeight="fals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 customFormat="false" ht="15.75" hidden="false" customHeight="false" outlineLevel="0" collapsed="false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 customFormat="false" ht="15.75" hidden="false" customHeight="fals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 customFormat="false" ht="15.75" hidden="false" customHeight="false" outlineLevel="0" collapsed="false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 customFormat="false" ht="15.75" hidden="false" customHeight="fals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 customFormat="false" ht="15.75" hidden="false" customHeight="false" outlineLevel="0" collapsed="false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 customFormat="false" ht="15.75" hidden="false" customHeight="fals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 customFormat="false" ht="15.75" hidden="false" customHeight="false" outlineLevel="0" collapsed="false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 customFormat="false" ht="15.75" hidden="false" customHeight="fals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 customFormat="false" ht="15.75" hidden="false" customHeight="false" outlineLevel="0" collapsed="false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 customFormat="false" ht="15.75" hidden="false" customHeight="fals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 customFormat="false" ht="15.75" hidden="false" customHeight="false" outlineLevel="0" collapsed="false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 customFormat="false" ht="15.75" hidden="false" customHeight="fals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 customFormat="false" ht="15.75" hidden="false" customHeight="false" outlineLevel="0" collapsed="false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 customFormat="false" ht="15.75" hidden="false" customHeight="fals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 customFormat="false" ht="15.75" hidden="false" customHeight="false" outlineLevel="0" collapsed="false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 customFormat="false" ht="15.75" hidden="false" customHeight="fals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 customFormat="false" ht="15.75" hidden="false" customHeight="false" outlineLevel="0" collapsed="false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 customFormat="false" ht="15.75" hidden="false" customHeight="fals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 customFormat="false" ht="15.75" hidden="false" customHeight="false" outlineLevel="0" collapsed="false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 customFormat="false" ht="15.75" hidden="false" customHeight="fals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 customFormat="false" ht="15.75" hidden="false" customHeight="false" outlineLevel="0" collapsed="false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 customFormat="false" ht="15.75" hidden="false" customHeight="fals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 customFormat="false" ht="15.75" hidden="false" customHeight="false" outlineLevel="0" collapsed="false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 customFormat="false" ht="15.75" hidden="false" customHeight="fals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 customFormat="false" ht="15.75" hidden="false" customHeight="false" outlineLevel="0" collapsed="false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 customFormat="false" ht="15.75" hidden="false" customHeight="fals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 customFormat="false" ht="15.75" hidden="false" customHeight="false" outlineLevel="0" collapsed="false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 customFormat="false" ht="15.75" hidden="false" customHeight="fals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 customFormat="false" ht="15.75" hidden="false" customHeight="false" outlineLevel="0" collapsed="false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 customFormat="false" ht="15.75" hidden="false" customHeight="fals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 customFormat="false" ht="15.75" hidden="false" customHeight="false" outlineLevel="0" collapsed="false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 customFormat="false" ht="15.75" hidden="false" customHeight="fals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 customFormat="false" ht="15.75" hidden="false" customHeight="false" outlineLevel="0" collapsed="false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 customFormat="false" ht="15.75" hidden="false" customHeight="fals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 customFormat="false" ht="15.75" hidden="false" customHeight="false" outlineLevel="0" collapsed="false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 customFormat="false" ht="15.75" hidden="false" customHeight="fals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 customFormat="false" ht="15.75" hidden="false" customHeight="false" outlineLevel="0" collapsed="false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 customFormat="false" ht="15.75" hidden="false" customHeight="fals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 customFormat="false" ht="15.75" hidden="false" customHeight="false" outlineLevel="0" collapsed="false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 customFormat="false" ht="15.75" hidden="false" customHeight="fals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 customFormat="false" ht="15.75" hidden="false" customHeight="false" outlineLevel="0" collapsed="false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 customFormat="false" ht="15.75" hidden="false" customHeight="fals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 customFormat="false" ht="15.75" hidden="false" customHeight="false" outlineLevel="0" collapsed="false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 customFormat="false" ht="15.75" hidden="false" customHeight="fals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 customFormat="false" ht="15.75" hidden="false" customHeight="false" outlineLevel="0" collapsed="false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 customFormat="false" ht="15.75" hidden="false" customHeight="fals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 customFormat="false" ht="15.75" hidden="false" customHeight="false" outlineLevel="0" collapsed="false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 customFormat="false" ht="15.75" hidden="false" customHeight="fals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 customFormat="false" ht="15.75" hidden="false" customHeight="false" outlineLevel="0" collapsed="false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 customFormat="false" ht="15.75" hidden="false" customHeight="fals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 customFormat="false" ht="15.75" hidden="false" customHeight="false" outlineLevel="0" collapsed="false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 customFormat="false" ht="15.75" hidden="false" customHeight="fals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 customFormat="false" ht="15.75" hidden="false" customHeight="false" outlineLevel="0" collapsed="false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 customFormat="false" ht="15.75" hidden="false" customHeight="fals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 customFormat="false" ht="15.75" hidden="false" customHeight="false" outlineLevel="0" collapsed="false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 customFormat="false" ht="15.75" hidden="false" customHeight="fals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 customFormat="false" ht="15.75" hidden="false" customHeight="false" outlineLevel="0" collapsed="false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 customFormat="false" ht="15.75" hidden="false" customHeight="fals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 customFormat="false" ht="15.75" hidden="false" customHeight="false" outlineLevel="0" collapsed="false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 customFormat="false" ht="15.75" hidden="false" customHeight="fals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 customFormat="false" ht="15.75" hidden="false" customHeight="false" outlineLevel="0" collapsed="false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 customFormat="false" ht="15.75" hidden="false" customHeight="fals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 customFormat="false" ht="15.75" hidden="false" customHeight="false" outlineLevel="0" collapsed="false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 customFormat="false" ht="15.75" hidden="false" customHeight="fals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 customFormat="false" ht="15.75" hidden="false" customHeight="false" outlineLevel="0" collapsed="false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 customFormat="false" ht="15.75" hidden="false" customHeight="fals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 customFormat="false" ht="15.75" hidden="false" customHeight="false" outlineLevel="0" collapsed="false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 customFormat="false" ht="15.75" hidden="false" customHeight="fals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 customFormat="false" ht="15.75" hidden="false" customHeight="false" outlineLevel="0" collapsed="false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 customFormat="false" ht="15.75" hidden="false" customHeight="fals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 customFormat="false" ht="15.75" hidden="false" customHeight="false" outlineLevel="0" collapsed="false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 customFormat="false" ht="15.75" hidden="false" customHeight="fals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 customFormat="false" ht="15.75" hidden="false" customHeight="false" outlineLevel="0" collapsed="false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 customFormat="false" ht="15.75" hidden="false" customHeight="fals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 customFormat="false" ht="15.75" hidden="false" customHeight="false" outlineLevel="0" collapsed="false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 customFormat="false" ht="15.75" hidden="false" customHeight="fals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 customFormat="false" ht="15.75" hidden="false" customHeight="false" outlineLevel="0" collapsed="false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 customFormat="false" ht="15.75" hidden="false" customHeight="fals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 customFormat="false" ht="15.75" hidden="false" customHeight="false" outlineLevel="0" collapsed="false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 customFormat="false" ht="15.75" hidden="false" customHeight="fals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 customFormat="false" ht="15.75" hidden="false" customHeight="false" outlineLevel="0" collapsed="false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 customFormat="false" ht="15.75" hidden="false" customHeight="fals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 customFormat="false" ht="15.75" hidden="false" customHeight="false" outlineLevel="0" collapsed="false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 customFormat="false" ht="15.75" hidden="false" customHeight="fals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 customFormat="false" ht="15.75" hidden="false" customHeight="false" outlineLevel="0" collapsed="false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 customFormat="false" ht="15.75" hidden="false" customHeight="fals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 customFormat="false" ht="15.75" hidden="false" customHeight="false" outlineLevel="0" collapsed="false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 customFormat="false" ht="15.75" hidden="false" customHeight="fals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 customFormat="false" ht="15.75" hidden="false" customHeight="false" outlineLevel="0" collapsed="false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 customFormat="false" ht="15.75" hidden="false" customHeight="fals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 customFormat="false" ht="15.75" hidden="false" customHeight="false" outlineLevel="0" collapsed="false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 customFormat="false" ht="15.75" hidden="false" customHeight="fals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 customFormat="false" ht="15.75" hidden="false" customHeight="false" outlineLevel="0" collapsed="false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 customFormat="false" ht="15.75" hidden="false" customHeight="fals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 customFormat="false" ht="15.75" hidden="false" customHeight="false" outlineLevel="0" collapsed="false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 customFormat="false" ht="15.75" hidden="false" customHeight="fals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 customFormat="false" ht="15.75" hidden="false" customHeight="false" outlineLevel="0" collapsed="false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 customFormat="false" ht="15.75" hidden="false" customHeight="fals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 customFormat="false" ht="15.75" hidden="false" customHeight="false" outlineLevel="0" collapsed="false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 customFormat="false" ht="15.75" hidden="false" customHeight="fals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 customFormat="false" ht="15.75" hidden="false" customHeight="false" outlineLevel="0" collapsed="false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 customFormat="false" ht="15.75" hidden="false" customHeight="fals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 customFormat="false" ht="15.75" hidden="false" customHeight="false" outlineLevel="0" collapsed="false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 customFormat="false" ht="15.75" hidden="false" customHeight="fals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 customFormat="false" ht="15.75" hidden="false" customHeight="false" outlineLevel="0" collapsed="false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 customFormat="false" ht="15.75" hidden="false" customHeight="fals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customFormat="false" ht="15.75" hidden="false" customHeight="false" outlineLevel="0" collapsed="false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customFormat="false" ht="15.75" hidden="false" customHeight="fals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customFormat="false" ht="15.75" hidden="false" customHeight="false" outlineLevel="0" collapsed="false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 customFormat="false" ht="15.75" hidden="false" customHeight="fals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 customFormat="false" ht="15.75" hidden="false" customHeight="false" outlineLevel="0" collapsed="false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 customFormat="false" ht="15.75" hidden="false" customHeight="fals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 customFormat="false" ht="15.75" hidden="false" customHeight="false" outlineLevel="0" collapsed="false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 customFormat="false" ht="15.75" hidden="false" customHeight="fals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 customFormat="false" ht="15.75" hidden="false" customHeight="false" outlineLevel="0" collapsed="false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 customFormat="false" ht="15.75" hidden="false" customHeight="fals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 customFormat="false" ht="15.75" hidden="false" customHeight="false" outlineLevel="0" collapsed="false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 customFormat="false" ht="15.75" hidden="false" customHeight="fals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 customFormat="false" ht="15.75" hidden="false" customHeight="false" outlineLevel="0" collapsed="false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 customFormat="false" ht="15.75" hidden="false" customHeight="fals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 customFormat="false" ht="15.75" hidden="false" customHeight="false" outlineLevel="0" collapsed="false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 customFormat="false" ht="15.75" hidden="false" customHeight="fals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 customFormat="false" ht="15.75" hidden="false" customHeight="false" outlineLevel="0" collapsed="false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 customFormat="false" ht="15.75" hidden="false" customHeight="fals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 customFormat="false" ht="15.75" hidden="false" customHeight="false" outlineLevel="0" collapsed="false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 customFormat="false" ht="15.75" hidden="false" customHeight="fals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 customFormat="false" ht="15.75" hidden="false" customHeight="false" outlineLevel="0" collapsed="false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 customFormat="false" ht="15.75" hidden="false" customHeight="fals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 customFormat="false" ht="15.75" hidden="false" customHeight="false" outlineLevel="0" collapsed="false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 customFormat="false" ht="15.75" hidden="false" customHeight="fals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 customFormat="false" ht="15.75" hidden="false" customHeight="false" outlineLevel="0" collapsed="false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 customFormat="false" ht="15.75" hidden="false" customHeight="fals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 customFormat="false" ht="15.75" hidden="false" customHeight="false" outlineLevel="0" collapsed="false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 customFormat="false" ht="15.75" hidden="false" customHeight="fals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 customFormat="false" ht="15.75" hidden="false" customHeight="false" outlineLevel="0" collapsed="false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 customFormat="false" ht="15.75" hidden="false" customHeight="fals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 customFormat="false" ht="15.75" hidden="false" customHeight="false" outlineLevel="0" collapsed="false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 customFormat="false" ht="15.75" hidden="false" customHeight="fals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 customFormat="false" ht="15.75" hidden="false" customHeight="false" outlineLevel="0" collapsed="false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 customFormat="false" ht="15.75" hidden="false" customHeight="fals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 customFormat="false" ht="15.75" hidden="false" customHeight="false" outlineLevel="0" collapsed="false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 customFormat="false" ht="15.75" hidden="false" customHeight="fals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 customFormat="false" ht="15.75" hidden="false" customHeight="false" outlineLevel="0" collapsed="false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 customFormat="false" ht="15.75" hidden="false" customHeight="fals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 customFormat="false" ht="15.75" hidden="false" customHeight="false" outlineLevel="0" collapsed="false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 customFormat="false" ht="15.75" hidden="false" customHeight="fals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 customFormat="false" ht="15.75" hidden="false" customHeight="false" outlineLevel="0" collapsed="false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 customFormat="false" ht="15.75" hidden="false" customHeight="fals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 customFormat="false" ht="15.75" hidden="false" customHeight="false" outlineLevel="0" collapsed="false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 customFormat="false" ht="15.75" hidden="false" customHeight="fals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 customFormat="false" ht="15.75" hidden="false" customHeight="false" outlineLevel="0" collapsed="false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 customFormat="false" ht="15.75" hidden="false" customHeight="fals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 customFormat="false" ht="15.75" hidden="false" customHeight="false" outlineLevel="0" collapsed="false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 customFormat="false" ht="15.75" hidden="false" customHeight="fals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 customFormat="false" ht="15.75" hidden="false" customHeight="false" outlineLevel="0" collapsed="false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 customFormat="false" ht="15.75" hidden="false" customHeight="fals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 customFormat="false" ht="15.75" hidden="false" customHeight="false" outlineLevel="0" collapsed="false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 customFormat="false" ht="15.75" hidden="false" customHeight="fals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 customFormat="false" ht="15.75" hidden="false" customHeight="false" outlineLevel="0" collapsed="false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 customFormat="false" ht="15.75" hidden="false" customHeight="fals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 customFormat="false" ht="15.75" hidden="false" customHeight="false" outlineLevel="0" collapsed="false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 customFormat="false" ht="15.75" hidden="false" customHeight="fals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 customFormat="false" ht="15.75" hidden="false" customHeight="false" outlineLevel="0" collapsed="false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 customFormat="false" ht="15.75" hidden="false" customHeight="fals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 customFormat="false" ht="15.75" hidden="false" customHeight="false" outlineLevel="0" collapsed="false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 customFormat="false" ht="15.75" hidden="false" customHeight="fals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 customFormat="false" ht="15.75" hidden="false" customHeight="false" outlineLevel="0" collapsed="false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 customFormat="false" ht="15.75" hidden="false" customHeight="fals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 customFormat="false" ht="15.75" hidden="false" customHeight="false" outlineLevel="0" collapsed="false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 customFormat="false" ht="15.75" hidden="false" customHeight="fals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 customFormat="false" ht="15.75" hidden="false" customHeight="false" outlineLevel="0" collapsed="false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 customFormat="false" ht="15.75" hidden="false" customHeight="fals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 customFormat="false" ht="15.75" hidden="false" customHeight="false" outlineLevel="0" collapsed="false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 customFormat="false" ht="15.75" hidden="false" customHeight="fals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 customFormat="false" ht="15.75" hidden="false" customHeight="false" outlineLevel="0" collapsed="false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 customFormat="false" ht="15.75" hidden="false" customHeight="fals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 customFormat="false" ht="15.75" hidden="false" customHeight="false" outlineLevel="0" collapsed="false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 customFormat="false" ht="15.75" hidden="false" customHeight="fals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 customFormat="false" ht="15.75" hidden="false" customHeight="false" outlineLevel="0" collapsed="false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 customFormat="false" ht="15.75" hidden="false" customHeight="fals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 customFormat="false" ht="15.75" hidden="false" customHeight="false" outlineLevel="0" collapsed="false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 customFormat="false" ht="15.75" hidden="false" customHeight="fals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 customFormat="false" ht="15.75" hidden="false" customHeight="false" outlineLevel="0" collapsed="false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 customFormat="false" ht="15.75" hidden="false" customHeight="fals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 customFormat="false" ht="15.75" hidden="false" customHeight="false" outlineLevel="0" collapsed="false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 customFormat="false" ht="15.75" hidden="false" customHeight="fals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 customFormat="false" ht="15.75" hidden="false" customHeight="false" outlineLevel="0" collapsed="false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 customFormat="false" ht="15.75" hidden="false" customHeight="fals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 customFormat="false" ht="15.75" hidden="false" customHeight="false" outlineLevel="0" collapsed="false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 customFormat="false" ht="15.75" hidden="false" customHeight="fals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 customFormat="false" ht="15.75" hidden="false" customHeight="false" outlineLevel="0" collapsed="false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 customFormat="false" ht="15.75" hidden="false" customHeight="fals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 customFormat="false" ht="15.75" hidden="false" customHeight="false" outlineLevel="0" collapsed="false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 customFormat="false" ht="15.75" hidden="false" customHeight="fals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 customFormat="false" ht="15.75" hidden="false" customHeight="false" outlineLevel="0" collapsed="false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 customFormat="false" ht="15.75" hidden="false" customHeight="fals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 customFormat="false" ht="15.75" hidden="false" customHeight="false" outlineLevel="0" collapsed="false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 customFormat="false" ht="15.75" hidden="false" customHeight="fals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 customFormat="false" ht="15.75" hidden="false" customHeight="false" outlineLevel="0" collapsed="false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 customFormat="false" ht="15.75" hidden="false" customHeight="fals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 customFormat="false" ht="15.75" hidden="false" customHeight="false" outlineLevel="0" collapsed="false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 customFormat="false" ht="15.75" hidden="false" customHeight="fals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 customFormat="false" ht="15.75" hidden="false" customHeight="false" outlineLevel="0" collapsed="false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 customFormat="false" ht="15.75" hidden="false" customHeight="fals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 customFormat="false" ht="15.75" hidden="false" customHeight="false" outlineLevel="0" collapsed="false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 customFormat="false" ht="15.75" hidden="false" customHeight="fals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 customFormat="false" ht="15.75" hidden="false" customHeight="false" outlineLevel="0" collapsed="false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 customFormat="false" ht="15.75" hidden="false" customHeight="fals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 customFormat="false" ht="15.75" hidden="false" customHeight="false" outlineLevel="0" collapsed="false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 customFormat="false" ht="15.75" hidden="false" customHeight="fals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 customFormat="false" ht="15.75" hidden="false" customHeight="false" outlineLevel="0" collapsed="false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 customFormat="false" ht="15.75" hidden="false" customHeight="fals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 customFormat="false" ht="15.75" hidden="false" customHeight="false" outlineLevel="0" collapsed="false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 customFormat="false" ht="15.75" hidden="false" customHeight="fals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 customFormat="false" ht="15.75" hidden="false" customHeight="false" outlineLevel="0" collapsed="false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 customFormat="false" ht="15.75" hidden="false" customHeight="fals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 customFormat="false" ht="15.75" hidden="false" customHeight="false" outlineLevel="0" collapsed="false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 customFormat="false" ht="15.75" hidden="false" customHeight="fals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 customFormat="false" ht="15.75" hidden="false" customHeight="false" outlineLevel="0" collapsed="false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 customFormat="false" ht="15.75" hidden="false" customHeight="fals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 customFormat="false" ht="15.75" hidden="false" customHeight="false" outlineLevel="0" collapsed="false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 customFormat="false" ht="15.75" hidden="false" customHeight="fals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 customFormat="false" ht="15.75" hidden="false" customHeight="false" outlineLevel="0" collapsed="false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 customFormat="false" ht="15.75" hidden="false" customHeight="fals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 customFormat="false" ht="15.75" hidden="false" customHeight="false" outlineLevel="0" collapsed="false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 customFormat="false" ht="15.75" hidden="false" customHeight="fals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 customFormat="false" ht="15.75" hidden="false" customHeight="false" outlineLevel="0" collapsed="false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 customFormat="false" ht="15.75" hidden="false" customHeight="fals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 customFormat="false" ht="15.75" hidden="false" customHeight="false" outlineLevel="0" collapsed="false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 customFormat="false" ht="15.75" hidden="false" customHeight="fals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 customFormat="false" ht="15.75" hidden="false" customHeight="false" outlineLevel="0" collapsed="false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 customFormat="false" ht="15.75" hidden="false" customHeight="fals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 customFormat="false" ht="15.75" hidden="false" customHeight="false" outlineLevel="0" collapsed="false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 customFormat="false" ht="15.75" hidden="false" customHeight="fals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 customFormat="false" ht="15.75" hidden="false" customHeight="false" outlineLevel="0" collapsed="false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 customFormat="false" ht="15.75" hidden="false" customHeight="fals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 customFormat="false" ht="15.75" hidden="false" customHeight="false" outlineLevel="0" collapsed="false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 customFormat="false" ht="15.75" hidden="false" customHeight="fals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 customFormat="false" ht="15.75" hidden="false" customHeight="false" outlineLevel="0" collapsed="false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 customFormat="false" ht="15.75" hidden="false" customHeight="fals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 customFormat="false" ht="15.75" hidden="false" customHeight="false" outlineLevel="0" collapsed="false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 customFormat="false" ht="15.75" hidden="false" customHeight="fals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 customFormat="false" ht="15.75" hidden="false" customHeight="false" outlineLevel="0" collapsed="false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 customFormat="false" ht="15.75" hidden="false" customHeight="fals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 customFormat="false" ht="15.75" hidden="false" customHeight="false" outlineLevel="0" collapsed="false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 customFormat="false" ht="15.75" hidden="false" customHeight="fals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 customFormat="false" ht="15.75" hidden="false" customHeight="false" outlineLevel="0" collapsed="false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 customFormat="false" ht="15.75" hidden="false" customHeight="fals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 customFormat="false" ht="15.75" hidden="false" customHeight="false" outlineLevel="0" collapsed="false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 customFormat="false" ht="15.75" hidden="false" customHeight="fals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 customFormat="false" ht="15.75" hidden="false" customHeight="false" outlineLevel="0" collapsed="false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 customFormat="false" ht="15.75" hidden="false" customHeight="fals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 customFormat="false" ht="15.75" hidden="false" customHeight="false" outlineLevel="0" collapsed="false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 customFormat="false" ht="15.75" hidden="false" customHeight="fals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 customFormat="false" ht="15.75" hidden="false" customHeight="false" outlineLevel="0" collapsed="false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 customFormat="false" ht="15.75" hidden="false" customHeight="fals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 customFormat="false" ht="15.75" hidden="false" customHeight="false" outlineLevel="0" collapsed="false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 customFormat="false" ht="15.75" hidden="false" customHeight="fals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 customFormat="false" ht="15.75" hidden="false" customHeight="false" outlineLevel="0" collapsed="false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 customFormat="false" ht="15.75" hidden="false" customHeight="fals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 customFormat="false" ht="15.75" hidden="false" customHeight="false" outlineLevel="0" collapsed="false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 customFormat="false" ht="15.75" hidden="false" customHeight="fals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 customFormat="false" ht="15.75" hidden="false" customHeight="false" outlineLevel="0" collapsed="false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 customFormat="false" ht="15.75" hidden="false" customHeight="fals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 customFormat="false" ht="15.75" hidden="false" customHeight="false" outlineLevel="0" collapsed="false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 customFormat="false" ht="15.75" hidden="false" customHeight="fals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 customFormat="false" ht="15.75" hidden="false" customHeight="false" outlineLevel="0" collapsed="false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 customFormat="false" ht="15.75" hidden="false" customHeight="fals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 customFormat="false" ht="15.75" hidden="false" customHeight="false" outlineLevel="0" collapsed="false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 customFormat="false" ht="15.75" hidden="false" customHeight="fals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 customFormat="false" ht="15.75" hidden="false" customHeight="false" outlineLevel="0" collapsed="false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 customFormat="false" ht="15.75" hidden="false" customHeight="fals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 customFormat="false" ht="15.75" hidden="false" customHeight="false" outlineLevel="0" collapsed="false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 customFormat="false" ht="15.75" hidden="false" customHeight="fals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 customFormat="false" ht="15.75" hidden="false" customHeight="false" outlineLevel="0" collapsed="false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 customFormat="false" ht="15.75" hidden="false" customHeight="fals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 customFormat="false" ht="15.75" hidden="false" customHeight="false" outlineLevel="0" collapsed="false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 customFormat="false" ht="15.75" hidden="false" customHeight="fals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 customFormat="false" ht="15.75" hidden="false" customHeight="false" outlineLevel="0" collapsed="false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 customFormat="false" ht="15.75" hidden="false" customHeight="fals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 customFormat="false" ht="15.75" hidden="false" customHeight="false" outlineLevel="0" collapsed="false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 customFormat="false" ht="15.75" hidden="false" customHeight="fals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 customFormat="false" ht="15.75" hidden="false" customHeight="false" outlineLevel="0" collapsed="false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 customFormat="false" ht="15.75" hidden="false" customHeight="fals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 customFormat="false" ht="15.75" hidden="false" customHeight="false" outlineLevel="0" collapsed="false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 customFormat="false" ht="15.75" hidden="false" customHeight="fals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 customFormat="false" ht="15.75" hidden="false" customHeight="false" outlineLevel="0" collapsed="false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 customFormat="false" ht="15.75" hidden="false" customHeight="fals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 customFormat="false" ht="15.75" hidden="false" customHeight="false" outlineLevel="0" collapsed="false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 customFormat="false" ht="15.75" hidden="false" customHeight="fals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 customFormat="false" ht="15.75" hidden="false" customHeight="false" outlineLevel="0" collapsed="false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 customFormat="false" ht="15.75" hidden="false" customHeight="fals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 customFormat="false" ht="15.75" hidden="false" customHeight="false" outlineLevel="0" collapsed="false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 customFormat="false" ht="15.75" hidden="false" customHeight="fals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 customFormat="false" ht="15.75" hidden="false" customHeight="false" outlineLevel="0" collapsed="false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 customFormat="false" ht="15.75" hidden="false" customHeight="fals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 customFormat="false" ht="15.75" hidden="false" customHeight="false" outlineLevel="0" collapsed="false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 customFormat="false" ht="15.75" hidden="false" customHeight="fals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 customFormat="false" ht="15.75" hidden="false" customHeight="false" outlineLevel="0" collapsed="false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 customFormat="false" ht="15.75" hidden="false" customHeight="fals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 customFormat="false" ht="15.75" hidden="false" customHeight="false" outlineLevel="0" collapsed="false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 customFormat="false" ht="15.75" hidden="false" customHeight="fals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 customFormat="false" ht="15.75" hidden="false" customHeight="false" outlineLevel="0" collapsed="false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 customFormat="false" ht="15.75" hidden="false" customHeight="fals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 customFormat="false" ht="15.75" hidden="false" customHeight="false" outlineLevel="0" collapsed="false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 customFormat="false" ht="15.75" hidden="false" customHeight="fals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 customFormat="false" ht="15.75" hidden="false" customHeight="false" outlineLevel="0" collapsed="false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 customFormat="false" ht="15.75" hidden="false" customHeight="fals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 customFormat="false" ht="15.75" hidden="false" customHeight="false" outlineLevel="0" collapsed="false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 customFormat="false" ht="15.75" hidden="false" customHeight="fals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 customFormat="false" ht="15.75" hidden="false" customHeight="false" outlineLevel="0" collapsed="false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 customFormat="false" ht="15.75" hidden="false" customHeight="fals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 customFormat="false" ht="15.75" hidden="false" customHeight="false" outlineLevel="0" collapsed="false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 customFormat="false" ht="15.75" hidden="false" customHeight="fals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 customFormat="false" ht="15.75" hidden="false" customHeight="false" outlineLevel="0" collapsed="false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 customFormat="false" ht="15.75" hidden="false" customHeight="fals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 customFormat="false" ht="15.75" hidden="false" customHeight="false" outlineLevel="0" collapsed="false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 customFormat="false" ht="15.75" hidden="false" customHeight="fals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 customFormat="false" ht="15.75" hidden="false" customHeight="false" outlineLevel="0" collapsed="false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 customFormat="false" ht="15.75" hidden="false" customHeight="fals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 customFormat="false" ht="15.75" hidden="false" customHeight="false" outlineLevel="0" collapsed="false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 customFormat="false" ht="15.75" hidden="false" customHeight="fals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 customFormat="false" ht="15.75" hidden="false" customHeight="false" outlineLevel="0" collapsed="false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 customFormat="false" ht="15.75" hidden="false" customHeight="fals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 customFormat="false" ht="15.75" hidden="false" customHeight="false" outlineLevel="0" collapsed="false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 customFormat="false" ht="15.75" hidden="false" customHeight="fals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 customFormat="false" ht="15.75" hidden="false" customHeight="false" outlineLevel="0" collapsed="false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 customFormat="false" ht="15.75" hidden="false" customHeight="fals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 customFormat="false" ht="15.75" hidden="false" customHeight="false" outlineLevel="0" collapsed="false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 customFormat="false" ht="15.75" hidden="false" customHeight="fals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 customFormat="false" ht="15.75" hidden="false" customHeight="false" outlineLevel="0" collapsed="false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 customFormat="false" ht="15.75" hidden="false" customHeight="fals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 customFormat="false" ht="15.75" hidden="false" customHeight="false" outlineLevel="0" collapsed="false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 customFormat="false" ht="15.75" hidden="false" customHeight="fals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 customFormat="false" ht="15.75" hidden="false" customHeight="false" outlineLevel="0" collapsed="false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 customFormat="false" ht="15.75" hidden="false" customHeight="fals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 customFormat="false" ht="15.75" hidden="false" customHeight="false" outlineLevel="0" collapsed="false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 customFormat="false" ht="15.75" hidden="false" customHeight="fals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 customFormat="false" ht="15.75" hidden="false" customHeight="false" outlineLevel="0" collapsed="false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 customFormat="false" ht="15.75" hidden="false" customHeight="fals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 customFormat="false" ht="15.75" hidden="false" customHeight="false" outlineLevel="0" collapsed="false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 customFormat="false" ht="15.75" hidden="false" customHeight="fals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 customFormat="false" ht="15.75" hidden="false" customHeight="false" outlineLevel="0" collapsed="false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 customFormat="false" ht="15.75" hidden="false" customHeight="false" outlineLevel="0" collapsed="false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 customFormat="false" ht="15.75" hidden="false" customHeight="false" outlineLevel="0" collapsed="false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 customFormat="false" ht="15.75" hidden="false" customHeight="false" outlineLevel="0" collapsed="false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 customFormat="false" ht="15.75" hidden="false" customHeight="false" outlineLevel="0" collapsed="false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 customFormat="false" ht="15.75" hidden="false" customHeight="false" outlineLevel="0" collapsed="false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 customFormat="false" ht="15.75" hidden="false" customHeight="false" outlineLevel="0" collapsed="false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 customFormat="false" ht="15.75" hidden="false" customHeight="false" outlineLevel="0" collapsed="false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 customFormat="false" ht="15.75" hidden="false" customHeight="false" outlineLevel="0" collapsed="false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 customFormat="false" ht="15.75" hidden="false" customHeight="false" outlineLevel="0" collapsed="false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 customFormat="false" ht="15.75" hidden="false" customHeight="false" outlineLevel="0" collapsed="false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 customFormat="false" ht="15.75" hidden="false" customHeight="false" outlineLevel="0" collapsed="false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 customFormat="false" ht="15.75" hidden="false" customHeight="false" outlineLevel="0" collapsed="false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 customFormat="false" ht="15.75" hidden="false" customHeight="false" outlineLevel="0" collapsed="false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 customFormat="false" ht="15.75" hidden="false" customHeight="false" outlineLevel="0" collapsed="false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 customFormat="false" ht="15.75" hidden="false" customHeight="false" outlineLevel="0" collapsed="false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 customFormat="false" ht="15.75" hidden="false" customHeight="false" outlineLevel="0" collapsed="false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 customFormat="false" ht="15.75" hidden="false" customHeight="false" outlineLevel="0" collapsed="false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 customFormat="false" ht="15.75" hidden="false" customHeight="false" outlineLevel="0" collapsed="false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 customFormat="false" ht="15.75" hidden="false" customHeight="false" outlineLevel="0" collapsed="false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 customFormat="false" ht="15.75" hidden="false" customHeight="false" outlineLevel="0" collapsed="false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 customFormat="false" ht="15.75" hidden="false" customHeight="false" outlineLevel="0" collapsed="false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 customFormat="false" ht="15.75" hidden="false" customHeight="false" outlineLevel="0" collapsed="false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 customFormat="false" ht="15.75" hidden="false" customHeight="false" outlineLevel="0" collapsed="false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 customFormat="false" ht="15.75" hidden="false" customHeight="false" outlineLevel="0" collapsed="false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 customFormat="false" ht="15.75" hidden="false" customHeight="false" outlineLevel="0" collapsed="false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 customFormat="false" ht="15.75" hidden="false" customHeight="false" outlineLevel="0" collapsed="false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 customFormat="false" ht="15.75" hidden="false" customHeight="false" outlineLevel="0" collapsed="false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 customFormat="false" ht="15.75" hidden="false" customHeight="false" outlineLevel="0" collapsed="false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 customFormat="false" ht="15.75" hidden="false" customHeight="false" outlineLevel="0" collapsed="false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 customFormat="false" ht="15.75" hidden="false" customHeight="false" outlineLevel="0" collapsed="false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 customFormat="false" ht="15.75" hidden="false" customHeight="false" outlineLevel="0" collapsed="false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 customFormat="false" ht="15.75" hidden="false" customHeight="false" outlineLevel="0" collapsed="false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 customFormat="false" ht="15.75" hidden="false" customHeight="false" outlineLevel="0" collapsed="false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 customFormat="false" ht="15.75" hidden="false" customHeight="false" outlineLevel="0" collapsed="false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 customFormat="false" ht="15.75" hidden="false" customHeight="false" outlineLevel="0" collapsed="false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 customFormat="false" ht="15.75" hidden="false" customHeight="false" outlineLevel="0" collapsed="false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 customFormat="false" ht="15.75" hidden="false" customHeight="false" outlineLevel="0" collapsed="false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 customFormat="false" ht="15.75" hidden="false" customHeight="false" outlineLevel="0" collapsed="false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 customFormat="false" ht="15.75" hidden="false" customHeight="false" outlineLevel="0" collapsed="false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 customFormat="false" ht="15.75" hidden="false" customHeight="false" outlineLevel="0" collapsed="false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 customFormat="false" ht="15.75" hidden="false" customHeight="false" outlineLevel="0" collapsed="false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 customFormat="false" ht="15.75" hidden="false" customHeight="false" outlineLevel="0" collapsed="false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 customFormat="false" ht="15.75" hidden="false" customHeight="false" outlineLevel="0" collapsed="false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 customFormat="false" ht="15.75" hidden="false" customHeight="false" outlineLevel="0" collapsed="false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 customFormat="false" ht="15.75" hidden="false" customHeight="false" outlineLevel="0" collapsed="false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 customFormat="false" ht="15.75" hidden="false" customHeight="false" outlineLevel="0" collapsed="false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 customFormat="false" ht="15.75" hidden="false" customHeight="false" outlineLevel="0" collapsed="false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 customFormat="false" ht="15.75" hidden="false" customHeight="false" outlineLevel="0" collapsed="false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 customFormat="false" ht="15.75" hidden="false" customHeight="false" outlineLevel="0" collapsed="false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 customFormat="false" ht="15.75" hidden="false" customHeight="false" outlineLevel="0" collapsed="false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 customFormat="false" ht="15.75" hidden="false" customHeight="false" outlineLevel="0" collapsed="false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 customFormat="false" ht="15.75" hidden="false" customHeight="false" outlineLevel="0" collapsed="false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 customFormat="false" ht="15.75" hidden="false" customHeight="false" outlineLevel="0" collapsed="false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 customFormat="false" ht="15.75" hidden="false" customHeight="false" outlineLevel="0" collapsed="false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 customFormat="false" ht="15.75" hidden="false" customHeight="false" outlineLevel="0" collapsed="false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 customFormat="false" ht="15.75" hidden="false" customHeight="false" outlineLevel="0" collapsed="false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 customFormat="false" ht="15.75" hidden="false" customHeight="false" outlineLevel="0" collapsed="false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 customFormat="false" ht="15.75" hidden="false" customHeight="false" outlineLevel="0" collapsed="false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 customFormat="false" ht="15.75" hidden="false" customHeight="false" outlineLevel="0" collapsed="false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 customFormat="false" ht="15.75" hidden="false" customHeight="false" outlineLevel="0" collapsed="false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 customFormat="false" ht="15.75" hidden="false" customHeight="false" outlineLevel="0" collapsed="false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 customFormat="false" ht="15.75" hidden="false" customHeight="false" outlineLevel="0" collapsed="false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 customFormat="false" ht="15.75" hidden="false" customHeight="false" outlineLevel="0" collapsed="false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 customFormat="false" ht="15.75" hidden="false" customHeight="false" outlineLevel="0" collapsed="false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 customFormat="false" ht="15.75" hidden="false" customHeight="false" outlineLevel="0" collapsed="false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 customFormat="false" ht="15.75" hidden="false" customHeight="false" outlineLevel="0" collapsed="false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 customFormat="false" ht="15.75" hidden="false" customHeight="false" outlineLevel="0" collapsed="false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 customFormat="false" ht="15.75" hidden="false" customHeight="false" outlineLevel="0" collapsed="false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 customFormat="false" ht="15.75" hidden="false" customHeight="false" outlineLevel="0" collapsed="false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 customFormat="false" ht="15.75" hidden="false" customHeight="false" outlineLevel="0" collapsed="false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 customFormat="false" ht="15.75" hidden="false" customHeight="false" outlineLevel="0" collapsed="false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 customFormat="false" ht="15.75" hidden="false" customHeight="false" outlineLevel="0" collapsed="false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 customFormat="false" ht="15.75" hidden="false" customHeight="false" outlineLevel="0" collapsed="false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 customFormat="false" ht="15.75" hidden="false" customHeight="false" outlineLevel="0" collapsed="false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 customFormat="false" ht="15.75" hidden="false" customHeight="false" outlineLevel="0" collapsed="false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 customFormat="false" ht="15.75" hidden="false" customHeight="false" outlineLevel="0" collapsed="false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 customFormat="false" ht="15.75" hidden="false" customHeight="false" outlineLevel="0" collapsed="false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 customFormat="false" ht="15.75" hidden="false" customHeight="false" outlineLevel="0" collapsed="false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 customFormat="false" ht="15.75" hidden="false" customHeight="false" outlineLevel="0" collapsed="false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 customFormat="false" ht="15.75" hidden="false" customHeight="false" outlineLevel="0" collapsed="false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 customFormat="false" ht="15.75" hidden="false" customHeight="false" outlineLevel="0" collapsed="false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 customFormat="false" ht="15.75" hidden="false" customHeight="false" outlineLevel="0" collapsed="false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 customFormat="false" ht="15.75" hidden="false" customHeight="false" outlineLevel="0" collapsed="false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 customFormat="false" ht="15.75" hidden="false" customHeight="false" outlineLevel="0" collapsed="false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 customFormat="false" ht="15.75" hidden="false" customHeight="false" outlineLevel="0" collapsed="false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 customFormat="false" ht="15.75" hidden="false" customHeight="false" outlineLevel="0" collapsed="false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 customFormat="false" ht="15.75" hidden="false" customHeight="false" outlineLevel="0" collapsed="false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 customFormat="false" ht="15.75" hidden="false" customHeight="false" outlineLevel="0" collapsed="false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 customFormat="false" ht="15.75" hidden="false" customHeight="false" outlineLevel="0" collapsed="false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 customFormat="false" ht="15.75" hidden="false" customHeight="false" outlineLevel="0" collapsed="false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 customFormat="false" ht="15.75" hidden="false" customHeight="false" outlineLevel="0" collapsed="false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 customFormat="false" ht="15.75" hidden="false" customHeight="false" outlineLevel="0" collapsed="false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 customFormat="false" ht="15.75" hidden="false" customHeight="false" outlineLevel="0" collapsed="false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 customFormat="false" ht="15.75" hidden="false" customHeight="false" outlineLevel="0" collapsed="false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 customFormat="false" ht="15.75" hidden="false" customHeight="false" outlineLevel="0" collapsed="false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 customFormat="false" ht="15.75" hidden="false" customHeight="false" outlineLevel="0" collapsed="false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 customFormat="false" ht="15.75" hidden="false" customHeight="false" outlineLevel="0" collapsed="false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 customFormat="false" ht="15.75" hidden="false" customHeight="false" outlineLevel="0" collapsed="false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 customFormat="false" ht="15.75" hidden="false" customHeight="false" outlineLevel="0" collapsed="false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 customFormat="false" ht="15.75" hidden="false" customHeight="false" outlineLevel="0" collapsed="false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 customFormat="false" ht="15.75" hidden="false" customHeight="false" outlineLevel="0" collapsed="false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 customFormat="false" ht="15.75" hidden="false" customHeight="false" outlineLevel="0" collapsed="false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 customFormat="false" ht="15.75" hidden="false" customHeight="false" outlineLevel="0" collapsed="false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 customFormat="false" ht="15.75" hidden="false" customHeight="false" outlineLevel="0" collapsed="false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 customFormat="false" ht="15.75" hidden="false" customHeight="false" outlineLevel="0" collapsed="false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 customFormat="false" ht="15.75" hidden="false" customHeight="false" outlineLevel="0" collapsed="false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 customFormat="false" ht="15.75" hidden="false" customHeight="false" outlineLevel="0" collapsed="false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 customFormat="false" ht="15.75" hidden="false" customHeight="false" outlineLevel="0" collapsed="false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 customFormat="false" ht="15.75" hidden="false" customHeight="false" outlineLevel="0" collapsed="false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 customFormat="false" ht="15.75" hidden="false" customHeight="false" outlineLevel="0" collapsed="false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 customFormat="false" ht="15.75" hidden="false" customHeight="false" outlineLevel="0" collapsed="false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 customFormat="false" ht="15.75" hidden="false" customHeight="false" outlineLevel="0" collapsed="false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 customFormat="false" ht="15.75" hidden="false" customHeight="false" outlineLevel="0" collapsed="false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 customFormat="false" ht="15.75" hidden="false" customHeight="false" outlineLevel="0" collapsed="false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 customFormat="false" ht="15.75" hidden="false" customHeight="false" outlineLevel="0" collapsed="false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 customFormat="false" ht="15.75" hidden="false" customHeight="false" outlineLevel="0" collapsed="false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 customFormat="false" ht="15.75" hidden="false" customHeight="false" outlineLevel="0" collapsed="false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 customFormat="false" ht="15.75" hidden="false" customHeight="false" outlineLevel="0" collapsed="false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 customFormat="false" ht="15.75" hidden="false" customHeight="false" outlineLevel="0" collapsed="false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 customFormat="false" ht="15.75" hidden="false" customHeight="false" outlineLevel="0" collapsed="false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 customFormat="false" ht="15.75" hidden="false" customHeight="false" outlineLevel="0" collapsed="false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 customFormat="false" ht="15.75" hidden="false" customHeight="false" outlineLevel="0" collapsed="false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 customFormat="false" ht="15.75" hidden="false" customHeight="false" outlineLevel="0" collapsed="false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 customFormat="false" ht="15.75" hidden="false" customHeight="false" outlineLevel="0" collapsed="false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 customFormat="false" ht="15.75" hidden="false" customHeight="false" outlineLevel="0" collapsed="false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 customFormat="false" ht="15.75" hidden="false" customHeight="false" outlineLevel="0" collapsed="false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 customFormat="false" ht="15.75" hidden="false" customHeight="false" outlineLevel="0" collapsed="false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 customFormat="false" ht="15.75" hidden="false" customHeight="false" outlineLevel="0" collapsed="false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 customFormat="false" ht="15.75" hidden="false" customHeight="false" outlineLevel="0" collapsed="false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 customFormat="false" ht="15.75" hidden="false" customHeight="false" outlineLevel="0" collapsed="false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 customFormat="false" ht="15.75" hidden="false" customHeight="false" outlineLevel="0" collapsed="false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 customFormat="false" ht="15.75" hidden="false" customHeight="false" outlineLevel="0" collapsed="false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 customFormat="false" ht="15.75" hidden="false" customHeight="false" outlineLevel="0" collapsed="false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 customFormat="false" ht="15.75" hidden="false" customHeight="false" outlineLevel="0" collapsed="false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 customFormat="false" ht="15.75" hidden="false" customHeight="false" outlineLevel="0" collapsed="false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 customFormat="false" ht="15.75" hidden="false" customHeight="false" outlineLevel="0" collapsed="false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 customFormat="false" ht="15.75" hidden="false" customHeight="false" outlineLevel="0" collapsed="false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 customFormat="false" ht="15.75" hidden="false" customHeight="false" outlineLevel="0" collapsed="false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 customFormat="false" ht="15.75" hidden="false" customHeight="false" outlineLevel="0" collapsed="false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 customFormat="false" ht="15.75" hidden="false" customHeight="false" outlineLevel="0" collapsed="false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 customFormat="false" ht="15.75" hidden="false" customHeight="false" outlineLevel="0" collapsed="false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 customFormat="false" ht="15.75" hidden="false" customHeight="false" outlineLevel="0" collapsed="false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 customFormat="false" ht="15.75" hidden="false" customHeight="false" outlineLevel="0" collapsed="false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 customFormat="false" ht="15.75" hidden="false" customHeight="false" outlineLevel="0" collapsed="false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 customFormat="false" ht="15.75" hidden="false" customHeight="false" outlineLevel="0" collapsed="false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 customFormat="false" ht="15.75" hidden="false" customHeight="false" outlineLevel="0" collapsed="false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 customFormat="false" ht="15.75" hidden="false" customHeight="false" outlineLevel="0" collapsed="false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 customFormat="false" ht="15.75" hidden="false" customHeight="false" outlineLevel="0" collapsed="false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 customFormat="false" ht="15.75" hidden="false" customHeight="false" outlineLevel="0" collapsed="false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 customFormat="false" ht="15.75" hidden="false" customHeight="false" outlineLevel="0" collapsed="false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 customFormat="false" ht="15.75" hidden="false" customHeight="false" outlineLevel="0" collapsed="false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 customFormat="false" ht="15.75" hidden="false" customHeight="false" outlineLevel="0" collapsed="false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 customFormat="false" ht="15.75" hidden="false" customHeight="false" outlineLevel="0" collapsed="false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 customFormat="false" ht="15.75" hidden="false" customHeight="false" outlineLevel="0" collapsed="false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 customFormat="false" ht="15.75" hidden="false" customHeight="false" outlineLevel="0" collapsed="false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 customFormat="false" ht="15.75" hidden="false" customHeight="false" outlineLevel="0" collapsed="false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 customFormat="false" ht="15.75" hidden="false" customHeight="false" outlineLevel="0" collapsed="false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 customFormat="false" ht="15.75" hidden="false" customHeight="false" outlineLevel="0" collapsed="false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 customFormat="false" ht="15.75" hidden="false" customHeight="false" outlineLevel="0" collapsed="false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 customFormat="false" ht="15.75" hidden="false" customHeight="false" outlineLevel="0" collapsed="false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 customFormat="false" ht="15.75" hidden="false" customHeight="false" outlineLevel="0" collapsed="false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 customFormat="false" ht="15.75" hidden="false" customHeight="false" outlineLevel="0" collapsed="false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 customFormat="false" ht="15.75" hidden="false" customHeight="false" outlineLevel="0" collapsed="false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 customFormat="false" ht="15.75" hidden="false" customHeight="false" outlineLevel="0" collapsed="false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 customFormat="false" ht="15.75" hidden="false" customHeight="false" outlineLevel="0" collapsed="false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 customFormat="false" ht="15.75" hidden="false" customHeight="false" outlineLevel="0" collapsed="false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 customFormat="false" ht="15.75" hidden="false" customHeight="false" outlineLevel="0" collapsed="false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 customFormat="false" ht="15.75" hidden="false" customHeight="false" outlineLevel="0" collapsed="false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 customFormat="false" ht="15.75" hidden="false" customHeight="false" outlineLevel="0" collapsed="false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 customFormat="false" ht="15.75" hidden="false" customHeight="false" outlineLevel="0" collapsed="false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 customFormat="false" ht="15.75" hidden="false" customHeight="false" outlineLevel="0" collapsed="false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 customFormat="false" ht="15.75" hidden="false" customHeight="false" outlineLevel="0" collapsed="false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 customFormat="false" ht="15.75" hidden="false" customHeight="false" outlineLevel="0" collapsed="false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 customFormat="false" ht="15.75" hidden="false" customHeight="false" outlineLevel="0" collapsed="false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 customFormat="false" ht="15.75" hidden="false" customHeight="false" outlineLevel="0" collapsed="false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 customFormat="false" ht="15.75" hidden="false" customHeight="false" outlineLevel="0" collapsed="false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 customFormat="false" ht="15.75" hidden="false" customHeight="false" outlineLevel="0" collapsed="false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 customFormat="false" ht="15.75" hidden="false" customHeight="false" outlineLevel="0" collapsed="false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 customFormat="false" ht="15.75" hidden="false" customHeight="false" outlineLevel="0" collapsed="false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 customFormat="false" ht="15.75" hidden="false" customHeight="false" outlineLevel="0" collapsed="false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 customFormat="false" ht="15.75" hidden="false" customHeight="false" outlineLevel="0" collapsed="false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 customFormat="false" ht="15.75" hidden="false" customHeight="false" outlineLevel="0" collapsed="false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 customFormat="false" ht="15.75" hidden="false" customHeight="false" outlineLevel="0" collapsed="false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 customFormat="false" ht="15.75" hidden="false" customHeight="false" outlineLevel="0" collapsed="false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 customFormat="false" ht="15.75" hidden="false" customHeight="false" outlineLevel="0" collapsed="false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 customFormat="false" ht="15.75" hidden="false" customHeight="false" outlineLevel="0" collapsed="false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 customFormat="false" ht="15.75" hidden="false" customHeight="false" outlineLevel="0" collapsed="false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 customFormat="false" ht="15.75" hidden="false" customHeight="false" outlineLevel="0" collapsed="false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 customFormat="false" ht="15.75" hidden="false" customHeight="false" outlineLevel="0" collapsed="false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 customFormat="false" ht="15.75" hidden="false" customHeight="false" outlineLevel="0" collapsed="false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 customFormat="false" ht="15.75" hidden="false" customHeight="false" outlineLevel="0" collapsed="false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 customFormat="false" ht="15.75" hidden="false" customHeight="false" outlineLevel="0" collapsed="false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 customFormat="false" ht="15.75" hidden="false" customHeight="false" outlineLevel="0" collapsed="false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 customFormat="false" ht="15.75" hidden="false" customHeight="false" outlineLevel="0" collapsed="false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 customFormat="false" ht="15.75" hidden="false" customHeight="false" outlineLevel="0" collapsed="false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 customFormat="false" ht="15.75" hidden="false" customHeight="false" outlineLevel="0" collapsed="false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 customFormat="false" ht="15.75" hidden="false" customHeight="false" outlineLevel="0" collapsed="false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 customFormat="false" ht="15.75" hidden="false" customHeight="false" outlineLevel="0" collapsed="false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 customFormat="false" ht="15.75" hidden="false" customHeight="false" outlineLevel="0" collapsed="false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 customFormat="false" ht="15.75" hidden="false" customHeight="false" outlineLevel="0" collapsed="false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 customFormat="false" ht="15.75" hidden="false" customHeight="false" outlineLevel="0" collapsed="false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 customFormat="false" ht="15.75" hidden="false" customHeight="false" outlineLevel="0" collapsed="false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 customFormat="false" ht="15.75" hidden="false" customHeight="false" outlineLevel="0" collapsed="false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 customFormat="false" ht="15.75" hidden="false" customHeight="false" outlineLevel="0" collapsed="false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 customFormat="false" ht="15.75" hidden="false" customHeight="false" outlineLevel="0" collapsed="false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 customFormat="false" ht="15.75" hidden="false" customHeight="false" outlineLevel="0" collapsed="false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 customFormat="false" ht="15.75" hidden="false" customHeight="false" outlineLevel="0" collapsed="false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 customFormat="false" ht="15.75" hidden="false" customHeight="false" outlineLevel="0" collapsed="false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 customFormat="false" ht="15.75" hidden="false" customHeight="false" outlineLevel="0" collapsed="false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 customFormat="false" ht="15.75" hidden="false" customHeight="false" outlineLevel="0" collapsed="false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 customFormat="false" ht="15.75" hidden="false" customHeight="false" outlineLevel="0" collapsed="false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 customFormat="false" ht="15.75" hidden="false" customHeight="false" outlineLevel="0" collapsed="false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 customFormat="false" ht="15.75" hidden="false" customHeight="false" outlineLevel="0" collapsed="false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 customFormat="false" ht="15.75" hidden="false" customHeight="false" outlineLevel="0" collapsed="false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 customFormat="false" ht="15.75" hidden="false" customHeight="false" outlineLevel="0" collapsed="false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 customFormat="false" ht="15.75" hidden="false" customHeight="false" outlineLevel="0" collapsed="false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 customFormat="false" ht="15.75" hidden="false" customHeight="false" outlineLevel="0" collapsed="false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 customFormat="false" ht="15.75" hidden="false" customHeight="false" outlineLevel="0" collapsed="false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 customFormat="false" ht="15.75" hidden="false" customHeight="false" outlineLevel="0" collapsed="false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 customFormat="false" ht="15.75" hidden="false" customHeight="false" outlineLevel="0" collapsed="false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 customFormat="false" ht="15.75" hidden="false" customHeight="false" outlineLevel="0" collapsed="false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 customFormat="false" ht="15.75" hidden="false" customHeight="false" outlineLevel="0" collapsed="false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 customFormat="false" ht="15.75" hidden="false" customHeight="false" outlineLevel="0" collapsed="false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 customFormat="false" ht="15.75" hidden="false" customHeight="false" outlineLevel="0" collapsed="false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 customFormat="false" ht="15.75" hidden="false" customHeight="false" outlineLevel="0" collapsed="false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 customFormat="false" ht="15.75" hidden="false" customHeight="false" outlineLevel="0" collapsed="false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 customFormat="false" ht="15.75" hidden="false" customHeight="false" outlineLevel="0" collapsed="false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 customFormat="false" ht="15.75" hidden="false" customHeight="false" outlineLevel="0" collapsed="false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 customFormat="false" ht="15.75" hidden="false" customHeight="false" outlineLevel="0" collapsed="false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 customFormat="false" ht="15.75" hidden="false" customHeight="false" outlineLevel="0" collapsed="false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 customFormat="false" ht="15.75" hidden="false" customHeight="false" outlineLevel="0" collapsed="false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 customFormat="false" ht="15.75" hidden="false" customHeight="false" outlineLevel="0" collapsed="false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 customFormat="false" ht="15.75" hidden="false" customHeight="false" outlineLevel="0" collapsed="false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 customFormat="false" ht="15.75" hidden="false" customHeight="false" outlineLevel="0" collapsed="false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 customFormat="false" ht="15.75" hidden="false" customHeight="false" outlineLevel="0" collapsed="false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 customFormat="false" ht="15.75" hidden="false" customHeight="false" outlineLevel="0" collapsed="false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 customFormat="false" ht="15.75" hidden="false" customHeight="false" outlineLevel="0" collapsed="false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 customFormat="false" ht="15.75" hidden="false" customHeight="false" outlineLevel="0" collapsed="false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 customFormat="false" ht="15.75" hidden="false" customHeight="false" outlineLevel="0" collapsed="false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 customFormat="false" ht="15.75" hidden="false" customHeight="false" outlineLevel="0" collapsed="false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 customFormat="false" ht="15.75" hidden="false" customHeight="false" outlineLevel="0" collapsed="false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 customFormat="false" ht="15.75" hidden="false" customHeight="false" outlineLevel="0" collapsed="false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 customFormat="false" ht="15.75" hidden="false" customHeight="false" outlineLevel="0" collapsed="false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 customFormat="false" ht="15.75" hidden="false" customHeight="false" outlineLevel="0" collapsed="false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 customFormat="false" ht="15.75" hidden="false" customHeight="false" outlineLevel="0" collapsed="false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 customFormat="false" ht="15.75" hidden="false" customHeight="false" outlineLevel="0" collapsed="false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 customFormat="false" ht="15.75" hidden="false" customHeight="false" outlineLevel="0" collapsed="false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 customFormat="false" ht="15.75" hidden="false" customHeight="false" outlineLevel="0" collapsed="false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 customFormat="false" ht="15.75" hidden="false" customHeight="false" outlineLevel="0" collapsed="false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 customFormat="false" ht="15.75" hidden="false" customHeight="false" outlineLevel="0" collapsed="false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 customFormat="false" ht="15.75" hidden="false" customHeight="false" outlineLevel="0" collapsed="false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 customFormat="false" ht="15.75" hidden="false" customHeight="false" outlineLevel="0" collapsed="false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 customFormat="false" ht="15.75" hidden="false" customHeight="false" outlineLevel="0" collapsed="false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 customFormat="false" ht="15.75" hidden="false" customHeight="false" outlineLevel="0" collapsed="false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 customFormat="false" ht="15.75" hidden="false" customHeight="false" outlineLevel="0" collapsed="false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 customFormat="false" ht="15.75" hidden="false" customHeight="false" outlineLevel="0" collapsed="false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 customFormat="false" ht="15.75" hidden="false" customHeight="false" outlineLevel="0" collapsed="false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 customFormat="false" ht="15.75" hidden="false" customHeight="false" outlineLevel="0" collapsed="false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 customFormat="false" ht="15.75" hidden="false" customHeight="false" outlineLevel="0" collapsed="false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 customFormat="false" ht="15.75" hidden="false" customHeight="false" outlineLevel="0" collapsed="false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 customFormat="false" ht="15.75" hidden="false" customHeight="false" outlineLevel="0" collapsed="false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 customFormat="false" ht="15.75" hidden="false" customHeight="false" outlineLevel="0" collapsed="false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 customFormat="false" ht="15.75" hidden="false" customHeight="false" outlineLevel="0" collapsed="false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 customFormat="false" ht="15.75" hidden="false" customHeight="false" outlineLevel="0" collapsed="false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 customFormat="false" ht="15.75" hidden="false" customHeight="false" outlineLevel="0" collapsed="false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 customFormat="false" ht="15.75" hidden="false" customHeight="false" outlineLevel="0" collapsed="false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 customFormat="false" ht="15.75" hidden="false" customHeight="false" outlineLevel="0" collapsed="false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 customFormat="false" ht="15.75" hidden="false" customHeight="false" outlineLevel="0" collapsed="false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 customFormat="false" ht="15.75" hidden="false" customHeight="false" outlineLevel="0" collapsed="false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 customFormat="false" ht="15.75" hidden="false" customHeight="false" outlineLevel="0" collapsed="false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 customFormat="false" ht="15.75" hidden="false" customHeight="false" outlineLevel="0" collapsed="false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 customFormat="false" ht="15.75" hidden="false" customHeight="false" outlineLevel="0" collapsed="false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 customFormat="false" ht="15.75" hidden="false" customHeight="false" outlineLevel="0" collapsed="false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 customFormat="false" ht="15.75" hidden="false" customHeight="false" outlineLevel="0" collapsed="false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 customFormat="false" ht="15.75" hidden="false" customHeight="false" outlineLevel="0" collapsed="false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 customFormat="false" ht="15.75" hidden="false" customHeight="false" outlineLevel="0" collapsed="false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 customFormat="false" ht="15.75" hidden="false" customHeight="false" outlineLevel="0" collapsed="false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 customFormat="false" ht="15.75" hidden="false" customHeight="false" outlineLevel="0" collapsed="false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 customFormat="false" ht="15.75" hidden="false" customHeight="false" outlineLevel="0" collapsed="false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 customFormat="false" ht="15.75" hidden="false" customHeight="false" outlineLevel="0" collapsed="false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 customFormat="false" ht="15.75" hidden="false" customHeight="false" outlineLevel="0" collapsed="false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 customFormat="false" ht="15.75" hidden="false" customHeight="false" outlineLevel="0" collapsed="false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 customFormat="false" ht="15.75" hidden="false" customHeight="false" outlineLevel="0" collapsed="false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 customFormat="false" ht="15.75" hidden="false" customHeight="false" outlineLevel="0" collapsed="false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 customFormat="false" ht="15.75" hidden="false" customHeight="false" outlineLevel="0" collapsed="false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 customFormat="false" ht="15.75" hidden="false" customHeight="false" outlineLevel="0" collapsed="false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 customFormat="false" ht="15.75" hidden="false" customHeight="false" outlineLevel="0" collapsed="false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 customFormat="false" ht="15.75" hidden="false" customHeight="false" outlineLevel="0" collapsed="false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 customFormat="false" ht="15.75" hidden="false" customHeight="false" outlineLevel="0" collapsed="false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 customFormat="false" ht="15.75" hidden="false" customHeight="false" outlineLevel="0" collapsed="false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 customFormat="false" ht="15.75" hidden="false" customHeight="false" outlineLevel="0" collapsed="false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 customFormat="false" ht="15.75" hidden="false" customHeight="false" outlineLevel="0" collapsed="false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 customFormat="false" ht="15.75" hidden="false" customHeight="false" outlineLevel="0" collapsed="false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 customFormat="false" ht="15.75" hidden="false" customHeight="false" outlineLevel="0" collapsed="false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 customFormat="false" ht="15.75" hidden="false" customHeight="false" outlineLevel="0" collapsed="false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 customFormat="false" ht="15.75" hidden="false" customHeight="false" outlineLevel="0" collapsed="false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 customFormat="false" ht="15.75" hidden="false" customHeight="false" outlineLevel="0" collapsed="false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 customFormat="false" ht="15.75" hidden="false" customHeight="false" outlineLevel="0" collapsed="false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 customFormat="false" ht="15.75" hidden="false" customHeight="false" outlineLevel="0" collapsed="false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 customFormat="false" ht="15.75" hidden="false" customHeight="false" outlineLevel="0" collapsed="false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 customFormat="false" ht="15.75" hidden="false" customHeight="false" outlineLevel="0" collapsed="false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 customFormat="false" ht="15.75" hidden="false" customHeight="false" outlineLevel="0" collapsed="false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 customFormat="false" ht="15.75" hidden="false" customHeight="false" outlineLevel="0" collapsed="false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 customFormat="false" ht="15.75" hidden="false" customHeight="false" outlineLevel="0" collapsed="false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 customFormat="false" ht="15.75" hidden="false" customHeight="false" outlineLevel="0" collapsed="false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 customFormat="false" ht="15.75" hidden="false" customHeight="false" outlineLevel="0" collapsed="false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 customFormat="false" ht="15.75" hidden="false" customHeight="false" outlineLevel="0" collapsed="false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 customFormat="false" ht="15.75" hidden="false" customHeight="false" outlineLevel="0" collapsed="false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 customFormat="false" ht="15.75" hidden="false" customHeight="false" outlineLevel="0" collapsed="false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 customFormat="false" ht="15.75" hidden="false" customHeight="false" outlineLevel="0" collapsed="false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 customFormat="false" ht="15.75" hidden="false" customHeight="false" outlineLevel="0" collapsed="false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 customFormat="false" ht="15.75" hidden="false" customHeight="false" outlineLevel="0" collapsed="false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 customFormat="false" ht="15.75" hidden="false" customHeight="false" outlineLevel="0" collapsed="false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 customFormat="false" ht="15.75" hidden="false" customHeight="false" outlineLevel="0" collapsed="false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 customFormat="false" ht="15.75" hidden="false" customHeight="false" outlineLevel="0" collapsed="false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 customFormat="false" ht="15.75" hidden="false" customHeight="false" outlineLevel="0" collapsed="false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 customFormat="false" ht="15.75" hidden="false" customHeight="false" outlineLevel="0" collapsed="false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 customFormat="false" ht="15.75" hidden="false" customHeight="false" outlineLevel="0" collapsed="false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 customFormat="false" ht="15.75" hidden="false" customHeight="false" outlineLevel="0" collapsed="false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 customFormat="false" ht="15.75" hidden="false" customHeight="false" outlineLevel="0" collapsed="false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 customFormat="false" ht="15.75" hidden="false" customHeight="false" outlineLevel="0" collapsed="false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 customFormat="false" ht="15.75" hidden="false" customHeight="false" outlineLevel="0" collapsed="false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 customFormat="false" ht="15.75" hidden="false" customHeight="false" outlineLevel="0" collapsed="false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 customFormat="false" ht="15.75" hidden="false" customHeight="false" outlineLevel="0" collapsed="false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 customFormat="false" ht="15.75" hidden="false" customHeight="false" outlineLevel="0" collapsed="false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 customFormat="false" ht="15.75" hidden="false" customHeight="false" outlineLevel="0" collapsed="false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 customFormat="false" ht="15.75" hidden="false" customHeight="false" outlineLevel="0" collapsed="false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 customFormat="false" ht="15.75" hidden="false" customHeight="false" outlineLevel="0" collapsed="false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 customFormat="false" ht="15.75" hidden="false" customHeight="false" outlineLevel="0" collapsed="false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 customFormat="false" ht="15.75" hidden="false" customHeight="false" outlineLevel="0" collapsed="false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 customFormat="false" ht="15.75" hidden="false" customHeight="false" outlineLevel="0" collapsed="false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 customFormat="false" ht="15.75" hidden="false" customHeight="false" outlineLevel="0" collapsed="false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 customFormat="false" ht="15.75" hidden="false" customHeight="false" outlineLevel="0" collapsed="false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 customFormat="false" ht="15.75" hidden="false" customHeight="false" outlineLevel="0" collapsed="false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 customFormat="false" ht="15.75" hidden="false" customHeight="false" outlineLevel="0" collapsed="false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 customFormat="false" ht="15.75" hidden="false" customHeight="false" outlineLevel="0" collapsed="false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 customFormat="false" ht="15.75" hidden="false" customHeight="false" outlineLevel="0" collapsed="false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 customFormat="false" ht="15.75" hidden="false" customHeight="false" outlineLevel="0" collapsed="false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 customFormat="false" ht="15.75" hidden="false" customHeight="false" outlineLevel="0" collapsed="false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 customFormat="false" ht="15.75" hidden="false" customHeight="false" outlineLevel="0" collapsed="false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 customFormat="false" ht="15.75" hidden="false" customHeight="false" outlineLevel="0" collapsed="false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 customFormat="false" ht="15.75" hidden="false" customHeight="false" outlineLevel="0" collapsed="false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 customFormat="false" ht="15.75" hidden="false" customHeight="false" outlineLevel="0" collapsed="false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 customFormat="false" ht="15.75" hidden="false" customHeight="false" outlineLevel="0" collapsed="false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 customFormat="false" ht="15.75" hidden="false" customHeight="false" outlineLevel="0" collapsed="false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 customFormat="false" ht="15.75" hidden="false" customHeight="false" outlineLevel="0" collapsed="false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 customFormat="false" ht="15.75" hidden="false" customHeight="false" outlineLevel="0" collapsed="false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 customFormat="false" ht="15.75" hidden="false" customHeight="false" outlineLevel="0" collapsed="false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 customFormat="false" ht="15.75" hidden="false" customHeight="false" outlineLevel="0" collapsed="false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 customFormat="false" ht="15.75" hidden="false" customHeight="false" outlineLevel="0" collapsed="false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 customFormat="false" ht="15.75" hidden="false" customHeight="false" outlineLevel="0" collapsed="false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 customFormat="false" ht="15.75" hidden="false" customHeight="false" outlineLevel="0" collapsed="false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 customFormat="false" ht="15.75" hidden="false" customHeight="false" outlineLevel="0" collapsed="false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 customFormat="false" ht="15.75" hidden="false" customHeight="false" outlineLevel="0" collapsed="false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 customFormat="false" ht="15.75" hidden="false" customHeight="false" outlineLevel="0" collapsed="false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 customFormat="false" ht="15.75" hidden="false" customHeight="false" outlineLevel="0" collapsed="false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 customFormat="false" ht="15.75" hidden="false" customHeight="false" outlineLevel="0" collapsed="false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 customFormat="false" ht="15.75" hidden="false" customHeight="false" outlineLevel="0" collapsed="false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 customFormat="false" ht="15.75" hidden="false" customHeight="false" outlineLevel="0" collapsed="false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 customFormat="false" ht="15.75" hidden="false" customHeight="false" outlineLevel="0" collapsed="false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 customFormat="false" ht="15.75" hidden="false" customHeight="false" outlineLevel="0" collapsed="false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 customFormat="false" ht="15.75" hidden="false" customHeight="false" outlineLevel="0" collapsed="false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 customFormat="false" ht="15.75" hidden="false" customHeight="false" outlineLevel="0" collapsed="false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 customFormat="false" ht="15.75" hidden="false" customHeight="false" outlineLevel="0" collapsed="false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 customFormat="false" ht="15.75" hidden="false" customHeight="false" outlineLevel="0" collapsed="false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 customFormat="false" ht="15.75" hidden="false" customHeight="false" outlineLevel="0" collapsed="false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 customFormat="false" ht="15.75" hidden="false" customHeight="false" outlineLevel="0" collapsed="false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 customFormat="false" ht="15.75" hidden="false" customHeight="false" outlineLevel="0" collapsed="false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 customFormat="false" ht="15.75" hidden="false" customHeight="false" outlineLevel="0" collapsed="false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 customFormat="false" ht="15.75" hidden="false" customHeight="false" outlineLevel="0" collapsed="false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 customFormat="false" ht="15.75" hidden="false" customHeight="false" outlineLevel="0" collapsed="false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 customFormat="false" ht="15.75" hidden="false" customHeight="false" outlineLevel="0" collapsed="false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 customFormat="false" ht="15.75" hidden="false" customHeight="false" outlineLevel="0" collapsed="false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 customFormat="false" ht="15.75" hidden="false" customHeight="false" outlineLevel="0" collapsed="false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 customFormat="false" ht="15.75" hidden="false" customHeight="false" outlineLevel="0" collapsed="false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 customFormat="false" ht="15.75" hidden="false" customHeight="false" outlineLevel="0" collapsed="false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 customFormat="false" ht="15.75" hidden="false" customHeight="false" outlineLevel="0" collapsed="false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 customFormat="false" ht="15.75" hidden="false" customHeight="false" outlineLevel="0" collapsed="false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 customFormat="false" ht="15.75" hidden="false" customHeight="false" outlineLevel="0" collapsed="false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 customFormat="false" ht="15.75" hidden="false" customHeight="false" outlineLevel="0" collapsed="false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 customFormat="false" ht="15.75" hidden="false" customHeight="false" outlineLevel="0" collapsed="false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 customFormat="false" ht="15.75" hidden="false" customHeight="false" outlineLevel="0" collapsed="false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 customFormat="false" ht="15.75" hidden="false" customHeight="false" outlineLevel="0" collapsed="false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 customFormat="false" ht="15.75" hidden="false" customHeight="false" outlineLevel="0" collapsed="false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 customFormat="false" ht="15.75" hidden="false" customHeight="false" outlineLevel="0" collapsed="false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 customFormat="false" ht="15.75" hidden="false" customHeight="false" outlineLevel="0" collapsed="false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 customFormat="false" ht="15.75" hidden="false" customHeight="false" outlineLevel="0" collapsed="false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 customFormat="false" ht="15.75" hidden="false" customHeight="false" outlineLevel="0" collapsed="false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 customFormat="false" ht="15.75" hidden="false" customHeight="false" outlineLevel="0" collapsed="false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 customFormat="false" ht="15.75" hidden="false" customHeight="false" outlineLevel="0" collapsed="false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 customFormat="false" ht="15.75" hidden="false" customHeight="false" outlineLevel="0" collapsed="false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 customFormat="false" ht="15.75" hidden="false" customHeight="false" outlineLevel="0" collapsed="false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 customFormat="false" ht="15.75" hidden="false" customHeight="false" outlineLevel="0" collapsed="false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 customFormat="false" ht="15.75" hidden="false" customHeight="false" outlineLevel="0" collapsed="false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 customFormat="false" ht="15.75" hidden="false" customHeight="false" outlineLevel="0" collapsed="false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 customFormat="false" ht="15.75" hidden="false" customHeight="false" outlineLevel="0" collapsed="false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 customFormat="false" ht="15.75" hidden="false" customHeight="false" outlineLevel="0" collapsed="false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 customFormat="false" ht="15.75" hidden="false" customHeight="false" outlineLevel="0" collapsed="false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 customFormat="false" ht="15.75" hidden="false" customHeight="false" outlineLevel="0" collapsed="false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 customFormat="false" ht="15.75" hidden="false" customHeight="false" outlineLevel="0" collapsed="false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 customFormat="false" ht="15.75" hidden="false" customHeight="false" outlineLevel="0" collapsed="false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 customFormat="false" ht="15.75" hidden="false" customHeight="false" outlineLevel="0" collapsed="false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 customFormat="false" ht="15.75" hidden="false" customHeight="false" outlineLevel="0" collapsed="false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 customFormat="false" ht="15.75" hidden="false" customHeight="false" outlineLevel="0" collapsed="false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 customFormat="false" ht="15.75" hidden="false" customHeight="false" outlineLevel="0" collapsed="false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 customFormat="false" ht="15.75" hidden="false" customHeight="false" outlineLevel="0" collapsed="false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 customFormat="false" ht="15.75" hidden="false" customHeight="false" outlineLevel="0" collapsed="false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 customFormat="false" ht="15.75" hidden="false" customHeight="false" outlineLevel="0" collapsed="false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 customFormat="false" ht="15.75" hidden="false" customHeight="false" outlineLevel="0" collapsed="false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 customFormat="false" ht="15.75" hidden="false" customHeight="false" outlineLevel="0" collapsed="false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 customFormat="false" ht="15.75" hidden="false" customHeight="false" outlineLevel="0" collapsed="false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 customFormat="false" ht="15.75" hidden="false" customHeight="false" outlineLevel="0" collapsed="false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 customFormat="false" ht="15.75" hidden="false" customHeight="false" outlineLevel="0" collapsed="false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 customFormat="false" ht="15.75" hidden="false" customHeight="false" outlineLevel="0" collapsed="false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 customFormat="false" ht="15.75" hidden="false" customHeight="false" outlineLevel="0" collapsed="false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 customFormat="false" ht="15.75" hidden="false" customHeight="false" outlineLevel="0" collapsed="false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 customFormat="false" ht="15.75" hidden="false" customHeight="false" outlineLevel="0" collapsed="false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 customFormat="false" ht="15.75" hidden="false" customHeight="false" outlineLevel="0" collapsed="false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 customFormat="false" ht="15.75" hidden="false" customHeight="false" outlineLevel="0" collapsed="false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 customFormat="false" ht="15.75" hidden="false" customHeight="false" outlineLevel="0" collapsed="false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 customFormat="false" ht="15.75" hidden="false" customHeight="false" outlineLevel="0" collapsed="false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 customFormat="false" ht="15.75" hidden="false" customHeight="false" outlineLevel="0" collapsed="false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 customFormat="false" ht="15.75" hidden="false" customHeight="false" outlineLevel="0" collapsed="false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 customFormat="false" ht="15.75" hidden="false" customHeight="false" outlineLevel="0" collapsed="false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 customFormat="false" ht="15.75" hidden="false" customHeight="false" outlineLevel="0" collapsed="false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 customFormat="false" ht="15.75" hidden="false" customHeight="false" outlineLevel="0" collapsed="false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 customFormat="false" ht="15.75" hidden="false" customHeight="false" outlineLevel="0" collapsed="false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 customFormat="false" ht="15.75" hidden="false" customHeight="false" outlineLevel="0" collapsed="false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 customFormat="false" ht="15.75" hidden="false" customHeight="false" outlineLevel="0" collapsed="false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 customFormat="false" ht="15.75" hidden="false" customHeight="false" outlineLevel="0" collapsed="false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 customFormat="false" ht="15.75" hidden="false" customHeight="false" outlineLevel="0" collapsed="false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 customFormat="false" ht="15.75" hidden="false" customHeight="false" outlineLevel="0" collapsed="false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 customFormat="false" ht="15.75" hidden="false" customHeight="false" outlineLevel="0" collapsed="false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 customFormat="false" ht="15.75" hidden="false" customHeight="false" outlineLevel="0" collapsed="false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 customFormat="false" ht="15.75" hidden="false" customHeight="false" outlineLevel="0" collapsed="false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 customFormat="false" ht="15.75" hidden="false" customHeight="false" outlineLevel="0" collapsed="false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 customFormat="false" ht="15.75" hidden="false" customHeight="false" outlineLevel="0" collapsed="false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 customFormat="false" ht="15.75" hidden="false" customHeight="false" outlineLevel="0" collapsed="false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 customFormat="false" ht="15.75" hidden="false" customHeight="false" outlineLevel="0" collapsed="false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 customFormat="false" ht="15.75" hidden="false" customHeight="false" outlineLevel="0" collapsed="false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 customFormat="false" ht="15.75" hidden="false" customHeight="false" outlineLevel="0" collapsed="false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 customFormat="false" ht="15.75" hidden="false" customHeight="false" outlineLevel="0" collapsed="false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 customFormat="false" ht="15.75" hidden="false" customHeight="false" outlineLevel="0" collapsed="false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 customFormat="false" ht="15.75" hidden="false" customHeight="false" outlineLevel="0" collapsed="false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 customFormat="false" ht="15.75" hidden="false" customHeight="false" outlineLevel="0" collapsed="false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 customFormat="false" ht="15.75" hidden="false" customHeight="false" outlineLevel="0" collapsed="false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 customFormat="false" ht="15.75" hidden="false" customHeight="false" outlineLevel="0" collapsed="false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 customFormat="false" ht="15.75" hidden="false" customHeight="false" outlineLevel="0" collapsed="false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 customFormat="false" ht="15.75" hidden="false" customHeight="false" outlineLevel="0" collapsed="false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 customFormat="false" ht="15.75" hidden="false" customHeight="false" outlineLevel="0" collapsed="false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 customFormat="false" ht="15.75" hidden="false" customHeight="false" outlineLevel="0" collapsed="false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 customFormat="false" ht="15.75" hidden="false" customHeight="false" outlineLevel="0" collapsed="false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 customFormat="false" ht="15.75" hidden="false" customHeight="false" outlineLevel="0" collapsed="false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 customFormat="false" ht="15.75" hidden="false" customHeight="false" outlineLevel="0" collapsed="false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 customFormat="false" ht="15.75" hidden="false" customHeight="false" outlineLevel="0" collapsed="false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 customFormat="false" ht="15.75" hidden="false" customHeight="false" outlineLevel="0" collapsed="false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 customFormat="false" ht="15.75" hidden="false" customHeight="false" outlineLevel="0" collapsed="false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 customFormat="false" ht="15.75" hidden="false" customHeight="false" outlineLevel="0" collapsed="false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 customFormat="false" ht="15.75" hidden="false" customHeight="false" outlineLevel="0" collapsed="false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 customFormat="false" ht="15.75" hidden="false" customHeight="false" outlineLevel="0" collapsed="false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 customFormat="false" ht="15.75" hidden="false" customHeight="false" outlineLevel="0" collapsed="false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 customFormat="false" ht="15.75" hidden="false" customHeight="false" outlineLevel="0" collapsed="false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 customFormat="false" ht="15.75" hidden="false" customHeight="false" outlineLevel="0" collapsed="false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 customFormat="false" ht="15.75" hidden="false" customHeight="false" outlineLevel="0" collapsed="false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 customFormat="false" ht="15.75" hidden="false" customHeight="false" outlineLevel="0" collapsed="false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 customFormat="false" ht="15.75" hidden="false" customHeight="false" outlineLevel="0" collapsed="false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 customFormat="false" ht="15.75" hidden="false" customHeight="false" outlineLevel="0" collapsed="false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 customFormat="false" ht="15.75" hidden="false" customHeight="false" outlineLevel="0" collapsed="false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 customFormat="false" ht="15.75" hidden="false" customHeight="false" outlineLevel="0" collapsed="false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 customFormat="false" ht="15.75" hidden="false" customHeight="false" outlineLevel="0" collapsed="false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 customFormat="false" ht="15.75" hidden="false" customHeight="false" outlineLevel="0" collapsed="false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 customFormat="false" ht="15.75" hidden="false" customHeight="false" outlineLevel="0" collapsed="false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 customFormat="false" ht="15.75" hidden="false" customHeight="false" outlineLevel="0" collapsed="false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 customFormat="false" ht="15.75" hidden="false" customHeight="false" outlineLevel="0" collapsed="false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 customFormat="false" ht="15.75" hidden="false" customHeight="false" outlineLevel="0" collapsed="false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 customFormat="false" ht="15.75" hidden="false" customHeight="false" outlineLevel="0" collapsed="false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 customFormat="false" ht="15.75" hidden="false" customHeight="false" outlineLevel="0" collapsed="false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 customFormat="false" ht="15.75" hidden="false" customHeight="false" outlineLevel="0" collapsed="false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 customFormat="false" ht="15.75" hidden="false" customHeight="false" outlineLevel="0" collapsed="false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 customFormat="false" ht="15.75" hidden="false" customHeight="false" outlineLevel="0" collapsed="false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 customFormat="false" ht="15.75" hidden="false" customHeight="false" outlineLevel="0" collapsed="false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 customFormat="false" ht="15.75" hidden="false" customHeight="false" outlineLevel="0" collapsed="false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 customFormat="false" ht="15.75" hidden="false" customHeight="false" outlineLevel="0" collapsed="false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 customFormat="false" ht="15.75" hidden="false" customHeight="false" outlineLevel="0" collapsed="false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 customFormat="false" ht="15.75" hidden="false" customHeight="false" outlineLevel="0" collapsed="false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 customFormat="false" ht="15.75" hidden="false" customHeight="false" outlineLevel="0" collapsed="false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 customFormat="false" ht="15.75" hidden="false" customHeight="false" outlineLevel="0" collapsed="false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 customFormat="false" ht="15.75" hidden="false" customHeight="false" outlineLevel="0" collapsed="false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 customFormat="false" ht="15.75" hidden="false" customHeight="false" outlineLevel="0" collapsed="false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 customFormat="false" ht="15.75" hidden="false" customHeight="false" outlineLevel="0" collapsed="false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 customFormat="false" ht="15.75" hidden="false" customHeight="false" outlineLevel="0" collapsed="false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 customFormat="false" ht="15.75" hidden="false" customHeight="false" outlineLevel="0" collapsed="false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 customFormat="false" ht="15.75" hidden="false" customHeight="false" outlineLevel="0" collapsed="false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 customFormat="false" ht="15.75" hidden="false" customHeight="false" outlineLevel="0" collapsed="false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48" t="s">
        <v>25</v>
      </c>
      <c r="B1" s="148" t="s">
        <v>24</v>
      </c>
      <c r="C1" s="148" t="s">
        <v>27</v>
      </c>
      <c r="D1" s="148" t="s">
        <v>21</v>
      </c>
      <c r="E1" s="148" t="s">
        <v>37</v>
      </c>
      <c r="F1" s="148" t="s">
        <v>26</v>
      </c>
      <c r="G1" s="148" t="s">
        <v>28</v>
      </c>
      <c r="H1" s="148" t="s">
        <v>23</v>
      </c>
      <c r="I1" s="148" t="s">
        <v>22</v>
      </c>
    </row>
    <row r="2" customFormat="false" ht="15.75" hidden="false" customHeight="false" outlineLevel="0" collapsed="false">
      <c r="A2" s="148" t="str">
        <f aca="false">Scoring!AT8</f>
        <v/>
      </c>
      <c r="B2" s="148" t="str">
        <f aca="false">Scoring!AS8</f>
        <v/>
      </c>
      <c r="C2" s="148" t="n">
        <f aca="false">Scoring!C8</f>
        <v>0</v>
      </c>
      <c r="D2" s="149" t="str">
        <f aca="false">Scoring!AP8</f>
        <v/>
      </c>
      <c r="E2" s="148" t="str">
        <f aca="false">Scoring!Z8</f>
        <v/>
      </c>
      <c r="F2" s="148" t="n">
        <f aca="false">Scoring!B8</f>
        <v>0</v>
      </c>
      <c r="G2" s="148" t="n">
        <f aca="false">Scoring!D8</f>
        <v>0</v>
      </c>
      <c r="H2" s="148" t="str">
        <f aca="false">Scoring!AR8</f>
        <v/>
      </c>
      <c r="I2" s="150" t="str">
        <f aca="false">Scoring!AQ8</f>
        <v/>
      </c>
    </row>
    <row r="3" customFormat="false" ht="15.75" hidden="false" customHeight="false" outlineLevel="0" collapsed="false">
      <c r="A3" s="148" t="str">
        <f aca="false">Scoring!AT9</f>
        <v/>
      </c>
      <c r="B3" s="148" t="str">
        <f aca="false">Scoring!AS9</f>
        <v/>
      </c>
      <c r="C3" s="148" t="n">
        <f aca="false">Scoring!C9</f>
        <v>0</v>
      </c>
      <c r="D3" s="149" t="str">
        <f aca="false">Scoring!AP9</f>
        <v/>
      </c>
      <c r="E3" s="148" t="str">
        <f aca="false">Scoring!Z9</f>
        <v/>
      </c>
      <c r="F3" s="148" t="n">
        <f aca="false">Scoring!B9</f>
        <v>0</v>
      </c>
      <c r="G3" s="148" t="n">
        <f aca="false">Scoring!D9</f>
        <v>0</v>
      </c>
      <c r="H3" s="148" t="str">
        <f aca="false">Scoring!AR9</f>
        <v/>
      </c>
      <c r="I3" s="150" t="str">
        <f aca="false">Scoring!AQ9</f>
        <v/>
      </c>
    </row>
    <row r="4" customFormat="false" ht="15.75" hidden="false" customHeight="false" outlineLevel="0" collapsed="false">
      <c r="A4" s="148" t="str">
        <f aca="false">Scoring!AT10</f>
        <v/>
      </c>
      <c r="B4" s="148" t="str">
        <f aca="false">Scoring!AS10</f>
        <v/>
      </c>
      <c r="C4" s="148" t="n">
        <f aca="false">Scoring!C10</f>
        <v>0</v>
      </c>
      <c r="D4" s="149" t="str">
        <f aca="false">Scoring!AP10</f>
        <v/>
      </c>
      <c r="E4" s="148" t="str">
        <f aca="false">Scoring!Z10</f>
        <v/>
      </c>
      <c r="F4" s="148" t="n">
        <f aca="false">Scoring!B10</f>
        <v>0</v>
      </c>
      <c r="G4" s="148" t="n">
        <f aca="false">Scoring!D10</f>
        <v>0</v>
      </c>
      <c r="H4" s="148" t="str">
        <f aca="false">Scoring!AR10</f>
        <v/>
      </c>
      <c r="I4" s="150" t="str">
        <f aca="false">Scoring!AQ10</f>
        <v/>
      </c>
    </row>
    <row r="5" customFormat="false" ht="15.75" hidden="false" customHeight="false" outlineLevel="0" collapsed="false">
      <c r="A5" s="148" t="str">
        <f aca="false">Scoring!AT11</f>
        <v/>
      </c>
      <c r="B5" s="148" t="str">
        <f aca="false">Scoring!AS11</f>
        <v/>
      </c>
      <c r="C5" s="148" t="n">
        <f aca="false">Scoring!C11</f>
        <v>0</v>
      </c>
      <c r="D5" s="149" t="str">
        <f aca="false">Scoring!AP11</f>
        <v/>
      </c>
      <c r="E5" s="148" t="str">
        <f aca="false">Scoring!Z11</f>
        <v/>
      </c>
      <c r="F5" s="148" t="n">
        <f aca="false">Scoring!B11</f>
        <v>0</v>
      </c>
      <c r="G5" s="148" t="n">
        <f aca="false">Scoring!D11</f>
        <v>0</v>
      </c>
      <c r="H5" s="148" t="str">
        <f aca="false">Scoring!AR11</f>
        <v/>
      </c>
      <c r="I5" s="150" t="str">
        <f aca="false">Scoring!AQ11</f>
        <v/>
      </c>
    </row>
    <row r="6" customFormat="false" ht="15.75" hidden="false" customHeight="false" outlineLevel="0" collapsed="false">
      <c r="A6" s="148" t="str">
        <f aca="false">Scoring!AT12</f>
        <v/>
      </c>
      <c r="B6" s="148" t="str">
        <f aca="false">Scoring!AS12</f>
        <v/>
      </c>
      <c r="C6" s="148" t="n">
        <f aca="false">Scoring!C12</f>
        <v>0</v>
      </c>
      <c r="D6" s="149" t="str">
        <f aca="false">Scoring!AP12</f>
        <v/>
      </c>
      <c r="E6" s="148" t="str">
        <f aca="false">Scoring!Z12</f>
        <v/>
      </c>
      <c r="F6" s="148" t="n">
        <f aca="false">Scoring!B12</f>
        <v>0</v>
      </c>
      <c r="G6" s="148" t="n">
        <f aca="false">Scoring!D12</f>
        <v>0</v>
      </c>
      <c r="H6" s="148" t="str">
        <f aca="false">Scoring!AR12</f>
        <v/>
      </c>
      <c r="I6" s="150" t="str">
        <f aca="false">Scoring!AQ12</f>
        <v/>
      </c>
    </row>
    <row r="7" customFormat="false" ht="15.75" hidden="false" customHeight="false" outlineLevel="0" collapsed="false">
      <c r="A7" s="148" t="str">
        <f aca="false">Scoring!AT13</f>
        <v/>
      </c>
      <c r="B7" s="148" t="str">
        <f aca="false">Scoring!AS13</f>
        <v/>
      </c>
      <c r="C7" s="148" t="n">
        <f aca="false">Scoring!C13</f>
        <v>0</v>
      </c>
      <c r="D7" s="149" t="str">
        <f aca="false">Scoring!AP13</f>
        <v/>
      </c>
      <c r="E7" s="148" t="str">
        <f aca="false">Scoring!Z13</f>
        <v/>
      </c>
      <c r="F7" s="148" t="n">
        <f aca="false">Scoring!B13</f>
        <v>0</v>
      </c>
      <c r="G7" s="148" t="n">
        <f aca="false">Scoring!D13</f>
        <v>0</v>
      </c>
      <c r="H7" s="148" t="str">
        <f aca="false">Scoring!AR13</f>
        <v/>
      </c>
      <c r="I7" s="150" t="str">
        <f aca="false">Scoring!AQ13</f>
        <v/>
      </c>
    </row>
    <row r="8" customFormat="false" ht="15.75" hidden="false" customHeight="false" outlineLevel="0" collapsed="false">
      <c r="A8" s="148" t="str">
        <f aca="false">Scoring!AT14</f>
        <v/>
      </c>
      <c r="B8" s="148" t="str">
        <f aca="false">Scoring!AS14</f>
        <v/>
      </c>
      <c r="C8" s="148" t="n">
        <f aca="false">Scoring!C14</f>
        <v>0</v>
      </c>
      <c r="D8" s="149" t="str">
        <f aca="false">Scoring!AP14</f>
        <v/>
      </c>
      <c r="E8" s="148" t="str">
        <f aca="false">Scoring!Z14</f>
        <v/>
      </c>
      <c r="F8" s="148" t="n">
        <f aca="false">Scoring!B14</f>
        <v>0</v>
      </c>
      <c r="G8" s="148" t="n">
        <f aca="false">Scoring!D14</f>
        <v>0</v>
      </c>
      <c r="H8" s="148" t="str">
        <f aca="false">Scoring!AR14</f>
        <v/>
      </c>
      <c r="I8" s="150" t="str">
        <f aca="false">Scoring!AQ14</f>
        <v/>
      </c>
    </row>
    <row r="9" customFormat="false" ht="15.75" hidden="false" customHeight="false" outlineLevel="0" collapsed="false">
      <c r="A9" s="148" t="str">
        <f aca="false">Scoring!AT15</f>
        <v/>
      </c>
      <c r="B9" s="148" t="str">
        <f aca="false">Scoring!AS15</f>
        <v/>
      </c>
      <c r="C9" s="148" t="n">
        <f aca="false">Scoring!C15</f>
        <v>0</v>
      </c>
      <c r="D9" s="149" t="str">
        <f aca="false">Scoring!AP15</f>
        <v/>
      </c>
      <c r="E9" s="148" t="str">
        <f aca="false">Scoring!Z15</f>
        <v/>
      </c>
      <c r="F9" s="148" t="n">
        <f aca="false">Scoring!B15</f>
        <v>0</v>
      </c>
      <c r="G9" s="148" t="n">
        <f aca="false">Scoring!D15</f>
        <v>0</v>
      </c>
      <c r="H9" s="148" t="str">
        <f aca="false">Scoring!AR15</f>
        <v/>
      </c>
      <c r="I9" s="150" t="str">
        <f aca="false">Scoring!AQ15</f>
        <v/>
      </c>
    </row>
    <row r="10" customFormat="false" ht="15.75" hidden="false" customHeight="false" outlineLevel="0" collapsed="false">
      <c r="A10" s="148" t="str">
        <f aca="false">Scoring!AT16</f>
        <v/>
      </c>
      <c r="B10" s="148" t="str">
        <f aca="false">Scoring!AS16</f>
        <v/>
      </c>
      <c r="C10" s="148" t="n">
        <f aca="false">Scoring!C16</f>
        <v>0</v>
      </c>
      <c r="D10" s="149" t="str">
        <f aca="false">Scoring!AP16</f>
        <v/>
      </c>
      <c r="E10" s="148" t="str">
        <f aca="false">Scoring!Z16</f>
        <v/>
      </c>
      <c r="F10" s="148" t="n">
        <f aca="false">Scoring!B16</f>
        <v>0</v>
      </c>
      <c r="G10" s="148" t="n">
        <f aca="false">Scoring!D16</f>
        <v>0</v>
      </c>
      <c r="H10" s="148" t="str">
        <f aca="false">Scoring!AR16</f>
        <v/>
      </c>
      <c r="I10" s="150" t="str">
        <f aca="false">Scoring!AQ16</f>
        <v/>
      </c>
    </row>
    <row r="11" customFormat="false" ht="15.75" hidden="false" customHeight="false" outlineLevel="0" collapsed="false">
      <c r="A11" s="148" t="str">
        <f aca="false">Scoring!AT17</f>
        <v/>
      </c>
      <c r="B11" s="148" t="str">
        <f aca="false">Scoring!AS17</f>
        <v/>
      </c>
      <c r="C11" s="148" t="n">
        <f aca="false">Scoring!C17</f>
        <v>0</v>
      </c>
      <c r="D11" s="149" t="str">
        <f aca="false">Scoring!AP17</f>
        <v/>
      </c>
      <c r="E11" s="148" t="str">
        <f aca="false">Scoring!Z17</f>
        <v/>
      </c>
      <c r="F11" s="148" t="n">
        <f aca="false">Scoring!B17</f>
        <v>0</v>
      </c>
      <c r="G11" s="148" t="n">
        <f aca="false">Scoring!D17</f>
        <v>0</v>
      </c>
      <c r="H11" s="148" t="str">
        <f aca="false">Scoring!AR17</f>
        <v/>
      </c>
      <c r="I11" s="150" t="str">
        <f aca="false">Scoring!AQ17</f>
        <v/>
      </c>
    </row>
    <row r="12" customFormat="false" ht="15.75" hidden="false" customHeight="false" outlineLevel="0" collapsed="false">
      <c r="A12" s="148" t="str">
        <f aca="false">Scoring!AT18</f>
        <v/>
      </c>
      <c r="B12" s="148" t="str">
        <f aca="false">Scoring!AS18</f>
        <v/>
      </c>
      <c r="C12" s="148" t="n">
        <f aca="false">Scoring!C18</f>
        <v>0</v>
      </c>
      <c r="D12" s="149" t="str">
        <f aca="false">Scoring!AP18</f>
        <v/>
      </c>
      <c r="E12" s="148" t="str">
        <f aca="false">Scoring!Z18</f>
        <v/>
      </c>
      <c r="F12" s="148" t="n">
        <f aca="false">Scoring!B18</f>
        <v>0</v>
      </c>
      <c r="G12" s="148" t="n">
        <f aca="false">Scoring!D18</f>
        <v>0</v>
      </c>
      <c r="H12" s="148" t="str">
        <f aca="false">Scoring!AR18</f>
        <v/>
      </c>
      <c r="I12" s="150" t="str">
        <f aca="false">Scoring!AQ18</f>
        <v/>
      </c>
    </row>
    <row r="13" customFormat="false" ht="15.75" hidden="false" customHeight="false" outlineLevel="0" collapsed="false">
      <c r="A13" s="148" t="str">
        <f aca="false">Scoring!AT19</f>
        <v/>
      </c>
      <c r="B13" s="148" t="str">
        <f aca="false">Scoring!AS19</f>
        <v/>
      </c>
      <c r="C13" s="148" t="n">
        <f aca="false">Scoring!C19</f>
        <v>0</v>
      </c>
      <c r="D13" s="149" t="str">
        <f aca="false">Scoring!AP19</f>
        <v/>
      </c>
      <c r="E13" s="148" t="str">
        <f aca="false">Scoring!Z19</f>
        <v/>
      </c>
      <c r="F13" s="148" t="n">
        <f aca="false">Scoring!B19</f>
        <v>0</v>
      </c>
      <c r="G13" s="148" t="n">
        <f aca="false">Scoring!D19</f>
        <v>0</v>
      </c>
      <c r="H13" s="148" t="str">
        <f aca="false">Scoring!AR19</f>
        <v/>
      </c>
      <c r="I13" s="150" t="str">
        <f aca="false">Scoring!AQ19</f>
        <v/>
      </c>
    </row>
    <row r="14" customFormat="false" ht="15.75" hidden="false" customHeight="false" outlineLevel="0" collapsed="false">
      <c r="A14" s="148" t="str">
        <f aca="false">Scoring!AT20</f>
        <v/>
      </c>
      <c r="B14" s="148" t="str">
        <f aca="false">Scoring!AS20</f>
        <v/>
      </c>
      <c r="C14" s="148" t="n">
        <f aca="false">Scoring!C20</f>
        <v>0</v>
      </c>
      <c r="D14" s="149" t="str">
        <f aca="false">Scoring!AP20</f>
        <v/>
      </c>
      <c r="E14" s="148" t="str">
        <f aca="false">Scoring!Z20</f>
        <v/>
      </c>
      <c r="F14" s="148" t="n">
        <f aca="false">Scoring!B20</f>
        <v>0</v>
      </c>
      <c r="G14" s="148" t="n">
        <f aca="false">Scoring!D20</f>
        <v>0</v>
      </c>
      <c r="H14" s="148" t="str">
        <f aca="false">Scoring!AR20</f>
        <v/>
      </c>
      <c r="I14" s="150" t="str">
        <f aca="false">Scoring!AQ20</f>
        <v/>
      </c>
    </row>
    <row r="15" customFormat="false" ht="15.75" hidden="false" customHeight="false" outlineLevel="0" collapsed="false">
      <c r="A15" s="148" t="str">
        <f aca="false">Scoring!AT21</f>
        <v/>
      </c>
      <c r="B15" s="148" t="str">
        <f aca="false">Scoring!AS21</f>
        <v/>
      </c>
      <c r="C15" s="148" t="n">
        <f aca="false">Scoring!C21</f>
        <v>0</v>
      </c>
      <c r="D15" s="149" t="str">
        <f aca="false">Scoring!AP21</f>
        <v/>
      </c>
      <c r="E15" s="148" t="str">
        <f aca="false">Scoring!Z21</f>
        <v/>
      </c>
      <c r="F15" s="148" t="n">
        <f aca="false">Scoring!B21</f>
        <v>0</v>
      </c>
      <c r="G15" s="148" t="n">
        <f aca="false">Scoring!D21</f>
        <v>0</v>
      </c>
      <c r="H15" s="148" t="str">
        <f aca="false">Scoring!AR21</f>
        <v/>
      </c>
      <c r="I15" s="150" t="str">
        <f aca="false">Scoring!AQ21</f>
        <v/>
      </c>
    </row>
    <row r="16" customFormat="false" ht="15.75" hidden="false" customHeight="false" outlineLevel="0" collapsed="false">
      <c r="A16" s="148" t="str">
        <f aca="false">Scoring!AT22</f>
        <v/>
      </c>
      <c r="B16" s="148" t="str">
        <f aca="false">Scoring!AS22</f>
        <v/>
      </c>
      <c r="C16" s="148" t="n">
        <f aca="false">Scoring!C22</f>
        <v>0</v>
      </c>
      <c r="D16" s="149" t="str">
        <f aca="false">Scoring!AP22</f>
        <v/>
      </c>
      <c r="E16" s="148" t="str">
        <f aca="false">Scoring!Z22</f>
        <v/>
      </c>
      <c r="F16" s="148" t="n">
        <f aca="false">Scoring!B22</f>
        <v>0</v>
      </c>
      <c r="G16" s="148" t="n">
        <f aca="false">Scoring!D22</f>
        <v>0</v>
      </c>
      <c r="H16" s="148" t="str">
        <f aca="false">Scoring!AR22</f>
        <v/>
      </c>
      <c r="I16" s="150" t="str">
        <f aca="false">Scoring!AQ22</f>
        <v/>
      </c>
    </row>
    <row r="17" customFormat="false" ht="15.75" hidden="false" customHeight="false" outlineLevel="0" collapsed="false">
      <c r="A17" s="148" t="str">
        <f aca="false">Scoring!AT23</f>
        <v/>
      </c>
      <c r="B17" s="148" t="str">
        <f aca="false">Scoring!AS23</f>
        <v/>
      </c>
      <c r="C17" s="148" t="n">
        <f aca="false">Scoring!C23</f>
        <v>0</v>
      </c>
      <c r="D17" s="149" t="str">
        <f aca="false">Scoring!AP23</f>
        <v/>
      </c>
      <c r="E17" s="148" t="str">
        <f aca="false">Scoring!Z23</f>
        <v/>
      </c>
      <c r="F17" s="148" t="n">
        <f aca="false">Scoring!B23</f>
        <v>0</v>
      </c>
      <c r="G17" s="148" t="n">
        <f aca="false">Scoring!D23</f>
        <v>0</v>
      </c>
      <c r="H17" s="148" t="str">
        <f aca="false">Scoring!AR23</f>
        <v/>
      </c>
      <c r="I17" s="150" t="str">
        <f aca="false">Scoring!AQ23</f>
        <v/>
      </c>
    </row>
    <row r="18" customFormat="false" ht="15.75" hidden="false" customHeight="false" outlineLevel="0" collapsed="false">
      <c r="A18" s="148" t="str">
        <f aca="false">Scoring!AT24</f>
        <v/>
      </c>
      <c r="B18" s="148" t="str">
        <f aca="false">Scoring!AS24</f>
        <v/>
      </c>
      <c r="C18" s="148" t="n">
        <f aca="false">Scoring!C24</f>
        <v>0</v>
      </c>
      <c r="D18" s="149" t="str">
        <f aca="false">Scoring!AP24</f>
        <v/>
      </c>
      <c r="E18" s="148" t="str">
        <f aca="false">Scoring!Z24</f>
        <v/>
      </c>
      <c r="F18" s="148" t="n">
        <f aca="false">Scoring!B24</f>
        <v>0</v>
      </c>
      <c r="G18" s="148" t="n">
        <f aca="false">Scoring!D24</f>
        <v>0</v>
      </c>
      <c r="H18" s="148" t="str">
        <f aca="false">Scoring!AR24</f>
        <v/>
      </c>
      <c r="I18" s="150" t="str">
        <f aca="false">Scoring!AQ24</f>
        <v/>
      </c>
    </row>
    <row r="19" customFormat="false" ht="15.75" hidden="false" customHeight="false" outlineLevel="0" collapsed="false">
      <c r="A19" s="148" t="str">
        <f aca="false">Scoring!AT25</f>
        <v/>
      </c>
      <c r="B19" s="148" t="str">
        <f aca="false">Scoring!AS25</f>
        <v/>
      </c>
      <c r="C19" s="148" t="n">
        <f aca="false">Scoring!C25</f>
        <v>0</v>
      </c>
      <c r="D19" s="149" t="str">
        <f aca="false">Scoring!AP25</f>
        <v/>
      </c>
      <c r="E19" s="148" t="str">
        <f aca="false">Scoring!Z25</f>
        <v/>
      </c>
      <c r="F19" s="148" t="n">
        <f aca="false">Scoring!B25</f>
        <v>0</v>
      </c>
      <c r="G19" s="148" t="n">
        <f aca="false">Scoring!D25</f>
        <v>0</v>
      </c>
      <c r="H19" s="148" t="str">
        <f aca="false">Scoring!AR25</f>
        <v/>
      </c>
      <c r="I19" s="150" t="str">
        <f aca="false">Scoring!AQ25</f>
        <v/>
      </c>
    </row>
    <row r="20" customFormat="false" ht="15.75" hidden="false" customHeight="false" outlineLevel="0" collapsed="false">
      <c r="A20" s="148" t="str">
        <f aca="false">Scoring!AT26</f>
        <v/>
      </c>
      <c r="B20" s="148" t="str">
        <f aca="false">Scoring!AS26</f>
        <v/>
      </c>
      <c r="C20" s="148" t="n">
        <f aca="false">Scoring!C26</f>
        <v>0</v>
      </c>
      <c r="D20" s="149" t="str">
        <f aca="false">Scoring!AP26</f>
        <v/>
      </c>
      <c r="E20" s="148" t="str">
        <f aca="false">Scoring!Z26</f>
        <v/>
      </c>
      <c r="F20" s="148" t="n">
        <f aca="false">Scoring!B26</f>
        <v>0</v>
      </c>
      <c r="G20" s="148" t="n">
        <f aca="false">Scoring!D26</f>
        <v>0</v>
      </c>
      <c r="H20" s="148" t="str">
        <f aca="false">Scoring!AR26</f>
        <v/>
      </c>
      <c r="I20" s="150" t="str">
        <f aca="false">Scoring!AQ26</f>
        <v/>
      </c>
    </row>
    <row r="21" customFormat="false" ht="15.75" hidden="false" customHeight="false" outlineLevel="0" collapsed="false">
      <c r="A21" s="148" t="str">
        <f aca="false">Scoring!AT27</f>
        <v/>
      </c>
      <c r="B21" s="148" t="str">
        <f aca="false">Scoring!AS27</f>
        <v/>
      </c>
      <c r="C21" s="148" t="n">
        <f aca="false">Scoring!C27</f>
        <v>0</v>
      </c>
      <c r="D21" s="149" t="str">
        <f aca="false">Scoring!AP27</f>
        <v/>
      </c>
      <c r="E21" s="148" t="str">
        <f aca="false">Scoring!Z27</f>
        <v/>
      </c>
      <c r="F21" s="148" t="n">
        <f aca="false">Scoring!B27</f>
        <v>0</v>
      </c>
      <c r="G21" s="148" t="n">
        <f aca="false">Scoring!D27</f>
        <v>0</v>
      </c>
      <c r="H21" s="148" t="str">
        <f aca="false">Scoring!AR27</f>
        <v/>
      </c>
      <c r="I21" s="150" t="str">
        <f aca="false">Scoring!AQ27</f>
        <v/>
      </c>
    </row>
    <row r="22" customFormat="false" ht="15.75" hidden="false" customHeight="false" outlineLevel="0" collapsed="false">
      <c r="A22" s="148" t="str">
        <f aca="false">Scoring!AT28</f>
        <v/>
      </c>
      <c r="B22" s="148" t="str">
        <f aca="false">Scoring!AS28</f>
        <v/>
      </c>
      <c r="C22" s="148" t="n">
        <f aca="false">Scoring!C28</f>
        <v>0</v>
      </c>
      <c r="D22" s="149" t="str">
        <f aca="false">Scoring!AP28</f>
        <v/>
      </c>
      <c r="E22" s="148" t="str">
        <f aca="false">Scoring!Z28</f>
        <v/>
      </c>
      <c r="F22" s="148" t="n">
        <f aca="false">Scoring!B28</f>
        <v>0</v>
      </c>
      <c r="G22" s="148" t="n">
        <f aca="false">Scoring!D28</f>
        <v>0</v>
      </c>
      <c r="H22" s="148" t="str">
        <f aca="false">Scoring!AR28</f>
        <v/>
      </c>
      <c r="I22" s="150" t="str">
        <f aca="false">Scoring!AQ28</f>
        <v/>
      </c>
    </row>
    <row r="23" customFormat="false" ht="15.75" hidden="false" customHeight="false" outlineLevel="0" collapsed="false">
      <c r="A23" s="148" t="str">
        <f aca="false">Scoring!AT29</f>
        <v/>
      </c>
      <c r="B23" s="148" t="str">
        <f aca="false">Scoring!AS29</f>
        <v/>
      </c>
      <c r="C23" s="148" t="n">
        <f aca="false">Scoring!C29</f>
        <v>0</v>
      </c>
      <c r="D23" s="149" t="str">
        <f aca="false">Scoring!AP29</f>
        <v/>
      </c>
      <c r="E23" s="148" t="str">
        <f aca="false">Scoring!Z29</f>
        <v/>
      </c>
      <c r="F23" s="148" t="n">
        <f aca="false">Scoring!B29</f>
        <v>0</v>
      </c>
      <c r="G23" s="148" t="n">
        <f aca="false">Scoring!D29</f>
        <v>0</v>
      </c>
      <c r="H23" s="148" t="str">
        <f aca="false">Scoring!AR29</f>
        <v/>
      </c>
      <c r="I23" s="150" t="str">
        <f aca="false">Scoring!AQ29</f>
        <v/>
      </c>
    </row>
    <row r="24" customFormat="false" ht="15.75" hidden="false" customHeight="false" outlineLevel="0" collapsed="false">
      <c r="A24" s="148" t="str">
        <f aca="false">Scoring!AT30</f>
        <v/>
      </c>
      <c r="B24" s="148" t="str">
        <f aca="false">Scoring!AS30</f>
        <v/>
      </c>
      <c r="C24" s="148" t="n">
        <f aca="false">Scoring!C30</f>
        <v>0</v>
      </c>
      <c r="D24" s="149" t="str">
        <f aca="false">Scoring!AP30</f>
        <v/>
      </c>
      <c r="E24" s="148" t="str">
        <f aca="false">Scoring!Z30</f>
        <v/>
      </c>
      <c r="F24" s="148" t="n">
        <f aca="false">Scoring!B30</f>
        <v>0</v>
      </c>
      <c r="G24" s="148" t="n">
        <f aca="false">Scoring!D30</f>
        <v>0</v>
      </c>
      <c r="H24" s="148" t="str">
        <f aca="false">Scoring!AR30</f>
        <v/>
      </c>
      <c r="I24" s="150" t="str">
        <f aca="false">Scoring!AQ30</f>
        <v/>
      </c>
    </row>
    <row r="25" customFormat="false" ht="15.75" hidden="false" customHeight="false" outlineLevel="0" collapsed="false">
      <c r="A25" s="148" t="str">
        <f aca="false">Scoring!AT31</f>
        <v/>
      </c>
      <c r="B25" s="148" t="str">
        <f aca="false">Scoring!AS31</f>
        <v/>
      </c>
      <c r="C25" s="148" t="n">
        <f aca="false">Scoring!C31</f>
        <v>0</v>
      </c>
      <c r="D25" s="149" t="str">
        <f aca="false">Scoring!AP31</f>
        <v/>
      </c>
      <c r="E25" s="148" t="str">
        <f aca="false">Scoring!Z31</f>
        <v/>
      </c>
      <c r="F25" s="148" t="n">
        <f aca="false">Scoring!B31</f>
        <v>0</v>
      </c>
      <c r="G25" s="148" t="n">
        <f aca="false">Scoring!D31</f>
        <v>0</v>
      </c>
      <c r="H25" s="148" t="str">
        <f aca="false">Scoring!AR31</f>
        <v/>
      </c>
      <c r="I25" s="150" t="str">
        <f aca="false">Scoring!AQ31</f>
        <v/>
      </c>
    </row>
    <row r="26" customFormat="false" ht="15.75" hidden="false" customHeight="false" outlineLevel="0" collapsed="false">
      <c r="A26" s="148" t="str">
        <f aca="false">Scoring!AT32</f>
        <v/>
      </c>
      <c r="B26" s="148" t="str">
        <f aca="false">Scoring!AS32</f>
        <v/>
      </c>
      <c r="C26" s="148" t="n">
        <f aca="false">Scoring!C32</f>
        <v>0</v>
      </c>
      <c r="D26" s="149" t="str">
        <f aca="false">Scoring!AP32</f>
        <v/>
      </c>
      <c r="E26" s="148" t="str">
        <f aca="false">Scoring!Z32</f>
        <v/>
      </c>
      <c r="F26" s="148" t="n">
        <f aca="false">Scoring!B32</f>
        <v>0</v>
      </c>
      <c r="G26" s="148" t="n">
        <f aca="false">Scoring!D32</f>
        <v>0</v>
      </c>
      <c r="H26" s="148" t="str">
        <f aca="false">Scoring!AR32</f>
        <v/>
      </c>
      <c r="I26" s="150" t="str">
        <f aca="false">Scoring!AQ32</f>
        <v/>
      </c>
    </row>
    <row r="27" customFormat="false" ht="15.75" hidden="false" customHeight="false" outlineLevel="0" collapsed="false">
      <c r="A27" s="148" t="str">
        <f aca="false">Scoring!AT33</f>
        <v/>
      </c>
      <c r="B27" s="148" t="str">
        <f aca="false">Scoring!AS33</f>
        <v/>
      </c>
      <c r="C27" s="148" t="n">
        <f aca="false">Scoring!C33</f>
        <v>0</v>
      </c>
      <c r="D27" s="149" t="str">
        <f aca="false">Scoring!AP33</f>
        <v/>
      </c>
      <c r="E27" s="148" t="str">
        <f aca="false">Scoring!Z33</f>
        <v/>
      </c>
      <c r="F27" s="148" t="n">
        <f aca="false">Scoring!B33</f>
        <v>0</v>
      </c>
      <c r="G27" s="148" t="n">
        <f aca="false">Scoring!D33</f>
        <v>0</v>
      </c>
      <c r="H27" s="148" t="str">
        <f aca="false">Scoring!AR33</f>
        <v/>
      </c>
      <c r="I27" s="150" t="str">
        <f aca="false">Scoring!AQ33</f>
        <v/>
      </c>
    </row>
    <row r="28" customFormat="false" ht="15.75" hidden="false" customHeight="false" outlineLevel="0" collapsed="false">
      <c r="A28" s="148" t="str">
        <f aca="false">Scoring!AT34</f>
        <v/>
      </c>
      <c r="B28" s="148" t="str">
        <f aca="false">Scoring!AS34</f>
        <v/>
      </c>
      <c r="C28" s="148" t="n">
        <f aca="false">Scoring!C34</f>
        <v>0</v>
      </c>
      <c r="D28" s="149" t="str">
        <f aca="false">Scoring!AP34</f>
        <v/>
      </c>
      <c r="E28" s="148" t="str">
        <f aca="false">Scoring!Z34</f>
        <v/>
      </c>
      <c r="F28" s="148" t="n">
        <f aca="false">Scoring!B34</f>
        <v>0</v>
      </c>
      <c r="G28" s="148" t="n">
        <f aca="false">Scoring!D34</f>
        <v>0</v>
      </c>
      <c r="H28" s="148" t="str">
        <f aca="false">Scoring!AR34</f>
        <v/>
      </c>
      <c r="I28" s="150" t="str">
        <f aca="false">Scoring!AQ34</f>
        <v/>
      </c>
    </row>
    <row r="29" customFormat="false" ht="15.75" hidden="false" customHeight="false" outlineLevel="0" collapsed="false">
      <c r="A29" s="148" t="str">
        <f aca="false">Scoring!AT35</f>
        <v/>
      </c>
      <c r="B29" s="148" t="str">
        <f aca="false">Scoring!AS35</f>
        <v/>
      </c>
      <c r="C29" s="148" t="n">
        <f aca="false">Scoring!C35</f>
        <v>0</v>
      </c>
      <c r="D29" s="149" t="str">
        <f aca="false">Scoring!AP35</f>
        <v/>
      </c>
      <c r="E29" s="148" t="str">
        <f aca="false">Scoring!Z35</f>
        <v/>
      </c>
      <c r="F29" s="148" t="n">
        <f aca="false">Scoring!B35</f>
        <v>0</v>
      </c>
      <c r="G29" s="148" t="n">
        <f aca="false">Scoring!D35</f>
        <v>0</v>
      </c>
      <c r="H29" s="148" t="str">
        <f aca="false">Scoring!AR35</f>
        <v/>
      </c>
      <c r="I29" s="150" t="str">
        <f aca="false">Scoring!AQ35</f>
        <v/>
      </c>
    </row>
    <row r="30" customFormat="false" ht="15.75" hidden="false" customHeight="false" outlineLevel="0" collapsed="false">
      <c r="A30" s="148" t="str">
        <f aca="false">Scoring!AT36</f>
        <v/>
      </c>
      <c r="B30" s="148" t="str">
        <f aca="false">Scoring!AS36</f>
        <v/>
      </c>
      <c r="C30" s="148" t="n">
        <f aca="false">Scoring!C36</f>
        <v>0</v>
      </c>
      <c r="D30" s="149" t="str">
        <f aca="false">Scoring!AP36</f>
        <v/>
      </c>
      <c r="E30" s="148" t="str">
        <f aca="false">Scoring!Z36</f>
        <v/>
      </c>
      <c r="F30" s="148" t="n">
        <f aca="false">Scoring!B36</f>
        <v>0</v>
      </c>
      <c r="G30" s="148" t="n">
        <f aca="false">Scoring!D36</f>
        <v>0</v>
      </c>
      <c r="H30" s="148" t="str">
        <f aca="false">Scoring!AR36</f>
        <v/>
      </c>
      <c r="I30" s="150" t="str">
        <f aca="false">Scoring!AQ36</f>
        <v/>
      </c>
    </row>
    <row r="31" customFormat="false" ht="15.75" hidden="false" customHeight="false" outlineLevel="0" collapsed="false">
      <c r="A31" s="148" t="str">
        <f aca="false">Scoring!AT37</f>
        <v/>
      </c>
      <c r="B31" s="148" t="str">
        <f aca="false">Scoring!AS37</f>
        <v/>
      </c>
      <c r="C31" s="148" t="n">
        <f aca="false">Scoring!C37</f>
        <v>0</v>
      </c>
      <c r="D31" s="149" t="str">
        <f aca="false">Scoring!AP37</f>
        <v/>
      </c>
      <c r="E31" s="148" t="str">
        <f aca="false">Scoring!Z37</f>
        <v/>
      </c>
      <c r="F31" s="148" t="n">
        <f aca="false">Scoring!B37</f>
        <v>0</v>
      </c>
      <c r="G31" s="148" t="n">
        <f aca="false">Scoring!D37</f>
        <v>0</v>
      </c>
      <c r="H31" s="148" t="str">
        <f aca="false">Scoring!AR37</f>
        <v/>
      </c>
      <c r="I31" s="150" t="str">
        <f aca="false">Scoring!AQ37</f>
        <v/>
      </c>
    </row>
    <row r="32" customFormat="false" ht="15.75" hidden="false" customHeight="false" outlineLevel="0" collapsed="false">
      <c r="A32" s="148" t="str">
        <f aca="false">Scoring!AT38</f>
        <v/>
      </c>
      <c r="B32" s="148" t="str">
        <f aca="false">Scoring!AS38</f>
        <v/>
      </c>
      <c r="C32" s="148" t="n">
        <f aca="false">Scoring!C38</f>
        <v>0</v>
      </c>
      <c r="D32" s="149" t="str">
        <f aca="false">Scoring!AP38</f>
        <v/>
      </c>
      <c r="E32" s="148" t="str">
        <f aca="false">Scoring!Z38</f>
        <v/>
      </c>
      <c r="F32" s="148" t="n">
        <f aca="false">Scoring!B38</f>
        <v>0</v>
      </c>
      <c r="G32" s="148" t="n">
        <f aca="false">Scoring!D38</f>
        <v>0</v>
      </c>
      <c r="H32" s="148" t="str">
        <f aca="false">Scoring!AR38</f>
        <v/>
      </c>
      <c r="I32" s="150" t="str">
        <f aca="false">Scoring!AQ38</f>
        <v/>
      </c>
    </row>
    <row r="33" customFormat="false" ht="15.75" hidden="false" customHeight="false" outlineLevel="0" collapsed="false">
      <c r="A33" s="148" t="str">
        <f aca="false">Scoring!AT39</f>
        <v/>
      </c>
      <c r="B33" s="148" t="str">
        <f aca="false">Scoring!AS39</f>
        <v/>
      </c>
      <c r="C33" s="148" t="n">
        <f aca="false">Scoring!C39</f>
        <v>0</v>
      </c>
      <c r="D33" s="149" t="str">
        <f aca="false">Scoring!AP39</f>
        <v/>
      </c>
      <c r="E33" s="148" t="str">
        <f aca="false">Scoring!Z39</f>
        <v/>
      </c>
      <c r="F33" s="148" t="n">
        <f aca="false">Scoring!B39</f>
        <v>0</v>
      </c>
      <c r="G33" s="148" t="n">
        <f aca="false">Scoring!D39</f>
        <v>0</v>
      </c>
      <c r="H33" s="148" t="str">
        <f aca="false">Scoring!AR39</f>
        <v/>
      </c>
      <c r="I33" s="150" t="str">
        <f aca="false">Scoring!AQ39</f>
        <v/>
      </c>
    </row>
    <row r="34" customFormat="false" ht="15.75" hidden="false" customHeight="false" outlineLevel="0" collapsed="false">
      <c r="A34" s="148" t="str">
        <f aca="false">Scoring!AT40</f>
        <v/>
      </c>
      <c r="B34" s="148" t="str">
        <f aca="false">Scoring!AS40</f>
        <v/>
      </c>
      <c r="C34" s="148" t="n">
        <f aca="false">Scoring!C40</f>
        <v>0</v>
      </c>
      <c r="D34" s="149" t="str">
        <f aca="false">Scoring!AP40</f>
        <v/>
      </c>
      <c r="E34" s="148" t="str">
        <f aca="false">Scoring!Z40</f>
        <v/>
      </c>
      <c r="F34" s="148" t="n">
        <f aca="false">Scoring!B40</f>
        <v>0</v>
      </c>
      <c r="G34" s="148" t="n">
        <f aca="false">Scoring!D40</f>
        <v>0</v>
      </c>
      <c r="H34" s="148" t="str">
        <f aca="false">Scoring!AR40</f>
        <v/>
      </c>
      <c r="I34" s="150" t="str">
        <f aca="false">Scoring!AQ40</f>
        <v/>
      </c>
    </row>
    <row r="35" customFormat="false" ht="15.75" hidden="false" customHeight="false" outlineLevel="0" collapsed="false">
      <c r="A35" s="148" t="str">
        <f aca="false">Scoring!AT41</f>
        <v/>
      </c>
      <c r="B35" s="148" t="str">
        <f aca="false">Scoring!AS41</f>
        <v/>
      </c>
      <c r="C35" s="148" t="n">
        <f aca="false">Scoring!C41</f>
        <v>0</v>
      </c>
      <c r="D35" s="149" t="str">
        <f aca="false">Scoring!AP41</f>
        <v/>
      </c>
      <c r="E35" s="148" t="str">
        <f aca="false">Scoring!Z41</f>
        <v/>
      </c>
      <c r="F35" s="148" t="n">
        <f aca="false">Scoring!B41</f>
        <v>0</v>
      </c>
      <c r="G35" s="148" t="n">
        <f aca="false">Scoring!D41</f>
        <v>0</v>
      </c>
      <c r="H35" s="148" t="str">
        <f aca="false">Scoring!AR41</f>
        <v/>
      </c>
      <c r="I35" s="150" t="str">
        <f aca="false">Scoring!AQ41</f>
        <v/>
      </c>
    </row>
    <row r="36" customFormat="false" ht="15.75" hidden="false" customHeight="false" outlineLevel="0" collapsed="false">
      <c r="A36" s="148" t="str">
        <f aca="false">Scoring!AT42</f>
        <v/>
      </c>
      <c r="B36" s="148" t="str">
        <f aca="false">Scoring!AS42</f>
        <v/>
      </c>
      <c r="C36" s="148" t="n">
        <f aca="false">Scoring!C42</f>
        <v>0</v>
      </c>
      <c r="D36" s="149" t="str">
        <f aca="false">Scoring!AP42</f>
        <v/>
      </c>
      <c r="E36" s="148" t="str">
        <f aca="false">Scoring!Z42</f>
        <v/>
      </c>
      <c r="F36" s="148" t="n">
        <f aca="false">Scoring!B42</f>
        <v>0</v>
      </c>
      <c r="G36" s="148" t="n">
        <f aca="false">Scoring!D42</f>
        <v>0</v>
      </c>
      <c r="H36" s="148" t="str">
        <f aca="false">Scoring!AR42</f>
        <v/>
      </c>
      <c r="I36" s="150" t="str">
        <f aca="false">Scoring!AQ42</f>
        <v/>
      </c>
    </row>
    <row r="37" customFormat="false" ht="15.75" hidden="false" customHeight="false" outlineLevel="0" collapsed="false">
      <c r="A37" s="148" t="str">
        <f aca="false">Scoring!AT43</f>
        <v/>
      </c>
      <c r="B37" s="148" t="str">
        <f aca="false">Scoring!AS43</f>
        <v/>
      </c>
      <c r="C37" s="148" t="n">
        <f aca="false">Scoring!C43</f>
        <v>0</v>
      </c>
      <c r="D37" s="149" t="str">
        <f aca="false">Scoring!AP43</f>
        <v/>
      </c>
      <c r="E37" s="148" t="str">
        <f aca="false">Scoring!Z43</f>
        <v/>
      </c>
      <c r="F37" s="148" t="n">
        <f aca="false">Scoring!B43</f>
        <v>0</v>
      </c>
      <c r="G37" s="148" t="n">
        <f aca="false">Scoring!D43</f>
        <v>0</v>
      </c>
      <c r="H37" s="148" t="str">
        <f aca="false">Scoring!AR43</f>
        <v/>
      </c>
      <c r="I37" s="150" t="str">
        <f aca="false">Scoring!AQ43</f>
        <v/>
      </c>
    </row>
    <row r="38" customFormat="false" ht="15.75" hidden="false" customHeight="false" outlineLevel="0" collapsed="false">
      <c r="A38" s="148" t="str">
        <f aca="false">Scoring!AT44</f>
        <v/>
      </c>
      <c r="B38" s="148" t="str">
        <f aca="false">Scoring!AS44</f>
        <v/>
      </c>
      <c r="C38" s="148" t="n">
        <f aca="false">Scoring!C44</f>
        <v>0</v>
      </c>
      <c r="D38" s="149" t="str">
        <f aca="false">Scoring!AP44</f>
        <v/>
      </c>
      <c r="E38" s="148" t="str">
        <f aca="false">Scoring!Z44</f>
        <v/>
      </c>
      <c r="F38" s="148" t="n">
        <f aca="false">Scoring!B44</f>
        <v>0</v>
      </c>
      <c r="G38" s="148" t="n">
        <f aca="false">Scoring!D44</f>
        <v>0</v>
      </c>
      <c r="H38" s="148" t="str">
        <f aca="false">Scoring!AR44</f>
        <v/>
      </c>
      <c r="I38" s="150" t="str">
        <f aca="false">Scoring!AQ44</f>
        <v/>
      </c>
    </row>
    <row r="39" customFormat="false" ht="15.75" hidden="false" customHeight="false" outlineLevel="0" collapsed="false">
      <c r="A39" s="148" t="str">
        <f aca="false">Scoring!AT45</f>
        <v/>
      </c>
      <c r="B39" s="148" t="str">
        <f aca="false">Scoring!AS45</f>
        <v/>
      </c>
      <c r="C39" s="148" t="n">
        <f aca="false">Scoring!C45</f>
        <v>0</v>
      </c>
      <c r="D39" s="149" t="str">
        <f aca="false">Scoring!AP45</f>
        <v/>
      </c>
      <c r="E39" s="148" t="str">
        <f aca="false">Scoring!Z45</f>
        <v/>
      </c>
      <c r="F39" s="148" t="n">
        <f aca="false">Scoring!B45</f>
        <v>0</v>
      </c>
      <c r="G39" s="148" t="n">
        <f aca="false">Scoring!D45</f>
        <v>0</v>
      </c>
      <c r="H39" s="148" t="str">
        <f aca="false">Scoring!AR45</f>
        <v/>
      </c>
      <c r="I39" s="150" t="str">
        <f aca="false">Scoring!AQ45</f>
        <v/>
      </c>
    </row>
    <row r="40" customFormat="false" ht="15.75" hidden="false" customHeight="false" outlineLevel="0" collapsed="false">
      <c r="A40" s="148" t="str">
        <f aca="false">Scoring!AT46</f>
        <v/>
      </c>
      <c r="B40" s="148" t="str">
        <f aca="false">Scoring!AS46</f>
        <v/>
      </c>
      <c r="C40" s="148" t="n">
        <f aca="false">Scoring!C46</f>
        <v>0</v>
      </c>
      <c r="D40" s="149" t="str">
        <f aca="false">Scoring!AP46</f>
        <v/>
      </c>
      <c r="E40" s="148" t="str">
        <f aca="false">Scoring!Z46</f>
        <v/>
      </c>
      <c r="F40" s="148" t="n">
        <f aca="false">Scoring!B46</f>
        <v>0</v>
      </c>
      <c r="G40" s="148" t="n">
        <f aca="false">Scoring!D46</f>
        <v>0</v>
      </c>
      <c r="H40" s="148" t="str">
        <f aca="false">Scoring!AR46</f>
        <v/>
      </c>
      <c r="I40" s="150" t="str">
        <f aca="false">Scoring!AQ46</f>
        <v/>
      </c>
    </row>
    <row r="41" customFormat="false" ht="15.75" hidden="false" customHeight="false" outlineLevel="0" collapsed="false">
      <c r="A41" s="148" t="str">
        <f aca="false">Scoring!AT47</f>
        <v/>
      </c>
      <c r="B41" s="148" t="str">
        <f aca="false">Scoring!AS47</f>
        <v/>
      </c>
      <c r="C41" s="148" t="n">
        <f aca="false">Scoring!C47</f>
        <v>0</v>
      </c>
      <c r="D41" s="149" t="str">
        <f aca="false">Scoring!AP47</f>
        <v/>
      </c>
      <c r="E41" s="148" t="str">
        <f aca="false">Scoring!Z47</f>
        <v/>
      </c>
      <c r="F41" s="148" t="n">
        <f aca="false">Scoring!B47</f>
        <v>0</v>
      </c>
      <c r="G41" s="148" t="n">
        <f aca="false">Scoring!D47</f>
        <v>0</v>
      </c>
      <c r="H41" s="148" t="str">
        <f aca="false">Scoring!AR47</f>
        <v/>
      </c>
      <c r="I41" s="150" t="str">
        <f aca="false">Scoring!AQ47</f>
        <v/>
      </c>
    </row>
    <row r="42" customFormat="false" ht="15.75" hidden="false" customHeight="false" outlineLevel="0" collapsed="false">
      <c r="A42" s="148" t="str">
        <f aca="false">Scoring!AT48</f>
        <v/>
      </c>
      <c r="B42" s="148" t="str">
        <f aca="false">Scoring!AS48</f>
        <v/>
      </c>
      <c r="C42" s="148" t="n">
        <f aca="false">Scoring!C48</f>
        <v>0</v>
      </c>
      <c r="D42" s="149" t="str">
        <f aca="false">Scoring!AP48</f>
        <v/>
      </c>
      <c r="E42" s="148" t="str">
        <f aca="false">Scoring!Z48</f>
        <v/>
      </c>
      <c r="F42" s="148" t="n">
        <f aca="false">Scoring!B48</f>
        <v>0</v>
      </c>
      <c r="G42" s="148" t="n">
        <f aca="false">Scoring!D48</f>
        <v>0</v>
      </c>
      <c r="H42" s="148" t="str">
        <f aca="false">Scoring!AR48</f>
        <v/>
      </c>
      <c r="I42" s="150" t="str">
        <f aca="false">Scoring!AQ48</f>
        <v/>
      </c>
    </row>
    <row r="43" customFormat="false" ht="15.75" hidden="false" customHeight="false" outlineLevel="0" collapsed="false">
      <c r="A43" s="148" t="str">
        <f aca="false">Scoring!AT49</f>
        <v/>
      </c>
      <c r="B43" s="148" t="str">
        <f aca="false">Scoring!AS49</f>
        <v/>
      </c>
      <c r="C43" s="148" t="n">
        <f aca="false">Scoring!C49</f>
        <v>0</v>
      </c>
      <c r="D43" s="149" t="str">
        <f aca="false">Scoring!AP49</f>
        <v/>
      </c>
      <c r="E43" s="148" t="str">
        <f aca="false">Scoring!Z49</f>
        <v/>
      </c>
      <c r="F43" s="148" t="n">
        <f aca="false">Scoring!B49</f>
        <v>0</v>
      </c>
      <c r="G43" s="148" t="n">
        <f aca="false">Scoring!D49</f>
        <v>0</v>
      </c>
      <c r="H43" s="148" t="str">
        <f aca="false">Scoring!AR49</f>
        <v/>
      </c>
      <c r="I43" s="150" t="str">
        <f aca="false">Scoring!AQ49</f>
        <v/>
      </c>
    </row>
    <row r="44" customFormat="false" ht="15.75" hidden="false" customHeight="false" outlineLevel="0" collapsed="false">
      <c r="A44" s="148" t="str">
        <f aca="false">Scoring!AT50</f>
        <v/>
      </c>
      <c r="B44" s="148" t="str">
        <f aca="false">Scoring!AS50</f>
        <v/>
      </c>
      <c r="C44" s="148" t="n">
        <f aca="false">Scoring!C50</f>
        <v>0</v>
      </c>
      <c r="D44" s="149" t="str">
        <f aca="false">Scoring!AP50</f>
        <v/>
      </c>
      <c r="E44" s="148" t="str">
        <f aca="false">Scoring!Z50</f>
        <v/>
      </c>
      <c r="F44" s="148" t="n">
        <f aca="false">Scoring!B50</f>
        <v>0</v>
      </c>
      <c r="G44" s="148" t="n">
        <f aca="false">Scoring!D50</f>
        <v>0</v>
      </c>
      <c r="H44" s="148" t="str">
        <f aca="false">Scoring!AR50</f>
        <v/>
      </c>
      <c r="I44" s="150" t="str">
        <f aca="false">Scoring!AQ50</f>
        <v/>
      </c>
    </row>
    <row r="45" customFormat="false" ht="15.75" hidden="false" customHeight="false" outlineLevel="0" collapsed="false">
      <c r="A45" s="148" t="str">
        <f aca="false">Scoring!AT51</f>
        <v/>
      </c>
      <c r="B45" s="148" t="str">
        <f aca="false">Scoring!AS51</f>
        <v/>
      </c>
      <c r="C45" s="148" t="n">
        <f aca="false">Scoring!C51</f>
        <v>0</v>
      </c>
      <c r="D45" s="149" t="str">
        <f aca="false">Scoring!AP51</f>
        <v/>
      </c>
      <c r="E45" s="148" t="str">
        <f aca="false">Scoring!Z51</f>
        <v/>
      </c>
      <c r="F45" s="148" t="n">
        <f aca="false">Scoring!B51</f>
        <v>0</v>
      </c>
      <c r="G45" s="148" t="n">
        <f aca="false">Scoring!D51</f>
        <v>0</v>
      </c>
      <c r="H45" s="148" t="str">
        <f aca="false">Scoring!AR51</f>
        <v/>
      </c>
      <c r="I45" s="150" t="str">
        <f aca="false">Scoring!AQ51</f>
        <v/>
      </c>
    </row>
    <row r="46" customFormat="false" ht="15.75" hidden="false" customHeight="false" outlineLevel="0" collapsed="false">
      <c r="A46" s="148" t="str">
        <f aca="false">Scoring!AT52</f>
        <v/>
      </c>
      <c r="B46" s="148" t="str">
        <f aca="false">Scoring!AS52</f>
        <v/>
      </c>
      <c r="C46" s="148" t="n">
        <f aca="false">Scoring!C52</f>
        <v>0</v>
      </c>
      <c r="D46" s="149" t="str">
        <f aca="false">Scoring!AP52</f>
        <v/>
      </c>
      <c r="E46" s="148" t="str">
        <f aca="false">Scoring!Z52</f>
        <v/>
      </c>
      <c r="F46" s="148" t="n">
        <f aca="false">Scoring!B52</f>
        <v>0</v>
      </c>
      <c r="G46" s="148" t="n">
        <f aca="false">Scoring!D52</f>
        <v>0</v>
      </c>
      <c r="H46" s="148" t="str">
        <f aca="false">Scoring!AR52</f>
        <v/>
      </c>
      <c r="I46" s="150" t="str">
        <f aca="false">Scoring!AQ52</f>
        <v/>
      </c>
    </row>
    <row r="47" customFormat="false" ht="15.75" hidden="false" customHeight="false" outlineLevel="0" collapsed="false">
      <c r="A47" s="148" t="str">
        <f aca="false">Scoring!AT53</f>
        <v/>
      </c>
      <c r="B47" s="148" t="str">
        <f aca="false">Scoring!AS53</f>
        <v/>
      </c>
      <c r="C47" s="148" t="n">
        <f aca="false">Scoring!C53</f>
        <v>0</v>
      </c>
      <c r="D47" s="149" t="str">
        <f aca="false">Scoring!AP53</f>
        <v/>
      </c>
      <c r="E47" s="148" t="str">
        <f aca="false">Scoring!Z53</f>
        <v/>
      </c>
      <c r="F47" s="148" t="n">
        <f aca="false">Scoring!B53</f>
        <v>0</v>
      </c>
      <c r="G47" s="148" t="n">
        <f aca="false">Scoring!D53</f>
        <v>0</v>
      </c>
      <c r="H47" s="148" t="str">
        <f aca="false">Scoring!AR53</f>
        <v/>
      </c>
      <c r="I47" s="150" t="str">
        <f aca="false">Scoring!AQ53</f>
        <v/>
      </c>
    </row>
    <row r="48" customFormat="false" ht="15.75" hidden="false" customHeight="false" outlineLevel="0" collapsed="false">
      <c r="A48" s="148" t="str">
        <f aca="false">Scoring!AT54</f>
        <v/>
      </c>
      <c r="B48" s="148" t="str">
        <f aca="false">Scoring!AS54</f>
        <v/>
      </c>
      <c r="C48" s="148" t="n">
        <f aca="false">Scoring!C54</f>
        <v>0</v>
      </c>
      <c r="D48" s="149" t="str">
        <f aca="false">Scoring!AP54</f>
        <v/>
      </c>
      <c r="E48" s="148" t="str">
        <f aca="false">Scoring!Z54</f>
        <v/>
      </c>
      <c r="F48" s="148" t="n">
        <f aca="false">Scoring!B54</f>
        <v>0</v>
      </c>
      <c r="G48" s="148" t="n">
        <f aca="false">Scoring!D54</f>
        <v>0</v>
      </c>
      <c r="H48" s="148" t="str">
        <f aca="false">Scoring!AR54</f>
        <v/>
      </c>
      <c r="I48" s="150" t="str">
        <f aca="false">Scoring!AQ54</f>
        <v/>
      </c>
    </row>
    <row r="49" customFormat="false" ht="15.75" hidden="false" customHeight="false" outlineLevel="0" collapsed="false">
      <c r="A49" s="148" t="str">
        <f aca="false">Scoring!AT55</f>
        <v/>
      </c>
      <c r="B49" s="148" t="str">
        <f aca="false">Scoring!AS55</f>
        <v/>
      </c>
      <c r="C49" s="148" t="n">
        <f aca="false">Scoring!C55</f>
        <v>0</v>
      </c>
      <c r="D49" s="149" t="str">
        <f aca="false">Scoring!AP55</f>
        <v/>
      </c>
      <c r="E49" s="148" t="str">
        <f aca="false">Scoring!Z55</f>
        <v/>
      </c>
      <c r="F49" s="148" t="n">
        <f aca="false">Scoring!B55</f>
        <v>0</v>
      </c>
      <c r="G49" s="148" t="n">
        <f aca="false">Scoring!D55</f>
        <v>0</v>
      </c>
      <c r="H49" s="148" t="str">
        <f aca="false">Scoring!AR55</f>
        <v/>
      </c>
      <c r="I49" s="150" t="str">
        <f aca="false">Scoring!AQ55</f>
        <v/>
      </c>
    </row>
    <row r="50" customFormat="false" ht="15.75" hidden="false" customHeight="false" outlineLevel="0" collapsed="false">
      <c r="A50" s="148" t="str">
        <f aca="false">Scoring!AT56</f>
        <v/>
      </c>
      <c r="B50" s="148" t="str">
        <f aca="false">Scoring!AS56</f>
        <v/>
      </c>
      <c r="C50" s="148" t="n">
        <f aca="false">Scoring!C56</f>
        <v>0</v>
      </c>
      <c r="D50" s="149" t="str">
        <f aca="false">Scoring!AP56</f>
        <v/>
      </c>
      <c r="E50" s="148" t="str">
        <f aca="false">Scoring!Z56</f>
        <v/>
      </c>
      <c r="F50" s="148" t="n">
        <f aca="false">Scoring!B56</f>
        <v>0</v>
      </c>
      <c r="G50" s="148" t="n">
        <f aca="false">Scoring!D56</f>
        <v>0</v>
      </c>
      <c r="H50" s="148" t="str">
        <f aca="false">Scoring!AR56</f>
        <v/>
      </c>
      <c r="I50" s="150" t="str">
        <f aca="false">Scoring!AQ56</f>
        <v/>
      </c>
    </row>
    <row r="51" customFormat="false" ht="15.75" hidden="false" customHeight="false" outlineLevel="0" collapsed="false">
      <c r="A51" s="148" t="str">
        <f aca="false">Scoring!AT57</f>
        <v/>
      </c>
      <c r="B51" s="148" t="str">
        <f aca="false">Scoring!AS57</f>
        <v/>
      </c>
      <c r="C51" s="148" t="n">
        <f aca="false">Scoring!C57</f>
        <v>0</v>
      </c>
      <c r="D51" s="149" t="str">
        <f aca="false">Scoring!AP57</f>
        <v/>
      </c>
      <c r="E51" s="148" t="str">
        <f aca="false">Scoring!Z57</f>
        <v/>
      </c>
      <c r="F51" s="148" t="n">
        <f aca="false">Scoring!B57</f>
        <v>0</v>
      </c>
      <c r="G51" s="148" t="n">
        <f aca="false">Scoring!D57</f>
        <v>0</v>
      </c>
      <c r="H51" s="148" t="str">
        <f aca="false">Scoring!AR57</f>
        <v/>
      </c>
      <c r="I51" s="150" t="str">
        <f aca="false">Scoring!AQ57</f>
        <v/>
      </c>
    </row>
    <row r="52" customFormat="false" ht="15.75" hidden="false" customHeight="false" outlineLevel="0" collapsed="false">
      <c r="A52" s="148" t="str">
        <f aca="false">Scoring!AT58</f>
        <v/>
      </c>
      <c r="B52" s="148" t="str">
        <f aca="false">Scoring!AS58</f>
        <v/>
      </c>
      <c r="C52" s="148" t="n">
        <f aca="false">Scoring!C58</f>
        <v>0</v>
      </c>
      <c r="D52" s="149" t="str">
        <f aca="false">Scoring!AP58</f>
        <v/>
      </c>
      <c r="E52" s="148" t="str">
        <f aca="false">Scoring!Z58</f>
        <v/>
      </c>
      <c r="F52" s="148" t="n">
        <f aca="false">Scoring!B58</f>
        <v>0</v>
      </c>
      <c r="G52" s="148" t="n">
        <f aca="false">Scoring!D58</f>
        <v>0</v>
      </c>
      <c r="H52" s="148" t="str">
        <f aca="false">Scoring!AR58</f>
        <v/>
      </c>
      <c r="I52" s="150" t="str">
        <f aca="false">Scoring!AQ58</f>
        <v/>
      </c>
    </row>
    <row r="53" customFormat="false" ht="15.75" hidden="false" customHeight="false" outlineLevel="0" collapsed="false">
      <c r="A53" s="148" t="str">
        <f aca="false">Scoring!AT59</f>
        <v/>
      </c>
      <c r="B53" s="148" t="str">
        <f aca="false">Scoring!AS59</f>
        <v/>
      </c>
      <c r="C53" s="148" t="n">
        <f aca="false">Scoring!C59</f>
        <v>0</v>
      </c>
      <c r="D53" s="149" t="str">
        <f aca="false">Scoring!AP59</f>
        <v/>
      </c>
      <c r="E53" s="148" t="str">
        <f aca="false">Scoring!Z59</f>
        <v/>
      </c>
      <c r="F53" s="148" t="n">
        <f aca="false">Scoring!B59</f>
        <v>0</v>
      </c>
      <c r="G53" s="148" t="n">
        <f aca="false">Scoring!D59</f>
        <v>0</v>
      </c>
      <c r="H53" s="148" t="str">
        <f aca="false">Scoring!AR59</f>
        <v/>
      </c>
      <c r="I53" s="150" t="str">
        <f aca="false">Scoring!AQ59</f>
        <v/>
      </c>
    </row>
    <row r="54" customFormat="false" ht="15.75" hidden="false" customHeight="false" outlineLevel="0" collapsed="false">
      <c r="A54" s="148" t="str">
        <f aca="false">Scoring!AT60</f>
        <v/>
      </c>
      <c r="B54" s="148" t="str">
        <f aca="false">Scoring!AS60</f>
        <v/>
      </c>
      <c r="C54" s="148" t="n">
        <f aca="false">Scoring!C60</f>
        <v>0</v>
      </c>
      <c r="D54" s="149" t="str">
        <f aca="false">Scoring!AP60</f>
        <v/>
      </c>
      <c r="E54" s="148" t="str">
        <f aca="false">Scoring!Z60</f>
        <v/>
      </c>
      <c r="F54" s="148" t="n">
        <f aca="false">Scoring!B60</f>
        <v>0</v>
      </c>
      <c r="G54" s="148" t="n">
        <f aca="false">Scoring!D60</f>
        <v>0</v>
      </c>
      <c r="H54" s="148" t="str">
        <f aca="false">Scoring!AR60</f>
        <v/>
      </c>
      <c r="I54" s="150" t="str">
        <f aca="false">Scoring!AQ60</f>
        <v/>
      </c>
    </row>
    <row r="55" customFormat="false" ht="15.75" hidden="false" customHeight="false" outlineLevel="0" collapsed="false">
      <c r="A55" s="148" t="str">
        <f aca="false">Scoring!AT61</f>
        <v/>
      </c>
      <c r="B55" s="148" t="str">
        <f aca="false">Scoring!AS61</f>
        <v/>
      </c>
      <c r="C55" s="148" t="n">
        <f aca="false">Scoring!C61</f>
        <v>0</v>
      </c>
      <c r="D55" s="149" t="str">
        <f aca="false">Scoring!AP61</f>
        <v/>
      </c>
      <c r="E55" s="148" t="str">
        <f aca="false">Scoring!Z61</f>
        <v/>
      </c>
      <c r="F55" s="148" t="n">
        <f aca="false">Scoring!B61</f>
        <v>0</v>
      </c>
      <c r="G55" s="148" t="n">
        <f aca="false">Scoring!D61</f>
        <v>0</v>
      </c>
      <c r="H55" s="148" t="str">
        <f aca="false">Scoring!AR61</f>
        <v/>
      </c>
      <c r="I55" s="150" t="str">
        <f aca="false">Scoring!AQ61</f>
        <v/>
      </c>
    </row>
    <row r="56" customFormat="false" ht="15.75" hidden="false" customHeight="false" outlineLevel="0" collapsed="false">
      <c r="A56" s="148" t="str">
        <f aca="false">Scoring!AT62</f>
        <v/>
      </c>
      <c r="B56" s="148" t="str">
        <f aca="false">Scoring!AS62</f>
        <v/>
      </c>
      <c r="C56" s="148" t="n">
        <f aca="false">Scoring!C62</f>
        <v>0</v>
      </c>
      <c r="D56" s="149" t="str">
        <f aca="false">Scoring!AP62</f>
        <v/>
      </c>
      <c r="E56" s="148" t="str">
        <f aca="false">Scoring!Z62</f>
        <v/>
      </c>
      <c r="F56" s="148" t="n">
        <f aca="false">Scoring!B62</f>
        <v>0</v>
      </c>
      <c r="G56" s="148" t="n">
        <f aca="false">Scoring!D62</f>
        <v>0</v>
      </c>
      <c r="H56" s="148" t="str">
        <f aca="false">Scoring!AR62</f>
        <v/>
      </c>
      <c r="I56" s="150" t="str">
        <f aca="false">Scoring!AQ62</f>
        <v/>
      </c>
    </row>
    <row r="57" customFormat="false" ht="15.75" hidden="false" customHeight="false" outlineLevel="0" collapsed="false">
      <c r="A57" s="148" t="str">
        <f aca="false">Scoring!AT63</f>
        <v/>
      </c>
      <c r="B57" s="148" t="str">
        <f aca="false">Scoring!AS63</f>
        <v/>
      </c>
      <c r="C57" s="148" t="n">
        <f aca="false">Scoring!C63</f>
        <v>0</v>
      </c>
      <c r="D57" s="149" t="str">
        <f aca="false">Scoring!AP63</f>
        <v/>
      </c>
      <c r="E57" s="148" t="str">
        <f aca="false">Scoring!Z63</f>
        <v/>
      </c>
      <c r="F57" s="148" t="n">
        <f aca="false">Scoring!B63</f>
        <v>0</v>
      </c>
      <c r="G57" s="148" t="n">
        <f aca="false">Scoring!D63</f>
        <v>0</v>
      </c>
      <c r="H57" s="148" t="str">
        <f aca="false">Scoring!AR63</f>
        <v/>
      </c>
      <c r="I57" s="150" t="str">
        <f aca="false">Scoring!AQ63</f>
        <v/>
      </c>
    </row>
    <row r="58" customFormat="false" ht="15.75" hidden="false" customHeight="false" outlineLevel="0" collapsed="false">
      <c r="A58" s="148" t="str">
        <f aca="false">Scoring!AT64</f>
        <v/>
      </c>
      <c r="B58" s="148" t="str">
        <f aca="false">Scoring!AS64</f>
        <v/>
      </c>
      <c r="C58" s="148" t="n">
        <f aca="false">Scoring!C64</f>
        <v>0</v>
      </c>
      <c r="D58" s="149" t="str">
        <f aca="false">Scoring!AP64</f>
        <v/>
      </c>
      <c r="E58" s="148" t="str">
        <f aca="false">Scoring!Z64</f>
        <v/>
      </c>
      <c r="F58" s="148" t="n">
        <f aca="false">Scoring!B64</f>
        <v>0</v>
      </c>
      <c r="G58" s="148" t="n">
        <f aca="false">Scoring!D64</f>
        <v>0</v>
      </c>
      <c r="H58" s="148" t="str">
        <f aca="false">Scoring!AR64</f>
        <v/>
      </c>
      <c r="I58" s="150" t="str">
        <f aca="false">Scoring!AQ64</f>
        <v/>
      </c>
    </row>
    <row r="59" customFormat="false" ht="15.75" hidden="false" customHeight="false" outlineLevel="0" collapsed="false">
      <c r="A59" s="148" t="str">
        <f aca="false">Scoring!AT65</f>
        <v/>
      </c>
      <c r="B59" s="148" t="str">
        <f aca="false">Scoring!AS65</f>
        <v/>
      </c>
      <c r="C59" s="148" t="n">
        <f aca="false">Scoring!C65</f>
        <v>0</v>
      </c>
      <c r="D59" s="149" t="str">
        <f aca="false">Scoring!AP65</f>
        <v/>
      </c>
      <c r="E59" s="148" t="str">
        <f aca="false">Scoring!Z65</f>
        <v/>
      </c>
      <c r="F59" s="148" t="n">
        <f aca="false">Scoring!B65</f>
        <v>0</v>
      </c>
      <c r="G59" s="148" t="n">
        <f aca="false">Scoring!D65</f>
        <v>0</v>
      </c>
      <c r="H59" s="148" t="str">
        <f aca="false">Scoring!AR65</f>
        <v/>
      </c>
      <c r="I59" s="150" t="str">
        <f aca="false">Scoring!AQ65</f>
        <v/>
      </c>
    </row>
    <row r="60" customFormat="false" ht="15.75" hidden="false" customHeight="false" outlineLevel="0" collapsed="false">
      <c r="A60" s="148" t="str">
        <f aca="false">Scoring!AT66</f>
        <v/>
      </c>
      <c r="B60" s="148" t="str">
        <f aca="false">Scoring!AS66</f>
        <v/>
      </c>
      <c r="C60" s="148" t="n">
        <f aca="false">Scoring!C66</f>
        <v>0</v>
      </c>
      <c r="D60" s="149" t="str">
        <f aca="false">Scoring!AP66</f>
        <v/>
      </c>
      <c r="E60" s="148" t="str">
        <f aca="false">Scoring!Z66</f>
        <v/>
      </c>
      <c r="F60" s="148" t="n">
        <f aca="false">Scoring!B66</f>
        <v>0</v>
      </c>
      <c r="G60" s="148" t="n">
        <f aca="false">Scoring!D66</f>
        <v>0</v>
      </c>
      <c r="H60" s="148" t="str">
        <f aca="false">Scoring!AR66</f>
        <v/>
      </c>
      <c r="I60" s="150" t="str">
        <f aca="false">Scoring!AQ66</f>
        <v/>
      </c>
    </row>
    <row r="61" customFormat="false" ht="15.75" hidden="false" customHeight="false" outlineLevel="0" collapsed="false">
      <c r="A61" s="148" t="str">
        <f aca="false">Scoring!AT67</f>
        <v/>
      </c>
      <c r="B61" s="148" t="str">
        <f aca="false">Scoring!AS67</f>
        <v/>
      </c>
      <c r="C61" s="148" t="n">
        <f aca="false">Scoring!C67</f>
        <v>0</v>
      </c>
      <c r="D61" s="149" t="str">
        <f aca="false">Scoring!AP67</f>
        <v/>
      </c>
      <c r="E61" s="148" t="str">
        <f aca="false">Scoring!Z67</f>
        <v/>
      </c>
      <c r="F61" s="148" t="n">
        <f aca="false">Scoring!B67</f>
        <v>0</v>
      </c>
      <c r="G61" s="148" t="n">
        <f aca="false">Scoring!D67</f>
        <v>0</v>
      </c>
      <c r="H61" s="148" t="str">
        <f aca="false">Scoring!AR67</f>
        <v/>
      </c>
      <c r="I61" s="150" t="str">
        <f aca="false">Scoring!AQ67</f>
        <v/>
      </c>
    </row>
    <row r="62" customFormat="false" ht="15.75" hidden="false" customHeight="false" outlineLevel="0" collapsed="false">
      <c r="A62" s="148" t="str">
        <f aca="false">Scoring!AT68</f>
        <v/>
      </c>
      <c r="B62" s="148" t="str">
        <f aca="false">Scoring!AS68</f>
        <v/>
      </c>
      <c r="C62" s="148" t="n">
        <f aca="false">Scoring!C68</f>
        <v>0</v>
      </c>
      <c r="D62" s="149" t="str">
        <f aca="false">Scoring!AP68</f>
        <v/>
      </c>
      <c r="E62" s="148" t="str">
        <f aca="false">Scoring!Z68</f>
        <v/>
      </c>
      <c r="F62" s="148" t="n">
        <f aca="false">Scoring!B68</f>
        <v>0</v>
      </c>
      <c r="G62" s="148" t="n">
        <f aca="false">Scoring!D68</f>
        <v>0</v>
      </c>
      <c r="H62" s="148" t="str">
        <f aca="false">Scoring!AR68</f>
        <v/>
      </c>
      <c r="I62" s="150" t="str">
        <f aca="false">Scoring!AQ68</f>
        <v/>
      </c>
    </row>
    <row r="63" customFormat="false" ht="15.75" hidden="false" customHeight="false" outlineLevel="0" collapsed="false">
      <c r="A63" s="148" t="str">
        <f aca="false">Scoring!AT69</f>
        <v/>
      </c>
      <c r="B63" s="148" t="str">
        <f aca="false">Scoring!AS69</f>
        <v/>
      </c>
      <c r="C63" s="148" t="n">
        <f aca="false">Scoring!C69</f>
        <v>0</v>
      </c>
      <c r="D63" s="149" t="str">
        <f aca="false">Scoring!AP69</f>
        <v/>
      </c>
      <c r="E63" s="148" t="str">
        <f aca="false">Scoring!Z69</f>
        <v/>
      </c>
      <c r="F63" s="148" t="n">
        <f aca="false">Scoring!B69</f>
        <v>0</v>
      </c>
      <c r="G63" s="148" t="n">
        <f aca="false">Scoring!D69</f>
        <v>0</v>
      </c>
      <c r="H63" s="148" t="str">
        <f aca="false">Scoring!AR69</f>
        <v/>
      </c>
      <c r="I63" s="150" t="str">
        <f aca="false">Scoring!AQ69</f>
        <v/>
      </c>
    </row>
    <row r="64" customFormat="false" ht="15.75" hidden="false" customHeight="false" outlineLevel="0" collapsed="false">
      <c r="A64" s="148" t="str">
        <f aca="false">Scoring!AT70</f>
        <v/>
      </c>
      <c r="B64" s="148" t="str">
        <f aca="false">Scoring!AS70</f>
        <v/>
      </c>
      <c r="C64" s="148" t="n">
        <f aca="false">Scoring!C70</f>
        <v>0</v>
      </c>
      <c r="D64" s="149" t="str">
        <f aca="false">Scoring!AP70</f>
        <v/>
      </c>
      <c r="E64" s="148" t="str">
        <f aca="false">Scoring!Z70</f>
        <v/>
      </c>
      <c r="F64" s="148" t="n">
        <f aca="false">Scoring!B70</f>
        <v>0</v>
      </c>
      <c r="G64" s="148" t="n">
        <f aca="false">Scoring!D70</f>
        <v>0</v>
      </c>
      <c r="H64" s="148" t="str">
        <f aca="false">Scoring!AR70</f>
        <v/>
      </c>
      <c r="I64" s="150" t="str">
        <f aca="false">Scoring!AQ70</f>
        <v/>
      </c>
    </row>
    <row r="65" customFormat="false" ht="15.75" hidden="false" customHeight="false" outlineLevel="0" collapsed="false">
      <c r="A65" s="148" t="str">
        <f aca="false">Scoring!AT71</f>
        <v/>
      </c>
      <c r="B65" s="148" t="str">
        <f aca="false">Scoring!AS71</f>
        <v/>
      </c>
      <c r="C65" s="148" t="n">
        <f aca="false">Scoring!C71</f>
        <v>0</v>
      </c>
      <c r="D65" s="149" t="str">
        <f aca="false">Scoring!AP71</f>
        <v/>
      </c>
      <c r="E65" s="148" t="str">
        <f aca="false">Scoring!Z71</f>
        <v/>
      </c>
      <c r="F65" s="148" t="n">
        <f aca="false">Scoring!B71</f>
        <v>0</v>
      </c>
      <c r="G65" s="148" t="n">
        <f aca="false">Scoring!D71</f>
        <v>0</v>
      </c>
      <c r="H65" s="148" t="str">
        <f aca="false">Scoring!AR71</f>
        <v/>
      </c>
      <c r="I65" s="150" t="str">
        <f aca="false">Scoring!AQ71</f>
        <v/>
      </c>
    </row>
    <row r="66" customFormat="false" ht="15.75" hidden="false" customHeight="false" outlineLevel="0" collapsed="false">
      <c r="A66" s="148" t="str">
        <f aca="false">Scoring!AT72</f>
        <v/>
      </c>
      <c r="B66" s="148" t="str">
        <f aca="false">Scoring!AS72</f>
        <v/>
      </c>
      <c r="C66" s="148" t="n">
        <f aca="false">Scoring!C72</f>
        <v>0</v>
      </c>
      <c r="D66" s="149" t="str">
        <f aca="false">Scoring!AP72</f>
        <v/>
      </c>
      <c r="E66" s="148" t="str">
        <f aca="false">Scoring!Z72</f>
        <v/>
      </c>
      <c r="F66" s="148" t="n">
        <f aca="false">Scoring!B72</f>
        <v>0</v>
      </c>
      <c r="G66" s="148" t="n">
        <f aca="false">Scoring!D72</f>
        <v>0</v>
      </c>
      <c r="H66" s="148" t="str">
        <f aca="false">Scoring!AR72</f>
        <v/>
      </c>
      <c r="I66" s="150" t="str">
        <f aca="false">Scoring!AQ72</f>
        <v/>
      </c>
    </row>
    <row r="67" customFormat="false" ht="15.75" hidden="false" customHeight="false" outlineLevel="0" collapsed="false">
      <c r="A67" s="148" t="str">
        <f aca="false">Scoring!AT73</f>
        <v/>
      </c>
      <c r="B67" s="148" t="str">
        <f aca="false">Scoring!AS73</f>
        <v/>
      </c>
      <c r="C67" s="148" t="n">
        <f aca="false">Scoring!C73</f>
        <v>0</v>
      </c>
      <c r="D67" s="149" t="str">
        <f aca="false">Scoring!AP73</f>
        <v/>
      </c>
      <c r="E67" s="148" t="str">
        <f aca="false">Scoring!Z73</f>
        <v/>
      </c>
      <c r="F67" s="148" t="n">
        <f aca="false">Scoring!B73</f>
        <v>0</v>
      </c>
      <c r="G67" s="148" t="n">
        <f aca="false">Scoring!D73</f>
        <v>0</v>
      </c>
      <c r="H67" s="148" t="str">
        <f aca="false">Scoring!AR73</f>
        <v/>
      </c>
      <c r="I67" s="150" t="str">
        <f aca="false">Scoring!AQ73</f>
        <v/>
      </c>
    </row>
    <row r="68" customFormat="false" ht="15.75" hidden="false" customHeight="false" outlineLevel="0" collapsed="false">
      <c r="A68" s="148" t="str">
        <f aca="false">Scoring!AT74</f>
        <v/>
      </c>
      <c r="B68" s="148" t="str">
        <f aca="false">Scoring!AS74</f>
        <v/>
      </c>
      <c r="C68" s="148" t="n">
        <f aca="false">Scoring!C74</f>
        <v>0</v>
      </c>
      <c r="D68" s="149" t="str">
        <f aca="false">Scoring!AP74</f>
        <v/>
      </c>
      <c r="E68" s="148" t="str">
        <f aca="false">Scoring!Z74</f>
        <v/>
      </c>
      <c r="F68" s="148" t="n">
        <f aca="false">Scoring!B74</f>
        <v>0</v>
      </c>
      <c r="G68" s="148" t="n">
        <f aca="false">Scoring!D74</f>
        <v>0</v>
      </c>
      <c r="H68" s="148" t="str">
        <f aca="false">Scoring!AR74</f>
        <v/>
      </c>
      <c r="I68" s="150" t="str">
        <f aca="false">Scoring!AQ74</f>
        <v/>
      </c>
    </row>
    <row r="69" customFormat="false" ht="15.75" hidden="false" customHeight="false" outlineLevel="0" collapsed="false">
      <c r="A69" s="148" t="str">
        <f aca="false">Scoring!AT75</f>
        <v/>
      </c>
      <c r="B69" s="148" t="str">
        <f aca="false">Scoring!AS75</f>
        <v/>
      </c>
      <c r="C69" s="148" t="n">
        <f aca="false">Scoring!C75</f>
        <v>0</v>
      </c>
      <c r="D69" s="149" t="str">
        <f aca="false">Scoring!AP75</f>
        <v/>
      </c>
      <c r="E69" s="148" t="str">
        <f aca="false">Scoring!Z75</f>
        <v/>
      </c>
      <c r="F69" s="148" t="n">
        <f aca="false">Scoring!B75</f>
        <v>0</v>
      </c>
      <c r="G69" s="148" t="n">
        <f aca="false">Scoring!D75</f>
        <v>0</v>
      </c>
      <c r="H69" s="148" t="str">
        <f aca="false">Scoring!AR75</f>
        <v/>
      </c>
      <c r="I69" s="150" t="str">
        <f aca="false">Scoring!AQ75</f>
        <v/>
      </c>
    </row>
    <row r="70" customFormat="false" ht="15.75" hidden="false" customHeight="false" outlineLevel="0" collapsed="false">
      <c r="A70" s="148" t="str">
        <f aca="false">Scoring!AT76</f>
        <v/>
      </c>
      <c r="B70" s="148" t="str">
        <f aca="false">Scoring!AS76</f>
        <v/>
      </c>
      <c r="C70" s="148" t="n">
        <f aca="false">Scoring!C76</f>
        <v>0</v>
      </c>
      <c r="D70" s="149" t="str">
        <f aca="false">Scoring!AP76</f>
        <v/>
      </c>
      <c r="E70" s="148" t="str">
        <f aca="false">Scoring!Z76</f>
        <v/>
      </c>
      <c r="F70" s="148" t="n">
        <f aca="false">Scoring!B76</f>
        <v>0</v>
      </c>
      <c r="G70" s="148" t="n">
        <f aca="false">Scoring!D76</f>
        <v>0</v>
      </c>
      <c r="H70" s="148" t="str">
        <f aca="false">Scoring!AR76</f>
        <v/>
      </c>
      <c r="I70" s="150" t="str">
        <f aca="false">Scoring!AQ76</f>
        <v/>
      </c>
    </row>
    <row r="71" customFormat="false" ht="15.75" hidden="false" customHeight="false" outlineLevel="0" collapsed="false">
      <c r="A71" s="148" t="str">
        <f aca="false">Scoring!AT77</f>
        <v/>
      </c>
      <c r="B71" s="148" t="str">
        <f aca="false">Scoring!AS77</f>
        <v/>
      </c>
      <c r="C71" s="148" t="n">
        <f aca="false">Scoring!C77</f>
        <v>0</v>
      </c>
      <c r="D71" s="149" t="str">
        <f aca="false">Scoring!AP77</f>
        <v/>
      </c>
      <c r="E71" s="148" t="str">
        <f aca="false">Scoring!Z77</f>
        <v/>
      </c>
      <c r="F71" s="148" t="n">
        <f aca="false">Scoring!B77</f>
        <v>0</v>
      </c>
      <c r="G71" s="148" t="n">
        <f aca="false">Scoring!D77</f>
        <v>0</v>
      </c>
      <c r="H71" s="148" t="str">
        <f aca="false">Scoring!AR77</f>
        <v/>
      </c>
      <c r="I71" s="150" t="str">
        <f aca="false">Scoring!AQ77</f>
        <v/>
      </c>
    </row>
    <row r="72" customFormat="false" ht="15.75" hidden="false" customHeight="false" outlineLevel="0" collapsed="false">
      <c r="A72" s="148" t="str">
        <f aca="false">Scoring!AT78</f>
        <v/>
      </c>
      <c r="B72" s="148" t="str">
        <f aca="false">Scoring!AS78</f>
        <v/>
      </c>
      <c r="C72" s="148" t="n">
        <f aca="false">Scoring!C78</f>
        <v>0</v>
      </c>
      <c r="D72" s="149" t="str">
        <f aca="false">Scoring!AP78</f>
        <v/>
      </c>
      <c r="E72" s="148" t="str">
        <f aca="false">Scoring!Z78</f>
        <v/>
      </c>
      <c r="F72" s="148" t="n">
        <f aca="false">Scoring!B78</f>
        <v>0</v>
      </c>
      <c r="G72" s="148" t="n">
        <f aca="false">Scoring!D78</f>
        <v>0</v>
      </c>
      <c r="H72" s="148" t="str">
        <f aca="false">Scoring!AR78</f>
        <v/>
      </c>
      <c r="I72" s="150" t="str">
        <f aca="false">Scoring!AQ78</f>
        <v/>
      </c>
    </row>
    <row r="73" customFormat="false" ht="15.75" hidden="false" customHeight="false" outlineLevel="0" collapsed="false">
      <c r="A73" s="148" t="str">
        <f aca="false">Scoring!AT79</f>
        <v/>
      </c>
      <c r="B73" s="148" t="str">
        <f aca="false">Scoring!AS79</f>
        <v/>
      </c>
      <c r="C73" s="148" t="n">
        <f aca="false">Scoring!C79</f>
        <v>0</v>
      </c>
      <c r="D73" s="149" t="str">
        <f aca="false">Scoring!AP79</f>
        <v/>
      </c>
      <c r="E73" s="148" t="str">
        <f aca="false">Scoring!Z79</f>
        <v/>
      </c>
      <c r="F73" s="148" t="n">
        <f aca="false">Scoring!B79</f>
        <v>0</v>
      </c>
      <c r="G73" s="148" t="n">
        <f aca="false">Scoring!D79</f>
        <v>0</v>
      </c>
      <c r="H73" s="148" t="str">
        <f aca="false">Scoring!AR79</f>
        <v/>
      </c>
      <c r="I73" s="150" t="str">
        <f aca="false">Scoring!AQ79</f>
        <v/>
      </c>
    </row>
    <row r="74" customFormat="false" ht="15.75" hidden="false" customHeight="false" outlineLevel="0" collapsed="false">
      <c r="A74" s="148" t="str">
        <f aca="false">Scoring!AT80</f>
        <v/>
      </c>
      <c r="B74" s="148" t="str">
        <f aca="false">Scoring!AS80</f>
        <v/>
      </c>
      <c r="C74" s="148" t="n">
        <f aca="false">Scoring!C80</f>
        <v>0</v>
      </c>
      <c r="D74" s="149" t="str">
        <f aca="false">Scoring!AP80</f>
        <v/>
      </c>
      <c r="E74" s="148" t="str">
        <f aca="false">Scoring!Z80</f>
        <v/>
      </c>
      <c r="F74" s="148" t="n">
        <f aca="false">Scoring!B80</f>
        <v>0</v>
      </c>
      <c r="G74" s="148" t="n">
        <f aca="false">Scoring!D80</f>
        <v>0</v>
      </c>
      <c r="H74" s="148" t="str">
        <f aca="false">Scoring!AR80</f>
        <v/>
      </c>
      <c r="I74" s="150" t="str">
        <f aca="false">Scoring!AQ80</f>
        <v/>
      </c>
    </row>
    <row r="75" customFormat="false" ht="15.75" hidden="false" customHeight="false" outlineLevel="0" collapsed="false">
      <c r="A75" s="148" t="str">
        <f aca="false">Scoring!AT81</f>
        <v/>
      </c>
      <c r="B75" s="148" t="str">
        <f aca="false">Scoring!AS81</f>
        <v/>
      </c>
      <c r="C75" s="148" t="n">
        <f aca="false">Scoring!C81</f>
        <v>0</v>
      </c>
      <c r="D75" s="149" t="str">
        <f aca="false">Scoring!AP81</f>
        <v/>
      </c>
      <c r="E75" s="148" t="str">
        <f aca="false">Scoring!Z81</f>
        <v/>
      </c>
      <c r="F75" s="148" t="n">
        <f aca="false">Scoring!B81</f>
        <v>0</v>
      </c>
      <c r="G75" s="148" t="n">
        <f aca="false">Scoring!D81</f>
        <v>0</v>
      </c>
      <c r="H75" s="148" t="str">
        <f aca="false">Scoring!AR81</f>
        <v/>
      </c>
      <c r="I75" s="150" t="str">
        <f aca="false">Scoring!AQ81</f>
        <v/>
      </c>
    </row>
    <row r="76" customFormat="false" ht="15.75" hidden="false" customHeight="false" outlineLevel="0" collapsed="false">
      <c r="A76" s="148" t="str">
        <f aca="false">Scoring!AT82</f>
        <v/>
      </c>
      <c r="B76" s="148" t="str">
        <f aca="false">Scoring!AS82</f>
        <v/>
      </c>
      <c r="C76" s="148" t="n">
        <f aca="false">Scoring!C82</f>
        <v>0</v>
      </c>
      <c r="D76" s="149" t="str">
        <f aca="false">Scoring!AP82</f>
        <v/>
      </c>
      <c r="E76" s="148" t="str">
        <f aca="false">Scoring!Z82</f>
        <v/>
      </c>
      <c r="F76" s="148" t="n">
        <f aca="false">Scoring!B82</f>
        <v>0</v>
      </c>
      <c r="G76" s="148" t="n">
        <f aca="false">Scoring!D82</f>
        <v>0</v>
      </c>
      <c r="H76" s="148" t="str">
        <f aca="false">Scoring!AR82</f>
        <v/>
      </c>
      <c r="I76" s="150" t="str">
        <f aca="false">Scoring!AQ82</f>
        <v/>
      </c>
    </row>
    <row r="77" customFormat="false" ht="15.75" hidden="false" customHeight="false" outlineLevel="0" collapsed="false">
      <c r="A77" s="148" t="str">
        <f aca="false">Scoring!AT83</f>
        <v/>
      </c>
      <c r="B77" s="148" t="str">
        <f aca="false">Scoring!AS83</f>
        <v/>
      </c>
      <c r="C77" s="148" t="n">
        <f aca="false">Scoring!C83</f>
        <v>0</v>
      </c>
      <c r="D77" s="149" t="str">
        <f aca="false">Scoring!AP83</f>
        <v/>
      </c>
      <c r="E77" s="148" t="str">
        <f aca="false">Scoring!Z83</f>
        <v/>
      </c>
      <c r="F77" s="148" t="n">
        <f aca="false">Scoring!B83</f>
        <v>0</v>
      </c>
      <c r="G77" s="148" t="n">
        <f aca="false">Scoring!D83</f>
        <v>0</v>
      </c>
      <c r="H77" s="148" t="str">
        <f aca="false">Scoring!AR83</f>
        <v/>
      </c>
      <c r="I77" s="150" t="str">
        <f aca="false">Scoring!AQ83</f>
        <v/>
      </c>
    </row>
    <row r="78" customFormat="false" ht="15.75" hidden="false" customHeight="false" outlineLevel="0" collapsed="false">
      <c r="A78" s="148" t="str">
        <f aca="false">Scoring!AT84</f>
        <v/>
      </c>
      <c r="B78" s="148" t="str">
        <f aca="false">Scoring!AS84</f>
        <v/>
      </c>
      <c r="C78" s="148" t="n">
        <f aca="false">Scoring!C84</f>
        <v>0</v>
      </c>
      <c r="D78" s="149" t="str">
        <f aca="false">Scoring!AP84</f>
        <v/>
      </c>
      <c r="E78" s="148" t="str">
        <f aca="false">Scoring!Z84</f>
        <v/>
      </c>
      <c r="F78" s="148" t="n">
        <f aca="false">Scoring!B84</f>
        <v>0</v>
      </c>
      <c r="G78" s="148" t="n">
        <f aca="false">Scoring!D84</f>
        <v>0</v>
      </c>
      <c r="H78" s="148" t="str">
        <f aca="false">Scoring!AR84</f>
        <v/>
      </c>
      <c r="I78" s="150" t="str">
        <f aca="false">Scoring!AQ84</f>
        <v/>
      </c>
    </row>
    <row r="79" customFormat="false" ht="15.75" hidden="false" customHeight="false" outlineLevel="0" collapsed="false">
      <c r="A79" s="148" t="str">
        <f aca="false">Scoring!AT85</f>
        <v/>
      </c>
      <c r="B79" s="148" t="str">
        <f aca="false">Scoring!AS85</f>
        <v/>
      </c>
      <c r="C79" s="148" t="n">
        <f aca="false">Scoring!C85</f>
        <v>0</v>
      </c>
      <c r="D79" s="149" t="str">
        <f aca="false">Scoring!AP85</f>
        <v/>
      </c>
      <c r="E79" s="148" t="str">
        <f aca="false">Scoring!Z85</f>
        <v/>
      </c>
      <c r="F79" s="148" t="n">
        <f aca="false">Scoring!B85</f>
        <v>0</v>
      </c>
      <c r="G79" s="148" t="n">
        <f aca="false">Scoring!D85</f>
        <v>0</v>
      </c>
      <c r="H79" s="148" t="str">
        <f aca="false">Scoring!AR85</f>
        <v/>
      </c>
      <c r="I79" s="150" t="str">
        <f aca="false">Scoring!AQ85</f>
        <v/>
      </c>
    </row>
    <row r="80" customFormat="false" ht="15.75" hidden="false" customHeight="false" outlineLevel="0" collapsed="false">
      <c r="A80" s="148" t="str">
        <f aca="false">Scoring!AT86</f>
        <v/>
      </c>
      <c r="B80" s="148" t="str">
        <f aca="false">Scoring!AS86</f>
        <v/>
      </c>
      <c r="C80" s="148" t="n">
        <f aca="false">Scoring!C86</f>
        <v>0</v>
      </c>
      <c r="D80" s="149" t="str">
        <f aca="false">Scoring!AP86</f>
        <v/>
      </c>
      <c r="E80" s="148" t="str">
        <f aca="false">Scoring!Z86</f>
        <v/>
      </c>
      <c r="F80" s="148" t="n">
        <f aca="false">Scoring!B86</f>
        <v>0</v>
      </c>
      <c r="G80" s="148" t="n">
        <f aca="false">Scoring!D86</f>
        <v>0</v>
      </c>
      <c r="H80" s="148" t="str">
        <f aca="false">Scoring!AR86</f>
        <v/>
      </c>
      <c r="I80" s="150" t="str">
        <f aca="false">Scoring!AQ86</f>
        <v/>
      </c>
    </row>
    <row r="81" customFormat="false" ht="15.75" hidden="false" customHeight="false" outlineLevel="0" collapsed="false">
      <c r="A81" s="148" t="str">
        <f aca="false">Scoring!AT87</f>
        <v/>
      </c>
      <c r="B81" s="148" t="str">
        <f aca="false">Scoring!AS87</f>
        <v/>
      </c>
      <c r="C81" s="148" t="n">
        <f aca="false">Scoring!C87</f>
        <v>0</v>
      </c>
      <c r="D81" s="149" t="str">
        <f aca="false">Scoring!AP87</f>
        <v/>
      </c>
      <c r="E81" s="148" t="str">
        <f aca="false">Scoring!Z87</f>
        <v/>
      </c>
      <c r="F81" s="148" t="n">
        <f aca="false">Scoring!B87</f>
        <v>0</v>
      </c>
      <c r="G81" s="148" t="n">
        <f aca="false">Scoring!D87</f>
        <v>0</v>
      </c>
      <c r="H81" s="148" t="str">
        <f aca="false">Scoring!AR87</f>
        <v/>
      </c>
      <c r="I81" s="150" t="str">
        <f aca="false">Scoring!AQ87</f>
        <v/>
      </c>
    </row>
    <row r="82" customFormat="false" ht="15.75" hidden="false" customHeight="false" outlineLevel="0" collapsed="false">
      <c r="A82" s="148" t="str">
        <f aca="false">Scoring!AT88</f>
        <v/>
      </c>
      <c r="B82" s="148" t="str">
        <f aca="false">Scoring!AS88</f>
        <v/>
      </c>
      <c r="C82" s="148" t="n">
        <f aca="false">Scoring!C88</f>
        <v>0</v>
      </c>
      <c r="D82" s="149" t="str">
        <f aca="false">Scoring!AP88</f>
        <v/>
      </c>
      <c r="E82" s="148" t="str">
        <f aca="false">Scoring!Z88</f>
        <v/>
      </c>
      <c r="F82" s="148" t="n">
        <f aca="false">Scoring!B88</f>
        <v>0</v>
      </c>
      <c r="G82" s="148" t="n">
        <f aca="false">Scoring!D88</f>
        <v>0</v>
      </c>
      <c r="H82" s="148" t="str">
        <f aca="false">Scoring!AR88</f>
        <v/>
      </c>
      <c r="I82" s="150" t="str">
        <f aca="false">Scoring!AQ88</f>
        <v/>
      </c>
    </row>
    <row r="83" customFormat="false" ht="15.75" hidden="false" customHeight="false" outlineLevel="0" collapsed="false">
      <c r="A83" s="148" t="str">
        <f aca="false">Scoring!AT89</f>
        <v/>
      </c>
      <c r="B83" s="148" t="str">
        <f aca="false">Scoring!AS89</f>
        <v/>
      </c>
      <c r="C83" s="148" t="n">
        <f aca="false">Scoring!C89</f>
        <v>0</v>
      </c>
      <c r="D83" s="149" t="str">
        <f aca="false">Scoring!AP89</f>
        <v/>
      </c>
      <c r="E83" s="148" t="str">
        <f aca="false">Scoring!Z89</f>
        <v/>
      </c>
      <c r="F83" s="148" t="n">
        <f aca="false">Scoring!B89</f>
        <v>0</v>
      </c>
      <c r="G83" s="148" t="n">
        <f aca="false">Scoring!D89</f>
        <v>0</v>
      </c>
      <c r="H83" s="148" t="str">
        <f aca="false">Scoring!AR89</f>
        <v/>
      </c>
      <c r="I83" s="150" t="str">
        <f aca="false">Scoring!AQ89</f>
        <v/>
      </c>
    </row>
    <row r="84" customFormat="false" ht="15.75" hidden="false" customHeight="false" outlineLevel="0" collapsed="false">
      <c r="A84" s="148" t="str">
        <f aca="false">Scoring!AT90</f>
        <v/>
      </c>
      <c r="B84" s="148" t="str">
        <f aca="false">Scoring!AS90</f>
        <v/>
      </c>
      <c r="C84" s="148" t="n">
        <f aca="false">Scoring!C90</f>
        <v>0</v>
      </c>
      <c r="D84" s="149" t="str">
        <f aca="false">Scoring!AP90</f>
        <v/>
      </c>
      <c r="E84" s="148" t="str">
        <f aca="false">Scoring!Z90</f>
        <v/>
      </c>
      <c r="F84" s="148" t="n">
        <f aca="false">Scoring!B90</f>
        <v>0</v>
      </c>
      <c r="G84" s="148" t="n">
        <f aca="false">Scoring!D90</f>
        <v>0</v>
      </c>
      <c r="H84" s="148" t="str">
        <f aca="false">Scoring!AR90</f>
        <v/>
      </c>
      <c r="I84" s="150" t="str">
        <f aca="false">Scoring!AQ90</f>
        <v/>
      </c>
    </row>
    <row r="85" customFormat="false" ht="15.75" hidden="false" customHeight="false" outlineLevel="0" collapsed="false">
      <c r="A85" s="148" t="str">
        <f aca="false">Scoring!AT91</f>
        <v/>
      </c>
      <c r="B85" s="148" t="str">
        <f aca="false">Scoring!AS91</f>
        <v/>
      </c>
      <c r="C85" s="148" t="n">
        <f aca="false">Scoring!C91</f>
        <v>0</v>
      </c>
      <c r="D85" s="149" t="str">
        <f aca="false">Scoring!AP91</f>
        <v/>
      </c>
      <c r="E85" s="148" t="str">
        <f aca="false">Scoring!Z91</f>
        <v/>
      </c>
      <c r="F85" s="148" t="n">
        <f aca="false">Scoring!B91</f>
        <v>0</v>
      </c>
      <c r="G85" s="148" t="n">
        <f aca="false">Scoring!D91</f>
        <v>0</v>
      </c>
      <c r="H85" s="148" t="str">
        <f aca="false">Scoring!AR91</f>
        <v/>
      </c>
      <c r="I85" s="150" t="str">
        <f aca="false">Scoring!AQ91</f>
        <v/>
      </c>
    </row>
    <row r="86" customFormat="false" ht="15.75" hidden="false" customHeight="false" outlineLevel="0" collapsed="false">
      <c r="A86" s="148" t="str">
        <f aca="false">Scoring!AT92</f>
        <v/>
      </c>
      <c r="B86" s="148" t="str">
        <f aca="false">Scoring!AS92</f>
        <v/>
      </c>
      <c r="C86" s="148" t="n">
        <f aca="false">Scoring!C92</f>
        <v>0</v>
      </c>
      <c r="D86" s="149" t="str">
        <f aca="false">Scoring!AP92</f>
        <v/>
      </c>
      <c r="E86" s="148" t="str">
        <f aca="false">Scoring!Z92</f>
        <v/>
      </c>
      <c r="F86" s="148" t="n">
        <f aca="false">Scoring!B92</f>
        <v>0</v>
      </c>
      <c r="G86" s="148" t="n">
        <f aca="false">Scoring!D92</f>
        <v>0</v>
      </c>
      <c r="H86" s="148" t="str">
        <f aca="false">Scoring!AR92</f>
        <v/>
      </c>
      <c r="I86" s="150" t="str">
        <f aca="false">Scoring!AQ92</f>
        <v/>
      </c>
    </row>
    <row r="87" customFormat="false" ht="15.75" hidden="false" customHeight="false" outlineLevel="0" collapsed="false">
      <c r="A87" s="148" t="str">
        <f aca="false">Scoring!AT93</f>
        <v/>
      </c>
      <c r="B87" s="148" t="str">
        <f aca="false">Scoring!AS93</f>
        <v/>
      </c>
      <c r="C87" s="148" t="n">
        <f aca="false">Scoring!C93</f>
        <v>0</v>
      </c>
      <c r="D87" s="149" t="str">
        <f aca="false">Scoring!AP93</f>
        <v/>
      </c>
      <c r="E87" s="148" t="str">
        <f aca="false">Scoring!Z93</f>
        <v/>
      </c>
      <c r="F87" s="148" t="n">
        <f aca="false">Scoring!B93</f>
        <v>0</v>
      </c>
      <c r="G87" s="148" t="n">
        <f aca="false">Scoring!D93</f>
        <v>0</v>
      </c>
      <c r="H87" s="148" t="str">
        <f aca="false">Scoring!AR93</f>
        <v/>
      </c>
      <c r="I87" s="150" t="str">
        <f aca="false">Scoring!AQ93</f>
        <v/>
      </c>
    </row>
    <row r="88" customFormat="false" ht="15.75" hidden="false" customHeight="false" outlineLevel="0" collapsed="false">
      <c r="A88" s="148" t="str">
        <f aca="false">Scoring!AT94</f>
        <v/>
      </c>
      <c r="B88" s="148" t="str">
        <f aca="false">Scoring!AS94</f>
        <v/>
      </c>
      <c r="C88" s="148" t="n">
        <f aca="false">Scoring!C94</f>
        <v>0</v>
      </c>
      <c r="D88" s="149" t="str">
        <f aca="false">Scoring!AP94</f>
        <v/>
      </c>
      <c r="E88" s="148" t="str">
        <f aca="false">Scoring!Z94</f>
        <v/>
      </c>
      <c r="F88" s="148" t="n">
        <f aca="false">Scoring!B94</f>
        <v>0</v>
      </c>
      <c r="G88" s="148" t="n">
        <f aca="false">Scoring!D94</f>
        <v>0</v>
      </c>
      <c r="H88" s="148" t="str">
        <f aca="false">Scoring!AR94</f>
        <v/>
      </c>
      <c r="I88" s="150" t="str">
        <f aca="false">Scoring!AQ94</f>
        <v/>
      </c>
    </row>
    <row r="89" customFormat="false" ht="15.75" hidden="false" customHeight="false" outlineLevel="0" collapsed="false">
      <c r="A89" s="148" t="str">
        <f aca="false">Scoring!AT95</f>
        <v/>
      </c>
      <c r="B89" s="148" t="str">
        <f aca="false">Scoring!AS95</f>
        <v/>
      </c>
      <c r="C89" s="148" t="n">
        <f aca="false">Scoring!C95</f>
        <v>0</v>
      </c>
      <c r="D89" s="149" t="str">
        <f aca="false">Scoring!AP95</f>
        <v/>
      </c>
      <c r="E89" s="148" t="str">
        <f aca="false">Scoring!Z95</f>
        <v/>
      </c>
      <c r="F89" s="148" t="n">
        <f aca="false">Scoring!B95</f>
        <v>0</v>
      </c>
      <c r="G89" s="148" t="n">
        <f aca="false">Scoring!D95</f>
        <v>0</v>
      </c>
      <c r="H89" s="148" t="str">
        <f aca="false">Scoring!AR95</f>
        <v/>
      </c>
      <c r="I89" s="150" t="str">
        <f aca="false">Scoring!AQ95</f>
        <v/>
      </c>
    </row>
    <row r="90" customFormat="false" ht="15.75" hidden="false" customHeight="false" outlineLevel="0" collapsed="false">
      <c r="A90" s="148" t="str">
        <f aca="false">Scoring!AT96</f>
        <v/>
      </c>
      <c r="B90" s="148" t="str">
        <f aca="false">Scoring!AS96</f>
        <v/>
      </c>
      <c r="C90" s="148" t="n">
        <f aca="false">Scoring!C96</f>
        <v>0</v>
      </c>
      <c r="D90" s="149" t="str">
        <f aca="false">Scoring!AP96</f>
        <v/>
      </c>
      <c r="E90" s="148" t="str">
        <f aca="false">Scoring!Z96</f>
        <v/>
      </c>
      <c r="F90" s="148" t="n">
        <f aca="false">Scoring!B96</f>
        <v>0</v>
      </c>
      <c r="G90" s="148" t="n">
        <f aca="false">Scoring!D96</f>
        <v>0</v>
      </c>
      <c r="H90" s="148" t="str">
        <f aca="false">Scoring!AR96</f>
        <v/>
      </c>
      <c r="I90" s="150" t="str">
        <f aca="false">Scoring!AQ96</f>
        <v/>
      </c>
    </row>
    <row r="91" customFormat="false" ht="15.75" hidden="false" customHeight="false" outlineLevel="0" collapsed="false">
      <c r="A91" s="148" t="str">
        <f aca="false">Scoring!AT97</f>
        <v/>
      </c>
      <c r="B91" s="148" t="str">
        <f aca="false">Scoring!AS97</f>
        <v/>
      </c>
      <c r="C91" s="148" t="n">
        <f aca="false">Scoring!C97</f>
        <v>0</v>
      </c>
      <c r="D91" s="149" t="str">
        <f aca="false">Scoring!AP97</f>
        <v/>
      </c>
      <c r="E91" s="148" t="str">
        <f aca="false">Scoring!Z97</f>
        <v/>
      </c>
      <c r="F91" s="148" t="n">
        <f aca="false">Scoring!B97</f>
        <v>0</v>
      </c>
      <c r="G91" s="148" t="n">
        <f aca="false">Scoring!D97</f>
        <v>0</v>
      </c>
      <c r="H91" s="148" t="str">
        <f aca="false">Scoring!AR97</f>
        <v/>
      </c>
      <c r="I91" s="150" t="str">
        <f aca="false">Scoring!AQ97</f>
        <v/>
      </c>
    </row>
    <row r="92" customFormat="false" ht="15.75" hidden="false" customHeight="false" outlineLevel="0" collapsed="false">
      <c r="A92" s="148" t="str">
        <f aca="false">Scoring!AT98</f>
        <v/>
      </c>
      <c r="B92" s="148" t="str">
        <f aca="false">Scoring!AS98</f>
        <v/>
      </c>
      <c r="C92" s="148" t="n">
        <f aca="false">Scoring!C98</f>
        <v>0</v>
      </c>
      <c r="D92" s="149" t="str">
        <f aca="false">Scoring!AP98</f>
        <v/>
      </c>
      <c r="E92" s="148" t="str">
        <f aca="false">Scoring!Z98</f>
        <v/>
      </c>
      <c r="F92" s="148" t="n">
        <f aca="false">Scoring!B98</f>
        <v>0</v>
      </c>
      <c r="G92" s="148" t="n">
        <f aca="false">Scoring!D98</f>
        <v>0</v>
      </c>
      <c r="H92" s="148" t="str">
        <f aca="false">Scoring!AR98</f>
        <v/>
      </c>
      <c r="I92" s="150" t="str">
        <f aca="false">Scoring!AQ98</f>
        <v/>
      </c>
    </row>
    <row r="93" customFormat="false" ht="15.75" hidden="false" customHeight="false" outlineLevel="0" collapsed="false">
      <c r="A93" s="148" t="str">
        <f aca="false">Scoring!AT99</f>
        <v/>
      </c>
      <c r="B93" s="148" t="str">
        <f aca="false">Scoring!AS99</f>
        <v/>
      </c>
      <c r="C93" s="148" t="n">
        <f aca="false">Scoring!C99</f>
        <v>0</v>
      </c>
      <c r="D93" s="149" t="str">
        <f aca="false">Scoring!AP99</f>
        <v/>
      </c>
      <c r="E93" s="148" t="str">
        <f aca="false">Scoring!Z99</f>
        <v/>
      </c>
      <c r="F93" s="148" t="n">
        <f aca="false">Scoring!B99</f>
        <v>0</v>
      </c>
      <c r="G93" s="148" t="n">
        <f aca="false">Scoring!D99</f>
        <v>0</v>
      </c>
      <c r="H93" s="148" t="str">
        <f aca="false">Scoring!AR99</f>
        <v/>
      </c>
      <c r="I93" s="150" t="str">
        <f aca="false">Scoring!AQ99</f>
        <v/>
      </c>
    </row>
    <row r="94" customFormat="false" ht="15.75" hidden="false" customHeight="false" outlineLevel="0" collapsed="false">
      <c r="A94" s="148" t="str">
        <f aca="false">Scoring!AT100</f>
        <v/>
      </c>
      <c r="B94" s="148" t="str">
        <f aca="false">Scoring!AS100</f>
        <v/>
      </c>
      <c r="C94" s="148" t="n">
        <f aca="false">Scoring!C100</f>
        <v>0</v>
      </c>
      <c r="D94" s="149" t="str">
        <f aca="false">Scoring!AP100</f>
        <v/>
      </c>
      <c r="E94" s="148" t="str">
        <f aca="false">Scoring!Z100</f>
        <v/>
      </c>
      <c r="F94" s="148" t="n">
        <f aca="false">Scoring!B100</f>
        <v>0</v>
      </c>
      <c r="G94" s="148" t="n">
        <f aca="false">Scoring!D100</f>
        <v>0</v>
      </c>
      <c r="H94" s="148" t="str">
        <f aca="false">Scoring!AR100</f>
        <v/>
      </c>
      <c r="I94" s="150" t="str">
        <f aca="false">Scoring!AQ100</f>
        <v/>
      </c>
    </row>
    <row r="95" customFormat="false" ht="15.75" hidden="false" customHeight="false" outlineLevel="0" collapsed="false">
      <c r="A95" s="148" t="str">
        <f aca="false">Scoring!AT101</f>
        <v/>
      </c>
      <c r="B95" s="148" t="str">
        <f aca="false">Scoring!AS101</f>
        <v/>
      </c>
      <c r="C95" s="148" t="n">
        <f aca="false">Scoring!C101</f>
        <v>0</v>
      </c>
      <c r="D95" s="149" t="str">
        <f aca="false">Scoring!AP101</f>
        <v/>
      </c>
      <c r="E95" s="148" t="str">
        <f aca="false">Scoring!Z101</f>
        <v/>
      </c>
      <c r="F95" s="148" t="n">
        <f aca="false">Scoring!B101</f>
        <v>0</v>
      </c>
      <c r="G95" s="148" t="n">
        <f aca="false">Scoring!D101</f>
        <v>0</v>
      </c>
      <c r="H95" s="148" t="str">
        <f aca="false">Scoring!AR101</f>
        <v/>
      </c>
      <c r="I95" s="150" t="str">
        <f aca="false">Scoring!AQ101</f>
        <v/>
      </c>
    </row>
    <row r="96" customFormat="false" ht="15.75" hidden="false" customHeight="false" outlineLevel="0" collapsed="false">
      <c r="A96" s="148" t="str">
        <f aca="false">Scoring!AT102</f>
        <v/>
      </c>
      <c r="B96" s="148" t="str">
        <f aca="false">Scoring!AS102</f>
        <v/>
      </c>
      <c r="C96" s="148" t="n">
        <f aca="false">Scoring!C102</f>
        <v>0</v>
      </c>
      <c r="D96" s="149" t="str">
        <f aca="false">Scoring!AP102</f>
        <v/>
      </c>
      <c r="E96" s="148" t="str">
        <f aca="false">Scoring!Z102</f>
        <v/>
      </c>
      <c r="F96" s="148" t="n">
        <f aca="false">Scoring!B102</f>
        <v>0</v>
      </c>
      <c r="G96" s="148" t="n">
        <f aca="false">Scoring!D102</f>
        <v>0</v>
      </c>
      <c r="H96" s="148" t="str">
        <f aca="false">Scoring!AR102</f>
        <v/>
      </c>
      <c r="I96" s="150" t="str">
        <f aca="false">Scoring!AQ102</f>
        <v/>
      </c>
    </row>
    <row r="97" customFormat="false" ht="15.75" hidden="false" customHeight="false" outlineLevel="0" collapsed="false">
      <c r="A97" s="148" t="str">
        <f aca="false">Scoring!AT103</f>
        <v/>
      </c>
      <c r="B97" s="148" t="str">
        <f aca="false">Scoring!AS103</f>
        <v/>
      </c>
      <c r="C97" s="148" t="n">
        <f aca="false">Scoring!C103</f>
        <v>0</v>
      </c>
      <c r="D97" s="149" t="str">
        <f aca="false">Scoring!AP103</f>
        <v/>
      </c>
      <c r="E97" s="148" t="str">
        <f aca="false">Scoring!Z103</f>
        <v/>
      </c>
      <c r="F97" s="148" t="n">
        <f aca="false">Scoring!B103</f>
        <v>0</v>
      </c>
      <c r="G97" s="148" t="n">
        <f aca="false">Scoring!D103</f>
        <v>0</v>
      </c>
      <c r="H97" s="148" t="str">
        <f aca="false">Scoring!AR103</f>
        <v/>
      </c>
      <c r="I97" s="150" t="str">
        <f aca="false">Scoring!AQ103</f>
        <v/>
      </c>
    </row>
    <row r="98" customFormat="false" ht="15.75" hidden="false" customHeight="false" outlineLevel="0" collapsed="false">
      <c r="A98" s="148" t="str">
        <f aca="false">Scoring!AT104</f>
        <v/>
      </c>
      <c r="B98" s="148" t="str">
        <f aca="false">Scoring!AS104</f>
        <v/>
      </c>
      <c r="C98" s="148" t="n">
        <f aca="false">Scoring!C104</f>
        <v>0</v>
      </c>
      <c r="D98" s="149" t="str">
        <f aca="false">Scoring!AP104</f>
        <v/>
      </c>
      <c r="E98" s="148" t="str">
        <f aca="false">Scoring!Z104</f>
        <v/>
      </c>
      <c r="F98" s="148" t="n">
        <f aca="false">Scoring!B104</f>
        <v>0</v>
      </c>
      <c r="G98" s="148" t="n">
        <f aca="false">Scoring!D104</f>
        <v>0</v>
      </c>
      <c r="H98" s="148" t="str">
        <f aca="false">Scoring!AR104</f>
        <v/>
      </c>
      <c r="I98" s="150" t="str">
        <f aca="false">Scoring!AQ104</f>
        <v/>
      </c>
    </row>
    <row r="99" customFormat="false" ht="15.75" hidden="false" customHeight="false" outlineLevel="0" collapsed="false">
      <c r="A99" s="148" t="str">
        <f aca="false">Scoring!AT105</f>
        <v/>
      </c>
      <c r="B99" s="148" t="str">
        <f aca="false">Scoring!AS105</f>
        <v/>
      </c>
      <c r="C99" s="148" t="n">
        <f aca="false">Scoring!C105</f>
        <v>0</v>
      </c>
      <c r="D99" s="149" t="str">
        <f aca="false">Scoring!AP105</f>
        <v/>
      </c>
      <c r="E99" s="148" t="str">
        <f aca="false">Scoring!Z105</f>
        <v/>
      </c>
      <c r="F99" s="148" t="n">
        <f aca="false">Scoring!B105</f>
        <v>0</v>
      </c>
      <c r="G99" s="148" t="n">
        <f aca="false">Scoring!D105</f>
        <v>0</v>
      </c>
      <c r="H99" s="148" t="str">
        <f aca="false">Scoring!AR105</f>
        <v/>
      </c>
      <c r="I99" s="150" t="str">
        <f aca="false">Scoring!AQ105</f>
        <v/>
      </c>
    </row>
    <row r="100" customFormat="false" ht="15.75" hidden="false" customHeight="false" outlineLevel="0" collapsed="false">
      <c r="A100" s="148" t="str">
        <f aca="false">Scoring!AT106</f>
        <v/>
      </c>
      <c r="B100" s="148" t="str">
        <f aca="false">Scoring!AS106</f>
        <v/>
      </c>
      <c r="C100" s="148" t="n">
        <f aca="false">Scoring!C106</f>
        <v>0</v>
      </c>
      <c r="D100" s="149" t="str">
        <f aca="false">Scoring!AP106</f>
        <v/>
      </c>
      <c r="E100" s="148" t="str">
        <f aca="false">Scoring!Z106</f>
        <v/>
      </c>
      <c r="F100" s="148" t="n">
        <f aca="false">Scoring!B106</f>
        <v>0</v>
      </c>
      <c r="G100" s="148" t="n">
        <f aca="false">Scoring!D106</f>
        <v>0</v>
      </c>
      <c r="H100" s="148" t="str">
        <f aca="false">Scoring!AR106</f>
        <v/>
      </c>
      <c r="I100" s="150" t="str">
        <f aca="false">Scoring!AQ106</f>
        <v/>
      </c>
    </row>
    <row r="101" customFormat="false" ht="15.75" hidden="false" customHeight="false" outlineLevel="0" collapsed="false">
      <c r="A101" s="148" t="str">
        <f aca="false">Scoring!AT107</f>
        <v/>
      </c>
      <c r="B101" s="148" t="str">
        <f aca="false">Scoring!AS107</f>
        <v/>
      </c>
      <c r="C101" s="148" t="n">
        <f aca="false">Scoring!C107</f>
        <v>0</v>
      </c>
      <c r="D101" s="149" t="str">
        <f aca="false">Scoring!AP107</f>
        <v/>
      </c>
      <c r="E101" s="148" t="str">
        <f aca="false">Scoring!Z107</f>
        <v/>
      </c>
      <c r="F101" s="148" t="n">
        <f aca="false">Scoring!B107</f>
        <v>0</v>
      </c>
      <c r="G101" s="148" t="n">
        <f aca="false">Scoring!D107</f>
        <v>0</v>
      </c>
      <c r="H101" s="148" t="str">
        <f aca="false">Scoring!AR107</f>
        <v/>
      </c>
      <c r="I101" s="150" t="str">
        <f aca="false">Scoring!AQ107</f>
        <v/>
      </c>
    </row>
    <row r="102" customFormat="false" ht="15.75" hidden="false" customHeight="false" outlineLevel="0" collapsed="false">
      <c r="A102" s="148" t="str">
        <f aca="false">Scoring!AT108</f>
        <v/>
      </c>
      <c r="B102" s="148" t="str">
        <f aca="false">Scoring!AS108</f>
        <v/>
      </c>
      <c r="C102" s="148" t="n">
        <f aca="false">Scoring!C108</f>
        <v>0</v>
      </c>
      <c r="D102" s="149" t="str">
        <f aca="false">Scoring!AP108</f>
        <v/>
      </c>
      <c r="E102" s="148" t="str">
        <f aca="false">Scoring!Z108</f>
        <v/>
      </c>
      <c r="F102" s="148" t="n">
        <f aca="false">Scoring!B108</f>
        <v>0</v>
      </c>
      <c r="G102" s="148" t="n">
        <f aca="false">Scoring!D108</f>
        <v>0</v>
      </c>
      <c r="H102" s="148" t="str">
        <f aca="false">Scoring!AR108</f>
        <v/>
      </c>
      <c r="I102" s="150" t="str">
        <f aca="false">Scoring!AQ108</f>
        <v/>
      </c>
    </row>
    <row r="103" customFormat="false" ht="15.75" hidden="false" customHeight="false" outlineLevel="0" collapsed="false">
      <c r="A103" s="148" t="str">
        <f aca="false">Scoring!AT109</f>
        <v/>
      </c>
      <c r="B103" s="148" t="str">
        <f aca="false">Scoring!AS109</f>
        <v/>
      </c>
      <c r="C103" s="148" t="n">
        <f aca="false">Scoring!C109</f>
        <v>0</v>
      </c>
      <c r="D103" s="149" t="str">
        <f aca="false">Scoring!AP109</f>
        <v/>
      </c>
      <c r="E103" s="148" t="str">
        <f aca="false">Scoring!Z109</f>
        <v/>
      </c>
      <c r="F103" s="148" t="n">
        <f aca="false">Scoring!B109</f>
        <v>0</v>
      </c>
      <c r="G103" s="148" t="n">
        <f aca="false">Scoring!D109</f>
        <v>0</v>
      </c>
      <c r="H103" s="148" t="str">
        <f aca="false">Scoring!AR109</f>
        <v/>
      </c>
      <c r="I103" s="150" t="str">
        <f aca="false">Scoring!AQ109</f>
        <v/>
      </c>
    </row>
    <row r="104" customFormat="false" ht="15.75" hidden="false" customHeight="false" outlineLevel="0" collapsed="false">
      <c r="A104" s="148" t="str">
        <f aca="false">Scoring!AT110</f>
        <v/>
      </c>
      <c r="B104" s="148" t="str">
        <f aca="false">Scoring!AS110</f>
        <v/>
      </c>
      <c r="C104" s="148" t="n">
        <f aca="false">Scoring!C110</f>
        <v>0</v>
      </c>
      <c r="D104" s="149" t="str">
        <f aca="false">Scoring!AP110</f>
        <v/>
      </c>
      <c r="E104" s="148" t="str">
        <f aca="false">Scoring!Z110</f>
        <v/>
      </c>
      <c r="F104" s="148" t="n">
        <f aca="false">Scoring!B110</f>
        <v>0</v>
      </c>
      <c r="G104" s="148" t="n">
        <f aca="false">Scoring!D110</f>
        <v>0</v>
      </c>
      <c r="H104" s="148" t="str">
        <f aca="false">Scoring!AR110</f>
        <v/>
      </c>
      <c r="I104" s="150" t="str">
        <f aca="false">Scoring!AQ110</f>
        <v/>
      </c>
    </row>
    <row r="105" customFormat="false" ht="15.75" hidden="false" customHeight="false" outlineLevel="0" collapsed="false">
      <c r="A105" s="148" t="str">
        <f aca="false">Scoring!AT111</f>
        <v/>
      </c>
      <c r="B105" s="148" t="str">
        <f aca="false">Scoring!AS111</f>
        <v/>
      </c>
      <c r="C105" s="148" t="n">
        <f aca="false">Scoring!C111</f>
        <v>0</v>
      </c>
      <c r="D105" s="149" t="str">
        <f aca="false">Scoring!AP111</f>
        <v/>
      </c>
      <c r="E105" s="148" t="str">
        <f aca="false">Scoring!Z111</f>
        <v/>
      </c>
      <c r="F105" s="148" t="n">
        <f aca="false">Scoring!B111</f>
        <v>0</v>
      </c>
      <c r="G105" s="148" t="n">
        <f aca="false">Scoring!D111</f>
        <v>0</v>
      </c>
      <c r="H105" s="148" t="str">
        <f aca="false">Scoring!AR111</f>
        <v/>
      </c>
      <c r="I105" s="150" t="str">
        <f aca="false">Scoring!AQ111</f>
        <v/>
      </c>
    </row>
    <row r="106" customFormat="false" ht="15.75" hidden="false" customHeight="false" outlineLevel="0" collapsed="false">
      <c r="A106" s="148" t="str">
        <f aca="false">Scoring!AT112</f>
        <v/>
      </c>
      <c r="B106" s="148" t="str">
        <f aca="false">Scoring!AS112</f>
        <v/>
      </c>
      <c r="C106" s="148" t="n">
        <f aca="false">Scoring!C112</f>
        <v>0</v>
      </c>
      <c r="D106" s="149" t="str">
        <f aca="false">Scoring!AP112</f>
        <v/>
      </c>
      <c r="E106" s="148" t="str">
        <f aca="false">Scoring!Z112</f>
        <v/>
      </c>
      <c r="F106" s="148" t="n">
        <f aca="false">Scoring!B112</f>
        <v>0</v>
      </c>
      <c r="G106" s="148" t="n">
        <f aca="false">Scoring!D112</f>
        <v>0</v>
      </c>
      <c r="H106" s="148" t="str">
        <f aca="false">Scoring!AR112</f>
        <v/>
      </c>
      <c r="I106" s="150" t="str">
        <f aca="false">Scoring!AQ112</f>
        <v/>
      </c>
    </row>
    <row r="107" customFormat="false" ht="15.75" hidden="false" customHeight="false" outlineLevel="0" collapsed="false">
      <c r="A107" s="148" t="str">
        <f aca="false">Scoring!AT113</f>
        <v/>
      </c>
      <c r="B107" s="148" t="str">
        <f aca="false">Scoring!AS113</f>
        <v/>
      </c>
      <c r="C107" s="148" t="n">
        <f aca="false">Scoring!C113</f>
        <v>0</v>
      </c>
      <c r="D107" s="149" t="str">
        <f aca="false">Scoring!AP113</f>
        <v/>
      </c>
      <c r="E107" s="148" t="str">
        <f aca="false">Scoring!Z113</f>
        <v/>
      </c>
      <c r="F107" s="148" t="n">
        <f aca="false">Scoring!B113</f>
        <v>0</v>
      </c>
      <c r="G107" s="148" t="n">
        <f aca="false">Scoring!D113</f>
        <v>0</v>
      </c>
      <c r="H107" s="148" t="str">
        <f aca="false">Scoring!AR113</f>
        <v/>
      </c>
      <c r="I107" s="150" t="str">
        <f aca="false">Scoring!AQ113</f>
        <v/>
      </c>
    </row>
    <row r="108" customFormat="false" ht="15.75" hidden="false" customHeight="false" outlineLevel="0" collapsed="false">
      <c r="A108" s="148" t="str">
        <f aca="false">Scoring!AT114</f>
        <v/>
      </c>
      <c r="B108" s="148" t="str">
        <f aca="false">Scoring!AS114</f>
        <v/>
      </c>
      <c r="C108" s="148" t="n">
        <f aca="false">Scoring!C114</f>
        <v>0</v>
      </c>
      <c r="D108" s="149" t="str">
        <f aca="false">Scoring!AP114</f>
        <v/>
      </c>
      <c r="E108" s="148" t="str">
        <f aca="false">Scoring!Z114</f>
        <v/>
      </c>
      <c r="F108" s="148" t="n">
        <f aca="false">Scoring!B114</f>
        <v>0</v>
      </c>
      <c r="G108" s="148" t="n">
        <f aca="false">Scoring!D114</f>
        <v>0</v>
      </c>
      <c r="H108" s="148" t="str">
        <f aca="false">Scoring!AR114</f>
        <v/>
      </c>
      <c r="I108" s="150" t="str">
        <f aca="false">Scoring!AQ114</f>
        <v/>
      </c>
    </row>
    <row r="109" customFormat="false" ht="15.75" hidden="false" customHeight="false" outlineLevel="0" collapsed="false">
      <c r="A109" s="148" t="str">
        <f aca="false">Scoring!AT115</f>
        <v/>
      </c>
      <c r="B109" s="148" t="str">
        <f aca="false">Scoring!AS115</f>
        <v/>
      </c>
      <c r="C109" s="148" t="n">
        <f aca="false">Scoring!C115</f>
        <v>0</v>
      </c>
      <c r="D109" s="149" t="str">
        <f aca="false">Scoring!AP115</f>
        <v/>
      </c>
      <c r="E109" s="148" t="str">
        <f aca="false">Scoring!Z115</f>
        <v/>
      </c>
      <c r="F109" s="148" t="n">
        <f aca="false">Scoring!B115</f>
        <v>0</v>
      </c>
      <c r="G109" s="148" t="n">
        <f aca="false">Scoring!D115</f>
        <v>0</v>
      </c>
      <c r="H109" s="148" t="str">
        <f aca="false">Scoring!AR115</f>
        <v/>
      </c>
      <c r="I109" s="150" t="str">
        <f aca="false">Scoring!AQ115</f>
        <v/>
      </c>
    </row>
    <row r="110" customFormat="false" ht="15.75" hidden="false" customHeight="false" outlineLevel="0" collapsed="false">
      <c r="A110" s="148" t="str">
        <f aca="false">Scoring!AT116</f>
        <v/>
      </c>
      <c r="B110" s="148" t="str">
        <f aca="false">Scoring!AS116</f>
        <v/>
      </c>
      <c r="C110" s="148" t="n">
        <f aca="false">Scoring!C116</f>
        <v>0</v>
      </c>
      <c r="D110" s="149" t="str">
        <f aca="false">Scoring!AP116</f>
        <v/>
      </c>
      <c r="E110" s="148" t="str">
        <f aca="false">Scoring!Z116</f>
        <v/>
      </c>
      <c r="F110" s="148" t="n">
        <f aca="false">Scoring!B116</f>
        <v>0</v>
      </c>
      <c r="G110" s="148" t="n">
        <f aca="false">Scoring!D116</f>
        <v>0</v>
      </c>
      <c r="H110" s="148" t="str">
        <f aca="false">Scoring!AR116</f>
        <v/>
      </c>
      <c r="I110" s="150" t="str">
        <f aca="false">Scoring!AQ116</f>
        <v/>
      </c>
    </row>
    <row r="111" customFormat="false" ht="15.75" hidden="false" customHeight="false" outlineLevel="0" collapsed="false">
      <c r="A111" s="148" t="str">
        <f aca="false">Scoring!AT117</f>
        <v/>
      </c>
      <c r="B111" s="148" t="str">
        <f aca="false">Scoring!AS117</f>
        <v/>
      </c>
      <c r="C111" s="148" t="n">
        <f aca="false">Scoring!C117</f>
        <v>0</v>
      </c>
      <c r="D111" s="149" t="str">
        <f aca="false">Scoring!AP117</f>
        <v/>
      </c>
      <c r="E111" s="148" t="str">
        <f aca="false">Scoring!Z117</f>
        <v/>
      </c>
      <c r="F111" s="148" t="n">
        <f aca="false">Scoring!B117</f>
        <v>0</v>
      </c>
      <c r="G111" s="148" t="n">
        <f aca="false">Scoring!D117</f>
        <v>0</v>
      </c>
      <c r="H111" s="148" t="str">
        <f aca="false">Scoring!AR117</f>
        <v/>
      </c>
      <c r="I111" s="150" t="str">
        <f aca="false">Scoring!AQ117</f>
        <v/>
      </c>
    </row>
    <row r="112" customFormat="false" ht="15.75" hidden="false" customHeight="false" outlineLevel="0" collapsed="false">
      <c r="A112" s="148" t="str">
        <f aca="false">Scoring!AT118</f>
        <v/>
      </c>
      <c r="B112" s="148" t="str">
        <f aca="false">Scoring!AS118</f>
        <v/>
      </c>
      <c r="C112" s="148" t="n">
        <f aca="false">Scoring!C118</f>
        <v>0</v>
      </c>
      <c r="D112" s="149" t="str">
        <f aca="false">Scoring!AP118</f>
        <v/>
      </c>
      <c r="E112" s="148" t="str">
        <f aca="false">Scoring!Z118</f>
        <v/>
      </c>
      <c r="F112" s="148" t="n">
        <f aca="false">Scoring!B118</f>
        <v>0</v>
      </c>
      <c r="G112" s="148" t="n">
        <f aca="false">Scoring!D118</f>
        <v>0</v>
      </c>
      <c r="H112" s="148" t="str">
        <f aca="false">Scoring!AR118</f>
        <v/>
      </c>
      <c r="I112" s="150" t="str">
        <f aca="false">Scoring!AQ118</f>
        <v/>
      </c>
    </row>
    <row r="113" customFormat="false" ht="15.75" hidden="false" customHeight="false" outlineLevel="0" collapsed="false">
      <c r="A113" s="148" t="str">
        <f aca="false">Scoring!AT119</f>
        <v/>
      </c>
      <c r="B113" s="148" t="str">
        <f aca="false">Scoring!AS119</f>
        <v/>
      </c>
      <c r="C113" s="148" t="n">
        <f aca="false">Scoring!C119</f>
        <v>0</v>
      </c>
      <c r="D113" s="149" t="str">
        <f aca="false">Scoring!AP119</f>
        <v/>
      </c>
      <c r="E113" s="148" t="str">
        <f aca="false">Scoring!Z119</f>
        <v/>
      </c>
      <c r="F113" s="148" t="n">
        <f aca="false">Scoring!B119</f>
        <v>0</v>
      </c>
      <c r="G113" s="148" t="n">
        <f aca="false">Scoring!D119</f>
        <v>0</v>
      </c>
      <c r="H113" s="148" t="str">
        <f aca="false">Scoring!AR119</f>
        <v/>
      </c>
      <c r="I113" s="150" t="str">
        <f aca="false">Scoring!AQ119</f>
        <v/>
      </c>
    </row>
    <row r="114" customFormat="false" ht="15.75" hidden="false" customHeight="false" outlineLevel="0" collapsed="false">
      <c r="A114" s="148" t="str">
        <f aca="false">Scoring!AT120</f>
        <v/>
      </c>
      <c r="B114" s="148" t="str">
        <f aca="false">Scoring!AS120</f>
        <v/>
      </c>
      <c r="C114" s="148" t="n">
        <f aca="false">Scoring!C120</f>
        <v>0</v>
      </c>
      <c r="D114" s="149" t="str">
        <f aca="false">Scoring!AP120</f>
        <v/>
      </c>
      <c r="E114" s="148" t="str">
        <f aca="false">Scoring!Z120</f>
        <v/>
      </c>
      <c r="F114" s="148" t="n">
        <f aca="false">Scoring!B120</f>
        <v>0</v>
      </c>
      <c r="G114" s="148" t="n">
        <f aca="false">Scoring!D120</f>
        <v>0</v>
      </c>
      <c r="H114" s="148" t="str">
        <f aca="false">Scoring!AR120</f>
        <v/>
      </c>
      <c r="I114" s="150" t="str">
        <f aca="false">Scoring!AQ120</f>
        <v/>
      </c>
    </row>
    <row r="115" customFormat="false" ht="15.75" hidden="false" customHeight="false" outlineLevel="0" collapsed="false">
      <c r="A115" s="148" t="str">
        <f aca="false">Scoring!AT121</f>
        <v/>
      </c>
      <c r="B115" s="148" t="str">
        <f aca="false">Scoring!AS121</f>
        <v/>
      </c>
      <c r="C115" s="148" t="n">
        <f aca="false">Scoring!C121</f>
        <v>0</v>
      </c>
      <c r="D115" s="149" t="str">
        <f aca="false">Scoring!AP121</f>
        <v/>
      </c>
      <c r="E115" s="148" t="str">
        <f aca="false">Scoring!Z121</f>
        <v/>
      </c>
      <c r="F115" s="148" t="n">
        <f aca="false">Scoring!B121</f>
        <v>0</v>
      </c>
      <c r="G115" s="148" t="n">
        <f aca="false">Scoring!D121</f>
        <v>0</v>
      </c>
      <c r="H115" s="148" t="str">
        <f aca="false">Scoring!AR121</f>
        <v/>
      </c>
      <c r="I115" s="150" t="str">
        <f aca="false">Scoring!AQ121</f>
        <v/>
      </c>
    </row>
    <row r="116" customFormat="false" ht="15.75" hidden="false" customHeight="false" outlineLevel="0" collapsed="false">
      <c r="A116" s="148" t="str">
        <f aca="false">Scoring!AT122</f>
        <v/>
      </c>
      <c r="B116" s="148" t="str">
        <f aca="false">Scoring!AS122</f>
        <v/>
      </c>
      <c r="C116" s="148" t="n">
        <f aca="false">Scoring!C122</f>
        <v>0</v>
      </c>
      <c r="D116" s="149" t="str">
        <f aca="false">Scoring!AP122</f>
        <v/>
      </c>
      <c r="E116" s="148" t="str">
        <f aca="false">Scoring!Z122</f>
        <v/>
      </c>
      <c r="F116" s="148" t="n">
        <f aca="false">Scoring!B122</f>
        <v>0</v>
      </c>
      <c r="G116" s="148" t="n">
        <f aca="false">Scoring!D122</f>
        <v>0</v>
      </c>
      <c r="H116" s="148" t="str">
        <f aca="false">Scoring!AR122</f>
        <v/>
      </c>
      <c r="I116" s="150" t="str">
        <f aca="false">Scoring!AQ122</f>
        <v/>
      </c>
    </row>
    <row r="117" customFormat="false" ht="15.75" hidden="false" customHeight="false" outlineLevel="0" collapsed="false">
      <c r="A117" s="148" t="str">
        <f aca="false">Scoring!AT123</f>
        <v/>
      </c>
      <c r="B117" s="148" t="str">
        <f aca="false">Scoring!AS123</f>
        <v/>
      </c>
      <c r="C117" s="148" t="n">
        <f aca="false">Scoring!C123</f>
        <v>0</v>
      </c>
      <c r="D117" s="149" t="str">
        <f aca="false">Scoring!AP123</f>
        <v/>
      </c>
      <c r="E117" s="148" t="str">
        <f aca="false">Scoring!Z123</f>
        <v/>
      </c>
      <c r="F117" s="148" t="n">
        <f aca="false">Scoring!B123</f>
        <v>0</v>
      </c>
      <c r="G117" s="148" t="n">
        <f aca="false">Scoring!D123</f>
        <v>0</v>
      </c>
      <c r="H117" s="148" t="str">
        <f aca="false">Scoring!AR123</f>
        <v/>
      </c>
      <c r="I117" s="150" t="str">
        <f aca="false">Scoring!AQ123</f>
        <v/>
      </c>
    </row>
    <row r="118" customFormat="false" ht="15.75" hidden="false" customHeight="false" outlineLevel="0" collapsed="false">
      <c r="A118" s="148" t="str">
        <f aca="false">Scoring!AT124</f>
        <v/>
      </c>
      <c r="B118" s="148" t="str">
        <f aca="false">Scoring!AS124</f>
        <v/>
      </c>
      <c r="C118" s="148" t="n">
        <f aca="false">Scoring!C124</f>
        <v>0</v>
      </c>
      <c r="D118" s="149" t="str">
        <f aca="false">Scoring!AP124</f>
        <v/>
      </c>
      <c r="E118" s="148" t="str">
        <f aca="false">Scoring!Z124</f>
        <v/>
      </c>
      <c r="F118" s="148" t="n">
        <f aca="false">Scoring!B124</f>
        <v>0</v>
      </c>
      <c r="G118" s="148" t="n">
        <f aca="false">Scoring!D124</f>
        <v>0</v>
      </c>
      <c r="H118" s="148" t="str">
        <f aca="false">Scoring!AR124</f>
        <v/>
      </c>
      <c r="I118" s="150" t="str">
        <f aca="false">Scoring!AQ124</f>
        <v/>
      </c>
    </row>
    <row r="119" customFormat="false" ht="15.75" hidden="false" customHeight="false" outlineLevel="0" collapsed="false">
      <c r="A119" s="148" t="str">
        <f aca="false">Scoring!AT125</f>
        <v/>
      </c>
      <c r="B119" s="148" t="str">
        <f aca="false">Scoring!AS125</f>
        <v/>
      </c>
      <c r="C119" s="148" t="n">
        <f aca="false">Scoring!C125</f>
        <v>0</v>
      </c>
      <c r="D119" s="149" t="str">
        <f aca="false">Scoring!AP125</f>
        <v/>
      </c>
      <c r="E119" s="148" t="str">
        <f aca="false">Scoring!Z125</f>
        <v/>
      </c>
      <c r="F119" s="148" t="n">
        <f aca="false">Scoring!B125</f>
        <v>0</v>
      </c>
      <c r="G119" s="148" t="n">
        <f aca="false">Scoring!D125</f>
        <v>0</v>
      </c>
      <c r="H119" s="148" t="str">
        <f aca="false">Scoring!AR125</f>
        <v/>
      </c>
      <c r="I119" s="150" t="str">
        <f aca="false">Scoring!AQ125</f>
        <v/>
      </c>
    </row>
    <row r="120" customFormat="false" ht="15.75" hidden="false" customHeight="false" outlineLevel="0" collapsed="false">
      <c r="A120" s="148" t="str">
        <f aca="false">Scoring!AT126</f>
        <v/>
      </c>
      <c r="B120" s="148" t="str">
        <f aca="false">Scoring!AS126</f>
        <v/>
      </c>
      <c r="C120" s="148" t="n">
        <f aca="false">Scoring!C126</f>
        <v>0</v>
      </c>
      <c r="D120" s="149" t="str">
        <f aca="false">Scoring!AP126</f>
        <v/>
      </c>
      <c r="E120" s="148" t="str">
        <f aca="false">Scoring!Z126</f>
        <v/>
      </c>
      <c r="F120" s="148" t="n">
        <f aca="false">Scoring!B126</f>
        <v>0</v>
      </c>
      <c r="G120" s="148" t="n">
        <f aca="false">Scoring!D126</f>
        <v>0</v>
      </c>
      <c r="H120" s="148" t="str">
        <f aca="false">Scoring!AR126</f>
        <v/>
      </c>
      <c r="I120" s="150" t="str">
        <f aca="false">Scoring!AQ126</f>
        <v/>
      </c>
    </row>
    <row r="121" customFormat="false" ht="15.75" hidden="false" customHeight="false" outlineLevel="0" collapsed="false">
      <c r="A121" s="148" t="str">
        <f aca="false">Scoring!AT127</f>
        <v/>
      </c>
      <c r="B121" s="148" t="str">
        <f aca="false">Scoring!AS127</f>
        <v/>
      </c>
      <c r="C121" s="148" t="n">
        <f aca="false">Scoring!C127</f>
        <v>0</v>
      </c>
      <c r="D121" s="149" t="str">
        <f aca="false">Scoring!AP127</f>
        <v/>
      </c>
      <c r="E121" s="148" t="str">
        <f aca="false">Scoring!Z127</f>
        <v/>
      </c>
      <c r="F121" s="148" t="n">
        <f aca="false">Scoring!B127</f>
        <v>0</v>
      </c>
      <c r="G121" s="148" t="n">
        <f aca="false">Scoring!D127</f>
        <v>0</v>
      </c>
      <c r="H121" s="148" t="str">
        <f aca="false">Scoring!AR127</f>
        <v/>
      </c>
      <c r="I121" s="150" t="str">
        <f aca="false">Scoring!AQ127</f>
        <v/>
      </c>
    </row>
    <row r="122" customFormat="false" ht="15.75" hidden="false" customHeight="false" outlineLevel="0" collapsed="false">
      <c r="A122" s="148" t="str">
        <f aca="false">Scoring!AT128</f>
        <v/>
      </c>
      <c r="B122" s="148" t="str">
        <f aca="false">Scoring!AS128</f>
        <v/>
      </c>
      <c r="C122" s="148" t="n">
        <f aca="false">Scoring!C128</f>
        <v>0</v>
      </c>
      <c r="D122" s="149" t="str">
        <f aca="false">Scoring!AP128</f>
        <v/>
      </c>
      <c r="E122" s="148" t="str">
        <f aca="false">Scoring!Z128</f>
        <v/>
      </c>
      <c r="F122" s="148" t="n">
        <f aca="false">Scoring!B128</f>
        <v>0</v>
      </c>
      <c r="G122" s="148" t="n">
        <f aca="false">Scoring!D128</f>
        <v>0</v>
      </c>
      <c r="H122" s="148" t="str">
        <f aca="false">Scoring!AR128</f>
        <v/>
      </c>
      <c r="I122" s="150" t="str">
        <f aca="false">Scoring!AQ128</f>
        <v/>
      </c>
    </row>
    <row r="123" customFormat="false" ht="15.75" hidden="false" customHeight="false" outlineLevel="0" collapsed="false">
      <c r="A123" s="148" t="str">
        <f aca="false">Scoring!AT129</f>
        <v/>
      </c>
      <c r="B123" s="148" t="str">
        <f aca="false">Scoring!AS129</f>
        <v/>
      </c>
      <c r="C123" s="148" t="n">
        <f aca="false">Scoring!C129</f>
        <v>0</v>
      </c>
      <c r="D123" s="149" t="str">
        <f aca="false">Scoring!AP129</f>
        <v/>
      </c>
      <c r="E123" s="148" t="str">
        <f aca="false">Scoring!Z129</f>
        <v/>
      </c>
      <c r="F123" s="148" t="n">
        <f aca="false">Scoring!B129</f>
        <v>0</v>
      </c>
      <c r="G123" s="148" t="n">
        <f aca="false">Scoring!D129</f>
        <v>0</v>
      </c>
      <c r="H123" s="148" t="str">
        <f aca="false">Scoring!AR129</f>
        <v/>
      </c>
      <c r="I123" s="150" t="str">
        <f aca="false">Scoring!AQ129</f>
        <v/>
      </c>
    </row>
    <row r="124" customFormat="false" ht="15.75" hidden="false" customHeight="false" outlineLevel="0" collapsed="false">
      <c r="A124" s="148" t="str">
        <f aca="false">Scoring!AT130</f>
        <v/>
      </c>
      <c r="B124" s="148" t="str">
        <f aca="false">Scoring!AS130</f>
        <v/>
      </c>
      <c r="C124" s="148" t="n">
        <f aca="false">Scoring!C130</f>
        <v>0</v>
      </c>
      <c r="D124" s="149" t="str">
        <f aca="false">Scoring!AP130</f>
        <v/>
      </c>
      <c r="E124" s="148" t="str">
        <f aca="false">Scoring!Z130</f>
        <v/>
      </c>
      <c r="F124" s="148" t="n">
        <f aca="false">Scoring!B130</f>
        <v>0</v>
      </c>
      <c r="G124" s="148" t="n">
        <f aca="false">Scoring!D130</f>
        <v>0</v>
      </c>
      <c r="H124" s="148" t="str">
        <f aca="false">Scoring!AR130</f>
        <v/>
      </c>
      <c r="I124" s="150" t="str">
        <f aca="false">Scoring!AQ130</f>
        <v/>
      </c>
    </row>
    <row r="125" customFormat="false" ht="15.75" hidden="false" customHeight="false" outlineLevel="0" collapsed="false">
      <c r="A125" s="148" t="str">
        <f aca="false">Scoring!AT131</f>
        <v/>
      </c>
      <c r="B125" s="148" t="str">
        <f aca="false">Scoring!AS131</f>
        <v/>
      </c>
      <c r="C125" s="148" t="n">
        <f aca="false">Scoring!C131</f>
        <v>0</v>
      </c>
      <c r="D125" s="149" t="str">
        <f aca="false">Scoring!AP131</f>
        <v/>
      </c>
      <c r="E125" s="148" t="str">
        <f aca="false">Scoring!Z131</f>
        <v/>
      </c>
      <c r="F125" s="148" t="n">
        <f aca="false">Scoring!B131</f>
        <v>0</v>
      </c>
      <c r="G125" s="148" t="n">
        <f aca="false">Scoring!D131</f>
        <v>0</v>
      </c>
      <c r="H125" s="148" t="str">
        <f aca="false">Scoring!AR131</f>
        <v/>
      </c>
      <c r="I125" s="150" t="str">
        <f aca="false">Scoring!AQ131</f>
        <v/>
      </c>
    </row>
    <row r="126" customFormat="false" ht="15.75" hidden="false" customHeight="false" outlineLevel="0" collapsed="false">
      <c r="A126" s="148" t="str">
        <f aca="false">Scoring!AT132</f>
        <v/>
      </c>
      <c r="B126" s="148" t="str">
        <f aca="false">Scoring!AS132</f>
        <v/>
      </c>
      <c r="C126" s="148" t="n">
        <f aca="false">Scoring!C132</f>
        <v>0</v>
      </c>
      <c r="D126" s="149" t="str">
        <f aca="false">Scoring!AP132</f>
        <v/>
      </c>
      <c r="E126" s="148" t="str">
        <f aca="false">Scoring!Z132</f>
        <v/>
      </c>
      <c r="F126" s="148" t="n">
        <f aca="false">Scoring!B132</f>
        <v>0</v>
      </c>
      <c r="G126" s="148" t="n">
        <f aca="false">Scoring!D132</f>
        <v>0</v>
      </c>
      <c r="H126" s="148" t="str">
        <f aca="false">Scoring!AR132</f>
        <v/>
      </c>
      <c r="I126" s="150" t="str">
        <f aca="false">Scoring!AQ132</f>
        <v/>
      </c>
    </row>
    <row r="127" customFormat="false" ht="15.75" hidden="false" customHeight="false" outlineLevel="0" collapsed="false">
      <c r="A127" s="148" t="str">
        <f aca="false">Scoring!AT133</f>
        <v/>
      </c>
      <c r="B127" s="148" t="str">
        <f aca="false">Scoring!AS133</f>
        <v/>
      </c>
      <c r="C127" s="148" t="n">
        <f aca="false">Scoring!C133</f>
        <v>0</v>
      </c>
      <c r="D127" s="149" t="str">
        <f aca="false">Scoring!AP133</f>
        <v/>
      </c>
      <c r="E127" s="148" t="str">
        <f aca="false">Scoring!Z133</f>
        <v/>
      </c>
      <c r="F127" s="148" t="n">
        <f aca="false">Scoring!B133</f>
        <v>0</v>
      </c>
      <c r="G127" s="148" t="n">
        <f aca="false">Scoring!D133</f>
        <v>0</v>
      </c>
      <c r="H127" s="148" t="str">
        <f aca="false">Scoring!AR133</f>
        <v/>
      </c>
      <c r="I127" s="150" t="str">
        <f aca="false">Scoring!AQ133</f>
        <v/>
      </c>
    </row>
    <row r="128" customFormat="false" ht="15.75" hidden="false" customHeight="false" outlineLevel="0" collapsed="false">
      <c r="A128" s="148" t="str">
        <f aca="false">Scoring!AT134</f>
        <v/>
      </c>
      <c r="B128" s="148" t="str">
        <f aca="false">Scoring!AS134</f>
        <v/>
      </c>
      <c r="C128" s="148" t="n">
        <f aca="false">Scoring!C134</f>
        <v>0</v>
      </c>
      <c r="D128" s="149" t="str">
        <f aca="false">Scoring!AP134</f>
        <v/>
      </c>
      <c r="E128" s="148" t="str">
        <f aca="false">Scoring!Z134</f>
        <v/>
      </c>
      <c r="F128" s="148" t="n">
        <f aca="false">Scoring!B134</f>
        <v>0</v>
      </c>
      <c r="G128" s="148" t="n">
        <f aca="false">Scoring!D134</f>
        <v>0</v>
      </c>
      <c r="H128" s="148" t="str">
        <f aca="false">Scoring!AR134</f>
        <v/>
      </c>
      <c r="I128" s="150" t="str">
        <f aca="false">Scoring!AQ134</f>
        <v/>
      </c>
    </row>
    <row r="129" customFormat="false" ht="15.75" hidden="false" customHeight="false" outlineLevel="0" collapsed="false">
      <c r="A129" s="148" t="str">
        <f aca="false">Scoring!AT135</f>
        <v/>
      </c>
      <c r="B129" s="148" t="str">
        <f aca="false">Scoring!AS135</f>
        <v/>
      </c>
      <c r="C129" s="148" t="n">
        <f aca="false">Scoring!C135</f>
        <v>0</v>
      </c>
      <c r="D129" s="149" t="str">
        <f aca="false">Scoring!AP135</f>
        <v/>
      </c>
      <c r="E129" s="148" t="str">
        <f aca="false">Scoring!Z135</f>
        <v/>
      </c>
      <c r="F129" s="148" t="n">
        <f aca="false">Scoring!B135</f>
        <v>0</v>
      </c>
      <c r="G129" s="148" t="n">
        <f aca="false">Scoring!D135</f>
        <v>0</v>
      </c>
      <c r="H129" s="148" t="str">
        <f aca="false">Scoring!AR135</f>
        <v/>
      </c>
      <c r="I129" s="150" t="str">
        <f aca="false">Scoring!AQ135</f>
        <v/>
      </c>
    </row>
    <row r="130" customFormat="false" ht="15.75" hidden="false" customHeight="false" outlineLevel="0" collapsed="false">
      <c r="A130" s="148" t="str">
        <f aca="false">Scoring!AT136</f>
        <v/>
      </c>
      <c r="B130" s="148" t="str">
        <f aca="false">Scoring!AS136</f>
        <v/>
      </c>
      <c r="C130" s="148" t="n">
        <f aca="false">Scoring!C136</f>
        <v>0</v>
      </c>
      <c r="D130" s="149" t="str">
        <f aca="false">Scoring!AP136</f>
        <v/>
      </c>
      <c r="E130" s="148" t="str">
        <f aca="false">Scoring!Z136</f>
        <v/>
      </c>
      <c r="F130" s="148" t="n">
        <f aca="false">Scoring!B136</f>
        <v>0</v>
      </c>
      <c r="G130" s="148" t="n">
        <f aca="false">Scoring!D136</f>
        <v>0</v>
      </c>
      <c r="H130" s="148" t="str">
        <f aca="false">Scoring!AR136</f>
        <v/>
      </c>
      <c r="I130" s="150" t="str">
        <f aca="false">Scoring!AQ136</f>
        <v/>
      </c>
    </row>
    <row r="131" customFormat="false" ht="15.75" hidden="false" customHeight="false" outlineLevel="0" collapsed="false">
      <c r="A131" s="148" t="str">
        <f aca="false">Scoring!AT137</f>
        <v/>
      </c>
      <c r="B131" s="148" t="str">
        <f aca="false">Scoring!AS137</f>
        <v/>
      </c>
      <c r="C131" s="148" t="n">
        <f aca="false">Scoring!C137</f>
        <v>0</v>
      </c>
      <c r="D131" s="149" t="str">
        <f aca="false">Scoring!AP137</f>
        <v/>
      </c>
      <c r="E131" s="148" t="str">
        <f aca="false">Scoring!Z137</f>
        <v/>
      </c>
      <c r="F131" s="148" t="n">
        <f aca="false">Scoring!B137</f>
        <v>0</v>
      </c>
      <c r="G131" s="148" t="n">
        <f aca="false">Scoring!D137</f>
        <v>0</v>
      </c>
      <c r="H131" s="148" t="str">
        <f aca="false">Scoring!AR137</f>
        <v/>
      </c>
      <c r="I131" s="150" t="str">
        <f aca="false">Scoring!AQ137</f>
        <v/>
      </c>
    </row>
    <row r="132" customFormat="false" ht="15.75" hidden="false" customHeight="false" outlineLevel="0" collapsed="false">
      <c r="A132" s="148" t="str">
        <f aca="false">Scoring!AT138</f>
        <v/>
      </c>
      <c r="B132" s="148" t="str">
        <f aca="false">Scoring!AS138</f>
        <v/>
      </c>
      <c r="C132" s="148" t="n">
        <f aca="false">Scoring!C138</f>
        <v>0</v>
      </c>
      <c r="D132" s="149" t="str">
        <f aca="false">Scoring!AP138</f>
        <v/>
      </c>
      <c r="E132" s="148" t="str">
        <f aca="false">Scoring!Z138</f>
        <v/>
      </c>
      <c r="F132" s="148" t="n">
        <f aca="false">Scoring!B138</f>
        <v>0</v>
      </c>
      <c r="G132" s="148" t="n">
        <f aca="false">Scoring!D138</f>
        <v>0</v>
      </c>
      <c r="H132" s="148" t="str">
        <f aca="false">Scoring!AR138</f>
        <v/>
      </c>
      <c r="I132" s="150" t="str">
        <f aca="false">Scoring!AQ138</f>
        <v/>
      </c>
    </row>
    <row r="133" customFormat="false" ht="15.75" hidden="false" customHeight="false" outlineLevel="0" collapsed="false">
      <c r="A133" s="148" t="str">
        <f aca="false">Scoring!AT139</f>
        <v/>
      </c>
      <c r="B133" s="148" t="str">
        <f aca="false">Scoring!AS139</f>
        <v/>
      </c>
      <c r="C133" s="148" t="n">
        <f aca="false">Scoring!C139</f>
        <v>0</v>
      </c>
      <c r="D133" s="149" t="str">
        <f aca="false">Scoring!AP139</f>
        <v/>
      </c>
      <c r="E133" s="148" t="str">
        <f aca="false">Scoring!Z139</f>
        <v/>
      </c>
      <c r="F133" s="148" t="n">
        <f aca="false">Scoring!B139</f>
        <v>0</v>
      </c>
      <c r="G133" s="148" t="n">
        <f aca="false">Scoring!D139</f>
        <v>0</v>
      </c>
      <c r="H133" s="148" t="str">
        <f aca="false">Scoring!AR139</f>
        <v/>
      </c>
      <c r="I133" s="150" t="str">
        <f aca="false">Scoring!AQ139</f>
        <v/>
      </c>
    </row>
    <row r="134" customFormat="false" ht="15.75" hidden="false" customHeight="false" outlineLevel="0" collapsed="false">
      <c r="A134" s="148" t="str">
        <f aca="false">Scoring!AT140</f>
        <v/>
      </c>
      <c r="B134" s="148" t="str">
        <f aca="false">Scoring!AS140</f>
        <v/>
      </c>
      <c r="C134" s="148" t="n">
        <f aca="false">Scoring!C140</f>
        <v>0</v>
      </c>
      <c r="D134" s="149" t="str">
        <f aca="false">Scoring!AP140</f>
        <v/>
      </c>
      <c r="E134" s="148" t="str">
        <f aca="false">Scoring!Z140</f>
        <v/>
      </c>
      <c r="F134" s="148" t="n">
        <f aca="false">Scoring!B140</f>
        <v>0</v>
      </c>
      <c r="G134" s="148" t="n">
        <f aca="false">Scoring!D140</f>
        <v>0</v>
      </c>
      <c r="H134" s="148" t="str">
        <f aca="false">Scoring!AR140</f>
        <v/>
      </c>
      <c r="I134" s="150" t="str">
        <f aca="false">Scoring!AQ140</f>
        <v/>
      </c>
    </row>
    <row r="135" customFormat="false" ht="15.75" hidden="false" customHeight="false" outlineLevel="0" collapsed="false">
      <c r="A135" s="148" t="str">
        <f aca="false">Scoring!AT141</f>
        <v/>
      </c>
      <c r="B135" s="148" t="str">
        <f aca="false">Scoring!AS141</f>
        <v/>
      </c>
      <c r="C135" s="148" t="n">
        <f aca="false">Scoring!C141</f>
        <v>0</v>
      </c>
      <c r="D135" s="149" t="str">
        <f aca="false">Scoring!AP141</f>
        <v/>
      </c>
      <c r="E135" s="148" t="str">
        <f aca="false">Scoring!Z141</f>
        <v/>
      </c>
      <c r="F135" s="148" t="n">
        <f aca="false">Scoring!B141</f>
        <v>0</v>
      </c>
      <c r="G135" s="148" t="n">
        <f aca="false">Scoring!D141</f>
        <v>0</v>
      </c>
      <c r="H135" s="148" t="str">
        <f aca="false">Scoring!AR141</f>
        <v/>
      </c>
      <c r="I135" s="150" t="str">
        <f aca="false">Scoring!AQ141</f>
        <v/>
      </c>
    </row>
    <row r="136" customFormat="false" ht="15.75" hidden="false" customHeight="false" outlineLevel="0" collapsed="false">
      <c r="A136" s="148" t="str">
        <f aca="false">Scoring!AT142</f>
        <v/>
      </c>
      <c r="B136" s="148" t="str">
        <f aca="false">Scoring!AS142</f>
        <v/>
      </c>
      <c r="C136" s="148" t="n">
        <f aca="false">Scoring!C142</f>
        <v>0</v>
      </c>
      <c r="D136" s="149" t="str">
        <f aca="false">Scoring!AP142</f>
        <v/>
      </c>
      <c r="E136" s="148" t="str">
        <f aca="false">Scoring!Z142</f>
        <v/>
      </c>
      <c r="F136" s="148" t="n">
        <f aca="false">Scoring!B142</f>
        <v>0</v>
      </c>
      <c r="G136" s="148" t="n">
        <f aca="false">Scoring!D142</f>
        <v>0</v>
      </c>
      <c r="H136" s="148" t="str">
        <f aca="false">Scoring!AR142</f>
        <v/>
      </c>
      <c r="I136" s="150" t="str">
        <f aca="false">Scoring!AQ142</f>
        <v/>
      </c>
    </row>
    <row r="137" customFormat="false" ht="15.75" hidden="false" customHeight="false" outlineLevel="0" collapsed="false">
      <c r="A137" s="148" t="str">
        <f aca="false">Scoring!AT143</f>
        <v/>
      </c>
      <c r="B137" s="148" t="str">
        <f aca="false">Scoring!AS143</f>
        <v/>
      </c>
      <c r="C137" s="148" t="n">
        <f aca="false">Scoring!C143</f>
        <v>0</v>
      </c>
      <c r="D137" s="149" t="str">
        <f aca="false">Scoring!AP143</f>
        <v/>
      </c>
      <c r="E137" s="148" t="str">
        <f aca="false">Scoring!Z143</f>
        <v/>
      </c>
      <c r="F137" s="148" t="n">
        <f aca="false">Scoring!B143</f>
        <v>0</v>
      </c>
      <c r="G137" s="148" t="n">
        <f aca="false">Scoring!D143</f>
        <v>0</v>
      </c>
      <c r="H137" s="148" t="str">
        <f aca="false">Scoring!AR143</f>
        <v/>
      </c>
      <c r="I137" s="150" t="str">
        <f aca="false">Scoring!AQ143</f>
        <v/>
      </c>
    </row>
    <row r="138" customFormat="false" ht="15.75" hidden="false" customHeight="false" outlineLevel="0" collapsed="false">
      <c r="A138" s="148" t="str">
        <f aca="false">Scoring!AT144</f>
        <v/>
      </c>
      <c r="B138" s="148" t="str">
        <f aca="false">Scoring!AS144</f>
        <v/>
      </c>
      <c r="C138" s="148" t="n">
        <f aca="false">Scoring!C144</f>
        <v>0</v>
      </c>
      <c r="D138" s="149" t="str">
        <f aca="false">Scoring!AP144</f>
        <v/>
      </c>
      <c r="E138" s="148" t="str">
        <f aca="false">Scoring!Z144</f>
        <v/>
      </c>
      <c r="F138" s="148" t="n">
        <f aca="false">Scoring!B144</f>
        <v>0</v>
      </c>
      <c r="G138" s="148" t="n">
        <f aca="false">Scoring!D144</f>
        <v>0</v>
      </c>
      <c r="H138" s="148" t="str">
        <f aca="false">Scoring!AR144</f>
        <v/>
      </c>
      <c r="I138" s="150" t="str">
        <f aca="false">Scoring!AQ144</f>
        <v/>
      </c>
    </row>
    <row r="139" customFormat="false" ht="15.75" hidden="false" customHeight="false" outlineLevel="0" collapsed="false">
      <c r="A139" s="148" t="str">
        <f aca="false">Scoring!AT145</f>
        <v/>
      </c>
      <c r="B139" s="148" t="str">
        <f aca="false">Scoring!AS145</f>
        <v/>
      </c>
      <c r="C139" s="148" t="n">
        <f aca="false">Scoring!C145</f>
        <v>0</v>
      </c>
      <c r="D139" s="149" t="str">
        <f aca="false">Scoring!AP145</f>
        <v/>
      </c>
      <c r="E139" s="148" t="str">
        <f aca="false">Scoring!Z145</f>
        <v/>
      </c>
      <c r="F139" s="148" t="n">
        <f aca="false">Scoring!B145</f>
        <v>0</v>
      </c>
      <c r="G139" s="148" t="n">
        <f aca="false">Scoring!D145</f>
        <v>0</v>
      </c>
      <c r="H139" s="148" t="str">
        <f aca="false">Scoring!AR145</f>
        <v/>
      </c>
      <c r="I139" s="150" t="str">
        <f aca="false">Scoring!AQ145</f>
        <v/>
      </c>
    </row>
    <row r="140" customFormat="false" ht="15.75" hidden="false" customHeight="false" outlineLevel="0" collapsed="false">
      <c r="A140" s="148" t="str">
        <f aca="false">Scoring!AT146</f>
        <v/>
      </c>
      <c r="B140" s="148" t="str">
        <f aca="false">Scoring!AS146</f>
        <v/>
      </c>
      <c r="C140" s="148" t="n">
        <f aca="false">Scoring!C146</f>
        <v>0</v>
      </c>
      <c r="D140" s="149" t="str">
        <f aca="false">Scoring!AP146</f>
        <v/>
      </c>
      <c r="E140" s="148" t="str">
        <f aca="false">Scoring!Z146</f>
        <v/>
      </c>
      <c r="F140" s="148" t="n">
        <f aca="false">Scoring!B146</f>
        <v>0</v>
      </c>
      <c r="G140" s="148" t="n">
        <f aca="false">Scoring!D146</f>
        <v>0</v>
      </c>
      <c r="H140" s="148" t="str">
        <f aca="false">Scoring!AR146</f>
        <v/>
      </c>
      <c r="I140" s="150" t="str">
        <f aca="false">Scoring!AQ146</f>
        <v/>
      </c>
    </row>
    <row r="141" customFormat="false" ht="15.75" hidden="false" customHeight="false" outlineLevel="0" collapsed="false">
      <c r="A141" s="148" t="str">
        <f aca="false">Scoring!AT147</f>
        <v/>
      </c>
      <c r="B141" s="148" t="str">
        <f aca="false">Scoring!AS147</f>
        <v/>
      </c>
      <c r="C141" s="148" t="n">
        <f aca="false">Scoring!C147</f>
        <v>0</v>
      </c>
      <c r="D141" s="149" t="str">
        <f aca="false">Scoring!AP147</f>
        <v/>
      </c>
      <c r="E141" s="148" t="str">
        <f aca="false">Scoring!Z147</f>
        <v/>
      </c>
      <c r="F141" s="148" t="n">
        <f aca="false">Scoring!B147</f>
        <v>0</v>
      </c>
      <c r="G141" s="148" t="n">
        <f aca="false">Scoring!D147</f>
        <v>0</v>
      </c>
      <c r="H141" s="148" t="str">
        <f aca="false">Scoring!AR147</f>
        <v/>
      </c>
      <c r="I141" s="150" t="str">
        <f aca="false">Scoring!AQ147</f>
        <v/>
      </c>
    </row>
    <row r="142" customFormat="false" ht="15.75" hidden="false" customHeight="false" outlineLevel="0" collapsed="false">
      <c r="A142" s="148" t="str">
        <f aca="false">Scoring!AT148</f>
        <v/>
      </c>
      <c r="B142" s="148" t="str">
        <f aca="false">Scoring!AS148</f>
        <v/>
      </c>
      <c r="C142" s="148" t="n">
        <f aca="false">Scoring!C148</f>
        <v>0</v>
      </c>
      <c r="D142" s="149" t="str">
        <f aca="false">Scoring!AP148</f>
        <v/>
      </c>
      <c r="E142" s="148" t="str">
        <f aca="false">Scoring!Z148</f>
        <v/>
      </c>
      <c r="F142" s="148" t="n">
        <f aca="false">Scoring!B148</f>
        <v>0</v>
      </c>
      <c r="G142" s="148" t="n">
        <f aca="false">Scoring!D148</f>
        <v>0</v>
      </c>
      <c r="H142" s="148" t="str">
        <f aca="false">Scoring!AR148</f>
        <v/>
      </c>
      <c r="I142" s="150" t="str">
        <f aca="false">Scoring!AQ148</f>
        <v/>
      </c>
    </row>
    <row r="143" customFormat="false" ht="15.75" hidden="false" customHeight="false" outlineLevel="0" collapsed="false">
      <c r="A143" s="148" t="str">
        <f aca="false">Scoring!AT149</f>
        <v/>
      </c>
      <c r="B143" s="148" t="str">
        <f aca="false">Scoring!AS149</f>
        <v/>
      </c>
      <c r="C143" s="148" t="n">
        <f aca="false">Scoring!C149</f>
        <v>0</v>
      </c>
      <c r="D143" s="149" t="str">
        <f aca="false">Scoring!AP149</f>
        <v/>
      </c>
      <c r="E143" s="148" t="str">
        <f aca="false">Scoring!Z149</f>
        <v/>
      </c>
      <c r="F143" s="148" t="n">
        <f aca="false">Scoring!B149</f>
        <v>0</v>
      </c>
      <c r="G143" s="148" t="n">
        <f aca="false">Scoring!D149</f>
        <v>0</v>
      </c>
      <c r="H143" s="148" t="str">
        <f aca="false">Scoring!AR149</f>
        <v/>
      </c>
      <c r="I143" s="150" t="str">
        <f aca="false">Scoring!AQ149</f>
        <v/>
      </c>
    </row>
    <row r="144" customFormat="false" ht="15.75" hidden="false" customHeight="false" outlineLevel="0" collapsed="false">
      <c r="A144" s="148" t="str">
        <f aca="false">Scoring!AT150</f>
        <v/>
      </c>
      <c r="B144" s="148" t="str">
        <f aca="false">Scoring!AS150</f>
        <v/>
      </c>
      <c r="C144" s="148" t="n">
        <f aca="false">Scoring!C150</f>
        <v>0</v>
      </c>
      <c r="D144" s="149" t="str">
        <f aca="false">Scoring!AP150</f>
        <v/>
      </c>
      <c r="E144" s="148" t="str">
        <f aca="false">Scoring!Z150</f>
        <v/>
      </c>
      <c r="F144" s="148" t="n">
        <f aca="false">Scoring!B150</f>
        <v>0</v>
      </c>
      <c r="G144" s="148" t="n">
        <f aca="false">Scoring!D150</f>
        <v>0</v>
      </c>
      <c r="H144" s="148" t="str">
        <f aca="false">Scoring!AR150</f>
        <v/>
      </c>
      <c r="I144" s="150" t="str">
        <f aca="false">Scoring!AQ150</f>
        <v/>
      </c>
    </row>
    <row r="145" customFormat="false" ht="15.75" hidden="false" customHeight="false" outlineLevel="0" collapsed="false">
      <c r="A145" s="148" t="str">
        <f aca="false">Scoring!AT151</f>
        <v/>
      </c>
      <c r="B145" s="148" t="str">
        <f aca="false">Scoring!AS151</f>
        <v/>
      </c>
      <c r="C145" s="148" t="n">
        <f aca="false">Scoring!C151</f>
        <v>0</v>
      </c>
      <c r="D145" s="149" t="str">
        <f aca="false">Scoring!AP151</f>
        <v/>
      </c>
      <c r="E145" s="148" t="str">
        <f aca="false">Scoring!Z151</f>
        <v/>
      </c>
      <c r="F145" s="148" t="n">
        <f aca="false">Scoring!B151</f>
        <v>0</v>
      </c>
      <c r="G145" s="148" t="n">
        <f aca="false">Scoring!D151</f>
        <v>0</v>
      </c>
      <c r="H145" s="148" t="str">
        <f aca="false">Scoring!AR151</f>
        <v/>
      </c>
      <c r="I145" s="150" t="str">
        <f aca="false">Scoring!AQ151</f>
        <v/>
      </c>
    </row>
    <row r="146" customFormat="false" ht="15.75" hidden="false" customHeight="false" outlineLevel="0" collapsed="false">
      <c r="A146" s="148" t="str">
        <f aca="false">Scoring!AT152</f>
        <v/>
      </c>
      <c r="B146" s="148" t="str">
        <f aca="false">Scoring!AS152</f>
        <v/>
      </c>
      <c r="C146" s="148" t="n">
        <f aca="false">Scoring!C152</f>
        <v>0</v>
      </c>
      <c r="D146" s="149" t="str">
        <f aca="false">Scoring!AP152</f>
        <v/>
      </c>
      <c r="E146" s="148" t="str">
        <f aca="false">Scoring!Z152</f>
        <v/>
      </c>
      <c r="F146" s="148" t="n">
        <f aca="false">Scoring!B152</f>
        <v>0</v>
      </c>
      <c r="G146" s="148" t="n">
        <f aca="false">Scoring!D152</f>
        <v>0</v>
      </c>
      <c r="H146" s="148" t="str">
        <f aca="false">Scoring!AR152</f>
        <v/>
      </c>
      <c r="I146" s="150" t="str">
        <f aca="false">Scoring!AQ152</f>
        <v/>
      </c>
    </row>
    <row r="147" customFormat="false" ht="15.75" hidden="false" customHeight="false" outlineLevel="0" collapsed="false">
      <c r="A147" s="148" t="str">
        <f aca="false">Scoring!AT153</f>
        <v/>
      </c>
      <c r="B147" s="148" t="str">
        <f aca="false">Scoring!AS153</f>
        <v/>
      </c>
      <c r="C147" s="148" t="n">
        <f aca="false">Scoring!C153</f>
        <v>0</v>
      </c>
      <c r="D147" s="149" t="str">
        <f aca="false">Scoring!AP153</f>
        <v/>
      </c>
      <c r="E147" s="148" t="str">
        <f aca="false">Scoring!Z153</f>
        <v/>
      </c>
      <c r="F147" s="148" t="n">
        <f aca="false">Scoring!B153</f>
        <v>0</v>
      </c>
      <c r="G147" s="148" t="n">
        <f aca="false">Scoring!D153</f>
        <v>0</v>
      </c>
      <c r="H147" s="148" t="str">
        <f aca="false">Scoring!AR153</f>
        <v/>
      </c>
      <c r="I147" s="150" t="str">
        <f aca="false">Scoring!AQ153</f>
        <v/>
      </c>
    </row>
    <row r="148" customFormat="false" ht="15.75" hidden="false" customHeight="false" outlineLevel="0" collapsed="false">
      <c r="A148" s="148" t="str">
        <f aca="false">Scoring!AT154</f>
        <v/>
      </c>
      <c r="B148" s="148" t="str">
        <f aca="false">Scoring!AS154</f>
        <v/>
      </c>
      <c r="C148" s="148" t="n">
        <f aca="false">Scoring!C154</f>
        <v>0</v>
      </c>
      <c r="D148" s="149" t="str">
        <f aca="false">Scoring!AP154</f>
        <v/>
      </c>
      <c r="E148" s="148" t="str">
        <f aca="false">Scoring!Z154</f>
        <v/>
      </c>
      <c r="F148" s="148" t="n">
        <f aca="false">Scoring!B154</f>
        <v>0</v>
      </c>
      <c r="G148" s="148" t="n">
        <f aca="false">Scoring!D154</f>
        <v>0</v>
      </c>
      <c r="H148" s="148" t="str">
        <f aca="false">Scoring!AR154</f>
        <v/>
      </c>
      <c r="I148" s="150" t="str">
        <f aca="false">Scoring!AQ154</f>
        <v/>
      </c>
    </row>
    <row r="149" customFormat="false" ht="15.75" hidden="false" customHeight="false" outlineLevel="0" collapsed="false">
      <c r="A149" s="148" t="str">
        <f aca="false">Scoring!AT155</f>
        <v/>
      </c>
      <c r="B149" s="148" t="str">
        <f aca="false">Scoring!AS155</f>
        <v/>
      </c>
      <c r="C149" s="148" t="n">
        <f aca="false">Scoring!C155</f>
        <v>0</v>
      </c>
      <c r="D149" s="149" t="str">
        <f aca="false">Scoring!AP155</f>
        <v/>
      </c>
      <c r="E149" s="148" t="str">
        <f aca="false">Scoring!Z155</f>
        <v/>
      </c>
      <c r="F149" s="148" t="n">
        <f aca="false">Scoring!B155</f>
        <v>0</v>
      </c>
      <c r="G149" s="148" t="n">
        <f aca="false">Scoring!D155</f>
        <v>0</v>
      </c>
      <c r="H149" s="148" t="str">
        <f aca="false">Scoring!AR155</f>
        <v/>
      </c>
      <c r="I149" s="150" t="str">
        <f aca="false">Scoring!AQ155</f>
        <v/>
      </c>
    </row>
    <row r="150" customFormat="false" ht="15.75" hidden="false" customHeight="false" outlineLevel="0" collapsed="false">
      <c r="A150" s="148" t="str">
        <f aca="false">Scoring!AT156</f>
        <v/>
      </c>
      <c r="B150" s="148" t="str">
        <f aca="false">Scoring!AS156</f>
        <v/>
      </c>
      <c r="C150" s="148" t="n">
        <f aca="false">Scoring!C156</f>
        <v>0</v>
      </c>
      <c r="D150" s="149" t="str">
        <f aca="false">Scoring!AP156</f>
        <v/>
      </c>
      <c r="E150" s="148" t="str">
        <f aca="false">Scoring!Z156</f>
        <v/>
      </c>
      <c r="F150" s="148" t="n">
        <f aca="false">Scoring!B156</f>
        <v>0</v>
      </c>
      <c r="G150" s="148" t="n">
        <f aca="false">Scoring!D156</f>
        <v>0</v>
      </c>
      <c r="H150" s="148" t="str">
        <f aca="false">Scoring!AR156</f>
        <v/>
      </c>
      <c r="I150" s="150" t="str">
        <f aca="false">Scoring!AQ156</f>
        <v/>
      </c>
    </row>
    <row r="151" customFormat="false" ht="15.75" hidden="false" customHeight="false" outlineLevel="0" collapsed="false">
      <c r="A151" s="148" t="str">
        <f aca="false">Scoring!AT157</f>
        <v/>
      </c>
      <c r="B151" s="148" t="str">
        <f aca="false">Scoring!AS157</f>
        <v/>
      </c>
      <c r="C151" s="148" t="n">
        <f aca="false">Scoring!C157</f>
        <v>0</v>
      </c>
      <c r="D151" s="149" t="str">
        <f aca="false">Scoring!AP157</f>
        <v/>
      </c>
      <c r="E151" s="148" t="str">
        <f aca="false">Scoring!Z157</f>
        <v/>
      </c>
      <c r="F151" s="148" t="n">
        <f aca="false">Scoring!B157</f>
        <v>0</v>
      </c>
      <c r="G151" s="148" t="n">
        <f aca="false">Scoring!D157</f>
        <v>0</v>
      </c>
      <c r="H151" s="148" t="str">
        <f aca="false">Scoring!AR157</f>
        <v/>
      </c>
      <c r="I151" s="150" t="str">
        <f aca="false">Scoring!AQ157</f>
        <v/>
      </c>
    </row>
    <row r="152" customFormat="false" ht="15.75" hidden="false" customHeight="false" outlineLevel="0" collapsed="false">
      <c r="A152" s="148" t="str">
        <f aca="false">Scoring!AT158</f>
        <v/>
      </c>
      <c r="B152" s="148" t="str">
        <f aca="false">Scoring!AS158</f>
        <v/>
      </c>
      <c r="C152" s="148" t="n">
        <f aca="false">Scoring!C158</f>
        <v>0</v>
      </c>
      <c r="D152" s="149" t="str">
        <f aca="false">Scoring!AP158</f>
        <v/>
      </c>
      <c r="E152" s="148" t="str">
        <f aca="false">Scoring!Z158</f>
        <v/>
      </c>
      <c r="F152" s="148" t="n">
        <f aca="false">Scoring!B158</f>
        <v>0</v>
      </c>
      <c r="G152" s="148" t="n">
        <f aca="false">Scoring!D158</f>
        <v>0</v>
      </c>
      <c r="H152" s="148" t="str">
        <f aca="false">Scoring!AR158</f>
        <v/>
      </c>
      <c r="I152" s="150" t="str">
        <f aca="false">Scoring!AQ158</f>
        <v/>
      </c>
    </row>
    <row r="153" customFormat="false" ht="15.75" hidden="false" customHeight="false" outlineLevel="0" collapsed="false">
      <c r="A153" s="148" t="str">
        <f aca="false">Scoring!AT159</f>
        <v/>
      </c>
      <c r="B153" s="148" t="str">
        <f aca="false">Scoring!AS159</f>
        <v/>
      </c>
      <c r="C153" s="148" t="n">
        <f aca="false">Scoring!C159</f>
        <v>0</v>
      </c>
      <c r="D153" s="149" t="str">
        <f aca="false">Scoring!AP159</f>
        <v/>
      </c>
      <c r="E153" s="148" t="str">
        <f aca="false">Scoring!Z159</f>
        <v/>
      </c>
      <c r="F153" s="148" t="n">
        <f aca="false">Scoring!B159</f>
        <v>0</v>
      </c>
      <c r="G153" s="148" t="n">
        <f aca="false">Scoring!D159</f>
        <v>0</v>
      </c>
      <c r="H153" s="148" t="str">
        <f aca="false">Scoring!AR159</f>
        <v/>
      </c>
      <c r="I153" s="150" t="str">
        <f aca="false">Scoring!AQ159</f>
        <v/>
      </c>
    </row>
    <row r="154" customFormat="false" ht="15.75" hidden="false" customHeight="false" outlineLevel="0" collapsed="false">
      <c r="A154" s="148" t="str">
        <f aca="false">Scoring!AT160</f>
        <v/>
      </c>
      <c r="B154" s="148" t="str">
        <f aca="false">Scoring!AS160</f>
        <v/>
      </c>
      <c r="C154" s="148" t="n">
        <f aca="false">Scoring!C160</f>
        <v>0</v>
      </c>
      <c r="D154" s="149" t="str">
        <f aca="false">Scoring!AP160</f>
        <v/>
      </c>
      <c r="E154" s="148" t="str">
        <f aca="false">Scoring!Z160</f>
        <v/>
      </c>
      <c r="F154" s="148" t="n">
        <f aca="false">Scoring!B160</f>
        <v>0</v>
      </c>
      <c r="G154" s="148" t="n">
        <f aca="false">Scoring!D160</f>
        <v>0</v>
      </c>
      <c r="H154" s="148" t="str">
        <f aca="false">Scoring!AR160</f>
        <v/>
      </c>
      <c r="I154" s="150" t="str">
        <f aca="false">Scoring!AQ160</f>
        <v/>
      </c>
    </row>
    <row r="155" customFormat="false" ht="15.75" hidden="false" customHeight="false" outlineLevel="0" collapsed="false">
      <c r="A155" s="148" t="str">
        <f aca="false">Scoring!AT161</f>
        <v/>
      </c>
      <c r="B155" s="148" t="str">
        <f aca="false">Scoring!AS161</f>
        <v/>
      </c>
      <c r="C155" s="148" t="n">
        <f aca="false">Scoring!C161</f>
        <v>0</v>
      </c>
      <c r="D155" s="149" t="str">
        <f aca="false">Scoring!AP161</f>
        <v/>
      </c>
      <c r="E155" s="148" t="str">
        <f aca="false">Scoring!Z161</f>
        <v/>
      </c>
      <c r="F155" s="148" t="n">
        <f aca="false">Scoring!B161</f>
        <v>0</v>
      </c>
      <c r="G155" s="148" t="n">
        <f aca="false">Scoring!D161</f>
        <v>0</v>
      </c>
      <c r="H155" s="148" t="str">
        <f aca="false">Scoring!AR161</f>
        <v/>
      </c>
      <c r="I155" s="150" t="str">
        <f aca="false">Scoring!AQ161</f>
        <v/>
      </c>
    </row>
    <row r="156" customFormat="false" ht="15.75" hidden="false" customHeight="false" outlineLevel="0" collapsed="false">
      <c r="A156" s="148" t="str">
        <f aca="false">Scoring!AT162</f>
        <v/>
      </c>
      <c r="B156" s="148" t="str">
        <f aca="false">Scoring!AS162</f>
        <v/>
      </c>
      <c r="C156" s="148" t="n">
        <f aca="false">Scoring!C162</f>
        <v>0</v>
      </c>
      <c r="D156" s="149" t="str">
        <f aca="false">Scoring!AP162</f>
        <v/>
      </c>
      <c r="E156" s="148" t="str">
        <f aca="false">Scoring!Z162</f>
        <v/>
      </c>
      <c r="F156" s="148" t="n">
        <f aca="false">Scoring!B162</f>
        <v>0</v>
      </c>
      <c r="G156" s="148" t="n">
        <f aca="false">Scoring!D162</f>
        <v>0</v>
      </c>
      <c r="H156" s="148" t="str">
        <f aca="false">Scoring!AR162</f>
        <v/>
      </c>
      <c r="I156" s="150" t="str">
        <f aca="false">Scoring!AQ162</f>
        <v/>
      </c>
    </row>
    <row r="157" customFormat="false" ht="15.75" hidden="false" customHeight="false" outlineLevel="0" collapsed="false">
      <c r="A157" s="148" t="str">
        <f aca="false">Scoring!AT163</f>
        <v/>
      </c>
      <c r="B157" s="148" t="str">
        <f aca="false">Scoring!AS163</f>
        <v/>
      </c>
      <c r="C157" s="148" t="n">
        <f aca="false">Scoring!C163</f>
        <v>0</v>
      </c>
      <c r="D157" s="149" t="str">
        <f aca="false">Scoring!AP163</f>
        <v/>
      </c>
      <c r="E157" s="148" t="str">
        <f aca="false">Scoring!Z163</f>
        <v/>
      </c>
      <c r="F157" s="148" t="n">
        <f aca="false">Scoring!B163</f>
        <v>0</v>
      </c>
      <c r="G157" s="148" t="n">
        <f aca="false">Scoring!D163</f>
        <v>0</v>
      </c>
      <c r="H157" s="148" t="str">
        <f aca="false">Scoring!AR163</f>
        <v/>
      </c>
      <c r="I157" s="150" t="str">
        <f aca="false">Scoring!AQ163</f>
        <v/>
      </c>
    </row>
    <row r="158" customFormat="false" ht="15.75" hidden="false" customHeight="false" outlineLevel="0" collapsed="false">
      <c r="A158" s="148" t="str">
        <f aca="false">Scoring!AT164</f>
        <v/>
      </c>
      <c r="B158" s="148" t="str">
        <f aca="false">Scoring!AS164</f>
        <v/>
      </c>
      <c r="C158" s="148" t="n">
        <f aca="false">Scoring!C164</f>
        <v>0</v>
      </c>
      <c r="D158" s="149" t="str">
        <f aca="false">Scoring!AP164</f>
        <v/>
      </c>
      <c r="E158" s="148" t="str">
        <f aca="false">Scoring!Z164</f>
        <v/>
      </c>
      <c r="F158" s="148" t="n">
        <f aca="false">Scoring!B164</f>
        <v>0</v>
      </c>
      <c r="G158" s="148" t="n">
        <f aca="false">Scoring!D164</f>
        <v>0</v>
      </c>
      <c r="H158" s="148" t="str">
        <f aca="false">Scoring!AR164</f>
        <v/>
      </c>
      <c r="I158" s="150" t="str">
        <f aca="false">Scoring!AQ164</f>
        <v/>
      </c>
    </row>
    <row r="159" customFormat="false" ht="15.75" hidden="false" customHeight="false" outlineLevel="0" collapsed="false">
      <c r="A159" s="148" t="str">
        <f aca="false">Scoring!AT165</f>
        <v/>
      </c>
      <c r="B159" s="148" t="str">
        <f aca="false">Scoring!AS165</f>
        <v/>
      </c>
      <c r="C159" s="148" t="n">
        <f aca="false">Scoring!C165</f>
        <v>0</v>
      </c>
      <c r="D159" s="149" t="str">
        <f aca="false">Scoring!AP165</f>
        <v/>
      </c>
      <c r="E159" s="148" t="str">
        <f aca="false">Scoring!Z165</f>
        <v/>
      </c>
      <c r="F159" s="148" t="n">
        <f aca="false">Scoring!B165</f>
        <v>0</v>
      </c>
      <c r="G159" s="148" t="n">
        <f aca="false">Scoring!D165</f>
        <v>0</v>
      </c>
      <c r="H159" s="148" t="str">
        <f aca="false">Scoring!AR165</f>
        <v/>
      </c>
      <c r="I159" s="150" t="str">
        <f aca="false">Scoring!AQ165</f>
        <v/>
      </c>
    </row>
    <row r="160" customFormat="false" ht="15.75" hidden="false" customHeight="false" outlineLevel="0" collapsed="false">
      <c r="A160" s="148" t="str">
        <f aca="false">Scoring!AT166</f>
        <v/>
      </c>
      <c r="B160" s="148" t="str">
        <f aca="false">Scoring!AS166</f>
        <v/>
      </c>
      <c r="C160" s="148" t="n">
        <f aca="false">Scoring!C166</f>
        <v>0</v>
      </c>
      <c r="D160" s="149" t="str">
        <f aca="false">Scoring!AP166</f>
        <v/>
      </c>
      <c r="E160" s="148" t="str">
        <f aca="false">Scoring!Z166</f>
        <v/>
      </c>
      <c r="F160" s="148" t="n">
        <f aca="false">Scoring!B166</f>
        <v>0</v>
      </c>
      <c r="G160" s="148" t="n">
        <f aca="false">Scoring!D166</f>
        <v>0</v>
      </c>
      <c r="H160" s="148" t="str">
        <f aca="false">Scoring!AR166</f>
        <v/>
      </c>
      <c r="I160" s="150" t="str">
        <f aca="false">Scoring!AQ166</f>
        <v/>
      </c>
    </row>
    <row r="161" customFormat="false" ht="15.75" hidden="false" customHeight="false" outlineLevel="0" collapsed="false">
      <c r="A161" s="148" t="str">
        <f aca="false">Scoring!AT167</f>
        <v/>
      </c>
      <c r="B161" s="148" t="str">
        <f aca="false">Scoring!AS167</f>
        <v/>
      </c>
      <c r="C161" s="148" t="n">
        <f aca="false">Scoring!C167</f>
        <v>0</v>
      </c>
      <c r="D161" s="149" t="str">
        <f aca="false">Scoring!AP167</f>
        <v/>
      </c>
      <c r="E161" s="148" t="str">
        <f aca="false">Scoring!Z167</f>
        <v/>
      </c>
      <c r="F161" s="148" t="n">
        <f aca="false">Scoring!B167</f>
        <v>0</v>
      </c>
      <c r="G161" s="148" t="n">
        <f aca="false">Scoring!D167</f>
        <v>0</v>
      </c>
      <c r="H161" s="148" t="str">
        <f aca="false">Scoring!AR167</f>
        <v/>
      </c>
      <c r="I161" s="150" t="str">
        <f aca="false">Scoring!AQ167</f>
        <v/>
      </c>
    </row>
    <row r="162" customFormat="false" ht="15.75" hidden="false" customHeight="false" outlineLevel="0" collapsed="false">
      <c r="A162" s="148" t="str">
        <f aca="false">Scoring!AT168</f>
        <v/>
      </c>
      <c r="B162" s="148" t="str">
        <f aca="false">Scoring!AS168</f>
        <v/>
      </c>
      <c r="C162" s="148" t="n">
        <f aca="false">Scoring!C168</f>
        <v>0</v>
      </c>
      <c r="D162" s="149" t="str">
        <f aca="false">Scoring!AP168</f>
        <v/>
      </c>
      <c r="E162" s="148" t="str">
        <f aca="false">Scoring!Z168</f>
        <v/>
      </c>
      <c r="F162" s="148" t="n">
        <f aca="false">Scoring!B168</f>
        <v>0</v>
      </c>
      <c r="G162" s="148" t="n">
        <f aca="false">Scoring!D168</f>
        <v>0</v>
      </c>
      <c r="H162" s="148" t="str">
        <f aca="false">Scoring!AR168</f>
        <v/>
      </c>
      <c r="I162" s="150" t="str">
        <f aca="false">Scoring!AQ168</f>
        <v/>
      </c>
    </row>
    <row r="163" customFormat="false" ht="15.75" hidden="false" customHeight="false" outlineLevel="0" collapsed="false">
      <c r="A163" s="148" t="str">
        <f aca="false">Scoring!AT169</f>
        <v/>
      </c>
      <c r="B163" s="148" t="str">
        <f aca="false">Scoring!AS169</f>
        <v/>
      </c>
      <c r="C163" s="148" t="n">
        <f aca="false">Scoring!C169</f>
        <v>0</v>
      </c>
      <c r="D163" s="149" t="str">
        <f aca="false">Scoring!AP169</f>
        <v/>
      </c>
      <c r="E163" s="148" t="str">
        <f aca="false">Scoring!Z169</f>
        <v/>
      </c>
      <c r="F163" s="148" t="n">
        <f aca="false">Scoring!B169</f>
        <v>0</v>
      </c>
      <c r="G163" s="148" t="n">
        <f aca="false">Scoring!D169</f>
        <v>0</v>
      </c>
      <c r="H163" s="148" t="str">
        <f aca="false">Scoring!AR169</f>
        <v/>
      </c>
      <c r="I163" s="150" t="str">
        <f aca="false">Scoring!AQ169</f>
        <v/>
      </c>
    </row>
    <row r="164" customFormat="false" ht="15.75" hidden="false" customHeight="false" outlineLevel="0" collapsed="false">
      <c r="A164" s="148" t="str">
        <f aca="false">Scoring!AT170</f>
        <v/>
      </c>
      <c r="B164" s="148" t="str">
        <f aca="false">Scoring!AS170</f>
        <v/>
      </c>
      <c r="C164" s="148" t="n">
        <f aca="false">Scoring!C170</f>
        <v>0</v>
      </c>
      <c r="D164" s="149" t="str">
        <f aca="false">Scoring!AP170</f>
        <v/>
      </c>
      <c r="E164" s="148" t="str">
        <f aca="false">Scoring!Z170</f>
        <v/>
      </c>
      <c r="F164" s="148" t="n">
        <f aca="false">Scoring!B170</f>
        <v>0</v>
      </c>
      <c r="G164" s="148" t="n">
        <f aca="false">Scoring!D170</f>
        <v>0</v>
      </c>
      <c r="H164" s="148" t="str">
        <f aca="false">Scoring!AR170</f>
        <v/>
      </c>
      <c r="I164" s="150" t="str">
        <f aca="false">Scoring!AQ170</f>
        <v/>
      </c>
    </row>
    <row r="165" customFormat="false" ht="15.75" hidden="false" customHeight="false" outlineLevel="0" collapsed="false">
      <c r="A165" s="148" t="str">
        <f aca="false">Scoring!AT171</f>
        <v/>
      </c>
      <c r="B165" s="148" t="str">
        <f aca="false">Scoring!AS171</f>
        <v/>
      </c>
      <c r="C165" s="148" t="n">
        <f aca="false">Scoring!C171</f>
        <v>0</v>
      </c>
      <c r="D165" s="149" t="str">
        <f aca="false">Scoring!AP171</f>
        <v/>
      </c>
      <c r="E165" s="148" t="str">
        <f aca="false">Scoring!Z171</f>
        <v/>
      </c>
      <c r="F165" s="148" t="n">
        <f aca="false">Scoring!B171</f>
        <v>0</v>
      </c>
      <c r="G165" s="148" t="n">
        <f aca="false">Scoring!D171</f>
        <v>0</v>
      </c>
      <c r="H165" s="148" t="str">
        <f aca="false">Scoring!AR171</f>
        <v/>
      </c>
      <c r="I165" s="150" t="str">
        <f aca="false">Scoring!AQ171</f>
        <v/>
      </c>
    </row>
    <row r="166" customFormat="false" ht="15.75" hidden="false" customHeight="false" outlineLevel="0" collapsed="false">
      <c r="A166" s="148" t="str">
        <f aca="false">Scoring!AT172</f>
        <v/>
      </c>
      <c r="B166" s="148" t="str">
        <f aca="false">Scoring!AS172</f>
        <v/>
      </c>
      <c r="C166" s="148" t="n">
        <f aca="false">Scoring!C172</f>
        <v>0</v>
      </c>
      <c r="D166" s="149" t="str">
        <f aca="false">Scoring!AP172</f>
        <v/>
      </c>
      <c r="E166" s="148" t="str">
        <f aca="false">Scoring!Z172</f>
        <v/>
      </c>
      <c r="F166" s="148" t="n">
        <f aca="false">Scoring!B172</f>
        <v>0</v>
      </c>
      <c r="G166" s="148" t="n">
        <f aca="false">Scoring!D172</f>
        <v>0</v>
      </c>
      <c r="H166" s="148" t="str">
        <f aca="false">Scoring!AR172</f>
        <v/>
      </c>
      <c r="I166" s="150" t="str">
        <f aca="false">Scoring!AQ172</f>
        <v/>
      </c>
    </row>
    <row r="167" customFormat="false" ht="15.75" hidden="false" customHeight="false" outlineLevel="0" collapsed="false">
      <c r="A167" s="148" t="str">
        <f aca="false">Scoring!AT173</f>
        <v/>
      </c>
      <c r="B167" s="148" t="str">
        <f aca="false">Scoring!AS173</f>
        <v/>
      </c>
      <c r="C167" s="148" t="n">
        <f aca="false">Scoring!C173</f>
        <v>0</v>
      </c>
      <c r="D167" s="149" t="str">
        <f aca="false">Scoring!AP173</f>
        <v/>
      </c>
      <c r="E167" s="148" t="str">
        <f aca="false">Scoring!Z173</f>
        <v/>
      </c>
      <c r="F167" s="148" t="n">
        <f aca="false">Scoring!B173</f>
        <v>0</v>
      </c>
      <c r="G167" s="148" t="n">
        <f aca="false">Scoring!D173</f>
        <v>0</v>
      </c>
      <c r="H167" s="148" t="str">
        <f aca="false">Scoring!AR173</f>
        <v/>
      </c>
      <c r="I167" s="150" t="str">
        <f aca="false">Scoring!AQ173</f>
        <v/>
      </c>
    </row>
    <row r="168" customFormat="false" ht="15.75" hidden="false" customHeight="false" outlineLevel="0" collapsed="false">
      <c r="A168" s="148" t="str">
        <f aca="false">Scoring!AT174</f>
        <v/>
      </c>
      <c r="B168" s="148" t="str">
        <f aca="false">Scoring!AS174</f>
        <v/>
      </c>
      <c r="C168" s="148" t="n">
        <f aca="false">Scoring!C174</f>
        <v>0</v>
      </c>
      <c r="D168" s="149" t="str">
        <f aca="false">Scoring!AP174</f>
        <v/>
      </c>
      <c r="E168" s="148" t="str">
        <f aca="false">Scoring!Z174</f>
        <v/>
      </c>
      <c r="F168" s="148" t="n">
        <f aca="false">Scoring!B174</f>
        <v>0</v>
      </c>
      <c r="G168" s="148" t="n">
        <f aca="false">Scoring!D174</f>
        <v>0</v>
      </c>
      <c r="H168" s="148" t="str">
        <f aca="false">Scoring!AR174</f>
        <v/>
      </c>
      <c r="I168" s="150" t="str">
        <f aca="false">Scoring!AQ174</f>
        <v/>
      </c>
    </row>
    <row r="169" customFormat="false" ht="15.75" hidden="false" customHeight="false" outlineLevel="0" collapsed="false">
      <c r="A169" s="148" t="str">
        <f aca="false">Scoring!AT175</f>
        <v/>
      </c>
      <c r="B169" s="148" t="str">
        <f aca="false">Scoring!AS175</f>
        <v/>
      </c>
      <c r="C169" s="148" t="n">
        <f aca="false">Scoring!C175</f>
        <v>0</v>
      </c>
      <c r="D169" s="149" t="str">
        <f aca="false">Scoring!AP175</f>
        <v/>
      </c>
      <c r="E169" s="148" t="str">
        <f aca="false">Scoring!Z175</f>
        <v/>
      </c>
      <c r="F169" s="148" t="n">
        <f aca="false">Scoring!B175</f>
        <v>0</v>
      </c>
      <c r="G169" s="148" t="n">
        <f aca="false">Scoring!D175</f>
        <v>0</v>
      </c>
      <c r="H169" s="148" t="str">
        <f aca="false">Scoring!AR175</f>
        <v/>
      </c>
      <c r="I169" s="150" t="str">
        <f aca="false">Scoring!AQ175</f>
        <v/>
      </c>
    </row>
    <row r="170" customFormat="false" ht="15.75" hidden="false" customHeight="false" outlineLevel="0" collapsed="false">
      <c r="A170" s="148" t="str">
        <f aca="false">Scoring!AT176</f>
        <v/>
      </c>
      <c r="B170" s="148" t="str">
        <f aca="false">Scoring!AS176</f>
        <v/>
      </c>
      <c r="C170" s="148" t="n">
        <f aca="false">Scoring!C176</f>
        <v>0</v>
      </c>
      <c r="D170" s="149" t="str">
        <f aca="false">Scoring!AP176</f>
        <v/>
      </c>
      <c r="E170" s="148" t="str">
        <f aca="false">Scoring!Z176</f>
        <v/>
      </c>
      <c r="F170" s="148" t="n">
        <f aca="false">Scoring!B176</f>
        <v>0</v>
      </c>
      <c r="G170" s="148" t="n">
        <f aca="false">Scoring!D176</f>
        <v>0</v>
      </c>
      <c r="H170" s="148" t="str">
        <f aca="false">Scoring!AR176</f>
        <v/>
      </c>
      <c r="I170" s="150" t="str">
        <f aca="false">Scoring!AQ176</f>
        <v/>
      </c>
    </row>
    <row r="171" customFormat="false" ht="15.75" hidden="false" customHeight="false" outlineLevel="0" collapsed="false">
      <c r="A171" s="148" t="str">
        <f aca="false">Scoring!AT177</f>
        <v/>
      </c>
      <c r="B171" s="148" t="str">
        <f aca="false">Scoring!AS177</f>
        <v/>
      </c>
      <c r="C171" s="148" t="n">
        <f aca="false">Scoring!C177</f>
        <v>0</v>
      </c>
      <c r="D171" s="149" t="str">
        <f aca="false">Scoring!AP177</f>
        <v/>
      </c>
      <c r="E171" s="148" t="str">
        <f aca="false">Scoring!Z177</f>
        <v/>
      </c>
      <c r="F171" s="148" t="n">
        <f aca="false">Scoring!B177</f>
        <v>0</v>
      </c>
      <c r="G171" s="148" t="n">
        <f aca="false">Scoring!D177</f>
        <v>0</v>
      </c>
      <c r="H171" s="148" t="str">
        <f aca="false">Scoring!AR177</f>
        <v/>
      </c>
      <c r="I171" s="150" t="str">
        <f aca="false">Scoring!AQ177</f>
        <v/>
      </c>
    </row>
    <row r="172" customFormat="false" ht="15.75" hidden="false" customHeight="false" outlineLevel="0" collapsed="false">
      <c r="A172" s="148" t="str">
        <f aca="false">Scoring!AT178</f>
        <v/>
      </c>
      <c r="B172" s="148" t="str">
        <f aca="false">Scoring!AS178</f>
        <v/>
      </c>
      <c r="C172" s="148" t="n">
        <f aca="false">Scoring!C178</f>
        <v>0</v>
      </c>
      <c r="D172" s="149" t="str">
        <f aca="false">Scoring!AP178</f>
        <v/>
      </c>
      <c r="E172" s="148" t="str">
        <f aca="false">Scoring!Z178</f>
        <v/>
      </c>
      <c r="F172" s="148" t="n">
        <f aca="false">Scoring!B178</f>
        <v>0</v>
      </c>
      <c r="G172" s="148" t="n">
        <f aca="false">Scoring!D178</f>
        <v>0</v>
      </c>
      <c r="H172" s="148" t="str">
        <f aca="false">Scoring!AR178</f>
        <v/>
      </c>
      <c r="I172" s="150" t="str">
        <f aca="false">Scoring!AQ178</f>
        <v/>
      </c>
    </row>
    <row r="173" customFormat="false" ht="15.75" hidden="false" customHeight="false" outlineLevel="0" collapsed="false">
      <c r="A173" s="148" t="str">
        <f aca="false">Scoring!AT179</f>
        <v/>
      </c>
      <c r="B173" s="148" t="str">
        <f aca="false">Scoring!AS179</f>
        <v/>
      </c>
      <c r="C173" s="148" t="n">
        <f aca="false">Scoring!C179</f>
        <v>0</v>
      </c>
      <c r="D173" s="149" t="str">
        <f aca="false">Scoring!AP179</f>
        <v/>
      </c>
      <c r="E173" s="148" t="str">
        <f aca="false">Scoring!Z179</f>
        <v/>
      </c>
      <c r="F173" s="148" t="n">
        <f aca="false">Scoring!B179</f>
        <v>0</v>
      </c>
      <c r="G173" s="148" t="n">
        <f aca="false">Scoring!D179</f>
        <v>0</v>
      </c>
      <c r="H173" s="148" t="str">
        <f aca="false">Scoring!AR179</f>
        <v/>
      </c>
      <c r="I173" s="150" t="str">
        <f aca="false">Scoring!AQ179</f>
        <v/>
      </c>
    </row>
    <row r="174" customFormat="false" ht="15.75" hidden="false" customHeight="false" outlineLevel="0" collapsed="false">
      <c r="A174" s="148" t="str">
        <f aca="false">Scoring!AT180</f>
        <v/>
      </c>
      <c r="B174" s="148" t="str">
        <f aca="false">Scoring!AS180</f>
        <v/>
      </c>
      <c r="C174" s="148" t="n">
        <f aca="false">Scoring!C180</f>
        <v>0</v>
      </c>
      <c r="D174" s="149" t="str">
        <f aca="false">Scoring!AP180</f>
        <v/>
      </c>
      <c r="E174" s="148" t="str">
        <f aca="false">Scoring!Z180</f>
        <v/>
      </c>
      <c r="F174" s="148" t="n">
        <f aca="false">Scoring!B180</f>
        <v>0</v>
      </c>
      <c r="G174" s="148" t="n">
        <f aca="false">Scoring!D180</f>
        <v>0</v>
      </c>
      <c r="H174" s="148" t="str">
        <f aca="false">Scoring!AR180</f>
        <v/>
      </c>
      <c r="I174" s="150" t="str">
        <f aca="false">Scoring!AQ180</f>
        <v/>
      </c>
    </row>
    <row r="175" customFormat="false" ht="15.75" hidden="false" customHeight="false" outlineLevel="0" collapsed="false">
      <c r="A175" s="148" t="str">
        <f aca="false">Scoring!AT181</f>
        <v/>
      </c>
      <c r="B175" s="148" t="str">
        <f aca="false">Scoring!AS181</f>
        <v/>
      </c>
      <c r="C175" s="148" t="n">
        <f aca="false">Scoring!C181</f>
        <v>0</v>
      </c>
      <c r="D175" s="149" t="str">
        <f aca="false">Scoring!AP181</f>
        <v/>
      </c>
      <c r="E175" s="148" t="str">
        <f aca="false">Scoring!Z181</f>
        <v/>
      </c>
      <c r="F175" s="148" t="n">
        <f aca="false">Scoring!B181</f>
        <v>0</v>
      </c>
      <c r="G175" s="148" t="n">
        <f aca="false">Scoring!D181</f>
        <v>0</v>
      </c>
      <c r="H175" s="148" t="str">
        <f aca="false">Scoring!AR181</f>
        <v/>
      </c>
      <c r="I175" s="150" t="str">
        <f aca="false">Scoring!AQ181</f>
        <v/>
      </c>
    </row>
    <row r="176" customFormat="false" ht="15.75" hidden="false" customHeight="false" outlineLevel="0" collapsed="false">
      <c r="A176" s="148" t="str">
        <f aca="false">Scoring!AT182</f>
        <v/>
      </c>
      <c r="B176" s="148" t="str">
        <f aca="false">Scoring!AS182</f>
        <v/>
      </c>
      <c r="C176" s="148" t="n">
        <f aca="false">Scoring!C182</f>
        <v>0</v>
      </c>
      <c r="D176" s="149" t="str">
        <f aca="false">Scoring!AP182</f>
        <v/>
      </c>
      <c r="E176" s="148" t="str">
        <f aca="false">Scoring!Z182</f>
        <v/>
      </c>
      <c r="F176" s="148" t="n">
        <f aca="false">Scoring!B182</f>
        <v>0</v>
      </c>
      <c r="G176" s="148" t="n">
        <f aca="false">Scoring!D182</f>
        <v>0</v>
      </c>
      <c r="H176" s="148" t="str">
        <f aca="false">Scoring!AR182</f>
        <v/>
      </c>
      <c r="I176" s="150" t="str">
        <f aca="false">Scoring!AQ182</f>
        <v/>
      </c>
    </row>
    <row r="177" customFormat="false" ht="15.75" hidden="false" customHeight="false" outlineLevel="0" collapsed="false">
      <c r="A177" s="148" t="str">
        <f aca="false">Scoring!AT183</f>
        <v/>
      </c>
      <c r="B177" s="148" t="str">
        <f aca="false">Scoring!AS183</f>
        <v/>
      </c>
      <c r="C177" s="148" t="n">
        <f aca="false">Scoring!C183</f>
        <v>0</v>
      </c>
      <c r="D177" s="149" t="str">
        <f aca="false">Scoring!AP183</f>
        <v/>
      </c>
      <c r="E177" s="148" t="str">
        <f aca="false">Scoring!Z183</f>
        <v/>
      </c>
      <c r="F177" s="148" t="n">
        <f aca="false">Scoring!B183</f>
        <v>0</v>
      </c>
      <c r="G177" s="148" t="n">
        <f aca="false">Scoring!D183</f>
        <v>0</v>
      </c>
      <c r="H177" s="148" t="str">
        <f aca="false">Scoring!AR183</f>
        <v/>
      </c>
      <c r="I177" s="150" t="str">
        <f aca="false">Scoring!AQ183</f>
        <v/>
      </c>
    </row>
    <row r="178" customFormat="false" ht="15.75" hidden="false" customHeight="false" outlineLevel="0" collapsed="false">
      <c r="A178" s="148" t="str">
        <f aca="false">Scoring!AT184</f>
        <v/>
      </c>
      <c r="B178" s="148" t="str">
        <f aca="false">Scoring!AS184</f>
        <v/>
      </c>
      <c r="C178" s="148" t="n">
        <f aca="false">Scoring!C184</f>
        <v>0</v>
      </c>
      <c r="D178" s="149" t="str">
        <f aca="false">Scoring!AP184</f>
        <v/>
      </c>
      <c r="E178" s="148" t="str">
        <f aca="false">Scoring!Z184</f>
        <v/>
      </c>
      <c r="F178" s="148" t="n">
        <f aca="false">Scoring!B184</f>
        <v>0</v>
      </c>
      <c r="G178" s="148" t="n">
        <f aca="false">Scoring!D184</f>
        <v>0</v>
      </c>
      <c r="H178" s="148" t="str">
        <f aca="false">Scoring!AR184</f>
        <v/>
      </c>
      <c r="I178" s="150" t="str">
        <f aca="false">Scoring!AQ184</f>
        <v/>
      </c>
    </row>
    <row r="179" customFormat="false" ht="15.75" hidden="false" customHeight="false" outlineLevel="0" collapsed="false">
      <c r="A179" s="148" t="str">
        <f aca="false">Scoring!AT185</f>
        <v/>
      </c>
      <c r="B179" s="148" t="str">
        <f aca="false">Scoring!AS185</f>
        <v/>
      </c>
      <c r="C179" s="148" t="n">
        <f aca="false">Scoring!C185</f>
        <v>0</v>
      </c>
      <c r="D179" s="149" t="str">
        <f aca="false">Scoring!AP185</f>
        <v/>
      </c>
      <c r="E179" s="148" t="str">
        <f aca="false">Scoring!Z185</f>
        <v/>
      </c>
      <c r="F179" s="148" t="n">
        <f aca="false">Scoring!B185</f>
        <v>0</v>
      </c>
      <c r="G179" s="148" t="n">
        <f aca="false">Scoring!D185</f>
        <v>0</v>
      </c>
      <c r="H179" s="148" t="str">
        <f aca="false">Scoring!AR185</f>
        <v/>
      </c>
      <c r="I179" s="150" t="str">
        <f aca="false">Scoring!AQ185</f>
        <v/>
      </c>
    </row>
    <row r="180" customFormat="false" ht="15.75" hidden="false" customHeight="false" outlineLevel="0" collapsed="false">
      <c r="A180" s="148" t="str">
        <f aca="false">Scoring!AT186</f>
        <v/>
      </c>
      <c r="B180" s="148" t="str">
        <f aca="false">Scoring!AS186</f>
        <v/>
      </c>
      <c r="C180" s="148" t="n">
        <f aca="false">Scoring!C186</f>
        <v>0</v>
      </c>
      <c r="D180" s="149" t="str">
        <f aca="false">Scoring!AP186</f>
        <v/>
      </c>
      <c r="E180" s="148" t="str">
        <f aca="false">Scoring!Z186</f>
        <v/>
      </c>
      <c r="F180" s="148" t="n">
        <f aca="false">Scoring!B186</f>
        <v>0</v>
      </c>
      <c r="G180" s="148" t="n">
        <f aca="false">Scoring!D186</f>
        <v>0</v>
      </c>
      <c r="H180" s="148" t="str">
        <f aca="false">Scoring!AR186</f>
        <v/>
      </c>
      <c r="I180" s="150" t="str">
        <f aca="false">Scoring!AQ186</f>
        <v/>
      </c>
    </row>
    <row r="181" customFormat="false" ht="15.75" hidden="false" customHeight="false" outlineLevel="0" collapsed="false">
      <c r="A181" s="148" t="str">
        <f aca="false">Scoring!AT187</f>
        <v/>
      </c>
      <c r="B181" s="148" t="str">
        <f aca="false">Scoring!AS187</f>
        <v/>
      </c>
      <c r="C181" s="148" t="n">
        <f aca="false">Scoring!C187</f>
        <v>0</v>
      </c>
      <c r="D181" s="149" t="str">
        <f aca="false">Scoring!AP187</f>
        <v/>
      </c>
      <c r="E181" s="148" t="str">
        <f aca="false">Scoring!Z187</f>
        <v/>
      </c>
      <c r="F181" s="148" t="n">
        <f aca="false">Scoring!B187</f>
        <v>0</v>
      </c>
      <c r="G181" s="148" t="n">
        <f aca="false">Scoring!D187</f>
        <v>0</v>
      </c>
      <c r="H181" s="148" t="str">
        <f aca="false">Scoring!AR187</f>
        <v/>
      </c>
      <c r="I181" s="150" t="str">
        <f aca="false">Scoring!AQ187</f>
        <v/>
      </c>
    </row>
    <row r="182" customFormat="false" ht="15.75" hidden="false" customHeight="false" outlineLevel="0" collapsed="false">
      <c r="A182" s="148" t="str">
        <f aca="false">Scoring!AT188</f>
        <v/>
      </c>
      <c r="B182" s="148" t="str">
        <f aca="false">Scoring!AS188</f>
        <v/>
      </c>
      <c r="C182" s="148" t="n">
        <f aca="false">Scoring!C188</f>
        <v>0</v>
      </c>
      <c r="D182" s="149" t="str">
        <f aca="false">Scoring!AP188</f>
        <v/>
      </c>
      <c r="E182" s="148" t="str">
        <f aca="false">Scoring!Z188</f>
        <v/>
      </c>
      <c r="F182" s="148" t="n">
        <f aca="false">Scoring!B188</f>
        <v>0</v>
      </c>
      <c r="G182" s="148" t="n">
        <f aca="false">Scoring!D188</f>
        <v>0</v>
      </c>
      <c r="H182" s="148" t="str">
        <f aca="false">Scoring!AR188</f>
        <v/>
      </c>
      <c r="I182" s="150" t="str">
        <f aca="false">Scoring!AQ188</f>
        <v/>
      </c>
    </row>
    <row r="183" customFormat="false" ht="15.75" hidden="false" customHeight="false" outlineLevel="0" collapsed="false">
      <c r="A183" s="148" t="str">
        <f aca="false">Scoring!AT189</f>
        <v/>
      </c>
      <c r="B183" s="148" t="str">
        <f aca="false">Scoring!AS189</f>
        <v/>
      </c>
      <c r="C183" s="148" t="n">
        <f aca="false">Scoring!C189</f>
        <v>0</v>
      </c>
      <c r="D183" s="149" t="str">
        <f aca="false">Scoring!AP189</f>
        <v/>
      </c>
      <c r="E183" s="148" t="str">
        <f aca="false">Scoring!Z189</f>
        <v/>
      </c>
      <c r="F183" s="148" t="n">
        <f aca="false">Scoring!B189</f>
        <v>0</v>
      </c>
      <c r="G183" s="148" t="n">
        <f aca="false">Scoring!D189</f>
        <v>0</v>
      </c>
      <c r="H183" s="148" t="str">
        <f aca="false">Scoring!AR189</f>
        <v/>
      </c>
      <c r="I183" s="150" t="str">
        <f aca="false">Scoring!AQ189</f>
        <v/>
      </c>
    </row>
    <row r="184" customFormat="false" ht="15.75" hidden="false" customHeight="false" outlineLevel="0" collapsed="false">
      <c r="A184" s="148" t="str">
        <f aca="false">Scoring!AT190</f>
        <v/>
      </c>
      <c r="B184" s="148" t="str">
        <f aca="false">Scoring!AS190</f>
        <v/>
      </c>
      <c r="C184" s="148" t="n">
        <f aca="false">Scoring!C190</f>
        <v>0</v>
      </c>
      <c r="D184" s="149" t="str">
        <f aca="false">Scoring!AP190</f>
        <v/>
      </c>
      <c r="E184" s="148" t="str">
        <f aca="false">Scoring!Z190</f>
        <v/>
      </c>
      <c r="F184" s="148" t="n">
        <f aca="false">Scoring!B190</f>
        <v>0</v>
      </c>
      <c r="G184" s="148" t="n">
        <f aca="false">Scoring!D190</f>
        <v>0</v>
      </c>
      <c r="H184" s="148" t="str">
        <f aca="false">Scoring!AR190</f>
        <v/>
      </c>
      <c r="I184" s="150" t="str">
        <f aca="false">Scoring!AQ190</f>
        <v/>
      </c>
    </row>
    <row r="185" customFormat="false" ht="15.75" hidden="false" customHeight="false" outlineLevel="0" collapsed="false">
      <c r="A185" s="148" t="str">
        <f aca="false">Scoring!AT191</f>
        <v/>
      </c>
      <c r="B185" s="148" t="str">
        <f aca="false">Scoring!AS191</f>
        <v/>
      </c>
      <c r="C185" s="148" t="n">
        <f aca="false">Scoring!C191</f>
        <v>0</v>
      </c>
      <c r="D185" s="149" t="str">
        <f aca="false">Scoring!AP191</f>
        <v/>
      </c>
      <c r="E185" s="148" t="str">
        <f aca="false">Scoring!Z191</f>
        <v/>
      </c>
      <c r="F185" s="148" t="n">
        <f aca="false">Scoring!B191</f>
        <v>0</v>
      </c>
      <c r="G185" s="148" t="n">
        <f aca="false">Scoring!D191</f>
        <v>0</v>
      </c>
      <c r="H185" s="148" t="str">
        <f aca="false">Scoring!AR191</f>
        <v/>
      </c>
      <c r="I185" s="150" t="str">
        <f aca="false">Scoring!AQ191</f>
        <v/>
      </c>
    </row>
    <row r="186" customFormat="false" ht="15.75" hidden="false" customHeight="false" outlineLevel="0" collapsed="false">
      <c r="A186" s="148" t="str">
        <f aca="false">Scoring!AT192</f>
        <v/>
      </c>
      <c r="B186" s="148" t="str">
        <f aca="false">Scoring!AS192</f>
        <v/>
      </c>
      <c r="C186" s="148" t="n">
        <f aca="false">Scoring!C192</f>
        <v>0</v>
      </c>
      <c r="D186" s="149" t="str">
        <f aca="false">Scoring!AP192</f>
        <v/>
      </c>
      <c r="E186" s="148" t="str">
        <f aca="false">Scoring!Z192</f>
        <v/>
      </c>
      <c r="F186" s="148" t="n">
        <f aca="false">Scoring!B192</f>
        <v>0</v>
      </c>
      <c r="G186" s="148" t="n">
        <f aca="false">Scoring!D192</f>
        <v>0</v>
      </c>
      <c r="H186" s="148" t="str">
        <f aca="false">Scoring!AR192</f>
        <v/>
      </c>
      <c r="I186" s="150" t="str">
        <f aca="false">Scoring!AQ192</f>
        <v/>
      </c>
    </row>
    <row r="187" customFormat="false" ht="15.75" hidden="false" customHeight="false" outlineLevel="0" collapsed="false">
      <c r="A187" s="148" t="str">
        <f aca="false">Scoring!AT193</f>
        <v/>
      </c>
      <c r="B187" s="148" t="str">
        <f aca="false">Scoring!AS193</f>
        <v/>
      </c>
      <c r="C187" s="148" t="n">
        <f aca="false">Scoring!C193</f>
        <v>0</v>
      </c>
      <c r="D187" s="149" t="str">
        <f aca="false">Scoring!AP193</f>
        <v/>
      </c>
      <c r="E187" s="148" t="str">
        <f aca="false">Scoring!Z193</f>
        <v/>
      </c>
      <c r="F187" s="148" t="n">
        <f aca="false">Scoring!B193</f>
        <v>0</v>
      </c>
      <c r="G187" s="148" t="n">
        <f aca="false">Scoring!D193</f>
        <v>0</v>
      </c>
      <c r="H187" s="148" t="str">
        <f aca="false">Scoring!AR193</f>
        <v/>
      </c>
      <c r="I187" s="150" t="str">
        <f aca="false">Scoring!AQ193</f>
        <v/>
      </c>
    </row>
    <row r="188" customFormat="false" ht="15.75" hidden="false" customHeight="false" outlineLevel="0" collapsed="false">
      <c r="A188" s="148" t="str">
        <f aca="false">Scoring!AT194</f>
        <v/>
      </c>
      <c r="B188" s="148" t="str">
        <f aca="false">Scoring!AS194</f>
        <v/>
      </c>
      <c r="C188" s="148" t="n">
        <f aca="false">Scoring!C194</f>
        <v>0</v>
      </c>
      <c r="D188" s="149" t="str">
        <f aca="false">Scoring!AP194</f>
        <v/>
      </c>
      <c r="E188" s="148" t="str">
        <f aca="false">Scoring!Z194</f>
        <v/>
      </c>
      <c r="F188" s="148" t="n">
        <f aca="false">Scoring!B194</f>
        <v>0</v>
      </c>
      <c r="G188" s="148" t="n">
        <f aca="false">Scoring!D194</f>
        <v>0</v>
      </c>
      <c r="H188" s="148" t="str">
        <f aca="false">Scoring!AR194</f>
        <v/>
      </c>
      <c r="I188" s="150" t="str">
        <f aca="false">Scoring!AQ194</f>
        <v/>
      </c>
    </row>
    <row r="189" customFormat="false" ht="15.75" hidden="false" customHeight="false" outlineLevel="0" collapsed="false">
      <c r="A189" s="148" t="str">
        <f aca="false">Scoring!AT195</f>
        <v/>
      </c>
      <c r="B189" s="148" t="str">
        <f aca="false">Scoring!AS195</f>
        <v/>
      </c>
      <c r="C189" s="148" t="n">
        <f aca="false">Scoring!C195</f>
        <v>0</v>
      </c>
      <c r="D189" s="149" t="str">
        <f aca="false">Scoring!AP195</f>
        <v/>
      </c>
      <c r="E189" s="148" t="str">
        <f aca="false">Scoring!Z195</f>
        <v/>
      </c>
      <c r="F189" s="148" t="n">
        <f aca="false">Scoring!B195</f>
        <v>0</v>
      </c>
      <c r="G189" s="148" t="n">
        <f aca="false">Scoring!D195</f>
        <v>0</v>
      </c>
      <c r="H189" s="148" t="str">
        <f aca="false">Scoring!AR195</f>
        <v/>
      </c>
      <c r="I189" s="150" t="str">
        <f aca="false">Scoring!AQ195</f>
        <v/>
      </c>
    </row>
    <row r="190" customFormat="false" ht="15.75" hidden="false" customHeight="false" outlineLevel="0" collapsed="false">
      <c r="A190" s="148" t="str">
        <f aca="false">Scoring!AT196</f>
        <v/>
      </c>
      <c r="B190" s="148" t="str">
        <f aca="false">Scoring!AS196</f>
        <v/>
      </c>
      <c r="C190" s="148" t="n">
        <f aca="false">Scoring!C196</f>
        <v>0</v>
      </c>
      <c r="D190" s="149" t="str">
        <f aca="false">Scoring!AP196</f>
        <v/>
      </c>
      <c r="E190" s="148" t="str">
        <f aca="false">Scoring!Z196</f>
        <v/>
      </c>
      <c r="F190" s="148" t="n">
        <f aca="false">Scoring!B196</f>
        <v>0</v>
      </c>
      <c r="G190" s="148" t="n">
        <f aca="false">Scoring!D196</f>
        <v>0</v>
      </c>
      <c r="H190" s="148" t="str">
        <f aca="false">Scoring!AR196</f>
        <v/>
      </c>
      <c r="I190" s="150" t="str">
        <f aca="false">Scoring!AQ196</f>
        <v/>
      </c>
    </row>
    <row r="191" customFormat="false" ht="15.75" hidden="false" customHeight="false" outlineLevel="0" collapsed="false">
      <c r="A191" s="148" t="str">
        <f aca="false">Scoring!AT197</f>
        <v/>
      </c>
      <c r="B191" s="148" t="str">
        <f aca="false">Scoring!AS197</f>
        <v/>
      </c>
      <c r="C191" s="148" t="n">
        <f aca="false">Scoring!C197</f>
        <v>0</v>
      </c>
      <c r="D191" s="149" t="str">
        <f aca="false">Scoring!AP197</f>
        <v/>
      </c>
      <c r="E191" s="148" t="str">
        <f aca="false">Scoring!Z197</f>
        <v/>
      </c>
      <c r="F191" s="148" t="n">
        <f aca="false">Scoring!B197</f>
        <v>0</v>
      </c>
      <c r="G191" s="148" t="n">
        <f aca="false">Scoring!D197</f>
        <v>0</v>
      </c>
      <c r="H191" s="148" t="str">
        <f aca="false">Scoring!AR197</f>
        <v/>
      </c>
      <c r="I191" s="150" t="str">
        <f aca="false">Scoring!AQ197</f>
        <v/>
      </c>
    </row>
    <row r="192" customFormat="false" ht="15.75" hidden="false" customHeight="false" outlineLevel="0" collapsed="false">
      <c r="A192" s="148" t="str">
        <f aca="false">Scoring!AT198</f>
        <v/>
      </c>
      <c r="B192" s="148" t="str">
        <f aca="false">Scoring!AS198</f>
        <v/>
      </c>
      <c r="C192" s="148" t="n">
        <f aca="false">Scoring!C198</f>
        <v>0</v>
      </c>
      <c r="D192" s="149" t="str">
        <f aca="false">Scoring!AP198</f>
        <v/>
      </c>
      <c r="E192" s="148" t="str">
        <f aca="false">Scoring!Z198</f>
        <v/>
      </c>
      <c r="F192" s="148" t="n">
        <f aca="false">Scoring!B198</f>
        <v>0</v>
      </c>
      <c r="G192" s="148" t="n">
        <f aca="false">Scoring!D198</f>
        <v>0</v>
      </c>
      <c r="H192" s="148" t="str">
        <f aca="false">Scoring!AR198</f>
        <v/>
      </c>
      <c r="I192" s="150" t="str">
        <f aca="false">Scoring!AQ198</f>
        <v/>
      </c>
    </row>
    <row r="193" customFormat="false" ht="15.75" hidden="false" customHeight="false" outlineLevel="0" collapsed="false">
      <c r="A193" s="148" t="str">
        <f aca="false">Scoring!AT199</f>
        <v/>
      </c>
      <c r="B193" s="148" t="str">
        <f aca="false">Scoring!AS199</f>
        <v/>
      </c>
      <c r="C193" s="148" t="n">
        <f aca="false">Scoring!C199</f>
        <v>0</v>
      </c>
      <c r="D193" s="149" t="str">
        <f aca="false">Scoring!AP199</f>
        <v/>
      </c>
      <c r="E193" s="148" t="str">
        <f aca="false">Scoring!Z199</f>
        <v/>
      </c>
      <c r="F193" s="148" t="n">
        <f aca="false">Scoring!B199</f>
        <v>0</v>
      </c>
      <c r="G193" s="148" t="n">
        <f aca="false">Scoring!D199</f>
        <v>0</v>
      </c>
      <c r="H193" s="148" t="str">
        <f aca="false">Scoring!AR199</f>
        <v/>
      </c>
      <c r="I193" s="150" t="str">
        <f aca="false">Scoring!AQ199</f>
        <v/>
      </c>
    </row>
    <row r="194" customFormat="false" ht="15.75" hidden="false" customHeight="false" outlineLevel="0" collapsed="false">
      <c r="A194" s="148" t="str">
        <f aca="false">Scoring!AT200</f>
        <v/>
      </c>
      <c r="B194" s="148" t="str">
        <f aca="false">Scoring!AS200</f>
        <v/>
      </c>
      <c r="C194" s="148" t="n">
        <f aca="false">Scoring!C200</f>
        <v>0</v>
      </c>
      <c r="D194" s="149" t="str">
        <f aca="false">Scoring!AP200</f>
        <v/>
      </c>
      <c r="E194" s="148" t="str">
        <f aca="false">Scoring!Z200</f>
        <v/>
      </c>
      <c r="F194" s="148" t="n">
        <f aca="false">Scoring!B200</f>
        <v>0</v>
      </c>
      <c r="G194" s="148" t="n">
        <f aca="false">Scoring!D200</f>
        <v>0</v>
      </c>
      <c r="H194" s="148" t="str">
        <f aca="false">Scoring!AR200</f>
        <v/>
      </c>
      <c r="I194" s="150" t="str">
        <f aca="false">Scoring!AQ200</f>
        <v/>
      </c>
    </row>
    <row r="195" customFormat="false" ht="15.75" hidden="false" customHeight="false" outlineLevel="0" collapsed="false">
      <c r="A195" s="148" t="str">
        <f aca="false">Scoring!AT201</f>
        <v/>
      </c>
      <c r="B195" s="148" t="str">
        <f aca="false">Scoring!AS201</f>
        <v/>
      </c>
      <c r="C195" s="148" t="n">
        <f aca="false">Scoring!C201</f>
        <v>0</v>
      </c>
      <c r="D195" s="149" t="str">
        <f aca="false">Scoring!AP201</f>
        <v/>
      </c>
      <c r="E195" s="148" t="str">
        <f aca="false">Scoring!Z201</f>
        <v/>
      </c>
      <c r="F195" s="148" t="n">
        <f aca="false">Scoring!B201</f>
        <v>0</v>
      </c>
      <c r="G195" s="148" t="n">
        <f aca="false">Scoring!D201</f>
        <v>0</v>
      </c>
      <c r="H195" s="148" t="str">
        <f aca="false">Scoring!AR201</f>
        <v/>
      </c>
      <c r="I195" s="150" t="str">
        <f aca="false">Scoring!AQ201</f>
        <v/>
      </c>
    </row>
    <row r="196" customFormat="false" ht="15.75" hidden="false" customHeight="false" outlineLevel="0" collapsed="false">
      <c r="A196" s="148" t="str">
        <f aca="false">Scoring!AT202</f>
        <v/>
      </c>
      <c r="B196" s="148" t="str">
        <f aca="false">Scoring!AS202</f>
        <v/>
      </c>
      <c r="C196" s="148" t="n">
        <f aca="false">Scoring!C202</f>
        <v>0</v>
      </c>
      <c r="D196" s="149" t="str">
        <f aca="false">Scoring!AP202</f>
        <v/>
      </c>
      <c r="E196" s="148" t="str">
        <f aca="false">Scoring!Z202</f>
        <v/>
      </c>
      <c r="F196" s="148" t="n">
        <f aca="false">Scoring!B202</f>
        <v>0</v>
      </c>
      <c r="G196" s="148" t="n">
        <f aca="false">Scoring!D202</f>
        <v>0</v>
      </c>
      <c r="H196" s="148" t="str">
        <f aca="false">Scoring!AR202</f>
        <v/>
      </c>
      <c r="I196" s="150" t="str">
        <f aca="false">Scoring!AQ202</f>
        <v/>
      </c>
    </row>
    <row r="197" customFormat="false" ht="15.75" hidden="false" customHeight="false" outlineLevel="0" collapsed="false">
      <c r="A197" s="148" t="str">
        <f aca="false">Scoring!AT203</f>
        <v/>
      </c>
      <c r="B197" s="148" t="str">
        <f aca="false">Scoring!AS203</f>
        <v/>
      </c>
      <c r="C197" s="148" t="n">
        <f aca="false">Scoring!C203</f>
        <v>0</v>
      </c>
      <c r="D197" s="149" t="str">
        <f aca="false">Scoring!AP203</f>
        <v/>
      </c>
      <c r="E197" s="148" t="str">
        <f aca="false">Scoring!Z203</f>
        <v/>
      </c>
      <c r="F197" s="148" t="n">
        <f aca="false">Scoring!B203</f>
        <v>0</v>
      </c>
      <c r="G197" s="148" t="n">
        <f aca="false">Scoring!D203</f>
        <v>0</v>
      </c>
      <c r="H197" s="148" t="str">
        <f aca="false">Scoring!AR203</f>
        <v/>
      </c>
      <c r="I197" s="150" t="str">
        <f aca="false">Scoring!AQ203</f>
        <v/>
      </c>
    </row>
    <row r="198" customFormat="false" ht="15.75" hidden="false" customHeight="false" outlineLevel="0" collapsed="false">
      <c r="A198" s="148" t="str">
        <f aca="false">Scoring!AT204</f>
        <v/>
      </c>
      <c r="B198" s="148" t="str">
        <f aca="false">Scoring!AS204</f>
        <v/>
      </c>
      <c r="C198" s="148" t="n">
        <f aca="false">Scoring!C204</f>
        <v>0</v>
      </c>
      <c r="D198" s="149" t="str">
        <f aca="false">Scoring!AP204</f>
        <v/>
      </c>
      <c r="E198" s="148" t="str">
        <f aca="false">Scoring!Z204</f>
        <v/>
      </c>
      <c r="F198" s="148" t="n">
        <f aca="false">Scoring!B204</f>
        <v>0</v>
      </c>
      <c r="G198" s="148" t="n">
        <f aca="false">Scoring!D204</f>
        <v>0</v>
      </c>
      <c r="H198" s="148" t="str">
        <f aca="false">Scoring!AR204</f>
        <v/>
      </c>
      <c r="I198" s="150" t="str">
        <f aca="false">Scoring!AQ204</f>
        <v/>
      </c>
    </row>
    <row r="199" customFormat="false" ht="15.75" hidden="false" customHeight="false" outlineLevel="0" collapsed="false">
      <c r="A199" s="148" t="str">
        <f aca="false">Scoring!AT205</f>
        <v/>
      </c>
      <c r="B199" s="148" t="str">
        <f aca="false">Scoring!AS205</f>
        <v/>
      </c>
      <c r="C199" s="148" t="n">
        <f aca="false">Scoring!C205</f>
        <v>0</v>
      </c>
      <c r="D199" s="149" t="str">
        <f aca="false">Scoring!AP205</f>
        <v/>
      </c>
      <c r="E199" s="148" t="str">
        <f aca="false">Scoring!Z205</f>
        <v/>
      </c>
      <c r="F199" s="148" t="n">
        <f aca="false">Scoring!B205</f>
        <v>0</v>
      </c>
      <c r="G199" s="148" t="n">
        <f aca="false">Scoring!D205</f>
        <v>0</v>
      </c>
      <c r="H199" s="148" t="str">
        <f aca="false">Scoring!AR205</f>
        <v/>
      </c>
      <c r="I199" s="150" t="str">
        <f aca="false">Scoring!AQ205</f>
        <v/>
      </c>
    </row>
    <row r="200" customFormat="false" ht="15.75" hidden="false" customHeight="false" outlineLevel="0" collapsed="false">
      <c r="A200" s="148" t="str">
        <f aca="false">Scoring!AT206</f>
        <v/>
      </c>
      <c r="B200" s="148" t="str">
        <f aca="false">Scoring!AS206</f>
        <v/>
      </c>
      <c r="C200" s="148" t="n">
        <f aca="false">Scoring!C206</f>
        <v>0</v>
      </c>
      <c r="D200" s="149" t="str">
        <f aca="false">Scoring!AP206</f>
        <v/>
      </c>
      <c r="E200" s="148" t="str">
        <f aca="false">Scoring!Z206</f>
        <v/>
      </c>
      <c r="F200" s="148" t="n">
        <f aca="false">Scoring!B206</f>
        <v>0</v>
      </c>
      <c r="G200" s="148" t="n">
        <f aca="false">Scoring!D206</f>
        <v>0</v>
      </c>
      <c r="H200" s="148" t="str">
        <f aca="false">Scoring!AR206</f>
        <v/>
      </c>
      <c r="I200" s="150" t="str">
        <f aca="false">Scoring!AQ206</f>
        <v/>
      </c>
    </row>
    <row r="201" customFormat="false" ht="15.75" hidden="false" customHeight="false" outlineLevel="0" collapsed="false">
      <c r="A201" s="148" t="str">
        <f aca="false">Scoring!AT207</f>
        <v/>
      </c>
      <c r="B201" s="148" t="str">
        <f aca="false">Scoring!AS207</f>
        <v/>
      </c>
      <c r="C201" s="148" t="n">
        <f aca="false">Scoring!C207</f>
        <v>0</v>
      </c>
      <c r="D201" s="149" t="str">
        <f aca="false">Scoring!AP207</f>
        <v/>
      </c>
      <c r="E201" s="148" t="str">
        <f aca="false">Scoring!Z207</f>
        <v/>
      </c>
      <c r="F201" s="148" t="n">
        <f aca="false">Scoring!B207</f>
        <v>0</v>
      </c>
      <c r="G201" s="148" t="n">
        <f aca="false">Scoring!D207</f>
        <v>0</v>
      </c>
      <c r="H201" s="148" t="str">
        <f aca="false">Scoring!AR207</f>
        <v/>
      </c>
      <c r="I201" s="150" t="str">
        <f aca="false">Scoring!AQ207</f>
        <v/>
      </c>
    </row>
    <row r="202" customFormat="false" ht="15.75" hidden="false" customHeight="false" outlineLevel="0" collapsed="false">
      <c r="A202" s="148" t="str">
        <f aca="false">Scoring!AT208</f>
        <v/>
      </c>
      <c r="B202" s="148" t="str">
        <f aca="false">Scoring!AS208</f>
        <v/>
      </c>
      <c r="C202" s="148" t="n">
        <f aca="false">Scoring!C208</f>
        <v>0</v>
      </c>
      <c r="D202" s="149" t="str">
        <f aca="false">Scoring!AP208</f>
        <v/>
      </c>
      <c r="E202" s="148" t="str">
        <f aca="false">Scoring!Z208</f>
        <v/>
      </c>
      <c r="F202" s="148" t="n">
        <f aca="false">Scoring!B208</f>
        <v>0</v>
      </c>
      <c r="G202" s="148" t="n">
        <f aca="false">Scoring!D208</f>
        <v>0</v>
      </c>
      <c r="H202" s="148" t="str">
        <f aca="false">Scoring!AR208</f>
        <v/>
      </c>
      <c r="I202" s="150" t="str">
        <f aca="false">Scoring!AQ208</f>
        <v/>
      </c>
    </row>
    <row r="203" customFormat="false" ht="15.75" hidden="false" customHeight="false" outlineLevel="0" collapsed="false">
      <c r="A203" s="148" t="str">
        <f aca="false">Scoring!AT209</f>
        <v/>
      </c>
      <c r="B203" s="148" t="str">
        <f aca="false">Scoring!AS209</f>
        <v/>
      </c>
      <c r="C203" s="148" t="n">
        <f aca="false">Scoring!C209</f>
        <v>0</v>
      </c>
      <c r="D203" s="149" t="str">
        <f aca="false">Scoring!AP209</f>
        <v/>
      </c>
      <c r="E203" s="148" t="str">
        <f aca="false">Scoring!Z209</f>
        <v/>
      </c>
      <c r="F203" s="148" t="n">
        <f aca="false">Scoring!B209</f>
        <v>0</v>
      </c>
      <c r="G203" s="148" t="n">
        <f aca="false">Scoring!D209</f>
        <v>0</v>
      </c>
      <c r="H203" s="148" t="str">
        <f aca="false">Scoring!AR209</f>
        <v/>
      </c>
      <c r="I203" s="150" t="str">
        <f aca="false">Scoring!AQ209</f>
        <v/>
      </c>
    </row>
    <row r="204" customFormat="false" ht="15.75" hidden="false" customHeight="false" outlineLevel="0" collapsed="false">
      <c r="A204" s="148" t="str">
        <f aca="false">Scoring!AT210</f>
        <v/>
      </c>
      <c r="B204" s="148" t="str">
        <f aca="false">Scoring!AS210</f>
        <v/>
      </c>
      <c r="C204" s="148" t="n">
        <f aca="false">Scoring!C210</f>
        <v>0</v>
      </c>
      <c r="D204" s="149" t="str">
        <f aca="false">Scoring!AP210</f>
        <v/>
      </c>
      <c r="E204" s="148" t="str">
        <f aca="false">Scoring!Z210</f>
        <v/>
      </c>
      <c r="F204" s="148" t="n">
        <f aca="false">Scoring!B210</f>
        <v>0</v>
      </c>
      <c r="G204" s="148" t="n">
        <f aca="false">Scoring!D210</f>
        <v>0</v>
      </c>
      <c r="H204" s="148" t="str">
        <f aca="false">Scoring!AR210</f>
        <v/>
      </c>
      <c r="I204" s="150" t="str">
        <f aca="false">Scoring!AQ210</f>
        <v/>
      </c>
    </row>
    <row r="205" customFormat="false" ht="15.75" hidden="false" customHeight="false" outlineLevel="0" collapsed="false">
      <c r="A205" s="148" t="str">
        <f aca="false">Scoring!AT211</f>
        <v/>
      </c>
      <c r="B205" s="148" t="str">
        <f aca="false">Scoring!AS211</f>
        <v/>
      </c>
      <c r="C205" s="148" t="n">
        <f aca="false">Scoring!C211</f>
        <v>0</v>
      </c>
      <c r="D205" s="149" t="str">
        <f aca="false">Scoring!AP211</f>
        <v/>
      </c>
      <c r="E205" s="148" t="str">
        <f aca="false">Scoring!Z211</f>
        <v/>
      </c>
      <c r="F205" s="148" t="n">
        <f aca="false">Scoring!B211</f>
        <v>0</v>
      </c>
      <c r="G205" s="148" t="n">
        <f aca="false">Scoring!D211</f>
        <v>0</v>
      </c>
      <c r="H205" s="148" t="str">
        <f aca="false">Scoring!AR211</f>
        <v/>
      </c>
      <c r="I205" s="150" t="str">
        <f aca="false">Scoring!AQ211</f>
        <v/>
      </c>
    </row>
    <row r="206" customFormat="false" ht="15.75" hidden="false" customHeight="false" outlineLevel="0" collapsed="false">
      <c r="A206" s="148" t="str">
        <f aca="false">Scoring!AT212</f>
        <v/>
      </c>
      <c r="B206" s="148" t="str">
        <f aca="false">Scoring!AS212</f>
        <v/>
      </c>
      <c r="C206" s="148" t="n">
        <f aca="false">Scoring!C212</f>
        <v>0</v>
      </c>
      <c r="D206" s="149" t="str">
        <f aca="false">Scoring!AP212</f>
        <v/>
      </c>
      <c r="E206" s="148" t="str">
        <f aca="false">Scoring!Z212</f>
        <v/>
      </c>
      <c r="F206" s="148" t="n">
        <f aca="false">Scoring!B212</f>
        <v>0</v>
      </c>
      <c r="G206" s="148" t="n">
        <f aca="false">Scoring!D212</f>
        <v>0</v>
      </c>
      <c r="H206" s="148" t="str">
        <f aca="false">Scoring!AR212</f>
        <v/>
      </c>
      <c r="I206" s="150" t="str">
        <f aca="false">Scoring!AQ212</f>
        <v/>
      </c>
    </row>
    <row r="207" customFormat="false" ht="15.75" hidden="false" customHeight="false" outlineLevel="0" collapsed="false">
      <c r="A207" s="148" t="str">
        <f aca="false">Scoring!AT213</f>
        <v/>
      </c>
      <c r="B207" s="148" t="str">
        <f aca="false">Scoring!AS213</f>
        <v/>
      </c>
      <c r="C207" s="148" t="n">
        <f aca="false">Scoring!C213</f>
        <v>0</v>
      </c>
      <c r="D207" s="149" t="str">
        <f aca="false">Scoring!AP213</f>
        <v/>
      </c>
      <c r="E207" s="148" t="str">
        <f aca="false">Scoring!Z213</f>
        <v/>
      </c>
      <c r="F207" s="148" t="n">
        <f aca="false">Scoring!B213</f>
        <v>0</v>
      </c>
      <c r="G207" s="148" t="n">
        <f aca="false">Scoring!D213</f>
        <v>0</v>
      </c>
      <c r="H207" s="148" t="str">
        <f aca="false">Scoring!AR213</f>
        <v/>
      </c>
      <c r="I207" s="150" t="str">
        <f aca="false">Scoring!AQ213</f>
        <v/>
      </c>
    </row>
    <row r="208" customFormat="false" ht="15.75" hidden="false" customHeight="false" outlineLevel="0" collapsed="false">
      <c r="A208" s="148" t="str">
        <f aca="false">Scoring!AT214</f>
        <v/>
      </c>
      <c r="B208" s="148" t="str">
        <f aca="false">Scoring!AS214</f>
        <v/>
      </c>
      <c r="C208" s="148" t="n">
        <f aca="false">Scoring!C214</f>
        <v>0</v>
      </c>
      <c r="D208" s="149" t="str">
        <f aca="false">Scoring!AP214</f>
        <v/>
      </c>
      <c r="E208" s="148" t="str">
        <f aca="false">Scoring!Z214</f>
        <v/>
      </c>
      <c r="F208" s="148" t="n">
        <f aca="false">Scoring!B214</f>
        <v>0</v>
      </c>
      <c r="G208" s="148" t="n">
        <f aca="false">Scoring!D214</f>
        <v>0</v>
      </c>
      <c r="H208" s="148" t="str">
        <f aca="false">Scoring!AR214</f>
        <v/>
      </c>
      <c r="I208" s="150" t="str">
        <f aca="false">Scoring!AQ214</f>
        <v/>
      </c>
    </row>
    <row r="209" customFormat="false" ht="15.75" hidden="false" customHeight="false" outlineLevel="0" collapsed="false">
      <c r="A209" s="148" t="str">
        <f aca="false">Scoring!AT215</f>
        <v/>
      </c>
      <c r="B209" s="148" t="str">
        <f aca="false">Scoring!AS215</f>
        <v/>
      </c>
      <c r="C209" s="148" t="n">
        <f aca="false">Scoring!C215</f>
        <v>0</v>
      </c>
      <c r="D209" s="149" t="str">
        <f aca="false">Scoring!AP215</f>
        <v/>
      </c>
      <c r="E209" s="148" t="str">
        <f aca="false">Scoring!Z215</f>
        <v/>
      </c>
      <c r="F209" s="148" t="n">
        <f aca="false">Scoring!B215</f>
        <v>0</v>
      </c>
      <c r="G209" s="148" t="n">
        <f aca="false">Scoring!D215</f>
        <v>0</v>
      </c>
      <c r="H209" s="148" t="str">
        <f aca="false">Scoring!AR215</f>
        <v/>
      </c>
      <c r="I209" s="150" t="str">
        <f aca="false">Scoring!AQ215</f>
        <v/>
      </c>
    </row>
    <row r="210" customFormat="false" ht="15.75" hidden="false" customHeight="false" outlineLevel="0" collapsed="false">
      <c r="A210" s="148" t="str">
        <f aca="false">Scoring!AT216</f>
        <v/>
      </c>
      <c r="B210" s="148" t="str">
        <f aca="false">Scoring!AS216</f>
        <v/>
      </c>
      <c r="C210" s="148" t="n">
        <f aca="false">Scoring!C216</f>
        <v>0</v>
      </c>
      <c r="D210" s="149" t="str">
        <f aca="false">Scoring!AP216</f>
        <v/>
      </c>
      <c r="E210" s="148" t="str">
        <f aca="false">Scoring!Z216</f>
        <v/>
      </c>
      <c r="F210" s="148" t="n">
        <f aca="false">Scoring!B216</f>
        <v>0</v>
      </c>
      <c r="G210" s="148" t="n">
        <f aca="false">Scoring!D216</f>
        <v>0</v>
      </c>
      <c r="H210" s="148" t="str">
        <f aca="false">Scoring!AR216</f>
        <v/>
      </c>
      <c r="I210" s="150" t="str">
        <f aca="false">Scoring!AQ216</f>
        <v/>
      </c>
    </row>
    <row r="211" customFormat="false" ht="15.75" hidden="false" customHeight="false" outlineLevel="0" collapsed="false">
      <c r="A211" s="148" t="str">
        <f aca="false">Scoring!AT217</f>
        <v/>
      </c>
      <c r="B211" s="148" t="str">
        <f aca="false">Scoring!AS217</f>
        <v/>
      </c>
      <c r="C211" s="148" t="n">
        <f aca="false">Scoring!C217</f>
        <v>0</v>
      </c>
      <c r="D211" s="149" t="str">
        <f aca="false">Scoring!AP217</f>
        <v/>
      </c>
      <c r="E211" s="148" t="str">
        <f aca="false">Scoring!Z217</f>
        <v/>
      </c>
      <c r="F211" s="148" t="n">
        <f aca="false">Scoring!B217</f>
        <v>0</v>
      </c>
      <c r="G211" s="148" t="n">
        <f aca="false">Scoring!D217</f>
        <v>0</v>
      </c>
      <c r="H211" s="148" t="str">
        <f aca="false">Scoring!AR217</f>
        <v/>
      </c>
      <c r="I211" s="150" t="str">
        <f aca="false">Scoring!AQ217</f>
        <v/>
      </c>
    </row>
    <row r="212" customFormat="false" ht="15.75" hidden="false" customHeight="false" outlineLevel="0" collapsed="false">
      <c r="A212" s="148" t="str">
        <f aca="false">Scoring!AT218</f>
        <v/>
      </c>
      <c r="B212" s="148" t="str">
        <f aca="false">Scoring!AS218</f>
        <v/>
      </c>
      <c r="C212" s="148" t="n">
        <f aca="false">Scoring!C218</f>
        <v>0</v>
      </c>
      <c r="D212" s="149" t="str">
        <f aca="false">Scoring!AP218</f>
        <v/>
      </c>
      <c r="E212" s="148" t="str">
        <f aca="false">Scoring!Z218</f>
        <v/>
      </c>
      <c r="F212" s="148" t="n">
        <f aca="false">Scoring!B218</f>
        <v>0</v>
      </c>
      <c r="G212" s="148" t="n">
        <f aca="false">Scoring!D218</f>
        <v>0</v>
      </c>
      <c r="H212" s="148" t="str">
        <f aca="false">Scoring!AR218</f>
        <v/>
      </c>
      <c r="I212" s="150" t="str">
        <f aca="false">Scoring!AQ218</f>
        <v/>
      </c>
    </row>
    <row r="213" customFormat="false" ht="15.75" hidden="false" customHeight="false" outlineLevel="0" collapsed="false">
      <c r="A213" s="148" t="str">
        <f aca="false">Scoring!AT219</f>
        <v/>
      </c>
      <c r="B213" s="148" t="str">
        <f aca="false">Scoring!AS219</f>
        <v/>
      </c>
      <c r="C213" s="148" t="n">
        <f aca="false">Scoring!C219</f>
        <v>0</v>
      </c>
      <c r="D213" s="149" t="str">
        <f aca="false">Scoring!AP219</f>
        <v/>
      </c>
      <c r="E213" s="148" t="str">
        <f aca="false">Scoring!Z219</f>
        <v/>
      </c>
      <c r="F213" s="148" t="n">
        <f aca="false">Scoring!B219</f>
        <v>0</v>
      </c>
      <c r="G213" s="148" t="n">
        <f aca="false">Scoring!D219</f>
        <v>0</v>
      </c>
      <c r="H213" s="148" t="str">
        <f aca="false">Scoring!AR219</f>
        <v/>
      </c>
      <c r="I213" s="150" t="str">
        <f aca="false">Scoring!AQ219</f>
        <v/>
      </c>
    </row>
    <row r="214" customFormat="false" ht="15.75" hidden="false" customHeight="false" outlineLevel="0" collapsed="false">
      <c r="A214" s="148" t="str">
        <f aca="false">Scoring!AT220</f>
        <v/>
      </c>
      <c r="B214" s="148" t="str">
        <f aca="false">Scoring!AS220</f>
        <v/>
      </c>
      <c r="C214" s="148" t="n">
        <f aca="false">Scoring!C220</f>
        <v>0</v>
      </c>
      <c r="D214" s="149" t="str">
        <f aca="false">Scoring!AP220</f>
        <v/>
      </c>
      <c r="E214" s="148" t="str">
        <f aca="false">Scoring!Z220</f>
        <v/>
      </c>
      <c r="F214" s="148" t="n">
        <f aca="false">Scoring!B220</f>
        <v>0</v>
      </c>
      <c r="G214" s="148" t="n">
        <f aca="false">Scoring!D220</f>
        <v>0</v>
      </c>
      <c r="H214" s="148" t="str">
        <f aca="false">Scoring!AR220</f>
        <v/>
      </c>
      <c r="I214" s="150" t="str">
        <f aca="false">Scoring!AQ220</f>
        <v/>
      </c>
    </row>
    <row r="215" customFormat="false" ht="15.75" hidden="false" customHeight="false" outlineLevel="0" collapsed="false">
      <c r="A215" s="148" t="str">
        <f aca="false">Scoring!AT221</f>
        <v/>
      </c>
      <c r="B215" s="148" t="str">
        <f aca="false">Scoring!AS221</f>
        <v/>
      </c>
      <c r="C215" s="148" t="n">
        <f aca="false">Scoring!C221</f>
        <v>0</v>
      </c>
      <c r="D215" s="149" t="str">
        <f aca="false">Scoring!AP221</f>
        <v/>
      </c>
      <c r="E215" s="148" t="str">
        <f aca="false">Scoring!Z221</f>
        <v/>
      </c>
      <c r="F215" s="148" t="n">
        <f aca="false">Scoring!B221</f>
        <v>0</v>
      </c>
      <c r="G215" s="148" t="n">
        <f aca="false">Scoring!D221</f>
        <v>0</v>
      </c>
      <c r="H215" s="148" t="str">
        <f aca="false">Scoring!AR221</f>
        <v/>
      </c>
      <c r="I215" s="150" t="str">
        <f aca="false">Scoring!AQ221</f>
        <v/>
      </c>
    </row>
    <row r="216" customFormat="false" ht="15.75" hidden="false" customHeight="false" outlineLevel="0" collapsed="false">
      <c r="A216" s="148" t="str">
        <f aca="false">Scoring!AT222</f>
        <v/>
      </c>
      <c r="B216" s="148" t="str">
        <f aca="false">Scoring!AS222</f>
        <v/>
      </c>
      <c r="C216" s="148" t="n">
        <f aca="false">Scoring!C222</f>
        <v>0</v>
      </c>
      <c r="D216" s="149" t="str">
        <f aca="false">Scoring!AP222</f>
        <v/>
      </c>
      <c r="E216" s="148" t="str">
        <f aca="false">Scoring!Z222</f>
        <v/>
      </c>
      <c r="F216" s="148" t="n">
        <f aca="false">Scoring!B222</f>
        <v>0</v>
      </c>
      <c r="G216" s="148" t="n">
        <f aca="false">Scoring!D222</f>
        <v>0</v>
      </c>
      <c r="H216" s="148" t="str">
        <f aca="false">Scoring!AR222</f>
        <v/>
      </c>
      <c r="I216" s="150" t="str">
        <f aca="false">Scoring!AQ222</f>
        <v/>
      </c>
    </row>
    <row r="217" customFormat="false" ht="15.75" hidden="false" customHeight="false" outlineLevel="0" collapsed="false">
      <c r="A217" s="148" t="str">
        <f aca="false">Scoring!AT223</f>
        <v/>
      </c>
      <c r="B217" s="148" t="str">
        <f aca="false">Scoring!AS223</f>
        <v/>
      </c>
      <c r="C217" s="148" t="n">
        <f aca="false">Scoring!C223</f>
        <v>0</v>
      </c>
      <c r="D217" s="149" t="str">
        <f aca="false">Scoring!AP223</f>
        <v/>
      </c>
      <c r="E217" s="148" t="str">
        <f aca="false">Scoring!Z223</f>
        <v/>
      </c>
      <c r="F217" s="148" t="n">
        <f aca="false">Scoring!B223</f>
        <v>0</v>
      </c>
      <c r="G217" s="148" t="n">
        <f aca="false">Scoring!D223</f>
        <v>0</v>
      </c>
      <c r="H217" s="148" t="str">
        <f aca="false">Scoring!AR223</f>
        <v/>
      </c>
      <c r="I217" s="150" t="str">
        <f aca="false">Scoring!AQ223</f>
        <v/>
      </c>
    </row>
    <row r="218" customFormat="false" ht="15.75" hidden="false" customHeight="false" outlineLevel="0" collapsed="false">
      <c r="A218" s="148" t="str">
        <f aca="false">Scoring!AT224</f>
        <v/>
      </c>
      <c r="B218" s="148" t="str">
        <f aca="false">Scoring!AS224</f>
        <v/>
      </c>
      <c r="C218" s="148" t="n">
        <f aca="false">Scoring!C224</f>
        <v>0</v>
      </c>
      <c r="D218" s="149" t="str">
        <f aca="false">Scoring!AP224</f>
        <v/>
      </c>
      <c r="E218" s="148" t="str">
        <f aca="false">Scoring!Z224</f>
        <v/>
      </c>
      <c r="F218" s="148" t="n">
        <f aca="false">Scoring!B224</f>
        <v>0</v>
      </c>
      <c r="G218" s="148" t="n">
        <f aca="false">Scoring!D224</f>
        <v>0</v>
      </c>
      <c r="H218" s="148" t="str">
        <f aca="false">Scoring!AR224</f>
        <v/>
      </c>
      <c r="I218" s="150" t="str">
        <f aca="false">Scoring!AQ224</f>
        <v/>
      </c>
    </row>
    <row r="219" customFormat="false" ht="15.75" hidden="false" customHeight="false" outlineLevel="0" collapsed="false">
      <c r="A219" s="148" t="str">
        <f aca="false">Scoring!AT225</f>
        <v/>
      </c>
      <c r="B219" s="148" t="str">
        <f aca="false">Scoring!AS225</f>
        <v/>
      </c>
      <c r="C219" s="148" t="n">
        <f aca="false">Scoring!C225</f>
        <v>0</v>
      </c>
      <c r="D219" s="149" t="str">
        <f aca="false">Scoring!AP225</f>
        <v/>
      </c>
      <c r="E219" s="148" t="str">
        <f aca="false">Scoring!Z225</f>
        <v/>
      </c>
      <c r="F219" s="148" t="n">
        <f aca="false">Scoring!B225</f>
        <v>0</v>
      </c>
      <c r="G219" s="148" t="n">
        <f aca="false">Scoring!D225</f>
        <v>0</v>
      </c>
      <c r="H219" s="148" t="str">
        <f aca="false">Scoring!AR225</f>
        <v/>
      </c>
      <c r="I219" s="150" t="str">
        <f aca="false">Scoring!AQ225</f>
        <v/>
      </c>
    </row>
    <row r="220" customFormat="false" ht="15.75" hidden="false" customHeight="false" outlineLevel="0" collapsed="false">
      <c r="A220" s="148" t="str">
        <f aca="false">Scoring!AT226</f>
        <v/>
      </c>
      <c r="B220" s="148" t="str">
        <f aca="false">Scoring!AS226</f>
        <v/>
      </c>
      <c r="C220" s="148" t="n">
        <f aca="false">Scoring!C226</f>
        <v>0</v>
      </c>
      <c r="D220" s="149" t="str">
        <f aca="false">Scoring!AP226</f>
        <v/>
      </c>
      <c r="E220" s="148" t="str">
        <f aca="false">Scoring!Z226</f>
        <v/>
      </c>
      <c r="F220" s="148" t="n">
        <f aca="false">Scoring!B226</f>
        <v>0</v>
      </c>
      <c r="G220" s="148" t="n">
        <f aca="false">Scoring!D226</f>
        <v>0</v>
      </c>
      <c r="H220" s="148" t="str">
        <f aca="false">Scoring!AR226</f>
        <v/>
      </c>
      <c r="I220" s="150" t="str">
        <f aca="false">Scoring!AQ226</f>
        <v/>
      </c>
    </row>
    <row r="221" customFormat="false" ht="15.75" hidden="false" customHeight="false" outlineLevel="0" collapsed="false">
      <c r="A221" s="148" t="str">
        <f aca="false">Scoring!AT227</f>
        <v/>
      </c>
      <c r="B221" s="148" t="str">
        <f aca="false">Scoring!AS227</f>
        <v/>
      </c>
      <c r="C221" s="148" t="n">
        <f aca="false">Scoring!C227</f>
        <v>0</v>
      </c>
      <c r="D221" s="149" t="str">
        <f aca="false">Scoring!AP227</f>
        <v/>
      </c>
      <c r="E221" s="148" t="str">
        <f aca="false">Scoring!Z227</f>
        <v/>
      </c>
      <c r="F221" s="148" t="n">
        <f aca="false">Scoring!B227</f>
        <v>0</v>
      </c>
      <c r="G221" s="148" t="n">
        <f aca="false">Scoring!D227</f>
        <v>0</v>
      </c>
      <c r="H221" s="148" t="str">
        <f aca="false">Scoring!AR227</f>
        <v/>
      </c>
      <c r="I221" s="150" t="str">
        <f aca="false">Scoring!AQ227</f>
        <v/>
      </c>
    </row>
    <row r="222" customFormat="false" ht="15.75" hidden="false" customHeight="false" outlineLevel="0" collapsed="false">
      <c r="A222" s="148" t="str">
        <f aca="false">Scoring!AT228</f>
        <v/>
      </c>
      <c r="B222" s="148" t="str">
        <f aca="false">Scoring!AS228</f>
        <v/>
      </c>
      <c r="C222" s="148" t="n">
        <f aca="false">Scoring!C228</f>
        <v>0</v>
      </c>
      <c r="D222" s="149" t="str">
        <f aca="false">Scoring!AP228</f>
        <v/>
      </c>
      <c r="E222" s="148" t="str">
        <f aca="false">Scoring!Z228</f>
        <v/>
      </c>
      <c r="F222" s="148" t="n">
        <f aca="false">Scoring!B228</f>
        <v>0</v>
      </c>
      <c r="G222" s="148" t="n">
        <f aca="false">Scoring!D228</f>
        <v>0</v>
      </c>
      <c r="H222" s="148" t="str">
        <f aca="false">Scoring!AR228</f>
        <v/>
      </c>
      <c r="I222" s="150" t="str">
        <f aca="false">Scoring!AQ228</f>
        <v/>
      </c>
    </row>
    <row r="223" customFormat="false" ht="15.75" hidden="false" customHeight="false" outlineLevel="0" collapsed="false">
      <c r="A223" s="148" t="str">
        <f aca="false">Scoring!AT229</f>
        <v/>
      </c>
      <c r="B223" s="148" t="str">
        <f aca="false">Scoring!AS229</f>
        <v/>
      </c>
      <c r="C223" s="148" t="n">
        <f aca="false">Scoring!C229</f>
        <v>0</v>
      </c>
      <c r="D223" s="149" t="str">
        <f aca="false">Scoring!AP229</f>
        <v/>
      </c>
      <c r="E223" s="148" t="str">
        <f aca="false">Scoring!Z229</f>
        <v/>
      </c>
      <c r="F223" s="148" t="n">
        <f aca="false">Scoring!B229</f>
        <v>0</v>
      </c>
      <c r="G223" s="148" t="n">
        <f aca="false">Scoring!D229</f>
        <v>0</v>
      </c>
      <c r="H223" s="148" t="str">
        <f aca="false">Scoring!AR229</f>
        <v/>
      </c>
      <c r="I223" s="150" t="str">
        <f aca="false">Scoring!AQ229</f>
        <v/>
      </c>
    </row>
    <row r="224" customFormat="false" ht="15.75" hidden="false" customHeight="false" outlineLevel="0" collapsed="false">
      <c r="A224" s="148" t="str">
        <f aca="false">Scoring!AT230</f>
        <v/>
      </c>
      <c r="B224" s="148" t="str">
        <f aca="false">Scoring!AS230</f>
        <v/>
      </c>
      <c r="C224" s="148" t="n">
        <f aca="false">Scoring!C230</f>
        <v>0</v>
      </c>
      <c r="D224" s="149" t="str">
        <f aca="false">Scoring!AP230</f>
        <v/>
      </c>
      <c r="E224" s="148" t="str">
        <f aca="false">Scoring!Z230</f>
        <v/>
      </c>
      <c r="F224" s="148" t="n">
        <f aca="false">Scoring!B230</f>
        <v>0</v>
      </c>
      <c r="G224" s="148" t="n">
        <f aca="false">Scoring!D230</f>
        <v>0</v>
      </c>
      <c r="H224" s="148" t="str">
        <f aca="false">Scoring!AR230</f>
        <v/>
      </c>
      <c r="I224" s="150" t="str">
        <f aca="false">Scoring!AQ230</f>
        <v/>
      </c>
    </row>
    <row r="225" customFormat="false" ht="15.75" hidden="false" customHeight="false" outlineLevel="0" collapsed="false">
      <c r="A225" s="148" t="str">
        <f aca="false">Scoring!AT231</f>
        <v/>
      </c>
      <c r="B225" s="148" t="str">
        <f aca="false">Scoring!AS231</f>
        <v/>
      </c>
      <c r="C225" s="148" t="n">
        <f aca="false">Scoring!C231</f>
        <v>0</v>
      </c>
      <c r="D225" s="149" t="str">
        <f aca="false">Scoring!AP231</f>
        <v/>
      </c>
      <c r="E225" s="148" t="str">
        <f aca="false">Scoring!Z231</f>
        <v/>
      </c>
      <c r="F225" s="148" t="n">
        <f aca="false">Scoring!B231</f>
        <v>0</v>
      </c>
      <c r="G225" s="148" t="n">
        <f aca="false">Scoring!D231</f>
        <v>0</v>
      </c>
      <c r="H225" s="148" t="str">
        <f aca="false">Scoring!AR231</f>
        <v/>
      </c>
      <c r="I225" s="150" t="str">
        <f aca="false">Scoring!AQ231</f>
        <v/>
      </c>
    </row>
    <row r="226" customFormat="false" ht="15.75" hidden="false" customHeight="false" outlineLevel="0" collapsed="false">
      <c r="A226" s="148" t="str">
        <f aca="false">Scoring!AT232</f>
        <v/>
      </c>
      <c r="B226" s="148" t="str">
        <f aca="false">Scoring!AS232</f>
        <v/>
      </c>
      <c r="C226" s="148" t="n">
        <f aca="false">Scoring!C232</f>
        <v>0</v>
      </c>
      <c r="D226" s="149" t="str">
        <f aca="false">Scoring!AP232</f>
        <v/>
      </c>
      <c r="E226" s="148" t="str">
        <f aca="false">Scoring!Z232</f>
        <v/>
      </c>
      <c r="F226" s="148" t="n">
        <f aca="false">Scoring!B232</f>
        <v>0</v>
      </c>
      <c r="G226" s="148" t="n">
        <f aca="false">Scoring!D232</f>
        <v>0</v>
      </c>
      <c r="H226" s="148" t="str">
        <f aca="false">Scoring!AR232</f>
        <v/>
      </c>
      <c r="I226" s="150" t="str">
        <f aca="false">Scoring!AQ232</f>
        <v/>
      </c>
    </row>
    <row r="227" customFormat="false" ht="15.75" hidden="false" customHeight="false" outlineLevel="0" collapsed="false">
      <c r="A227" s="148" t="str">
        <f aca="false">Scoring!AT233</f>
        <v/>
      </c>
      <c r="B227" s="148" t="str">
        <f aca="false">Scoring!AS233</f>
        <v/>
      </c>
      <c r="C227" s="148" t="n">
        <f aca="false">Scoring!C233</f>
        <v>0</v>
      </c>
      <c r="D227" s="149" t="str">
        <f aca="false">Scoring!AP233</f>
        <v/>
      </c>
      <c r="E227" s="148" t="str">
        <f aca="false">Scoring!Z233</f>
        <v/>
      </c>
      <c r="F227" s="148" t="n">
        <f aca="false">Scoring!B233</f>
        <v>0</v>
      </c>
      <c r="G227" s="148" t="n">
        <f aca="false">Scoring!D233</f>
        <v>0</v>
      </c>
      <c r="H227" s="148" t="str">
        <f aca="false">Scoring!AR233</f>
        <v/>
      </c>
      <c r="I227" s="150" t="str">
        <f aca="false">Scoring!AQ233</f>
        <v/>
      </c>
    </row>
    <row r="228" customFormat="false" ht="15.75" hidden="false" customHeight="false" outlineLevel="0" collapsed="false">
      <c r="A228" s="148" t="str">
        <f aca="false">Scoring!AT234</f>
        <v/>
      </c>
      <c r="B228" s="148" t="str">
        <f aca="false">Scoring!AS234</f>
        <v/>
      </c>
      <c r="C228" s="148" t="n">
        <f aca="false">Scoring!C234</f>
        <v>0</v>
      </c>
      <c r="D228" s="149" t="str">
        <f aca="false">Scoring!AP234</f>
        <v/>
      </c>
      <c r="E228" s="148" t="str">
        <f aca="false">Scoring!Z234</f>
        <v/>
      </c>
      <c r="F228" s="148" t="n">
        <f aca="false">Scoring!B234</f>
        <v>0</v>
      </c>
      <c r="G228" s="148" t="n">
        <f aca="false">Scoring!D234</f>
        <v>0</v>
      </c>
      <c r="H228" s="148" t="str">
        <f aca="false">Scoring!AR234</f>
        <v/>
      </c>
      <c r="I228" s="150" t="str">
        <f aca="false">Scoring!AQ234</f>
        <v/>
      </c>
    </row>
    <row r="229" customFormat="false" ht="15.75" hidden="false" customHeight="false" outlineLevel="0" collapsed="false">
      <c r="A229" s="148" t="str">
        <f aca="false">Scoring!AT235</f>
        <v/>
      </c>
      <c r="B229" s="148" t="str">
        <f aca="false">Scoring!AS235</f>
        <v/>
      </c>
      <c r="C229" s="148" t="n">
        <f aca="false">Scoring!C235</f>
        <v>0</v>
      </c>
      <c r="D229" s="149" t="str">
        <f aca="false">Scoring!AP235</f>
        <v/>
      </c>
      <c r="E229" s="148" t="str">
        <f aca="false">Scoring!Z235</f>
        <v/>
      </c>
      <c r="F229" s="148" t="n">
        <f aca="false">Scoring!B235</f>
        <v>0</v>
      </c>
      <c r="G229" s="148" t="n">
        <f aca="false">Scoring!D235</f>
        <v>0</v>
      </c>
      <c r="H229" s="148" t="str">
        <f aca="false">Scoring!AR235</f>
        <v/>
      </c>
      <c r="I229" s="150" t="str">
        <f aca="false">Scoring!AQ235</f>
        <v/>
      </c>
    </row>
    <row r="230" customFormat="false" ht="15.75" hidden="false" customHeight="false" outlineLevel="0" collapsed="false">
      <c r="A230" s="148" t="str">
        <f aca="false">Scoring!AT236</f>
        <v/>
      </c>
      <c r="B230" s="148" t="str">
        <f aca="false">Scoring!AS236</f>
        <v/>
      </c>
      <c r="C230" s="148" t="n">
        <f aca="false">Scoring!C236</f>
        <v>0</v>
      </c>
      <c r="D230" s="149" t="str">
        <f aca="false">Scoring!AP236</f>
        <v/>
      </c>
      <c r="E230" s="148" t="str">
        <f aca="false">Scoring!Z236</f>
        <v/>
      </c>
      <c r="F230" s="148" t="n">
        <f aca="false">Scoring!B236</f>
        <v>0</v>
      </c>
      <c r="G230" s="148" t="n">
        <f aca="false">Scoring!D236</f>
        <v>0</v>
      </c>
      <c r="H230" s="148" t="str">
        <f aca="false">Scoring!AR236</f>
        <v/>
      </c>
      <c r="I230" s="150" t="str">
        <f aca="false">Scoring!AQ236</f>
        <v/>
      </c>
    </row>
    <row r="231" customFormat="false" ht="15.75" hidden="false" customHeight="false" outlineLevel="0" collapsed="false">
      <c r="A231" s="148" t="str">
        <f aca="false">Scoring!AT237</f>
        <v/>
      </c>
      <c r="B231" s="148" t="str">
        <f aca="false">Scoring!AS237</f>
        <v/>
      </c>
      <c r="C231" s="148" t="n">
        <f aca="false">Scoring!C237</f>
        <v>0</v>
      </c>
      <c r="D231" s="149" t="str">
        <f aca="false">Scoring!AP237</f>
        <v/>
      </c>
      <c r="E231" s="148" t="str">
        <f aca="false">Scoring!Z237</f>
        <v/>
      </c>
      <c r="F231" s="148" t="n">
        <f aca="false">Scoring!B237</f>
        <v>0</v>
      </c>
      <c r="G231" s="148" t="n">
        <f aca="false">Scoring!D237</f>
        <v>0</v>
      </c>
      <c r="H231" s="148" t="str">
        <f aca="false">Scoring!AR237</f>
        <v/>
      </c>
      <c r="I231" s="150" t="str">
        <f aca="false">Scoring!AQ237</f>
        <v/>
      </c>
    </row>
    <row r="232" customFormat="false" ht="15.75" hidden="false" customHeight="false" outlineLevel="0" collapsed="false">
      <c r="A232" s="148" t="str">
        <f aca="false">Scoring!AT238</f>
        <v/>
      </c>
      <c r="B232" s="148" t="str">
        <f aca="false">Scoring!AS238</f>
        <v/>
      </c>
      <c r="C232" s="148" t="n">
        <f aca="false">Scoring!C238</f>
        <v>0</v>
      </c>
      <c r="D232" s="149" t="str">
        <f aca="false">Scoring!AP238</f>
        <v/>
      </c>
      <c r="E232" s="148" t="str">
        <f aca="false">Scoring!Z238</f>
        <v/>
      </c>
      <c r="F232" s="148" t="n">
        <f aca="false">Scoring!B238</f>
        <v>0</v>
      </c>
      <c r="G232" s="148" t="n">
        <f aca="false">Scoring!D238</f>
        <v>0</v>
      </c>
      <c r="H232" s="148" t="str">
        <f aca="false">Scoring!AR238</f>
        <v/>
      </c>
      <c r="I232" s="150" t="str">
        <f aca="false">Scoring!AQ238</f>
        <v/>
      </c>
    </row>
    <row r="233" customFormat="false" ht="15.75" hidden="false" customHeight="false" outlineLevel="0" collapsed="false">
      <c r="A233" s="148" t="str">
        <f aca="false">Scoring!AT239</f>
        <v/>
      </c>
      <c r="B233" s="148" t="str">
        <f aca="false">Scoring!AS239</f>
        <v/>
      </c>
      <c r="C233" s="148" t="n">
        <f aca="false">Scoring!C239</f>
        <v>0</v>
      </c>
      <c r="D233" s="149" t="str">
        <f aca="false">Scoring!AP239</f>
        <v/>
      </c>
      <c r="E233" s="148" t="str">
        <f aca="false">Scoring!Z239</f>
        <v/>
      </c>
      <c r="F233" s="148" t="n">
        <f aca="false">Scoring!B239</f>
        <v>0</v>
      </c>
      <c r="G233" s="148" t="n">
        <f aca="false">Scoring!D239</f>
        <v>0</v>
      </c>
      <c r="H233" s="148" t="str">
        <f aca="false">Scoring!AR239</f>
        <v/>
      </c>
      <c r="I233" s="150" t="str">
        <f aca="false">Scoring!AQ239</f>
        <v/>
      </c>
    </row>
    <row r="234" customFormat="false" ht="15.75" hidden="false" customHeight="false" outlineLevel="0" collapsed="false">
      <c r="A234" s="148" t="str">
        <f aca="false">Scoring!AT240</f>
        <v/>
      </c>
      <c r="B234" s="148" t="str">
        <f aca="false">Scoring!AS240</f>
        <v/>
      </c>
      <c r="C234" s="148" t="n">
        <f aca="false">Scoring!C240</f>
        <v>0</v>
      </c>
      <c r="D234" s="149" t="str">
        <f aca="false">Scoring!AP240</f>
        <v/>
      </c>
      <c r="E234" s="148" t="str">
        <f aca="false">Scoring!Z240</f>
        <v/>
      </c>
      <c r="F234" s="148" t="n">
        <f aca="false">Scoring!B240</f>
        <v>0</v>
      </c>
      <c r="G234" s="148" t="n">
        <f aca="false">Scoring!D240</f>
        <v>0</v>
      </c>
      <c r="H234" s="148" t="str">
        <f aca="false">Scoring!AR240</f>
        <v/>
      </c>
      <c r="I234" s="150" t="str">
        <f aca="false">Scoring!AQ240</f>
        <v/>
      </c>
    </row>
    <row r="235" customFormat="false" ht="15.75" hidden="false" customHeight="false" outlineLevel="0" collapsed="false">
      <c r="A235" s="148" t="str">
        <f aca="false">Scoring!AT241</f>
        <v/>
      </c>
      <c r="B235" s="148" t="str">
        <f aca="false">Scoring!AS241</f>
        <v/>
      </c>
      <c r="C235" s="148" t="n">
        <f aca="false">Scoring!C241</f>
        <v>0</v>
      </c>
      <c r="D235" s="149" t="str">
        <f aca="false">Scoring!AP241</f>
        <v/>
      </c>
      <c r="E235" s="148" t="str">
        <f aca="false">Scoring!Z241</f>
        <v/>
      </c>
      <c r="F235" s="148" t="n">
        <f aca="false">Scoring!B241</f>
        <v>0</v>
      </c>
      <c r="G235" s="148" t="n">
        <f aca="false">Scoring!D241</f>
        <v>0</v>
      </c>
      <c r="H235" s="148" t="str">
        <f aca="false">Scoring!AR241</f>
        <v/>
      </c>
      <c r="I235" s="150" t="str">
        <f aca="false">Scoring!AQ241</f>
        <v/>
      </c>
    </row>
    <row r="236" customFormat="false" ht="15.75" hidden="false" customHeight="false" outlineLevel="0" collapsed="false">
      <c r="A236" s="148" t="str">
        <f aca="false">Scoring!AT242</f>
        <v/>
      </c>
      <c r="B236" s="148" t="str">
        <f aca="false">Scoring!AS242</f>
        <v/>
      </c>
      <c r="C236" s="148" t="n">
        <f aca="false">Scoring!C242</f>
        <v>0</v>
      </c>
      <c r="D236" s="149" t="str">
        <f aca="false">Scoring!AP242</f>
        <v/>
      </c>
      <c r="E236" s="148" t="str">
        <f aca="false">Scoring!Z242</f>
        <v/>
      </c>
      <c r="F236" s="148" t="n">
        <f aca="false">Scoring!B242</f>
        <v>0</v>
      </c>
      <c r="G236" s="148" t="n">
        <f aca="false">Scoring!D242</f>
        <v>0</v>
      </c>
      <c r="H236" s="148" t="str">
        <f aca="false">Scoring!AR242</f>
        <v/>
      </c>
      <c r="I236" s="150" t="str">
        <f aca="false">Scoring!AQ242</f>
        <v/>
      </c>
    </row>
    <row r="237" customFormat="false" ht="15.75" hidden="false" customHeight="false" outlineLevel="0" collapsed="false">
      <c r="A237" s="148" t="str">
        <f aca="false">Scoring!AT243</f>
        <v/>
      </c>
      <c r="B237" s="148" t="str">
        <f aca="false">Scoring!AS243</f>
        <v/>
      </c>
      <c r="C237" s="148" t="n">
        <f aca="false">Scoring!C243</f>
        <v>0</v>
      </c>
      <c r="D237" s="149" t="str">
        <f aca="false">Scoring!AP243</f>
        <v/>
      </c>
      <c r="E237" s="148" t="str">
        <f aca="false">Scoring!Z243</f>
        <v/>
      </c>
      <c r="F237" s="148" t="n">
        <f aca="false">Scoring!B243</f>
        <v>0</v>
      </c>
      <c r="G237" s="148" t="n">
        <f aca="false">Scoring!D243</f>
        <v>0</v>
      </c>
      <c r="H237" s="148" t="str">
        <f aca="false">Scoring!AR243</f>
        <v/>
      </c>
      <c r="I237" s="150" t="str">
        <f aca="false">Scoring!AQ243</f>
        <v/>
      </c>
    </row>
    <row r="238" customFormat="false" ht="15.75" hidden="false" customHeight="false" outlineLevel="0" collapsed="false">
      <c r="A238" s="148" t="str">
        <f aca="false">Scoring!AT244</f>
        <v/>
      </c>
      <c r="B238" s="148" t="str">
        <f aca="false">Scoring!AS244</f>
        <v/>
      </c>
      <c r="C238" s="148" t="n">
        <f aca="false">Scoring!C244</f>
        <v>0</v>
      </c>
      <c r="D238" s="149" t="str">
        <f aca="false">Scoring!AP244</f>
        <v/>
      </c>
      <c r="E238" s="148" t="str">
        <f aca="false">Scoring!Z244</f>
        <v/>
      </c>
      <c r="F238" s="148" t="n">
        <f aca="false">Scoring!B244</f>
        <v>0</v>
      </c>
      <c r="G238" s="148" t="n">
        <f aca="false">Scoring!D244</f>
        <v>0</v>
      </c>
      <c r="H238" s="148" t="str">
        <f aca="false">Scoring!AR244</f>
        <v/>
      </c>
      <c r="I238" s="150" t="str">
        <f aca="false">Scoring!AQ244</f>
        <v/>
      </c>
    </row>
    <row r="239" customFormat="false" ht="15.75" hidden="false" customHeight="false" outlineLevel="0" collapsed="false">
      <c r="A239" s="148" t="str">
        <f aca="false">Scoring!AT245</f>
        <v/>
      </c>
      <c r="B239" s="148" t="str">
        <f aca="false">Scoring!AS245</f>
        <v/>
      </c>
      <c r="C239" s="148" t="n">
        <f aca="false">Scoring!C245</f>
        <v>0</v>
      </c>
      <c r="D239" s="149" t="str">
        <f aca="false">Scoring!AP245</f>
        <v/>
      </c>
      <c r="E239" s="148" t="str">
        <f aca="false">Scoring!Z245</f>
        <v/>
      </c>
      <c r="F239" s="148" t="n">
        <f aca="false">Scoring!B245</f>
        <v>0</v>
      </c>
      <c r="G239" s="148" t="n">
        <f aca="false">Scoring!D245</f>
        <v>0</v>
      </c>
      <c r="H239" s="148" t="str">
        <f aca="false">Scoring!AR245</f>
        <v/>
      </c>
      <c r="I239" s="150" t="str">
        <f aca="false">Scoring!AQ245</f>
        <v/>
      </c>
    </row>
    <row r="240" customFormat="false" ht="15.75" hidden="false" customHeight="false" outlineLevel="0" collapsed="false">
      <c r="A240" s="148" t="str">
        <f aca="false">Scoring!AT246</f>
        <v/>
      </c>
      <c r="B240" s="148" t="str">
        <f aca="false">Scoring!AS246</f>
        <v/>
      </c>
      <c r="C240" s="148" t="n">
        <f aca="false">Scoring!C246</f>
        <v>0</v>
      </c>
      <c r="D240" s="149" t="str">
        <f aca="false">Scoring!AP246</f>
        <v/>
      </c>
      <c r="E240" s="148" t="str">
        <f aca="false">Scoring!Z246</f>
        <v/>
      </c>
      <c r="F240" s="148" t="n">
        <f aca="false">Scoring!B246</f>
        <v>0</v>
      </c>
      <c r="G240" s="148" t="n">
        <f aca="false">Scoring!D246</f>
        <v>0</v>
      </c>
      <c r="H240" s="148" t="str">
        <f aca="false">Scoring!AR246</f>
        <v/>
      </c>
      <c r="I240" s="150" t="str">
        <f aca="false">Scoring!AQ246</f>
        <v/>
      </c>
    </row>
    <row r="241" customFormat="false" ht="15.75" hidden="false" customHeight="false" outlineLevel="0" collapsed="false">
      <c r="A241" s="148" t="str">
        <f aca="false">Scoring!AT247</f>
        <v/>
      </c>
      <c r="B241" s="148" t="str">
        <f aca="false">Scoring!AS247</f>
        <v/>
      </c>
      <c r="C241" s="148" t="n">
        <f aca="false">Scoring!C247</f>
        <v>0</v>
      </c>
      <c r="D241" s="149" t="str">
        <f aca="false">Scoring!AP247</f>
        <v/>
      </c>
      <c r="E241" s="148" t="str">
        <f aca="false">Scoring!Z247</f>
        <v/>
      </c>
      <c r="F241" s="148" t="n">
        <f aca="false">Scoring!B247</f>
        <v>0</v>
      </c>
      <c r="G241" s="148" t="n">
        <f aca="false">Scoring!D247</f>
        <v>0</v>
      </c>
      <c r="H241" s="148" t="str">
        <f aca="false">Scoring!AR247</f>
        <v/>
      </c>
      <c r="I241" s="150" t="str">
        <f aca="false">Scoring!AQ247</f>
        <v/>
      </c>
    </row>
    <row r="242" customFormat="false" ht="15.75" hidden="false" customHeight="false" outlineLevel="0" collapsed="false">
      <c r="A242" s="148" t="str">
        <f aca="false">Scoring!AT248</f>
        <v/>
      </c>
      <c r="B242" s="148" t="str">
        <f aca="false">Scoring!AS248</f>
        <v/>
      </c>
      <c r="C242" s="148" t="n">
        <f aca="false">Scoring!C248</f>
        <v>0</v>
      </c>
      <c r="D242" s="149" t="str">
        <f aca="false">Scoring!AP248</f>
        <v/>
      </c>
      <c r="E242" s="148" t="str">
        <f aca="false">Scoring!Z248</f>
        <v/>
      </c>
      <c r="F242" s="148" t="n">
        <f aca="false">Scoring!B248</f>
        <v>0</v>
      </c>
      <c r="G242" s="148" t="n">
        <f aca="false">Scoring!D248</f>
        <v>0</v>
      </c>
      <c r="H242" s="148" t="str">
        <f aca="false">Scoring!AR248</f>
        <v/>
      </c>
      <c r="I242" s="150" t="str">
        <f aca="false">Scoring!AQ248</f>
        <v/>
      </c>
    </row>
    <row r="243" customFormat="false" ht="15.75" hidden="false" customHeight="false" outlineLevel="0" collapsed="false">
      <c r="A243" s="148" t="str">
        <f aca="false">Scoring!AT249</f>
        <v/>
      </c>
      <c r="B243" s="148" t="str">
        <f aca="false">Scoring!AS249</f>
        <v/>
      </c>
      <c r="C243" s="148" t="n">
        <f aca="false">Scoring!C249</f>
        <v>0</v>
      </c>
      <c r="D243" s="149" t="str">
        <f aca="false">Scoring!AP249</f>
        <v/>
      </c>
      <c r="E243" s="148" t="str">
        <f aca="false">Scoring!Z249</f>
        <v/>
      </c>
      <c r="F243" s="148" t="n">
        <f aca="false">Scoring!B249</f>
        <v>0</v>
      </c>
      <c r="G243" s="148" t="n">
        <f aca="false">Scoring!D249</f>
        <v>0</v>
      </c>
      <c r="H243" s="148" t="str">
        <f aca="false">Scoring!AR249</f>
        <v/>
      </c>
      <c r="I243" s="150" t="str">
        <f aca="false">Scoring!AQ249</f>
        <v/>
      </c>
    </row>
    <row r="244" customFormat="false" ht="15.75" hidden="false" customHeight="false" outlineLevel="0" collapsed="false">
      <c r="A244" s="148" t="str">
        <f aca="false">Scoring!AT250</f>
        <v/>
      </c>
      <c r="B244" s="148" t="str">
        <f aca="false">Scoring!AS250</f>
        <v/>
      </c>
      <c r="C244" s="148" t="n">
        <f aca="false">Scoring!C250</f>
        <v>0</v>
      </c>
      <c r="D244" s="149" t="str">
        <f aca="false">Scoring!AP250</f>
        <v/>
      </c>
      <c r="E244" s="148" t="str">
        <f aca="false">Scoring!Z250</f>
        <v/>
      </c>
      <c r="F244" s="148" t="n">
        <f aca="false">Scoring!B250</f>
        <v>0</v>
      </c>
      <c r="G244" s="148" t="n">
        <f aca="false">Scoring!D250</f>
        <v>0</v>
      </c>
      <c r="H244" s="148" t="str">
        <f aca="false">Scoring!AR250</f>
        <v/>
      </c>
      <c r="I244" s="150" t="str">
        <f aca="false">Scoring!AQ250</f>
        <v/>
      </c>
    </row>
    <row r="245" customFormat="false" ht="15.75" hidden="false" customHeight="false" outlineLevel="0" collapsed="false">
      <c r="A245" s="148" t="str">
        <f aca="false">Scoring!AT251</f>
        <v/>
      </c>
      <c r="B245" s="148" t="str">
        <f aca="false">Scoring!AS251</f>
        <v/>
      </c>
      <c r="C245" s="148" t="n">
        <f aca="false">Scoring!C251</f>
        <v>0</v>
      </c>
      <c r="D245" s="149" t="str">
        <f aca="false">Scoring!AP251</f>
        <v/>
      </c>
      <c r="E245" s="148" t="str">
        <f aca="false">Scoring!Z251</f>
        <v/>
      </c>
      <c r="F245" s="148" t="n">
        <f aca="false">Scoring!B251</f>
        <v>0</v>
      </c>
      <c r="G245" s="148" t="n">
        <f aca="false">Scoring!D251</f>
        <v>0</v>
      </c>
      <c r="H245" s="148" t="str">
        <f aca="false">Scoring!AR251</f>
        <v/>
      </c>
      <c r="I245" s="150" t="str">
        <f aca="false">Scoring!AQ251</f>
        <v/>
      </c>
    </row>
    <row r="246" customFormat="false" ht="15.75" hidden="false" customHeight="false" outlineLevel="0" collapsed="false">
      <c r="A246" s="148" t="str">
        <f aca="false">Scoring!AT252</f>
        <v/>
      </c>
      <c r="B246" s="148" t="str">
        <f aca="false">Scoring!AS252</f>
        <v/>
      </c>
      <c r="C246" s="148" t="n">
        <f aca="false">Scoring!C252</f>
        <v>0</v>
      </c>
      <c r="D246" s="149" t="str">
        <f aca="false">Scoring!AP252</f>
        <v/>
      </c>
      <c r="E246" s="148" t="str">
        <f aca="false">Scoring!Z252</f>
        <v/>
      </c>
      <c r="F246" s="148" t="n">
        <f aca="false">Scoring!B252</f>
        <v>0</v>
      </c>
      <c r="G246" s="148" t="n">
        <f aca="false">Scoring!D252</f>
        <v>0</v>
      </c>
      <c r="H246" s="148" t="str">
        <f aca="false">Scoring!AR252</f>
        <v/>
      </c>
      <c r="I246" s="150" t="str">
        <f aca="false">Scoring!AQ252</f>
        <v/>
      </c>
    </row>
    <row r="247" customFormat="false" ht="15.75" hidden="false" customHeight="false" outlineLevel="0" collapsed="false">
      <c r="A247" s="148" t="str">
        <f aca="false">Scoring!AT253</f>
        <v/>
      </c>
      <c r="B247" s="148" t="str">
        <f aca="false">Scoring!AS253</f>
        <v/>
      </c>
      <c r="C247" s="148" t="n">
        <f aca="false">Scoring!C253</f>
        <v>0</v>
      </c>
      <c r="D247" s="149" t="str">
        <f aca="false">Scoring!AP253</f>
        <v/>
      </c>
      <c r="E247" s="148" t="str">
        <f aca="false">Scoring!Z253</f>
        <v/>
      </c>
      <c r="F247" s="148" t="n">
        <f aca="false">Scoring!B253</f>
        <v>0</v>
      </c>
      <c r="G247" s="148" t="n">
        <f aca="false">Scoring!D253</f>
        <v>0</v>
      </c>
      <c r="H247" s="148" t="str">
        <f aca="false">Scoring!AR253</f>
        <v/>
      </c>
      <c r="I247" s="150" t="str">
        <f aca="false">Scoring!AQ253</f>
        <v/>
      </c>
    </row>
    <row r="248" customFormat="false" ht="15.75" hidden="false" customHeight="false" outlineLevel="0" collapsed="false">
      <c r="A248" s="148" t="str">
        <f aca="false">Scoring!AT254</f>
        <v/>
      </c>
      <c r="B248" s="148" t="str">
        <f aca="false">Scoring!AS254</f>
        <v/>
      </c>
      <c r="C248" s="148" t="n">
        <f aca="false">Scoring!C254</f>
        <v>0</v>
      </c>
      <c r="D248" s="149" t="str">
        <f aca="false">Scoring!AP254</f>
        <v/>
      </c>
      <c r="E248" s="148" t="str">
        <f aca="false">Scoring!Z254</f>
        <v/>
      </c>
      <c r="F248" s="148" t="n">
        <f aca="false">Scoring!B254</f>
        <v>0</v>
      </c>
      <c r="G248" s="148" t="n">
        <f aca="false">Scoring!D254</f>
        <v>0</v>
      </c>
      <c r="H248" s="148" t="str">
        <f aca="false">Scoring!AR254</f>
        <v/>
      </c>
      <c r="I248" s="150" t="str">
        <f aca="false">Scoring!AQ254</f>
        <v/>
      </c>
    </row>
    <row r="249" customFormat="false" ht="15.75" hidden="false" customHeight="false" outlineLevel="0" collapsed="false">
      <c r="A249" s="148" t="str">
        <f aca="false">Scoring!AT255</f>
        <v/>
      </c>
      <c r="B249" s="148" t="str">
        <f aca="false">Scoring!AS255</f>
        <v/>
      </c>
      <c r="C249" s="148" t="n">
        <f aca="false">Scoring!C255</f>
        <v>0</v>
      </c>
      <c r="D249" s="149" t="str">
        <f aca="false">Scoring!AP255</f>
        <v/>
      </c>
      <c r="E249" s="148" t="str">
        <f aca="false">Scoring!Z255</f>
        <v/>
      </c>
      <c r="F249" s="148" t="n">
        <f aca="false">Scoring!B255</f>
        <v>0</v>
      </c>
      <c r="G249" s="148" t="n">
        <f aca="false">Scoring!D255</f>
        <v>0</v>
      </c>
      <c r="H249" s="148" t="str">
        <f aca="false">Scoring!AR255</f>
        <v/>
      </c>
      <c r="I249" s="150" t="str">
        <f aca="false">Scoring!AQ255</f>
        <v/>
      </c>
    </row>
    <row r="250" customFormat="false" ht="15.75" hidden="false" customHeight="false" outlineLevel="0" collapsed="false">
      <c r="A250" s="148" t="str">
        <f aca="false">Scoring!AT256</f>
        <v/>
      </c>
      <c r="B250" s="148" t="str">
        <f aca="false">Scoring!AS256</f>
        <v/>
      </c>
      <c r="C250" s="148" t="n">
        <f aca="false">Scoring!C256</f>
        <v>0</v>
      </c>
      <c r="D250" s="149" t="str">
        <f aca="false">Scoring!AP256</f>
        <v/>
      </c>
      <c r="E250" s="148" t="str">
        <f aca="false">Scoring!Z256</f>
        <v/>
      </c>
      <c r="F250" s="148" t="n">
        <f aca="false">Scoring!B256</f>
        <v>0</v>
      </c>
      <c r="G250" s="148" t="n">
        <f aca="false">Scoring!D256</f>
        <v>0</v>
      </c>
      <c r="H250" s="148" t="str">
        <f aca="false">Scoring!AR256</f>
        <v/>
      </c>
      <c r="I250" s="150" t="str">
        <f aca="false">Scoring!AQ256</f>
        <v/>
      </c>
    </row>
    <row r="251" customFormat="false" ht="15.75" hidden="false" customHeight="false" outlineLevel="0" collapsed="false">
      <c r="A251" s="148" t="str">
        <f aca="false">Scoring!AT257</f>
        <v/>
      </c>
      <c r="B251" s="148" t="str">
        <f aca="false">Scoring!AS257</f>
        <v/>
      </c>
      <c r="C251" s="148" t="n">
        <f aca="false">Scoring!C257</f>
        <v>0</v>
      </c>
      <c r="D251" s="149" t="str">
        <f aca="false">Scoring!AP257</f>
        <v/>
      </c>
      <c r="E251" s="148" t="str">
        <f aca="false">Scoring!Z257</f>
        <v/>
      </c>
      <c r="F251" s="148" t="n">
        <f aca="false">Scoring!B257</f>
        <v>0</v>
      </c>
      <c r="G251" s="148" t="n">
        <f aca="false">Scoring!D257</f>
        <v>0</v>
      </c>
      <c r="H251" s="148" t="str">
        <f aca="false">Scoring!AR257</f>
        <v/>
      </c>
      <c r="I251" s="150" t="str">
        <f aca="false">Scoring!AQ257</f>
        <v/>
      </c>
    </row>
    <row r="252" customFormat="false" ht="15.75" hidden="false" customHeight="false" outlineLevel="0" collapsed="false">
      <c r="A252" s="148" t="str">
        <f aca="false">Scoring!AT258</f>
        <v/>
      </c>
      <c r="B252" s="148" t="str">
        <f aca="false">Scoring!AS258</f>
        <v/>
      </c>
      <c r="C252" s="148" t="n">
        <f aca="false">Scoring!C258</f>
        <v>0</v>
      </c>
      <c r="D252" s="149" t="str">
        <f aca="false">Scoring!AP258</f>
        <v/>
      </c>
      <c r="E252" s="148" t="str">
        <f aca="false">Scoring!Z258</f>
        <v/>
      </c>
      <c r="F252" s="148" t="n">
        <f aca="false">Scoring!B258</f>
        <v>0</v>
      </c>
      <c r="G252" s="148" t="n">
        <f aca="false">Scoring!D258</f>
        <v>0</v>
      </c>
      <c r="H252" s="148" t="str">
        <f aca="false">Scoring!AR258</f>
        <v/>
      </c>
      <c r="I252" s="150" t="str">
        <f aca="false">Scoring!AQ258</f>
        <v/>
      </c>
    </row>
    <row r="253" customFormat="false" ht="15.75" hidden="false" customHeight="false" outlineLevel="0" collapsed="false">
      <c r="A253" s="148" t="str">
        <f aca="false">Scoring!AT259</f>
        <v/>
      </c>
      <c r="B253" s="148" t="str">
        <f aca="false">Scoring!AS259</f>
        <v/>
      </c>
      <c r="C253" s="148" t="n">
        <f aca="false">Scoring!C259</f>
        <v>0</v>
      </c>
      <c r="D253" s="149" t="str">
        <f aca="false">Scoring!AP259</f>
        <v/>
      </c>
      <c r="E253" s="148" t="str">
        <f aca="false">Scoring!Z259</f>
        <v/>
      </c>
      <c r="F253" s="148" t="n">
        <f aca="false">Scoring!B259</f>
        <v>0</v>
      </c>
      <c r="G253" s="148" t="n">
        <f aca="false">Scoring!D259</f>
        <v>0</v>
      </c>
      <c r="H253" s="148" t="str">
        <f aca="false">Scoring!AR259</f>
        <v/>
      </c>
      <c r="I253" s="150" t="str">
        <f aca="false">Scoring!AQ259</f>
        <v/>
      </c>
    </row>
    <row r="254" customFormat="false" ht="15.75" hidden="false" customHeight="false" outlineLevel="0" collapsed="false">
      <c r="A254" s="148" t="str">
        <f aca="false">Scoring!AT260</f>
        <v/>
      </c>
      <c r="B254" s="148" t="str">
        <f aca="false">Scoring!AS260</f>
        <v/>
      </c>
      <c r="C254" s="148" t="n">
        <f aca="false">Scoring!C260</f>
        <v>0</v>
      </c>
      <c r="D254" s="149" t="str">
        <f aca="false">Scoring!AP260</f>
        <v/>
      </c>
      <c r="E254" s="148" t="str">
        <f aca="false">Scoring!Z260</f>
        <v/>
      </c>
      <c r="F254" s="148" t="n">
        <f aca="false">Scoring!B260</f>
        <v>0</v>
      </c>
      <c r="G254" s="148" t="n">
        <f aca="false">Scoring!D260</f>
        <v>0</v>
      </c>
      <c r="H254" s="148" t="str">
        <f aca="false">Scoring!AR260</f>
        <v/>
      </c>
      <c r="I254" s="150" t="str">
        <f aca="false">Scoring!AQ260</f>
        <v/>
      </c>
    </row>
    <row r="255" customFormat="false" ht="15.75" hidden="false" customHeight="false" outlineLevel="0" collapsed="false">
      <c r="A255" s="148" t="str">
        <f aca="false">Scoring!AT261</f>
        <v/>
      </c>
      <c r="B255" s="148" t="str">
        <f aca="false">Scoring!AS261</f>
        <v/>
      </c>
      <c r="C255" s="148" t="n">
        <f aca="false">Scoring!C261</f>
        <v>0</v>
      </c>
      <c r="D255" s="149" t="str">
        <f aca="false">Scoring!AP261</f>
        <v/>
      </c>
      <c r="E255" s="148" t="str">
        <f aca="false">Scoring!Z261</f>
        <v/>
      </c>
      <c r="F255" s="148" t="n">
        <f aca="false">Scoring!B261</f>
        <v>0</v>
      </c>
      <c r="G255" s="148" t="n">
        <f aca="false">Scoring!D261</f>
        <v>0</v>
      </c>
      <c r="H255" s="148" t="str">
        <f aca="false">Scoring!AR261</f>
        <v/>
      </c>
      <c r="I255" s="150" t="str">
        <f aca="false">Scoring!AQ261</f>
        <v/>
      </c>
    </row>
    <row r="256" customFormat="false" ht="15.75" hidden="false" customHeight="false" outlineLevel="0" collapsed="false">
      <c r="A256" s="148" t="str">
        <f aca="false">Scoring!AT262</f>
        <v/>
      </c>
      <c r="B256" s="148" t="str">
        <f aca="false">Scoring!AS262</f>
        <v/>
      </c>
      <c r="C256" s="148" t="n">
        <f aca="false">Scoring!C262</f>
        <v>0</v>
      </c>
      <c r="D256" s="149" t="str">
        <f aca="false">Scoring!AP262</f>
        <v/>
      </c>
      <c r="E256" s="148" t="str">
        <f aca="false">Scoring!Z262</f>
        <v/>
      </c>
      <c r="F256" s="148" t="n">
        <f aca="false">Scoring!B262</f>
        <v>0</v>
      </c>
      <c r="G256" s="148" t="n">
        <f aca="false">Scoring!D262</f>
        <v>0</v>
      </c>
      <c r="H256" s="148" t="str">
        <f aca="false">Scoring!AR262</f>
        <v/>
      </c>
      <c r="I256" s="150" t="str">
        <f aca="false">Scoring!AQ262</f>
        <v/>
      </c>
    </row>
    <row r="257" customFormat="false" ht="15.75" hidden="false" customHeight="false" outlineLevel="0" collapsed="false">
      <c r="A257" s="148" t="str">
        <f aca="false">Scoring!AT263</f>
        <v/>
      </c>
      <c r="B257" s="148" t="str">
        <f aca="false">Scoring!AS263</f>
        <v/>
      </c>
      <c r="C257" s="148" t="n">
        <f aca="false">Scoring!C263</f>
        <v>0</v>
      </c>
      <c r="D257" s="149" t="str">
        <f aca="false">Scoring!AP263</f>
        <v/>
      </c>
      <c r="E257" s="148" t="str">
        <f aca="false">Scoring!Z263</f>
        <v/>
      </c>
      <c r="F257" s="148" t="n">
        <f aca="false">Scoring!B263</f>
        <v>0</v>
      </c>
      <c r="G257" s="148" t="n">
        <f aca="false">Scoring!D263</f>
        <v>0</v>
      </c>
      <c r="H257" s="148" t="str">
        <f aca="false">Scoring!AR263</f>
        <v/>
      </c>
      <c r="I257" s="150" t="str">
        <f aca="false">Scoring!AQ263</f>
        <v/>
      </c>
    </row>
    <row r="258" customFormat="false" ht="15.75" hidden="false" customHeight="false" outlineLevel="0" collapsed="false">
      <c r="A258" s="148" t="str">
        <f aca="false">Scoring!AT264</f>
        <v/>
      </c>
      <c r="B258" s="148" t="str">
        <f aca="false">Scoring!AS264</f>
        <v/>
      </c>
      <c r="C258" s="148" t="n">
        <f aca="false">Scoring!C264</f>
        <v>0</v>
      </c>
      <c r="D258" s="149" t="str">
        <f aca="false">Scoring!AP264</f>
        <v/>
      </c>
      <c r="E258" s="148" t="str">
        <f aca="false">Scoring!Z264</f>
        <v/>
      </c>
      <c r="F258" s="148" t="n">
        <f aca="false">Scoring!B264</f>
        <v>0</v>
      </c>
      <c r="G258" s="148" t="n">
        <f aca="false">Scoring!D264</f>
        <v>0</v>
      </c>
      <c r="H258" s="148" t="str">
        <f aca="false">Scoring!AR264</f>
        <v/>
      </c>
      <c r="I258" s="150" t="str">
        <f aca="false">Scoring!AQ264</f>
        <v/>
      </c>
    </row>
    <row r="259" customFormat="false" ht="15.75" hidden="false" customHeight="false" outlineLevel="0" collapsed="false">
      <c r="A259" s="148" t="str">
        <f aca="false">Scoring!AT265</f>
        <v/>
      </c>
      <c r="B259" s="148" t="str">
        <f aca="false">Scoring!AS265</f>
        <v/>
      </c>
      <c r="C259" s="148" t="n">
        <f aca="false">Scoring!C265</f>
        <v>0</v>
      </c>
      <c r="D259" s="149" t="str">
        <f aca="false">Scoring!AP265</f>
        <v/>
      </c>
      <c r="E259" s="148" t="str">
        <f aca="false">Scoring!Z265</f>
        <v/>
      </c>
      <c r="F259" s="148" t="n">
        <f aca="false">Scoring!B265</f>
        <v>0</v>
      </c>
      <c r="G259" s="148" t="n">
        <f aca="false">Scoring!D265</f>
        <v>0</v>
      </c>
      <c r="H259" s="148" t="str">
        <f aca="false">Scoring!AR265</f>
        <v/>
      </c>
      <c r="I259" s="150" t="str">
        <f aca="false">Scoring!AQ265</f>
        <v/>
      </c>
    </row>
    <row r="260" customFormat="false" ht="15.75" hidden="false" customHeight="false" outlineLevel="0" collapsed="false">
      <c r="A260" s="148" t="str">
        <f aca="false">Scoring!AT266</f>
        <v/>
      </c>
      <c r="B260" s="148" t="str">
        <f aca="false">Scoring!AS266</f>
        <v/>
      </c>
      <c r="C260" s="148" t="n">
        <f aca="false">Scoring!C266</f>
        <v>0</v>
      </c>
      <c r="D260" s="149" t="str">
        <f aca="false">Scoring!AP266</f>
        <v/>
      </c>
      <c r="E260" s="148" t="str">
        <f aca="false">Scoring!Z266</f>
        <v/>
      </c>
      <c r="F260" s="148" t="n">
        <f aca="false">Scoring!B266</f>
        <v>0</v>
      </c>
      <c r="G260" s="148" t="n">
        <f aca="false">Scoring!D266</f>
        <v>0</v>
      </c>
      <c r="H260" s="148" t="str">
        <f aca="false">Scoring!AR266</f>
        <v/>
      </c>
      <c r="I260" s="150" t="str">
        <f aca="false">Scoring!AQ266</f>
        <v/>
      </c>
    </row>
    <row r="261" customFormat="false" ht="15.75" hidden="false" customHeight="false" outlineLevel="0" collapsed="false">
      <c r="A261" s="148" t="str">
        <f aca="false">Scoring!AT267</f>
        <v/>
      </c>
      <c r="B261" s="148" t="str">
        <f aca="false">Scoring!AS267</f>
        <v/>
      </c>
      <c r="C261" s="148" t="n">
        <f aca="false">Scoring!C267</f>
        <v>0</v>
      </c>
      <c r="D261" s="149" t="str">
        <f aca="false">Scoring!AP267</f>
        <v/>
      </c>
      <c r="E261" s="148" t="str">
        <f aca="false">Scoring!Z267</f>
        <v/>
      </c>
      <c r="F261" s="148" t="n">
        <f aca="false">Scoring!B267</f>
        <v>0</v>
      </c>
      <c r="G261" s="148" t="n">
        <f aca="false">Scoring!D267</f>
        <v>0</v>
      </c>
      <c r="H261" s="148" t="str">
        <f aca="false">Scoring!AR267</f>
        <v/>
      </c>
      <c r="I261" s="150" t="str">
        <f aca="false">Scoring!AQ267</f>
        <v/>
      </c>
    </row>
    <row r="262" customFormat="false" ht="15.75" hidden="false" customHeight="false" outlineLevel="0" collapsed="false">
      <c r="A262" s="148" t="str">
        <f aca="false">Scoring!AT268</f>
        <v/>
      </c>
      <c r="B262" s="148" t="str">
        <f aca="false">Scoring!AS268</f>
        <v/>
      </c>
      <c r="C262" s="148" t="n">
        <f aca="false">Scoring!C268</f>
        <v>0</v>
      </c>
      <c r="D262" s="149" t="str">
        <f aca="false">Scoring!AP268</f>
        <v/>
      </c>
      <c r="E262" s="148" t="str">
        <f aca="false">Scoring!Z268</f>
        <v/>
      </c>
      <c r="F262" s="148" t="n">
        <f aca="false">Scoring!B268</f>
        <v>0</v>
      </c>
      <c r="G262" s="148" t="n">
        <f aca="false">Scoring!D268</f>
        <v>0</v>
      </c>
      <c r="H262" s="148" t="str">
        <f aca="false">Scoring!AR268</f>
        <v/>
      </c>
      <c r="I262" s="150" t="str">
        <f aca="false">Scoring!AQ268</f>
        <v/>
      </c>
    </row>
    <row r="263" customFormat="false" ht="15.75" hidden="false" customHeight="false" outlineLevel="0" collapsed="false">
      <c r="A263" s="148" t="str">
        <f aca="false">Scoring!AT269</f>
        <v/>
      </c>
      <c r="B263" s="148" t="str">
        <f aca="false">Scoring!AS269</f>
        <v/>
      </c>
      <c r="C263" s="148" t="n">
        <f aca="false">Scoring!C269</f>
        <v>0</v>
      </c>
      <c r="D263" s="149" t="str">
        <f aca="false">Scoring!AP269</f>
        <v/>
      </c>
      <c r="E263" s="148" t="str">
        <f aca="false">Scoring!Z269</f>
        <v/>
      </c>
      <c r="F263" s="148" t="n">
        <f aca="false">Scoring!B269</f>
        <v>0</v>
      </c>
      <c r="G263" s="148" t="n">
        <f aca="false">Scoring!D269</f>
        <v>0</v>
      </c>
      <c r="H263" s="148" t="str">
        <f aca="false">Scoring!AR269</f>
        <v/>
      </c>
      <c r="I263" s="150" t="str">
        <f aca="false">Scoring!AQ269</f>
        <v/>
      </c>
    </row>
    <row r="264" customFormat="false" ht="15.75" hidden="false" customHeight="false" outlineLevel="0" collapsed="false">
      <c r="A264" s="148" t="str">
        <f aca="false">Scoring!AT270</f>
        <v/>
      </c>
      <c r="B264" s="148" t="str">
        <f aca="false">Scoring!AS270</f>
        <v/>
      </c>
      <c r="C264" s="148" t="n">
        <f aca="false">Scoring!C270</f>
        <v>0</v>
      </c>
      <c r="D264" s="149" t="str">
        <f aca="false">Scoring!AP270</f>
        <v/>
      </c>
      <c r="E264" s="148" t="str">
        <f aca="false">Scoring!Z270</f>
        <v/>
      </c>
      <c r="F264" s="148" t="n">
        <f aca="false">Scoring!B270</f>
        <v>0</v>
      </c>
      <c r="G264" s="148" t="n">
        <f aca="false">Scoring!D270</f>
        <v>0</v>
      </c>
      <c r="H264" s="148" t="str">
        <f aca="false">Scoring!AR270</f>
        <v/>
      </c>
      <c r="I264" s="150" t="str">
        <f aca="false">Scoring!AQ270</f>
        <v/>
      </c>
    </row>
    <row r="265" customFormat="false" ht="15.75" hidden="false" customHeight="false" outlineLevel="0" collapsed="false">
      <c r="A265" s="148" t="str">
        <f aca="false">Scoring!AT271</f>
        <v/>
      </c>
      <c r="B265" s="148" t="str">
        <f aca="false">Scoring!AS271</f>
        <v/>
      </c>
      <c r="C265" s="148" t="n">
        <f aca="false">Scoring!C271</f>
        <v>0</v>
      </c>
      <c r="D265" s="149" t="str">
        <f aca="false">Scoring!AP271</f>
        <v/>
      </c>
      <c r="E265" s="148" t="str">
        <f aca="false">Scoring!Z271</f>
        <v/>
      </c>
      <c r="F265" s="148" t="n">
        <f aca="false">Scoring!B271</f>
        <v>0</v>
      </c>
      <c r="G265" s="148" t="n">
        <f aca="false">Scoring!D271</f>
        <v>0</v>
      </c>
      <c r="H265" s="148" t="str">
        <f aca="false">Scoring!AR271</f>
        <v/>
      </c>
      <c r="I265" s="150" t="str">
        <f aca="false">Scoring!AQ271</f>
        <v/>
      </c>
    </row>
    <row r="266" customFormat="false" ht="15.75" hidden="false" customHeight="false" outlineLevel="0" collapsed="false">
      <c r="A266" s="148" t="str">
        <f aca="false">Scoring!AT272</f>
        <v/>
      </c>
      <c r="B266" s="148" t="str">
        <f aca="false">Scoring!AS272</f>
        <v/>
      </c>
      <c r="C266" s="148" t="n">
        <f aca="false">Scoring!C272</f>
        <v>0</v>
      </c>
      <c r="D266" s="149" t="str">
        <f aca="false">Scoring!AP272</f>
        <v/>
      </c>
      <c r="E266" s="148" t="str">
        <f aca="false">Scoring!Z272</f>
        <v/>
      </c>
      <c r="F266" s="148" t="n">
        <f aca="false">Scoring!B272</f>
        <v>0</v>
      </c>
      <c r="G266" s="148" t="n">
        <f aca="false">Scoring!D272</f>
        <v>0</v>
      </c>
      <c r="H266" s="148" t="str">
        <f aca="false">Scoring!AR272</f>
        <v/>
      </c>
      <c r="I266" s="150" t="str">
        <f aca="false">Scoring!AQ272</f>
        <v/>
      </c>
    </row>
    <row r="267" customFormat="false" ht="15.75" hidden="false" customHeight="false" outlineLevel="0" collapsed="false">
      <c r="A267" s="148" t="str">
        <f aca="false">Scoring!AT273</f>
        <v/>
      </c>
      <c r="B267" s="148" t="str">
        <f aca="false">Scoring!AS273</f>
        <v/>
      </c>
      <c r="C267" s="148" t="n">
        <f aca="false">Scoring!C273</f>
        <v>0</v>
      </c>
      <c r="D267" s="149" t="str">
        <f aca="false">Scoring!AP273</f>
        <v/>
      </c>
      <c r="E267" s="148" t="str">
        <f aca="false">Scoring!Z273</f>
        <v/>
      </c>
      <c r="F267" s="148" t="n">
        <f aca="false">Scoring!B273</f>
        <v>0</v>
      </c>
      <c r="G267" s="148" t="n">
        <f aca="false">Scoring!D273</f>
        <v>0</v>
      </c>
      <c r="H267" s="148" t="str">
        <f aca="false">Scoring!AR273</f>
        <v/>
      </c>
      <c r="I267" s="150" t="str">
        <f aca="false">Scoring!AQ273</f>
        <v/>
      </c>
    </row>
    <row r="268" customFormat="false" ht="15.75" hidden="false" customHeight="false" outlineLevel="0" collapsed="false">
      <c r="A268" s="148" t="str">
        <f aca="false">Scoring!AT274</f>
        <v/>
      </c>
      <c r="B268" s="148" t="str">
        <f aca="false">Scoring!AS274</f>
        <v/>
      </c>
      <c r="C268" s="148" t="n">
        <f aca="false">Scoring!C274</f>
        <v>0</v>
      </c>
      <c r="D268" s="149" t="str">
        <f aca="false">Scoring!AP274</f>
        <v/>
      </c>
      <c r="E268" s="148" t="str">
        <f aca="false">Scoring!Z274</f>
        <v/>
      </c>
      <c r="F268" s="148" t="n">
        <f aca="false">Scoring!B274</f>
        <v>0</v>
      </c>
      <c r="G268" s="148" t="n">
        <f aca="false">Scoring!D274</f>
        <v>0</v>
      </c>
      <c r="H268" s="148" t="str">
        <f aca="false">Scoring!AR274</f>
        <v/>
      </c>
      <c r="I268" s="150" t="str">
        <f aca="false">Scoring!AQ274</f>
        <v/>
      </c>
    </row>
    <row r="269" customFormat="false" ht="15.75" hidden="false" customHeight="false" outlineLevel="0" collapsed="false">
      <c r="A269" s="148" t="str">
        <f aca="false">Scoring!AT275</f>
        <v/>
      </c>
      <c r="B269" s="148" t="str">
        <f aca="false">Scoring!AS275</f>
        <v/>
      </c>
      <c r="C269" s="148" t="n">
        <f aca="false">Scoring!C275</f>
        <v>0</v>
      </c>
      <c r="D269" s="149" t="str">
        <f aca="false">Scoring!AP275</f>
        <v/>
      </c>
      <c r="E269" s="148" t="str">
        <f aca="false">Scoring!Z275</f>
        <v/>
      </c>
      <c r="F269" s="148" t="n">
        <f aca="false">Scoring!B275</f>
        <v>0</v>
      </c>
      <c r="G269" s="148" t="n">
        <f aca="false">Scoring!D275</f>
        <v>0</v>
      </c>
      <c r="H269" s="148" t="str">
        <f aca="false">Scoring!AR275</f>
        <v/>
      </c>
      <c r="I269" s="150" t="str">
        <f aca="false">Scoring!AQ275</f>
        <v/>
      </c>
    </row>
    <row r="270" customFormat="false" ht="15.75" hidden="false" customHeight="false" outlineLevel="0" collapsed="false">
      <c r="A270" s="148" t="str">
        <f aca="false">Scoring!AT276</f>
        <v/>
      </c>
      <c r="B270" s="148" t="str">
        <f aca="false">Scoring!AS276</f>
        <v/>
      </c>
      <c r="C270" s="148" t="n">
        <f aca="false">Scoring!C276</f>
        <v>0</v>
      </c>
      <c r="D270" s="149" t="str">
        <f aca="false">Scoring!AP276</f>
        <v/>
      </c>
      <c r="E270" s="148" t="str">
        <f aca="false">Scoring!Z276</f>
        <v/>
      </c>
      <c r="F270" s="148" t="n">
        <f aca="false">Scoring!B276</f>
        <v>0</v>
      </c>
      <c r="G270" s="148" t="n">
        <f aca="false">Scoring!D276</f>
        <v>0</v>
      </c>
      <c r="H270" s="148" t="str">
        <f aca="false">Scoring!AR276</f>
        <v/>
      </c>
      <c r="I270" s="150" t="str">
        <f aca="false">Scoring!AQ276</f>
        <v/>
      </c>
    </row>
    <row r="271" customFormat="false" ht="15.75" hidden="false" customHeight="false" outlineLevel="0" collapsed="false">
      <c r="A271" s="148" t="str">
        <f aca="false">Scoring!AT277</f>
        <v/>
      </c>
      <c r="B271" s="148" t="str">
        <f aca="false">Scoring!AS277</f>
        <v/>
      </c>
      <c r="C271" s="148" t="n">
        <f aca="false">Scoring!C277</f>
        <v>0</v>
      </c>
      <c r="D271" s="149" t="str">
        <f aca="false">Scoring!AP277</f>
        <v/>
      </c>
      <c r="E271" s="148" t="str">
        <f aca="false">Scoring!Z277</f>
        <v/>
      </c>
      <c r="F271" s="148" t="n">
        <f aca="false">Scoring!B277</f>
        <v>0</v>
      </c>
      <c r="G271" s="148" t="n">
        <f aca="false">Scoring!D277</f>
        <v>0</v>
      </c>
      <c r="H271" s="148" t="str">
        <f aca="false">Scoring!AR277</f>
        <v/>
      </c>
      <c r="I271" s="150" t="str">
        <f aca="false">Scoring!AQ277</f>
        <v/>
      </c>
    </row>
    <row r="272" customFormat="false" ht="15.75" hidden="false" customHeight="false" outlineLevel="0" collapsed="false">
      <c r="A272" s="148" t="str">
        <f aca="false">Scoring!AT278</f>
        <v/>
      </c>
      <c r="B272" s="148" t="str">
        <f aca="false">Scoring!AS278</f>
        <v/>
      </c>
      <c r="C272" s="148" t="n">
        <f aca="false">Scoring!C278</f>
        <v>0</v>
      </c>
      <c r="D272" s="149" t="str">
        <f aca="false">Scoring!AP278</f>
        <v/>
      </c>
      <c r="E272" s="148" t="str">
        <f aca="false">Scoring!Z278</f>
        <v/>
      </c>
      <c r="F272" s="148" t="n">
        <f aca="false">Scoring!B278</f>
        <v>0</v>
      </c>
      <c r="G272" s="148" t="n">
        <f aca="false">Scoring!D278</f>
        <v>0</v>
      </c>
      <c r="H272" s="148" t="str">
        <f aca="false">Scoring!AR278</f>
        <v/>
      </c>
      <c r="I272" s="150" t="str">
        <f aca="false">Scoring!AQ278</f>
        <v/>
      </c>
    </row>
    <row r="273" customFormat="false" ht="15.75" hidden="false" customHeight="false" outlineLevel="0" collapsed="false">
      <c r="A273" s="148" t="str">
        <f aca="false">Scoring!AT279</f>
        <v/>
      </c>
      <c r="B273" s="148" t="str">
        <f aca="false">Scoring!AS279</f>
        <v/>
      </c>
      <c r="C273" s="148" t="n">
        <f aca="false">Scoring!C279</f>
        <v>0</v>
      </c>
      <c r="D273" s="149" t="str">
        <f aca="false">Scoring!AP279</f>
        <v/>
      </c>
      <c r="E273" s="148" t="str">
        <f aca="false">Scoring!Z279</f>
        <v/>
      </c>
      <c r="F273" s="148" t="n">
        <f aca="false">Scoring!B279</f>
        <v>0</v>
      </c>
      <c r="G273" s="148" t="n">
        <f aca="false">Scoring!D279</f>
        <v>0</v>
      </c>
      <c r="H273" s="148" t="str">
        <f aca="false">Scoring!AR279</f>
        <v/>
      </c>
      <c r="I273" s="150" t="str">
        <f aca="false">Scoring!AQ279</f>
        <v/>
      </c>
    </row>
    <row r="274" customFormat="false" ht="15.75" hidden="false" customHeight="false" outlineLevel="0" collapsed="false">
      <c r="A274" s="148" t="str">
        <f aca="false">Scoring!AT280</f>
        <v/>
      </c>
      <c r="B274" s="148" t="str">
        <f aca="false">Scoring!AS280</f>
        <v/>
      </c>
      <c r="C274" s="148" t="n">
        <f aca="false">Scoring!C280</f>
        <v>0</v>
      </c>
      <c r="D274" s="149" t="str">
        <f aca="false">Scoring!AP280</f>
        <v/>
      </c>
      <c r="E274" s="148" t="str">
        <f aca="false">Scoring!Z280</f>
        <v/>
      </c>
      <c r="F274" s="148" t="n">
        <f aca="false">Scoring!B280</f>
        <v>0</v>
      </c>
      <c r="G274" s="148" t="n">
        <f aca="false">Scoring!D280</f>
        <v>0</v>
      </c>
      <c r="H274" s="148" t="str">
        <f aca="false">Scoring!AR280</f>
        <v/>
      </c>
      <c r="I274" s="150" t="str">
        <f aca="false">Scoring!AQ280</f>
        <v/>
      </c>
    </row>
    <row r="275" customFormat="false" ht="15.75" hidden="false" customHeight="false" outlineLevel="0" collapsed="false">
      <c r="A275" s="148" t="str">
        <f aca="false">Scoring!AT281</f>
        <v/>
      </c>
      <c r="B275" s="148" t="str">
        <f aca="false">Scoring!AS281</f>
        <v/>
      </c>
      <c r="C275" s="148" t="n">
        <f aca="false">Scoring!C281</f>
        <v>0</v>
      </c>
      <c r="D275" s="149" t="str">
        <f aca="false">Scoring!AP281</f>
        <v/>
      </c>
      <c r="E275" s="148" t="str">
        <f aca="false">Scoring!Z281</f>
        <v/>
      </c>
      <c r="F275" s="148" t="n">
        <f aca="false">Scoring!B281</f>
        <v>0</v>
      </c>
      <c r="G275" s="148" t="n">
        <f aca="false">Scoring!D281</f>
        <v>0</v>
      </c>
      <c r="H275" s="148" t="str">
        <f aca="false">Scoring!AR281</f>
        <v/>
      </c>
      <c r="I275" s="150" t="str">
        <f aca="false">Scoring!AQ281</f>
        <v/>
      </c>
    </row>
    <row r="276" customFormat="false" ht="15.75" hidden="false" customHeight="false" outlineLevel="0" collapsed="false">
      <c r="A276" s="148" t="str">
        <f aca="false">Scoring!AT282</f>
        <v/>
      </c>
      <c r="B276" s="148" t="str">
        <f aca="false">Scoring!AS282</f>
        <v/>
      </c>
      <c r="C276" s="148" t="n">
        <f aca="false">Scoring!C282</f>
        <v>0</v>
      </c>
      <c r="D276" s="149" t="str">
        <f aca="false">Scoring!AP282</f>
        <v/>
      </c>
      <c r="E276" s="148" t="str">
        <f aca="false">Scoring!Z282</f>
        <v/>
      </c>
      <c r="F276" s="148" t="n">
        <f aca="false">Scoring!B282</f>
        <v>0</v>
      </c>
      <c r="G276" s="148" t="n">
        <f aca="false">Scoring!D282</f>
        <v>0</v>
      </c>
      <c r="H276" s="148" t="str">
        <f aca="false">Scoring!AR282</f>
        <v/>
      </c>
      <c r="I276" s="150" t="str">
        <f aca="false">Scoring!AQ282</f>
        <v/>
      </c>
    </row>
    <row r="277" customFormat="false" ht="15.75" hidden="false" customHeight="false" outlineLevel="0" collapsed="false">
      <c r="A277" s="148" t="str">
        <f aca="false">Scoring!AT283</f>
        <v/>
      </c>
      <c r="B277" s="148" t="str">
        <f aca="false">Scoring!AS283</f>
        <v/>
      </c>
      <c r="C277" s="148" t="n">
        <f aca="false">Scoring!C283</f>
        <v>0</v>
      </c>
      <c r="D277" s="149" t="str">
        <f aca="false">Scoring!AP283</f>
        <v/>
      </c>
      <c r="E277" s="148" t="str">
        <f aca="false">Scoring!Z283</f>
        <v/>
      </c>
      <c r="F277" s="148" t="n">
        <f aca="false">Scoring!B283</f>
        <v>0</v>
      </c>
      <c r="G277" s="148" t="n">
        <f aca="false">Scoring!D283</f>
        <v>0</v>
      </c>
      <c r="H277" s="148" t="str">
        <f aca="false">Scoring!AR283</f>
        <v/>
      </c>
      <c r="I277" s="150" t="str">
        <f aca="false">Scoring!AQ283</f>
        <v/>
      </c>
    </row>
    <row r="278" customFormat="false" ht="15.75" hidden="false" customHeight="false" outlineLevel="0" collapsed="false">
      <c r="A278" s="148" t="str">
        <f aca="false">Scoring!AT284</f>
        <v/>
      </c>
      <c r="B278" s="148" t="str">
        <f aca="false">Scoring!AS284</f>
        <v/>
      </c>
      <c r="C278" s="148" t="n">
        <f aca="false">Scoring!C284</f>
        <v>0</v>
      </c>
      <c r="D278" s="149" t="str">
        <f aca="false">Scoring!AP284</f>
        <v/>
      </c>
      <c r="E278" s="148" t="str">
        <f aca="false">Scoring!Z284</f>
        <v/>
      </c>
      <c r="F278" s="148" t="n">
        <f aca="false">Scoring!B284</f>
        <v>0</v>
      </c>
      <c r="G278" s="148" t="n">
        <f aca="false">Scoring!D284</f>
        <v>0</v>
      </c>
      <c r="H278" s="148" t="str">
        <f aca="false">Scoring!AR284</f>
        <v/>
      </c>
      <c r="I278" s="150" t="str">
        <f aca="false">Scoring!AQ284</f>
        <v/>
      </c>
    </row>
    <row r="279" customFormat="false" ht="15.75" hidden="false" customHeight="false" outlineLevel="0" collapsed="false">
      <c r="A279" s="148" t="str">
        <f aca="false">Scoring!AT285</f>
        <v/>
      </c>
      <c r="B279" s="148" t="str">
        <f aca="false">Scoring!AS285</f>
        <v/>
      </c>
      <c r="C279" s="148" t="n">
        <f aca="false">Scoring!C285</f>
        <v>0</v>
      </c>
      <c r="D279" s="149" t="str">
        <f aca="false">Scoring!AP285</f>
        <v/>
      </c>
      <c r="E279" s="148" t="str">
        <f aca="false">Scoring!Z285</f>
        <v/>
      </c>
      <c r="F279" s="148" t="n">
        <f aca="false">Scoring!B285</f>
        <v>0</v>
      </c>
      <c r="G279" s="148" t="n">
        <f aca="false">Scoring!D285</f>
        <v>0</v>
      </c>
      <c r="H279" s="148" t="str">
        <f aca="false">Scoring!AR285</f>
        <v/>
      </c>
      <c r="I279" s="150" t="str">
        <f aca="false">Scoring!AQ285</f>
        <v/>
      </c>
    </row>
    <row r="280" customFormat="false" ht="15.75" hidden="false" customHeight="false" outlineLevel="0" collapsed="false">
      <c r="A280" s="148" t="str">
        <f aca="false">Scoring!AT286</f>
        <v/>
      </c>
      <c r="B280" s="148" t="str">
        <f aca="false">Scoring!AS286</f>
        <v/>
      </c>
      <c r="C280" s="148" t="n">
        <f aca="false">Scoring!C286</f>
        <v>0</v>
      </c>
      <c r="D280" s="149" t="str">
        <f aca="false">Scoring!AP286</f>
        <v/>
      </c>
      <c r="E280" s="148" t="str">
        <f aca="false">Scoring!Z286</f>
        <v/>
      </c>
      <c r="F280" s="148" t="n">
        <f aca="false">Scoring!B286</f>
        <v>0</v>
      </c>
      <c r="G280" s="148" t="n">
        <f aca="false">Scoring!D286</f>
        <v>0</v>
      </c>
      <c r="H280" s="148" t="str">
        <f aca="false">Scoring!AR286</f>
        <v/>
      </c>
      <c r="I280" s="150" t="str">
        <f aca="false">Scoring!AQ286</f>
        <v/>
      </c>
    </row>
    <row r="281" customFormat="false" ht="15.75" hidden="false" customHeight="false" outlineLevel="0" collapsed="false">
      <c r="A281" s="148" t="str">
        <f aca="false">Scoring!AT287</f>
        <v/>
      </c>
      <c r="B281" s="148" t="str">
        <f aca="false">Scoring!AS287</f>
        <v/>
      </c>
      <c r="C281" s="148" t="n">
        <f aca="false">Scoring!C287</f>
        <v>0</v>
      </c>
      <c r="D281" s="149" t="str">
        <f aca="false">Scoring!AP287</f>
        <v/>
      </c>
      <c r="E281" s="148" t="str">
        <f aca="false">Scoring!Z287</f>
        <v/>
      </c>
      <c r="F281" s="148" t="n">
        <f aca="false">Scoring!B287</f>
        <v>0</v>
      </c>
      <c r="G281" s="148" t="n">
        <f aca="false">Scoring!D287</f>
        <v>0</v>
      </c>
      <c r="H281" s="148" t="str">
        <f aca="false">Scoring!AR287</f>
        <v/>
      </c>
      <c r="I281" s="150" t="str">
        <f aca="false">Scoring!AQ287</f>
        <v/>
      </c>
    </row>
    <row r="282" customFormat="false" ht="15.75" hidden="false" customHeight="false" outlineLevel="0" collapsed="false">
      <c r="A282" s="148" t="str">
        <f aca="false">Scoring!AT288</f>
        <v/>
      </c>
      <c r="B282" s="148" t="str">
        <f aca="false">Scoring!AS288</f>
        <v/>
      </c>
      <c r="C282" s="148" t="n">
        <f aca="false">Scoring!C288</f>
        <v>0</v>
      </c>
      <c r="D282" s="149" t="str">
        <f aca="false">Scoring!AP288</f>
        <v/>
      </c>
      <c r="E282" s="148" t="str">
        <f aca="false">Scoring!Z288</f>
        <v/>
      </c>
      <c r="F282" s="148" t="n">
        <f aca="false">Scoring!B288</f>
        <v>0</v>
      </c>
      <c r="G282" s="148" t="n">
        <f aca="false">Scoring!D288</f>
        <v>0</v>
      </c>
      <c r="H282" s="148" t="str">
        <f aca="false">Scoring!AR288</f>
        <v/>
      </c>
      <c r="I282" s="150" t="str">
        <f aca="false">Scoring!AQ288</f>
        <v/>
      </c>
    </row>
    <row r="283" customFormat="false" ht="15.75" hidden="false" customHeight="false" outlineLevel="0" collapsed="false">
      <c r="A283" s="148" t="str">
        <f aca="false">Scoring!AT289</f>
        <v/>
      </c>
      <c r="B283" s="148" t="str">
        <f aca="false">Scoring!AS289</f>
        <v/>
      </c>
      <c r="C283" s="148" t="n">
        <f aca="false">Scoring!C289</f>
        <v>0</v>
      </c>
      <c r="D283" s="149" t="str">
        <f aca="false">Scoring!AP289</f>
        <v/>
      </c>
      <c r="E283" s="148" t="str">
        <f aca="false">Scoring!Z289</f>
        <v/>
      </c>
      <c r="F283" s="148" t="n">
        <f aca="false">Scoring!B289</f>
        <v>0</v>
      </c>
      <c r="G283" s="148" t="n">
        <f aca="false">Scoring!D289</f>
        <v>0</v>
      </c>
      <c r="H283" s="148" t="str">
        <f aca="false">Scoring!AR289</f>
        <v/>
      </c>
      <c r="I283" s="150" t="str">
        <f aca="false">Scoring!AQ289</f>
        <v/>
      </c>
    </row>
    <row r="284" customFormat="false" ht="15.75" hidden="false" customHeight="false" outlineLevel="0" collapsed="false">
      <c r="A284" s="148" t="str">
        <f aca="false">Scoring!AT290</f>
        <v/>
      </c>
      <c r="B284" s="148" t="str">
        <f aca="false">Scoring!AS290</f>
        <v/>
      </c>
      <c r="C284" s="148" t="n">
        <f aca="false">Scoring!C290</f>
        <v>0</v>
      </c>
      <c r="D284" s="149" t="str">
        <f aca="false">Scoring!AP290</f>
        <v/>
      </c>
      <c r="E284" s="148" t="str">
        <f aca="false">Scoring!Z290</f>
        <v/>
      </c>
      <c r="F284" s="148" t="n">
        <f aca="false">Scoring!B290</f>
        <v>0</v>
      </c>
      <c r="G284" s="148" t="n">
        <f aca="false">Scoring!D290</f>
        <v>0</v>
      </c>
      <c r="H284" s="148" t="str">
        <f aca="false">Scoring!AR290</f>
        <v/>
      </c>
      <c r="I284" s="150" t="str">
        <f aca="false">Scoring!AQ290</f>
        <v/>
      </c>
    </row>
    <row r="285" customFormat="false" ht="15.75" hidden="false" customHeight="false" outlineLevel="0" collapsed="false">
      <c r="A285" s="148" t="str">
        <f aca="false">Scoring!AT291</f>
        <v/>
      </c>
      <c r="B285" s="148" t="str">
        <f aca="false">Scoring!AS291</f>
        <v/>
      </c>
      <c r="C285" s="148" t="n">
        <f aca="false">Scoring!C291</f>
        <v>0</v>
      </c>
      <c r="D285" s="149" t="str">
        <f aca="false">Scoring!AP291</f>
        <v/>
      </c>
      <c r="E285" s="148" t="str">
        <f aca="false">Scoring!Z291</f>
        <v/>
      </c>
      <c r="F285" s="148" t="n">
        <f aca="false">Scoring!B291</f>
        <v>0</v>
      </c>
      <c r="G285" s="148" t="n">
        <f aca="false">Scoring!D291</f>
        <v>0</v>
      </c>
      <c r="H285" s="148" t="str">
        <f aca="false">Scoring!AR291</f>
        <v/>
      </c>
      <c r="I285" s="150" t="str">
        <f aca="false">Scoring!AQ291</f>
        <v/>
      </c>
    </row>
    <row r="286" customFormat="false" ht="15.75" hidden="false" customHeight="false" outlineLevel="0" collapsed="false">
      <c r="A286" s="148" t="str">
        <f aca="false">Scoring!AT292</f>
        <v/>
      </c>
      <c r="B286" s="148" t="str">
        <f aca="false">Scoring!AS292</f>
        <v/>
      </c>
      <c r="C286" s="148" t="n">
        <f aca="false">Scoring!C292</f>
        <v>0</v>
      </c>
      <c r="D286" s="149" t="str">
        <f aca="false">Scoring!AP292</f>
        <v/>
      </c>
      <c r="E286" s="148" t="str">
        <f aca="false">Scoring!Z292</f>
        <v/>
      </c>
      <c r="F286" s="148" t="n">
        <f aca="false">Scoring!B292</f>
        <v>0</v>
      </c>
      <c r="G286" s="148" t="n">
        <f aca="false">Scoring!D292</f>
        <v>0</v>
      </c>
      <c r="H286" s="148" t="str">
        <f aca="false">Scoring!AR292</f>
        <v/>
      </c>
      <c r="I286" s="150" t="str">
        <f aca="false">Scoring!AQ292</f>
        <v/>
      </c>
    </row>
    <row r="287" customFormat="false" ht="15.75" hidden="false" customHeight="false" outlineLevel="0" collapsed="false">
      <c r="A287" s="148" t="str">
        <f aca="false">Scoring!AT293</f>
        <v/>
      </c>
      <c r="B287" s="148" t="str">
        <f aca="false">Scoring!AS293</f>
        <v/>
      </c>
      <c r="C287" s="148" t="n">
        <f aca="false">Scoring!C293</f>
        <v>0</v>
      </c>
      <c r="D287" s="149" t="str">
        <f aca="false">Scoring!AP293</f>
        <v/>
      </c>
      <c r="E287" s="148" t="str">
        <f aca="false">Scoring!Z293</f>
        <v/>
      </c>
      <c r="F287" s="148" t="n">
        <f aca="false">Scoring!B293</f>
        <v>0</v>
      </c>
      <c r="G287" s="148" t="n">
        <f aca="false">Scoring!D293</f>
        <v>0</v>
      </c>
      <c r="H287" s="148" t="str">
        <f aca="false">Scoring!AR293</f>
        <v/>
      </c>
      <c r="I287" s="150" t="str">
        <f aca="false">Scoring!AQ293</f>
        <v/>
      </c>
    </row>
    <row r="288" customFormat="false" ht="15.75" hidden="false" customHeight="false" outlineLevel="0" collapsed="false">
      <c r="A288" s="148" t="str">
        <f aca="false">Scoring!AT294</f>
        <v/>
      </c>
      <c r="B288" s="148" t="str">
        <f aca="false">Scoring!AS294</f>
        <v/>
      </c>
      <c r="C288" s="148" t="n">
        <f aca="false">Scoring!C294</f>
        <v>0</v>
      </c>
      <c r="D288" s="149" t="str">
        <f aca="false">Scoring!AP294</f>
        <v/>
      </c>
      <c r="E288" s="148" t="str">
        <f aca="false">Scoring!Z294</f>
        <v/>
      </c>
      <c r="F288" s="148" t="n">
        <f aca="false">Scoring!B294</f>
        <v>0</v>
      </c>
      <c r="G288" s="148" t="n">
        <f aca="false">Scoring!D294</f>
        <v>0</v>
      </c>
      <c r="H288" s="148" t="str">
        <f aca="false">Scoring!AR294</f>
        <v/>
      </c>
      <c r="I288" s="150" t="str">
        <f aca="false">Scoring!AQ294</f>
        <v/>
      </c>
    </row>
    <row r="289" customFormat="false" ht="15.75" hidden="false" customHeight="false" outlineLevel="0" collapsed="false">
      <c r="A289" s="148" t="str">
        <f aca="false">Scoring!AT295</f>
        <v/>
      </c>
      <c r="B289" s="148" t="str">
        <f aca="false">Scoring!AS295</f>
        <v/>
      </c>
      <c r="C289" s="148" t="n">
        <f aca="false">Scoring!C295</f>
        <v>0</v>
      </c>
      <c r="D289" s="149" t="str">
        <f aca="false">Scoring!AP295</f>
        <v/>
      </c>
      <c r="E289" s="148" t="str">
        <f aca="false">Scoring!Z295</f>
        <v/>
      </c>
      <c r="F289" s="148" t="n">
        <f aca="false">Scoring!B295</f>
        <v>0</v>
      </c>
      <c r="G289" s="148" t="n">
        <f aca="false">Scoring!D295</f>
        <v>0</v>
      </c>
      <c r="H289" s="148" t="str">
        <f aca="false">Scoring!AR295</f>
        <v/>
      </c>
      <c r="I289" s="150" t="str">
        <f aca="false">Scoring!AQ295</f>
        <v/>
      </c>
    </row>
    <row r="290" customFormat="false" ht="15.75" hidden="false" customHeight="false" outlineLevel="0" collapsed="false">
      <c r="A290" s="148" t="str">
        <f aca="false">Scoring!AT296</f>
        <v/>
      </c>
      <c r="B290" s="148" t="str">
        <f aca="false">Scoring!AS296</f>
        <v/>
      </c>
      <c r="C290" s="148" t="n">
        <f aca="false">Scoring!C296</f>
        <v>0</v>
      </c>
      <c r="D290" s="149" t="str">
        <f aca="false">Scoring!AP296</f>
        <v/>
      </c>
      <c r="E290" s="148" t="str">
        <f aca="false">Scoring!Z296</f>
        <v/>
      </c>
      <c r="F290" s="148" t="n">
        <f aca="false">Scoring!B296</f>
        <v>0</v>
      </c>
      <c r="G290" s="148" t="n">
        <f aca="false">Scoring!D296</f>
        <v>0</v>
      </c>
      <c r="H290" s="148" t="str">
        <f aca="false">Scoring!AR296</f>
        <v/>
      </c>
      <c r="I290" s="150" t="str">
        <f aca="false">Scoring!AQ296</f>
        <v/>
      </c>
    </row>
    <row r="291" customFormat="false" ht="15.75" hidden="false" customHeight="false" outlineLevel="0" collapsed="false">
      <c r="A291" s="148" t="str">
        <f aca="false">Scoring!AT297</f>
        <v/>
      </c>
      <c r="B291" s="148" t="str">
        <f aca="false">Scoring!AS297</f>
        <v/>
      </c>
      <c r="C291" s="148" t="n">
        <f aca="false">Scoring!C297</f>
        <v>0</v>
      </c>
      <c r="D291" s="149" t="str">
        <f aca="false">Scoring!AP297</f>
        <v/>
      </c>
      <c r="E291" s="148" t="str">
        <f aca="false">Scoring!Z297</f>
        <v/>
      </c>
      <c r="F291" s="148" t="n">
        <f aca="false">Scoring!B297</f>
        <v>0</v>
      </c>
      <c r="G291" s="148" t="n">
        <f aca="false">Scoring!D297</f>
        <v>0</v>
      </c>
      <c r="H291" s="148" t="str">
        <f aca="false">Scoring!AR297</f>
        <v/>
      </c>
      <c r="I291" s="150" t="str">
        <f aca="false">Scoring!AQ297</f>
        <v/>
      </c>
    </row>
    <row r="292" customFormat="false" ht="15.75" hidden="false" customHeight="false" outlineLevel="0" collapsed="false">
      <c r="A292" s="148" t="str">
        <f aca="false">Scoring!AT298</f>
        <v/>
      </c>
      <c r="B292" s="148" t="str">
        <f aca="false">Scoring!AS298</f>
        <v/>
      </c>
      <c r="C292" s="148" t="n">
        <f aca="false">Scoring!C298</f>
        <v>0</v>
      </c>
      <c r="D292" s="149" t="str">
        <f aca="false">Scoring!AP298</f>
        <v/>
      </c>
      <c r="E292" s="148" t="str">
        <f aca="false">Scoring!Z298</f>
        <v/>
      </c>
      <c r="F292" s="148" t="n">
        <f aca="false">Scoring!B298</f>
        <v>0</v>
      </c>
      <c r="G292" s="148" t="n">
        <f aca="false">Scoring!D298</f>
        <v>0</v>
      </c>
      <c r="H292" s="148" t="str">
        <f aca="false">Scoring!AR298</f>
        <v/>
      </c>
      <c r="I292" s="150" t="str">
        <f aca="false">Scoring!AQ298</f>
        <v/>
      </c>
    </row>
    <row r="293" customFormat="false" ht="15.75" hidden="false" customHeight="false" outlineLevel="0" collapsed="false">
      <c r="A293" s="148" t="str">
        <f aca="false">Scoring!AT299</f>
        <v/>
      </c>
      <c r="B293" s="148" t="str">
        <f aca="false">Scoring!AS299</f>
        <v/>
      </c>
      <c r="C293" s="148" t="n">
        <f aca="false">Scoring!C299</f>
        <v>0</v>
      </c>
      <c r="D293" s="149" t="str">
        <f aca="false">Scoring!AP299</f>
        <v/>
      </c>
      <c r="E293" s="148" t="str">
        <f aca="false">Scoring!Z299</f>
        <v/>
      </c>
      <c r="F293" s="148" t="n">
        <f aca="false">Scoring!B299</f>
        <v>0</v>
      </c>
      <c r="G293" s="148" t="n">
        <f aca="false">Scoring!D299</f>
        <v>0</v>
      </c>
      <c r="H293" s="148" t="str">
        <f aca="false">Scoring!AR299</f>
        <v/>
      </c>
      <c r="I293" s="150" t="str">
        <f aca="false">Scoring!AQ299</f>
        <v/>
      </c>
    </row>
    <row r="294" customFormat="false" ht="15.75" hidden="false" customHeight="false" outlineLevel="0" collapsed="false">
      <c r="A294" s="148" t="str">
        <f aca="false">Scoring!AT300</f>
        <v/>
      </c>
      <c r="B294" s="148" t="str">
        <f aca="false">Scoring!AS300</f>
        <v/>
      </c>
      <c r="C294" s="148" t="n">
        <f aca="false">Scoring!C300</f>
        <v>0</v>
      </c>
      <c r="D294" s="149" t="str">
        <f aca="false">Scoring!AP300</f>
        <v/>
      </c>
      <c r="E294" s="148" t="str">
        <f aca="false">Scoring!Z300</f>
        <v/>
      </c>
      <c r="F294" s="148" t="n">
        <f aca="false">Scoring!B300</f>
        <v>0</v>
      </c>
      <c r="G294" s="148" t="n">
        <f aca="false">Scoring!D300</f>
        <v>0</v>
      </c>
      <c r="H294" s="148" t="str">
        <f aca="false">Scoring!AR300</f>
        <v/>
      </c>
      <c r="I294" s="150" t="str">
        <f aca="false">Scoring!AQ300</f>
        <v/>
      </c>
    </row>
    <row r="295" customFormat="false" ht="15.75" hidden="false" customHeight="false" outlineLevel="0" collapsed="false">
      <c r="A295" s="148" t="str">
        <f aca="false">Scoring!AT301</f>
        <v/>
      </c>
      <c r="B295" s="148" t="str">
        <f aca="false">Scoring!AS301</f>
        <v/>
      </c>
      <c r="C295" s="148" t="n">
        <f aca="false">Scoring!C301</f>
        <v>0</v>
      </c>
      <c r="D295" s="149" t="str">
        <f aca="false">Scoring!AP301</f>
        <v/>
      </c>
      <c r="E295" s="148" t="str">
        <f aca="false">Scoring!Z301</f>
        <v/>
      </c>
      <c r="F295" s="148" t="n">
        <f aca="false">Scoring!B301</f>
        <v>0</v>
      </c>
      <c r="G295" s="148" t="n">
        <f aca="false">Scoring!D301</f>
        <v>0</v>
      </c>
      <c r="H295" s="148" t="str">
        <f aca="false">Scoring!AR301</f>
        <v/>
      </c>
      <c r="I295" s="150" t="str">
        <f aca="false">Scoring!AQ301</f>
        <v/>
      </c>
    </row>
    <row r="296" customFormat="false" ht="15.75" hidden="false" customHeight="false" outlineLevel="0" collapsed="false">
      <c r="A296" s="148" t="str">
        <f aca="false">Scoring!AT302</f>
        <v/>
      </c>
      <c r="B296" s="148" t="str">
        <f aca="false">Scoring!AS302</f>
        <v/>
      </c>
      <c r="C296" s="148" t="n">
        <f aca="false">Scoring!C302</f>
        <v>0</v>
      </c>
      <c r="D296" s="149" t="str">
        <f aca="false">Scoring!AP302</f>
        <v/>
      </c>
      <c r="E296" s="148" t="str">
        <f aca="false">Scoring!Z302</f>
        <v/>
      </c>
      <c r="F296" s="148" t="n">
        <f aca="false">Scoring!B302</f>
        <v>0</v>
      </c>
      <c r="G296" s="148" t="n">
        <f aca="false">Scoring!D302</f>
        <v>0</v>
      </c>
      <c r="H296" s="148" t="str">
        <f aca="false">Scoring!AR302</f>
        <v/>
      </c>
      <c r="I296" s="150" t="str">
        <f aca="false">Scoring!AQ302</f>
        <v/>
      </c>
    </row>
    <row r="297" customFormat="false" ht="15.75" hidden="false" customHeight="false" outlineLevel="0" collapsed="false">
      <c r="A297" s="148" t="str">
        <f aca="false">Scoring!AT303</f>
        <v/>
      </c>
      <c r="B297" s="148" t="str">
        <f aca="false">Scoring!AS303</f>
        <v/>
      </c>
      <c r="C297" s="148" t="n">
        <f aca="false">Scoring!C303</f>
        <v>0</v>
      </c>
      <c r="D297" s="149" t="str">
        <f aca="false">Scoring!AP303</f>
        <v/>
      </c>
      <c r="E297" s="148" t="str">
        <f aca="false">Scoring!Z303</f>
        <v/>
      </c>
      <c r="F297" s="148" t="n">
        <f aca="false">Scoring!B303</f>
        <v>0</v>
      </c>
      <c r="G297" s="148" t="n">
        <f aca="false">Scoring!D303</f>
        <v>0</v>
      </c>
      <c r="H297" s="148" t="str">
        <f aca="false">Scoring!AR303</f>
        <v/>
      </c>
      <c r="I297" s="150" t="str">
        <f aca="false">Scoring!AQ303</f>
        <v/>
      </c>
    </row>
    <row r="298" customFormat="false" ht="15.75" hidden="false" customHeight="false" outlineLevel="0" collapsed="false">
      <c r="A298" s="148" t="str">
        <f aca="false">Scoring!AT304</f>
        <v/>
      </c>
      <c r="B298" s="148" t="str">
        <f aca="false">Scoring!AS304</f>
        <v/>
      </c>
      <c r="C298" s="148" t="n">
        <f aca="false">Scoring!C304</f>
        <v>0</v>
      </c>
      <c r="D298" s="149" t="str">
        <f aca="false">Scoring!AP304</f>
        <v/>
      </c>
      <c r="E298" s="148" t="str">
        <f aca="false">Scoring!Z304</f>
        <v/>
      </c>
      <c r="F298" s="148" t="n">
        <f aca="false">Scoring!B304</f>
        <v>0</v>
      </c>
      <c r="G298" s="148" t="n">
        <f aca="false">Scoring!D304</f>
        <v>0</v>
      </c>
      <c r="H298" s="148" t="str">
        <f aca="false">Scoring!AR304</f>
        <v/>
      </c>
      <c r="I298" s="150" t="str">
        <f aca="false">Scoring!AQ304</f>
        <v/>
      </c>
    </row>
    <row r="299" customFormat="false" ht="15.75" hidden="false" customHeight="false" outlineLevel="0" collapsed="false">
      <c r="A299" s="148" t="str">
        <f aca="false">Scoring!AT305</f>
        <v/>
      </c>
      <c r="B299" s="148" t="str">
        <f aca="false">Scoring!AS305</f>
        <v/>
      </c>
      <c r="C299" s="148" t="n">
        <f aca="false">Scoring!C305</f>
        <v>0</v>
      </c>
      <c r="D299" s="149" t="str">
        <f aca="false">Scoring!AP305</f>
        <v/>
      </c>
      <c r="E299" s="148" t="str">
        <f aca="false">Scoring!Z305</f>
        <v/>
      </c>
      <c r="F299" s="148" t="n">
        <f aca="false">Scoring!B305</f>
        <v>0</v>
      </c>
      <c r="G299" s="148" t="n">
        <f aca="false">Scoring!D305</f>
        <v>0</v>
      </c>
      <c r="H299" s="148" t="str">
        <f aca="false">Scoring!AR305</f>
        <v/>
      </c>
      <c r="I299" s="150" t="str">
        <f aca="false">Scoring!AQ305</f>
        <v/>
      </c>
    </row>
    <row r="300" customFormat="false" ht="15.75" hidden="false" customHeight="false" outlineLevel="0" collapsed="false">
      <c r="A300" s="148" t="str">
        <f aca="false">Scoring!AT306</f>
        <v/>
      </c>
      <c r="B300" s="148" t="str">
        <f aca="false">Scoring!AS306</f>
        <v/>
      </c>
      <c r="C300" s="148" t="n">
        <f aca="false">Scoring!C306</f>
        <v>0</v>
      </c>
      <c r="D300" s="149" t="str">
        <f aca="false">Scoring!AP306</f>
        <v/>
      </c>
      <c r="E300" s="148" t="str">
        <f aca="false">Scoring!Z306</f>
        <v/>
      </c>
      <c r="F300" s="148" t="n">
        <f aca="false">Scoring!B306</f>
        <v>0</v>
      </c>
      <c r="G300" s="148" t="n">
        <f aca="false">Scoring!D306</f>
        <v>0</v>
      </c>
      <c r="H300" s="148" t="str">
        <f aca="false">Scoring!AR306</f>
        <v/>
      </c>
      <c r="I300" s="150" t="str">
        <f aca="false">Scoring!AQ306</f>
        <v/>
      </c>
    </row>
    <row r="301" customFormat="false" ht="15.75" hidden="false" customHeight="false" outlineLevel="0" collapsed="false">
      <c r="A301" s="148" t="str">
        <f aca="false">Scoring!AT307</f>
        <v/>
      </c>
      <c r="B301" s="148" t="str">
        <f aca="false">Scoring!AS307</f>
        <v/>
      </c>
      <c r="C301" s="148" t="n">
        <f aca="false">Scoring!C307</f>
        <v>0</v>
      </c>
      <c r="D301" s="149" t="str">
        <f aca="false">Scoring!AP307</f>
        <v/>
      </c>
      <c r="E301" s="148" t="str">
        <f aca="false">Scoring!Z307</f>
        <v/>
      </c>
      <c r="F301" s="148" t="n">
        <f aca="false">Scoring!B307</f>
        <v>0</v>
      </c>
      <c r="G301" s="148" t="n">
        <f aca="false">Scoring!D307</f>
        <v>0</v>
      </c>
      <c r="H301" s="148" t="str">
        <f aca="false">Scoring!AR307</f>
        <v/>
      </c>
      <c r="I301" s="150" t="str">
        <f aca="false">Scoring!AQ307</f>
        <v/>
      </c>
    </row>
    <row r="302" customFormat="false" ht="15.75" hidden="false" customHeight="false" outlineLevel="0" collapsed="false">
      <c r="A302" s="148" t="str">
        <f aca="false">Scoring!AT308</f>
        <v/>
      </c>
      <c r="B302" s="148" t="str">
        <f aca="false">Scoring!AS308</f>
        <v/>
      </c>
      <c r="C302" s="148" t="n">
        <f aca="false">Scoring!C308</f>
        <v>0</v>
      </c>
      <c r="D302" s="149" t="str">
        <f aca="false">Scoring!AP308</f>
        <v/>
      </c>
      <c r="E302" s="148" t="str">
        <f aca="false">Scoring!Z308</f>
        <v/>
      </c>
      <c r="F302" s="148" t="n">
        <f aca="false">Scoring!B308</f>
        <v>0</v>
      </c>
      <c r="G302" s="148" t="n">
        <f aca="false">Scoring!D308</f>
        <v>0</v>
      </c>
      <c r="H302" s="148" t="str">
        <f aca="false">Scoring!AR308</f>
        <v/>
      </c>
      <c r="I302" s="150" t="str">
        <f aca="false">Scoring!AQ308</f>
        <v/>
      </c>
    </row>
    <row r="303" customFormat="false" ht="15.75" hidden="false" customHeight="false" outlineLevel="0" collapsed="false">
      <c r="A303" s="148" t="str">
        <f aca="false">Scoring!AT309</f>
        <v/>
      </c>
      <c r="B303" s="148" t="str">
        <f aca="false">Scoring!AS309</f>
        <v/>
      </c>
      <c r="C303" s="148" t="n">
        <f aca="false">Scoring!C309</f>
        <v>0</v>
      </c>
      <c r="D303" s="149" t="str">
        <f aca="false">Scoring!AP309</f>
        <v/>
      </c>
      <c r="E303" s="148" t="str">
        <f aca="false">Scoring!Z309</f>
        <v/>
      </c>
      <c r="F303" s="148" t="n">
        <f aca="false">Scoring!B309</f>
        <v>0</v>
      </c>
      <c r="G303" s="148" t="n">
        <f aca="false">Scoring!D309</f>
        <v>0</v>
      </c>
      <c r="H303" s="148" t="str">
        <f aca="false">Scoring!AR309</f>
        <v/>
      </c>
      <c r="I303" s="150" t="str">
        <f aca="false">Scoring!AQ309</f>
        <v/>
      </c>
    </row>
    <row r="304" customFormat="false" ht="15.75" hidden="false" customHeight="false" outlineLevel="0" collapsed="false">
      <c r="A304" s="148" t="str">
        <f aca="false">Scoring!AT310</f>
        <v/>
      </c>
      <c r="B304" s="148" t="str">
        <f aca="false">Scoring!AS310</f>
        <v/>
      </c>
      <c r="C304" s="148" t="n">
        <f aca="false">Scoring!C310</f>
        <v>0</v>
      </c>
      <c r="D304" s="149" t="str">
        <f aca="false">Scoring!AP310</f>
        <v/>
      </c>
      <c r="E304" s="148" t="str">
        <f aca="false">Scoring!Z310</f>
        <v/>
      </c>
      <c r="F304" s="148" t="n">
        <f aca="false">Scoring!B310</f>
        <v>0</v>
      </c>
      <c r="G304" s="148" t="n">
        <f aca="false">Scoring!D310</f>
        <v>0</v>
      </c>
      <c r="H304" s="148" t="str">
        <f aca="false">Scoring!AR310</f>
        <v/>
      </c>
      <c r="I304" s="150" t="str">
        <f aca="false">Scoring!AQ310</f>
        <v/>
      </c>
    </row>
    <row r="305" customFormat="false" ht="15.75" hidden="false" customHeight="false" outlineLevel="0" collapsed="false">
      <c r="A305" s="148" t="str">
        <f aca="false">Scoring!AT311</f>
        <v/>
      </c>
      <c r="B305" s="148" t="str">
        <f aca="false">Scoring!AS311</f>
        <v/>
      </c>
      <c r="C305" s="148" t="n">
        <f aca="false">Scoring!C311</f>
        <v>0</v>
      </c>
      <c r="D305" s="149" t="str">
        <f aca="false">Scoring!AP311</f>
        <v/>
      </c>
      <c r="E305" s="148" t="str">
        <f aca="false">Scoring!Z311</f>
        <v/>
      </c>
      <c r="F305" s="148" t="n">
        <f aca="false">Scoring!B311</f>
        <v>0</v>
      </c>
      <c r="G305" s="148" t="n">
        <f aca="false">Scoring!D311</f>
        <v>0</v>
      </c>
      <c r="H305" s="148" t="str">
        <f aca="false">Scoring!AR311</f>
        <v/>
      </c>
      <c r="I305" s="150" t="str">
        <f aca="false">Scoring!AQ311</f>
        <v/>
      </c>
    </row>
    <row r="306" customFormat="false" ht="15.75" hidden="false" customHeight="false" outlineLevel="0" collapsed="false">
      <c r="A306" s="148" t="str">
        <f aca="false">Scoring!AT312</f>
        <v/>
      </c>
      <c r="B306" s="148" t="str">
        <f aca="false">Scoring!AS312</f>
        <v/>
      </c>
      <c r="C306" s="148" t="n">
        <f aca="false">Scoring!C312</f>
        <v>0</v>
      </c>
      <c r="D306" s="149" t="str">
        <f aca="false">Scoring!AP312</f>
        <v/>
      </c>
      <c r="E306" s="148" t="str">
        <f aca="false">Scoring!Z312</f>
        <v/>
      </c>
      <c r="F306" s="148" t="n">
        <f aca="false">Scoring!B312</f>
        <v>0</v>
      </c>
      <c r="G306" s="148" t="n">
        <f aca="false">Scoring!D312</f>
        <v>0</v>
      </c>
      <c r="H306" s="148" t="str">
        <f aca="false">Scoring!AR312</f>
        <v/>
      </c>
      <c r="I306" s="150" t="str">
        <f aca="false">Scoring!AQ312</f>
        <v/>
      </c>
    </row>
    <row r="307" customFormat="false" ht="15.75" hidden="false" customHeight="false" outlineLevel="0" collapsed="false">
      <c r="A307" s="148" t="str">
        <f aca="false">Scoring!AT313</f>
        <v/>
      </c>
      <c r="B307" s="148" t="str">
        <f aca="false">Scoring!AS313</f>
        <v/>
      </c>
      <c r="C307" s="148" t="n">
        <f aca="false">Scoring!C313</f>
        <v>0</v>
      </c>
      <c r="D307" s="149" t="str">
        <f aca="false">Scoring!AP313</f>
        <v/>
      </c>
      <c r="E307" s="148" t="str">
        <f aca="false">Scoring!Z313</f>
        <v/>
      </c>
      <c r="F307" s="148" t="n">
        <f aca="false">Scoring!B313</f>
        <v>0</v>
      </c>
      <c r="G307" s="148" t="n">
        <f aca="false">Scoring!D313</f>
        <v>0</v>
      </c>
      <c r="H307" s="148" t="str">
        <f aca="false">Scoring!AR313</f>
        <v/>
      </c>
      <c r="I307" s="150" t="str">
        <f aca="false">Scoring!AQ313</f>
        <v/>
      </c>
    </row>
    <row r="308" customFormat="false" ht="15.75" hidden="false" customHeight="false" outlineLevel="0" collapsed="false">
      <c r="A308" s="148" t="str">
        <f aca="false">Scoring!AT314</f>
        <v/>
      </c>
      <c r="B308" s="148" t="str">
        <f aca="false">Scoring!AS314</f>
        <v/>
      </c>
      <c r="C308" s="148" t="n">
        <f aca="false">Scoring!C314</f>
        <v>0</v>
      </c>
      <c r="D308" s="149" t="str">
        <f aca="false">Scoring!AP314</f>
        <v/>
      </c>
      <c r="E308" s="148" t="str">
        <f aca="false">Scoring!Z314</f>
        <v/>
      </c>
      <c r="F308" s="148" t="n">
        <f aca="false">Scoring!B314</f>
        <v>0</v>
      </c>
      <c r="G308" s="148" t="n">
        <f aca="false">Scoring!D314</f>
        <v>0</v>
      </c>
      <c r="H308" s="148" t="str">
        <f aca="false">Scoring!AR314</f>
        <v/>
      </c>
      <c r="I308" s="150" t="str">
        <f aca="false">Scoring!AQ314</f>
        <v/>
      </c>
    </row>
    <row r="309" customFormat="false" ht="15.75" hidden="false" customHeight="false" outlineLevel="0" collapsed="false">
      <c r="A309" s="148" t="str">
        <f aca="false">Scoring!AT315</f>
        <v/>
      </c>
      <c r="B309" s="148" t="str">
        <f aca="false">Scoring!AS315</f>
        <v/>
      </c>
      <c r="C309" s="148" t="n">
        <f aca="false">Scoring!C315</f>
        <v>0</v>
      </c>
      <c r="D309" s="149" t="str">
        <f aca="false">Scoring!AP315</f>
        <v/>
      </c>
      <c r="E309" s="148" t="str">
        <f aca="false">Scoring!Z315</f>
        <v/>
      </c>
      <c r="F309" s="148" t="n">
        <f aca="false">Scoring!B315</f>
        <v>0</v>
      </c>
      <c r="G309" s="148" t="n">
        <f aca="false">Scoring!D315</f>
        <v>0</v>
      </c>
      <c r="H309" s="148" t="str">
        <f aca="false">Scoring!AR315</f>
        <v/>
      </c>
      <c r="I309" s="150" t="str">
        <f aca="false">Scoring!AQ315</f>
        <v/>
      </c>
    </row>
    <row r="310" customFormat="false" ht="15.75" hidden="false" customHeight="false" outlineLevel="0" collapsed="false">
      <c r="A310" s="148" t="str">
        <f aca="false">Scoring!AT316</f>
        <v/>
      </c>
      <c r="B310" s="148" t="str">
        <f aca="false">Scoring!AS316</f>
        <v/>
      </c>
      <c r="C310" s="148" t="n">
        <f aca="false">Scoring!C316</f>
        <v>0</v>
      </c>
      <c r="D310" s="149" t="str">
        <f aca="false">Scoring!AP316</f>
        <v/>
      </c>
      <c r="E310" s="148" t="str">
        <f aca="false">Scoring!Z316</f>
        <v/>
      </c>
      <c r="F310" s="148" t="n">
        <f aca="false">Scoring!B316</f>
        <v>0</v>
      </c>
      <c r="G310" s="148" t="n">
        <f aca="false">Scoring!D316</f>
        <v>0</v>
      </c>
      <c r="H310" s="148" t="str">
        <f aca="false">Scoring!AR316</f>
        <v/>
      </c>
      <c r="I310" s="150" t="str">
        <f aca="false">Scoring!AQ316</f>
        <v/>
      </c>
    </row>
    <row r="311" customFormat="false" ht="15.75" hidden="false" customHeight="false" outlineLevel="0" collapsed="false">
      <c r="A311" s="148" t="str">
        <f aca="false">Scoring!AT317</f>
        <v/>
      </c>
      <c r="B311" s="148" t="str">
        <f aca="false">Scoring!AS317</f>
        <v/>
      </c>
      <c r="C311" s="148" t="n">
        <f aca="false">Scoring!C317</f>
        <v>0</v>
      </c>
      <c r="D311" s="149" t="str">
        <f aca="false">Scoring!AP317</f>
        <v/>
      </c>
      <c r="E311" s="148" t="str">
        <f aca="false">Scoring!Z317</f>
        <v/>
      </c>
      <c r="F311" s="148" t="n">
        <f aca="false">Scoring!B317</f>
        <v>0</v>
      </c>
      <c r="G311" s="148" t="n">
        <f aca="false">Scoring!D317</f>
        <v>0</v>
      </c>
      <c r="H311" s="148" t="str">
        <f aca="false">Scoring!AR317</f>
        <v/>
      </c>
      <c r="I311" s="150" t="str">
        <f aca="false">Scoring!AQ317</f>
        <v/>
      </c>
    </row>
    <row r="312" customFormat="false" ht="15.75" hidden="false" customHeight="false" outlineLevel="0" collapsed="false">
      <c r="A312" s="148" t="str">
        <f aca="false">Scoring!AT318</f>
        <v/>
      </c>
      <c r="B312" s="148" t="str">
        <f aca="false">Scoring!AS318</f>
        <v/>
      </c>
      <c r="C312" s="148" t="n">
        <f aca="false">Scoring!C318</f>
        <v>0</v>
      </c>
      <c r="D312" s="149" t="str">
        <f aca="false">Scoring!AP318</f>
        <v/>
      </c>
      <c r="E312" s="148" t="str">
        <f aca="false">Scoring!Z318</f>
        <v/>
      </c>
      <c r="F312" s="148" t="n">
        <f aca="false">Scoring!B318</f>
        <v>0</v>
      </c>
      <c r="G312" s="148" t="n">
        <f aca="false">Scoring!D318</f>
        <v>0</v>
      </c>
      <c r="H312" s="148" t="str">
        <f aca="false">Scoring!AR318</f>
        <v/>
      </c>
      <c r="I312" s="150" t="str">
        <f aca="false">Scoring!AQ318</f>
        <v/>
      </c>
    </row>
    <row r="313" customFormat="false" ht="15.75" hidden="false" customHeight="false" outlineLevel="0" collapsed="false">
      <c r="A313" s="148" t="str">
        <f aca="false">Scoring!AT319</f>
        <v/>
      </c>
      <c r="B313" s="148" t="str">
        <f aca="false">Scoring!AS319</f>
        <v/>
      </c>
      <c r="C313" s="148" t="n">
        <f aca="false">Scoring!C319</f>
        <v>0</v>
      </c>
      <c r="D313" s="149" t="str">
        <f aca="false">Scoring!AP319</f>
        <v/>
      </c>
      <c r="E313" s="148" t="str">
        <f aca="false">Scoring!Z319</f>
        <v/>
      </c>
      <c r="F313" s="148" t="n">
        <f aca="false">Scoring!B319</f>
        <v>0</v>
      </c>
      <c r="G313" s="148" t="n">
        <f aca="false">Scoring!D319</f>
        <v>0</v>
      </c>
      <c r="H313" s="148" t="str">
        <f aca="false">Scoring!AR319</f>
        <v/>
      </c>
      <c r="I313" s="150" t="str">
        <f aca="false">Scoring!AQ319</f>
        <v/>
      </c>
    </row>
    <row r="314" customFormat="false" ht="15.75" hidden="false" customHeight="false" outlineLevel="0" collapsed="false">
      <c r="A314" s="148" t="str">
        <f aca="false">Scoring!AT320</f>
        <v/>
      </c>
      <c r="B314" s="148" t="str">
        <f aca="false">Scoring!AS320</f>
        <v/>
      </c>
      <c r="C314" s="148" t="n">
        <f aca="false">Scoring!C320</f>
        <v>0</v>
      </c>
      <c r="D314" s="149" t="str">
        <f aca="false">Scoring!AP320</f>
        <v/>
      </c>
      <c r="E314" s="148" t="str">
        <f aca="false">Scoring!Z320</f>
        <v/>
      </c>
      <c r="F314" s="148" t="n">
        <f aca="false">Scoring!B320</f>
        <v>0</v>
      </c>
      <c r="G314" s="148" t="n">
        <f aca="false">Scoring!D320</f>
        <v>0</v>
      </c>
      <c r="H314" s="148" t="str">
        <f aca="false">Scoring!AR320</f>
        <v/>
      </c>
      <c r="I314" s="150" t="str">
        <f aca="false">Scoring!AQ320</f>
        <v/>
      </c>
    </row>
    <row r="315" customFormat="false" ht="15.75" hidden="false" customHeight="false" outlineLevel="0" collapsed="false">
      <c r="A315" s="148" t="str">
        <f aca="false">Scoring!AT321</f>
        <v/>
      </c>
      <c r="B315" s="148" t="str">
        <f aca="false">Scoring!AS321</f>
        <v/>
      </c>
      <c r="C315" s="148" t="n">
        <f aca="false">Scoring!C321</f>
        <v>0</v>
      </c>
      <c r="D315" s="149" t="str">
        <f aca="false">Scoring!AP321</f>
        <v/>
      </c>
      <c r="E315" s="148" t="str">
        <f aca="false">Scoring!Z321</f>
        <v/>
      </c>
      <c r="F315" s="148" t="n">
        <f aca="false">Scoring!B321</f>
        <v>0</v>
      </c>
      <c r="G315" s="148" t="n">
        <f aca="false">Scoring!D321</f>
        <v>0</v>
      </c>
      <c r="H315" s="148" t="str">
        <f aca="false">Scoring!AR321</f>
        <v/>
      </c>
      <c r="I315" s="150" t="str">
        <f aca="false">Scoring!AQ321</f>
        <v/>
      </c>
    </row>
    <row r="316" customFormat="false" ht="15.75" hidden="false" customHeight="false" outlineLevel="0" collapsed="false">
      <c r="A316" s="148" t="str">
        <f aca="false">Scoring!AT322</f>
        <v/>
      </c>
      <c r="B316" s="148" t="str">
        <f aca="false">Scoring!AS322</f>
        <v/>
      </c>
      <c r="C316" s="148" t="n">
        <f aca="false">Scoring!C322</f>
        <v>0</v>
      </c>
      <c r="D316" s="149" t="str">
        <f aca="false">Scoring!AP322</f>
        <v/>
      </c>
      <c r="E316" s="148" t="str">
        <f aca="false">Scoring!Z322</f>
        <v/>
      </c>
      <c r="F316" s="148" t="n">
        <f aca="false">Scoring!B322</f>
        <v>0</v>
      </c>
      <c r="G316" s="148" t="n">
        <f aca="false">Scoring!D322</f>
        <v>0</v>
      </c>
      <c r="H316" s="148" t="str">
        <f aca="false">Scoring!AR322</f>
        <v/>
      </c>
      <c r="I316" s="150" t="str">
        <f aca="false">Scoring!AQ322</f>
        <v/>
      </c>
    </row>
    <row r="317" customFormat="false" ht="15.75" hidden="false" customHeight="false" outlineLevel="0" collapsed="false">
      <c r="A317" s="148" t="str">
        <f aca="false">Scoring!AT323</f>
        <v/>
      </c>
      <c r="B317" s="148" t="str">
        <f aca="false">Scoring!AS323</f>
        <v/>
      </c>
      <c r="C317" s="148" t="n">
        <f aca="false">Scoring!C323</f>
        <v>0</v>
      </c>
      <c r="D317" s="149" t="str">
        <f aca="false">Scoring!AP323</f>
        <v/>
      </c>
      <c r="E317" s="148" t="str">
        <f aca="false">Scoring!Z323</f>
        <v/>
      </c>
      <c r="F317" s="148" t="n">
        <f aca="false">Scoring!B323</f>
        <v>0</v>
      </c>
      <c r="G317" s="148" t="n">
        <f aca="false">Scoring!D323</f>
        <v>0</v>
      </c>
      <c r="H317" s="148" t="str">
        <f aca="false">Scoring!AR323</f>
        <v/>
      </c>
      <c r="I317" s="150" t="str">
        <f aca="false">Scoring!AQ323</f>
        <v/>
      </c>
    </row>
    <row r="318" customFormat="false" ht="15.75" hidden="false" customHeight="false" outlineLevel="0" collapsed="false">
      <c r="A318" s="148" t="str">
        <f aca="false">Scoring!AT324</f>
        <v/>
      </c>
      <c r="B318" s="148" t="str">
        <f aca="false">Scoring!AS324</f>
        <v/>
      </c>
      <c r="C318" s="148" t="n">
        <f aca="false">Scoring!C324</f>
        <v>0</v>
      </c>
      <c r="D318" s="149" t="str">
        <f aca="false">Scoring!AP324</f>
        <v/>
      </c>
      <c r="E318" s="148" t="str">
        <f aca="false">Scoring!Z324</f>
        <v/>
      </c>
      <c r="F318" s="148" t="n">
        <f aca="false">Scoring!B324</f>
        <v>0</v>
      </c>
      <c r="G318" s="148" t="n">
        <f aca="false">Scoring!D324</f>
        <v>0</v>
      </c>
      <c r="H318" s="148" t="str">
        <f aca="false">Scoring!AR324</f>
        <v/>
      </c>
      <c r="I318" s="150" t="str">
        <f aca="false">Scoring!AQ324</f>
        <v/>
      </c>
    </row>
    <row r="319" customFormat="false" ht="15.75" hidden="false" customHeight="false" outlineLevel="0" collapsed="false">
      <c r="A319" s="148" t="str">
        <f aca="false">Scoring!AT325</f>
        <v/>
      </c>
      <c r="B319" s="148" t="str">
        <f aca="false">Scoring!AS325</f>
        <v/>
      </c>
      <c r="C319" s="148" t="n">
        <f aca="false">Scoring!C325</f>
        <v>0</v>
      </c>
      <c r="D319" s="149" t="str">
        <f aca="false">Scoring!AP325</f>
        <v/>
      </c>
      <c r="E319" s="148" t="str">
        <f aca="false">Scoring!Z325</f>
        <v/>
      </c>
      <c r="F319" s="148" t="n">
        <f aca="false">Scoring!B325</f>
        <v>0</v>
      </c>
      <c r="G319" s="148" t="n">
        <f aca="false">Scoring!D325</f>
        <v>0</v>
      </c>
      <c r="H319" s="148" t="str">
        <f aca="false">Scoring!AR325</f>
        <v/>
      </c>
      <c r="I319" s="150" t="str">
        <f aca="false">Scoring!AQ325</f>
        <v/>
      </c>
    </row>
    <row r="320" customFormat="false" ht="15.75" hidden="false" customHeight="false" outlineLevel="0" collapsed="false">
      <c r="A320" s="148" t="str">
        <f aca="false">Scoring!AT326</f>
        <v/>
      </c>
      <c r="B320" s="148" t="str">
        <f aca="false">Scoring!AS326</f>
        <v/>
      </c>
      <c r="C320" s="148" t="n">
        <f aca="false">Scoring!C326</f>
        <v>0</v>
      </c>
      <c r="D320" s="149" t="str">
        <f aca="false">Scoring!AP326</f>
        <v/>
      </c>
      <c r="E320" s="148" t="str">
        <f aca="false">Scoring!Z326</f>
        <v/>
      </c>
      <c r="F320" s="148" t="n">
        <f aca="false">Scoring!B326</f>
        <v>0</v>
      </c>
      <c r="G320" s="148" t="n">
        <f aca="false">Scoring!D326</f>
        <v>0</v>
      </c>
      <c r="H320" s="148" t="str">
        <f aca="false">Scoring!AR326</f>
        <v/>
      </c>
      <c r="I320" s="150" t="str">
        <f aca="false">Scoring!AQ326</f>
        <v/>
      </c>
    </row>
    <row r="321" customFormat="false" ht="15.75" hidden="false" customHeight="false" outlineLevel="0" collapsed="false">
      <c r="A321" s="148" t="str">
        <f aca="false">Scoring!AT327</f>
        <v/>
      </c>
      <c r="B321" s="148" t="str">
        <f aca="false">Scoring!AS327</f>
        <v/>
      </c>
      <c r="C321" s="148" t="n">
        <f aca="false">Scoring!C327</f>
        <v>0</v>
      </c>
      <c r="D321" s="149" t="str">
        <f aca="false">Scoring!AP327</f>
        <v/>
      </c>
      <c r="E321" s="148" t="str">
        <f aca="false">Scoring!Z327</f>
        <v/>
      </c>
      <c r="F321" s="148" t="n">
        <f aca="false">Scoring!B327</f>
        <v>0</v>
      </c>
      <c r="G321" s="148" t="n">
        <f aca="false">Scoring!D327</f>
        <v>0</v>
      </c>
      <c r="H321" s="148" t="str">
        <f aca="false">Scoring!AR327</f>
        <v/>
      </c>
      <c r="I321" s="150" t="str">
        <f aca="false">Scoring!AQ327</f>
        <v/>
      </c>
    </row>
    <row r="322" customFormat="false" ht="15.75" hidden="false" customHeight="false" outlineLevel="0" collapsed="false">
      <c r="A322" s="148" t="str">
        <f aca="false">Scoring!AT328</f>
        <v/>
      </c>
      <c r="B322" s="148" t="str">
        <f aca="false">Scoring!AS328</f>
        <v/>
      </c>
      <c r="C322" s="148" t="n">
        <f aca="false">Scoring!C328</f>
        <v>0</v>
      </c>
      <c r="D322" s="149" t="str">
        <f aca="false">Scoring!AP328</f>
        <v/>
      </c>
      <c r="E322" s="148" t="str">
        <f aca="false">Scoring!Z328</f>
        <v/>
      </c>
      <c r="F322" s="148" t="n">
        <f aca="false">Scoring!B328</f>
        <v>0</v>
      </c>
      <c r="G322" s="148" t="n">
        <f aca="false">Scoring!D328</f>
        <v>0</v>
      </c>
      <c r="H322" s="148" t="str">
        <f aca="false">Scoring!AR328</f>
        <v/>
      </c>
      <c r="I322" s="150" t="str">
        <f aca="false">Scoring!AQ328</f>
        <v/>
      </c>
    </row>
    <row r="323" customFormat="false" ht="15.75" hidden="false" customHeight="false" outlineLevel="0" collapsed="false">
      <c r="A323" s="148" t="str">
        <f aca="false">Scoring!AT329</f>
        <v/>
      </c>
      <c r="B323" s="148" t="str">
        <f aca="false">Scoring!AS329</f>
        <v/>
      </c>
      <c r="C323" s="148" t="n">
        <f aca="false">Scoring!C329</f>
        <v>0</v>
      </c>
      <c r="D323" s="149" t="str">
        <f aca="false">Scoring!AP329</f>
        <v/>
      </c>
      <c r="E323" s="148" t="str">
        <f aca="false">Scoring!Z329</f>
        <v/>
      </c>
      <c r="F323" s="148" t="n">
        <f aca="false">Scoring!B329</f>
        <v>0</v>
      </c>
      <c r="G323" s="148" t="n">
        <f aca="false">Scoring!D329</f>
        <v>0</v>
      </c>
      <c r="H323" s="148" t="str">
        <f aca="false">Scoring!AR329</f>
        <v/>
      </c>
      <c r="I323" s="150" t="str">
        <f aca="false">Scoring!AQ329</f>
        <v/>
      </c>
    </row>
    <row r="324" customFormat="false" ht="15.75" hidden="false" customHeight="false" outlineLevel="0" collapsed="false">
      <c r="A324" s="148" t="str">
        <f aca="false">Scoring!AT330</f>
        <v/>
      </c>
      <c r="B324" s="148" t="str">
        <f aca="false">Scoring!AS330</f>
        <v/>
      </c>
      <c r="C324" s="148" t="n">
        <f aca="false">Scoring!C330</f>
        <v>0</v>
      </c>
      <c r="D324" s="149" t="str">
        <f aca="false">Scoring!AP330</f>
        <v/>
      </c>
      <c r="E324" s="148" t="str">
        <f aca="false">Scoring!Z330</f>
        <v/>
      </c>
      <c r="F324" s="148" t="n">
        <f aca="false">Scoring!B330</f>
        <v>0</v>
      </c>
      <c r="G324" s="148" t="n">
        <f aca="false">Scoring!D330</f>
        <v>0</v>
      </c>
      <c r="H324" s="148" t="str">
        <f aca="false">Scoring!AR330</f>
        <v/>
      </c>
      <c r="I324" s="150" t="str">
        <f aca="false">Scoring!AQ330</f>
        <v/>
      </c>
    </row>
    <row r="325" customFormat="false" ht="15.75" hidden="false" customHeight="false" outlineLevel="0" collapsed="false">
      <c r="A325" s="148" t="str">
        <f aca="false">Scoring!AT331</f>
        <v/>
      </c>
      <c r="B325" s="148" t="str">
        <f aca="false">Scoring!AS331</f>
        <v/>
      </c>
      <c r="C325" s="148" t="n">
        <f aca="false">Scoring!C331</f>
        <v>0</v>
      </c>
      <c r="D325" s="149" t="str">
        <f aca="false">Scoring!AP331</f>
        <v/>
      </c>
      <c r="E325" s="148" t="str">
        <f aca="false">Scoring!Z331</f>
        <v/>
      </c>
      <c r="F325" s="148" t="n">
        <f aca="false">Scoring!B331</f>
        <v>0</v>
      </c>
      <c r="G325" s="148" t="n">
        <f aca="false">Scoring!D331</f>
        <v>0</v>
      </c>
      <c r="H325" s="148" t="str">
        <f aca="false">Scoring!AR331</f>
        <v/>
      </c>
      <c r="I325" s="150" t="str">
        <f aca="false">Scoring!AQ331</f>
        <v/>
      </c>
    </row>
    <row r="326" customFormat="false" ht="15.75" hidden="false" customHeight="false" outlineLevel="0" collapsed="false">
      <c r="A326" s="148" t="str">
        <f aca="false">Scoring!AT332</f>
        <v/>
      </c>
      <c r="B326" s="148" t="str">
        <f aca="false">Scoring!AS332</f>
        <v/>
      </c>
      <c r="C326" s="148" t="n">
        <f aca="false">Scoring!C332</f>
        <v>0</v>
      </c>
      <c r="D326" s="149" t="str">
        <f aca="false">Scoring!AP332</f>
        <v/>
      </c>
      <c r="E326" s="148" t="str">
        <f aca="false">Scoring!Z332</f>
        <v/>
      </c>
      <c r="F326" s="148" t="n">
        <f aca="false">Scoring!B332</f>
        <v>0</v>
      </c>
      <c r="G326" s="148" t="n">
        <f aca="false">Scoring!D332</f>
        <v>0</v>
      </c>
      <c r="H326" s="148" t="str">
        <f aca="false">Scoring!AR332</f>
        <v/>
      </c>
      <c r="I326" s="150" t="str">
        <f aca="false">Scoring!AQ332</f>
        <v/>
      </c>
    </row>
    <row r="327" customFormat="false" ht="15.75" hidden="false" customHeight="false" outlineLevel="0" collapsed="false">
      <c r="A327" s="148" t="str">
        <f aca="false">Scoring!AT333</f>
        <v/>
      </c>
      <c r="B327" s="148" t="str">
        <f aca="false">Scoring!AS333</f>
        <v/>
      </c>
      <c r="C327" s="148" t="n">
        <f aca="false">Scoring!C333</f>
        <v>0</v>
      </c>
      <c r="D327" s="149" t="str">
        <f aca="false">Scoring!AP333</f>
        <v/>
      </c>
      <c r="E327" s="148" t="str">
        <f aca="false">Scoring!Z333</f>
        <v/>
      </c>
      <c r="F327" s="148" t="n">
        <f aca="false">Scoring!B333</f>
        <v>0</v>
      </c>
      <c r="G327" s="148" t="n">
        <f aca="false">Scoring!D333</f>
        <v>0</v>
      </c>
      <c r="H327" s="148" t="str">
        <f aca="false">Scoring!AR333</f>
        <v/>
      </c>
      <c r="I327" s="150" t="str">
        <f aca="false">Scoring!AQ333</f>
        <v/>
      </c>
    </row>
    <row r="328" customFormat="false" ht="15.75" hidden="false" customHeight="false" outlineLevel="0" collapsed="false">
      <c r="A328" s="148" t="str">
        <f aca="false">Scoring!AT334</f>
        <v/>
      </c>
      <c r="B328" s="148" t="str">
        <f aca="false">Scoring!AS334</f>
        <v/>
      </c>
      <c r="C328" s="148" t="n">
        <f aca="false">Scoring!C334</f>
        <v>0</v>
      </c>
      <c r="D328" s="149" t="str">
        <f aca="false">Scoring!AP334</f>
        <v/>
      </c>
      <c r="E328" s="148" t="str">
        <f aca="false">Scoring!Z334</f>
        <v/>
      </c>
      <c r="F328" s="148" t="n">
        <f aca="false">Scoring!B334</f>
        <v>0</v>
      </c>
      <c r="G328" s="148" t="n">
        <f aca="false">Scoring!D334</f>
        <v>0</v>
      </c>
      <c r="H328" s="148" t="str">
        <f aca="false">Scoring!AR334</f>
        <v/>
      </c>
      <c r="I328" s="150" t="str">
        <f aca="false">Scoring!AQ334</f>
        <v/>
      </c>
    </row>
    <row r="329" customFormat="false" ht="15.75" hidden="false" customHeight="false" outlineLevel="0" collapsed="false">
      <c r="A329" s="148" t="str">
        <f aca="false">Scoring!AT335</f>
        <v/>
      </c>
      <c r="B329" s="148" t="str">
        <f aca="false">Scoring!AS335</f>
        <v/>
      </c>
      <c r="C329" s="148" t="n">
        <f aca="false">Scoring!C335</f>
        <v>0</v>
      </c>
      <c r="D329" s="149" t="str">
        <f aca="false">Scoring!AP335</f>
        <v/>
      </c>
      <c r="E329" s="148" t="str">
        <f aca="false">Scoring!Z335</f>
        <v/>
      </c>
      <c r="F329" s="148" t="n">
        <f aca="false">Scoring!B335</f>
        <v>0</v>
      </c>
      <c r="G329" s="148" t="n">
        <f aca="false">Scoring!D335</f>
        <v>0</v>
      </c>
      <c r="H329" s="148" t="str">
        <f aca="false">Scoring!AR335</f>
        <v/>
      </c>
      <c r="I329" s="150" t="str">
        <f aca="false">Scoring!AQ335</f>
        <v/>
      </c>
    </row>
    <row r="330" customFormat="false" ht="15.75" hidden="false" customHeight="false" outlineLevel="0" collapsed="false">
      <c r="A330" s="148" t="str">
        <f aca="false">Scoring!AT336</f>
        <v/>
      </c>
      <c r="B330" s="148" t="str">
        <f aca="false">Scoring!AS336</f>
        <v/>
      </c>
      <c r="C330" s="148" t="n">
        <f aca="false">Scoring!C336</f>
        <v>0</v>
      </c>
      <c r="D330" s="149" t="str">
        <f aca="false">Scoring!AP336</f>
        <v/>
      </c>
      <c r="E330" s="148" t="str">
        <f aca="false">Scoring!Z336</f>
        <v/>
      </c>
      <c r="F330" s="148" t="n">
        <f aca="false">Scoring!B336</f>
        <v>0</v>
      </c>
      <c r="G330" s="148" t="n">
        <f aca="false">Scoring!D336</f>
        <v>0</v>
      </c>
      <c r="H330" s="148" t="str">
        <f aca="false">Scoring!AR336</f>
        <v/>
      </c>
      <c r="I330" s="150" t="str">
        <f aca="false">Scoring!AQ336</f>
        <v/>
      </c>
    </row>
    <row r="331" customFormat="false" ht="15.75" hidden="false" customHeight="false" outlineLevel="0" collapsed="false">
      <c r="A331" s="148" t="str">
        <f aca="false">Scoring!AT337</f>
        <v/>
      </c>
      <c r="B331" s="148" t="str">
        <f aca="false">Scoring!AS337</f>
        <v/>
      </c>
      <c r="C331" s="148" t="n">
        <f aca="false">Scoring!C337</f>
        <v>0</v>
      </c>
      <c r="D331" s="149" t="str">
        <f aca="false">Scoring!AP337</f>
        <v/>
      </c>
      <c r="E331" s="148" t="str">
        <f aca="false">Scoring!Z337</f>
        <v/>
      </c>
      <c r="F331" s="148" t="n">
        <f aca="false">Scoring!B337</f>
        <v>0</v>
      </c>
      <c r="G331" s="148" t="n">
        <f aca="false">Scoring!D337</f>
        <v>0</v>
      </c>
      <c r="H331" s="148" t="str">
        <f aca="false">Scoring!AR337</f>
        <v/>
      </c>
      <c r="I331" s="150" t="str">
        <f aca="false">Scoring!AQ337</f>
        <v/>
      </c>
    </row>
    <row r="332" customFormat="false" ht="15.75" hidden="false" customHeight="false" outlineLevel="0" collapsed="false">
      <c r="A332" s="148" t="str">
        <f aca="false">Scoring!AT338</f>
        <v/>
      </c>
      <c r="B332" s="148" t="str">
        <f aca="false">Scoring!AS338</f>
        <v/>
      </c>
      <c r="C332" s="148" t="n">
        <f aca="false">Scoring!C338</f>
        <v>0</v>
      </c>
      <c r="D332" s="149" t="str">
        <f aca="false">Scoring!AP338</f>
        <v/>
      </c>
      <c r="E332" s="148" t="str">
        <f aca="false">Scoring!Z338</f>
        <v/>
      </c>
      <c r="F332" s="148" t="n">
        <f aca="false">Scoring!B338</f>
        <v>0</v>
      </c>
      <c r="G332" s="148" t="n">
        <f aca="false">Scoring!D338</f>
        <v>0</v>
      </c>
      <c r="H332" s="148" t="str">
        <f aca="false">Scoring!AR338</f>
        <v/>
      </c>
      <c r="I332" s="150" t="str">
        <f aca="false">Scoring!AQ338</f>
        <v/>
      </c>
    </row>
    <row r="333" customFormat="false" ht="15.75" hidden="false" customHeight="false" outlineLevel="0" collapsed="false">
      <c r="A333" s="148" t="str">
        <f aca="false">Scoring!AT339</f>
        <v/>
      </c>
      <c r="B333" s="148" t="str">
        <f aca="false">Scoring!AS339</f>
        <v/>
      </c>
      <c r="C333" s="148" t="n">
        <f aca="false">Scoring!C339</f>
        <v>0</v>
      </c>
      <c r="D333" s="149" t="str">
        <f aca="false">Scoring!AP339</f>
        <v/>
      </c>
      <c r="E333" s="148" t="str">
        <f aca="false">Scoring!Z339</f>
        <v/>
      </c>
      <c r="F333" s="148" t="n">
        <f aca="false">Scoring!B339</f>
        <v>0</v>
      </c>
      <c r="G333" s="148" t="n">
        <f aca="false">Scoring!D339</f>
        <v>0</v>
      </c>
      <c r="H333" s="148" t="str">
        <f aca="false">Scoring!AR339</f>
        <v/>
      </c>
      <c r="I333" s="150" t="str">
        <f aca="false">Scoring!AQ339</f>
        <v/>
      </c>
    </row>
    <row r="334" customFormat="false" ht="15.75" hidden="false" customHeight="false" outlineLevel="0" collapsed="false">
      <c r="A334" s="148" t="str">
        <f aca="false">Scoring!AT340</f>
        <v/>
      </c>
      <c r="B334" s="148" t="str">
        <f aca="false">Scoring!AS340</f>
        <v/>
      </c>
      <c r="C334" s="148" t="n">
        <f aca="false">Scoring!C340</f>
        <v>0</v>
      </c>
      <c r="D334" s="149" t="str">
        <f aca="false">Scoring!AP340</f>
        <v/>
      </c>
      <c r="E334" s="148" t="str">
        <f aca="false">Scoring!Z340</f>
        <v/>
      </c>
      <c r="F334" s="148" t="n">
        <f aca="false">Scoring!B340</f>
        <v>0</v>
      </c>
      <c r="G334" s="148" t="n">
        <f aca="false">Scoring!D340</f>
        <v>0</v>
      </c>
      <c r="H334" s="148" t="str">
        <f aca="false">Scoring!AR340</f>
        <v/>
      </c>
      <c r="I334" s="150" t="str">
        <f aca="false">Scoring!AQ340</f>
        <v/>
      </c>
    </row>
    <row r="335" customFormat="false" ht="15.75" hidden="false" customHeight="false" outlineLevel="0" collapsed="false">
      <c r="A335" s="148" t="str">
        <f aca="false">Scoring!AT341</f>
        <v/>
      </c>
      <c r="B335" s="148" t="str">
        <f aca="false">Scoring!AS341</f>
        <v/>
      </c>
      <c r="C335" s="148" t="n">
        <f aca="false">Scoring!C341</f>
        <v>0</v>
      </c>
      <c r="D335" s="149" t="str">
        <f aca="false">Scoring!AP341</f>
        <v/>
      </c>
      <c r="E335" s="148" t="str">
        <f aca="false">Scoring!Z341</f>
        <v/>
      </c>
      <c r="F335" s="148" t="n">
        <f aca="false">Scoring!B341</f>
        <v>0</v>
      </c>
      <c r="G335" s="148" t="n">
        <f aca="false">Scoring!D341</f>
        <v>0</v>
      </c>
      <c r="H335" s="148" t="str">
        <f aca="false">Scoring!AR341</f>
        <v/>
      </c>
      <c r="I335" s="150" t="str">
        <f aca="false">Scoring!AQ341</f>
        <v/>
      </c>
    </row>
    <row r="336" customFormat="false" ht="15.75" hidden="false" customHeight="false" outlineLevel="0" collapsed="false">
      <c r="A336" s="148" t="str">
        <f aca="false">Scoring!AT342</f>
        <v/>
      </c>
      <c r="B336" s="148" t="str">
        <f aca="false">Scoring!AS342</f>
        <v/>
      </c>
      <c r="C336" s="148" t="n">
        <f aca="false">Scoring!C342</f>
        <v>0</v>
      </c>
      <c r="D336" s="149" t="str">
        <f aca="false">Scoring!AP342</f>
        <v/>
      </c>
      <c r="E336" s="148" t="str">
        <f aca="false">Scoring!Z342</f>
        <v/>
      </c>
      <c r="F336" s="148" t="n">
        <f aca="false">Scoring!B342</f>
        <v>0</v>
      </c>
      <c r="G336" s="148" t="n">
        <f aca="false">Scoring!D342</f>
        <v>0</v>
      </c>
      <c r="H336" s="148" t="str">
        <f aca="false">Scoring!AR342</f>
        <v/>
      </c>
      <c r="I336" s="150" t="str">
        <f aca="false">Scoring!AQ342</f>
        <v/>
      </c>
    </row>
    <row r="337" customFormat="false" ht="15.75" hidden="false" customHeight="false" outlineLevel="0" collapsed="false">
      <c r="A337" s="148" t="str">
        <f aca="false">Scoring!AT343</f>
        <v/>
      </c>
      <c r="B337" s="148" t="str">
        <f aca="false">Scoring!AS343</f>
        <v/>
      </c>
      <c r="C337" s="148" t="n">
        <f aca="false">Scoring!C343</f>
        <v>0</v>
      </c>
      <c r="D337" s="149" t="str">
        <f aca="false">Scoring!AP343</f>
        <v/>
      </c>
      <c r="E337" s="148" t="str">
        <f aca="false">Scoring!Z343</f>
        <v/>
      </c>
      <c r="F337" s="148" t="n">
        <f aca="false">Scoring!B343</f>
        <v>0</v>
      </c>
      <c r="G337" s="148" t="n">
        <f aca="false">Scoring!D343</f>
        <v>0</v>
      </c>
      <c r="H337" s="148" t="str">
        <f aca="false">Scoring!AR343</f>
        <v/>
      </c>
      <c r="I337" s="150" t="str">
        <f aca="false">Scoring!AQ343</f>
        <v/>
      </c>
    </row>
    <row r="338" customFormat="false" ht="15.75" hidden="false" customHeight="false" outlineLevel="0" collapsed="false">
      <c r="A338" s="148" t="str">
        <f aca="false">Scoring!AT344</f>
        <v/>
      </c>
      <c r="B338" s="148" t="str">
        <f aca="false">Scoring!AS344</f>
        <v/>
      </c>
      <c r="C338" s="148" t="n">
        <f aca="false">Scoring!C344</f>
        <v>0</v>
      </c>
      <c r="D338" s="149" t="str">
        <f aca="false">Scoring!AP344</f>
        <v/>
      </c>
      <c r="E338" s="148" t="str">
        <f aca="false">Scoring!Z344</f>
        <v/>
      </c>
      <c r="F338" s="148" t="n">
        <f aca="false">Scoring!B344</f>
        <v>0</v>
      </c>
      <c r="G338" s="148" t="n">
        <f aca="false">Scoring!D344</f>
        <v>0</v>
      </c>
      <c r="H338" s="148" t="str">
        <f aca="false">Scoring!AR344</f>
        <v/>
      </c>
      <c r="I338" s="150" t="str">
        <f aca="false">Scoring!AQ344</f>
        <v/>
      </c>
    </row>
    <row r="339" customFormat="false" ht="15.75" hidden="false" customHeight="false" outlineLevel="0" collapsed="false">
      <c r="A339" s="148" t="str">
        <f aca="false">Scoring!AT345</f>
        <v/>
      </c>
      <c r="B339" s="148" t="str">
        <f aca="false">Scoring!AS345</f>
        <v/>
      </c>
      <c r="C339" s="148" t="n">
        <f aca="false">Scoring!C345</f>
        <v>0</v>
      </c>
      <c r="D339" s="149" t="str">
        <f aca="false">Scoring!AP345</f>
        <v/>
      </c>
      <c r="E339" s="148" t="str">
        <f aca="false">Scoring!Z345</f>
        <v/>
      </c>
      <c r="F339" s="148" t="n">
        <f aca="false">Scoring!B345</f>
        <v>0</v>
      </c>
      <c r="G339" s="148" t="n">
        <f aca="false">Scoring!D345</f>
        <v>0</v>
      </c>
      <c r="H339" s="148" t="str">
        <f aca="false">Scoring!AR345</f>
        <v/>
      </c>
      <c r="I339" s="150" t="str">
        <f aca="false">Scoring!AQ345</f>
        <v/>
      </c>
    </row>
    <row r="340" customFormat="false" ht="15.75" hidden="false" customHeight="false" outlineLevel="0" collapsed="false">
      <c r="A340" s="148" t="str">
        <f aca="false">Scoring!AT346</f>
        <v/>
      </c>
      <c r="B340" s="148" t="str">
        <f aca="false">Scoring!AS346</f>
        <v/>
      </c>
      <c r="C340" s="148" t="n">
        <f aca="false">Scoring!C346</f>
        <v>0</v>
      </c>
      <c r="D340" s="149" t="str">
        <f aca="false">Scoring!AP346</f>
        <v/>
      </c>
      <c r="E340" s="148" t="str">
        <f aca="false">Scoring!Z346</f>
        <v/>
      </c>
      <c r="F340" s="148" t="n">
        <f aca="false">Scoring!B346</f>
        <v>0</v>
      </c>
      <c r="G340" s="148" t="n">
        <f aca="false">Scoring!D346</f>
        <v>0</v>
      </c>
      <c r="H340" s="148" t="str">
        <f aca="false">Scoring!AR346</f>
        <v/>
      </c>
      <c r="I340" s="150" t="str">
        <f aca="false">Scoring!AQ346</f>
        <v/>
      </c>
    </row>
    <row r="341" customFormat="false" ht="15.75" hidden="false" customHeight="false" outlineLevel="0" collapsed="false">
      <c r="A341" s="148" t="str">
        <f aca="false">Scoring!AT347</f>
        <v/>
      </c>
      <c r="B341" s="148" t="str">
        <f aca="false">Scoring!AS347</f>
        <v/>
      </c>
      <c r="C341" s="148" t="n">
        <f aca="false">Scoring!C347</f>
        <v>0</v>
      </c>
      <c r="D341" s="149" t="str">
        <f aca="false">Scoring!AP347</f>
        <v/>
      </c>
      <c r="E341" s="148" t="str">
        <f aca="false">Scoring!Z347</f>
        <v/>
      </c>
      <c r="F341" s="148" t="n">
        <f aca="false">Scoring!B347</f>
        <v>0</v>
      </c>
      <c r="G341" s="148" t="n">
        <f aca="false">Scoring!D347</f>
        <v>0</v>
      </c>
      <c r="H341" s="148" t="str">
        <f aca="false">Scoring!AR347</f>
        <v/>
      </c>
      <c r="I341" s="150" t="str">
        <f aca="false">Scoring!AQ347</f>
        <v/>
      </c>
    </row>
    <row r="342" customFormat="false" ht="15.75" hidden="false" customHeight="false" outlineLevel="0" collapsed="false">
      <c r="A342" s="148" t="str">
        <f aca="false">Scoring!AT348</f>
        <v/>
      </c>
      <c r="B342" s="148" t="str">
        <f aca="false">Scoring!AS348</f>
        <v/>
      </c>
      <c r="C342" s="148" t="n">
        <f aca="false">Scoring!C348</f>
        <v>0</v>
      </c>
      <c r="D342" s="149" t="str">
        <f aca="false">Scoring!AP348</f>
        <v/>
      </c>
      <c r="E342" s="148" t="str">
        <f aca="false">Scoring!Z348</f>
        <v/>
      </c>
      <c r="F342" s="148" t="n">
        <f aca="false">Scoring!B348</f>
        <v>0</v>
      </c>
      <c r="G342" s="148" t="n">
        <f aca="false">Scoring!D348</f>
        <v>0</v>
      </c>
      <c r="H342" s="148" t="str">
        <f aca="false">Scoring!AR348</f>
        <v/>
      </c>
      <c r="I342" s="150" t="str">
        <f aca="false">Scoring!AQ348</f>
        <v/>
      </c>
    </row>
    <row r="343" customFormat="false" ht="15.75" hidden="false" customHeight="false" outlineLevel="0" collapsed="false">
      <c r="A343" s="148" t="str">
        <f aca="false">Scoring!AT349</f>
        <v/>
      </c>
      <c r="B343" s="148" t="str">
        <f aca="false">Scoring!AS349</f>
        <v/>
      </c>
      <c r="C343" s="148" t="n">
        <f aca="false">Scoring!C349</f>
        <v>0</v>
      </c>
      <c r="D343" s="149" t="str">
        <f aca="false">Scoring!AP349</f>
        <v/>
      </c>
      <c r="E343" s="148" t="str">
        <f aca="false">Scoring!Z349</f>
        <v/>
      </c>
      <c r="F343" s="148" t="n">
        <f aca="false">Scoring!B349</f>
        <v>0</v>
      </c>
      <c r="G343" s="148" t="n">
        <f aca="false">Scoring!D349</f>
        <v>0</v>
      </c>
      <c r="H343" s="148" t="str">
        <f aca="false">Scoring!AR349</f>
        <v/>
      </c>
      <c r="I343" s="150" t="str">
        <f aca="false">Scoring!AQ349</f>
        <v/>
      </c>
    </row>
    <row r="344" customFormat="false" ht="15.75" hidden="false" customHeight="false" outlineLevel="0" collapsed="false">
      <c r="A344" s="148" t="str">
        <f aca="false">Scoring!AT350</f>
        <v/>
      </c>
      <c r="B344" s="148" t="str">
        <f aca="false">Scoring!AS350</f>
        <v/>
      </c>
      <c r="C344" s="148" t="n">
        <f aca="false">Scoring!C350</f>
        <v>0</v>
      </c>
      <c r="D344" s="149" t="str">
        <f aca="false">Scoring!AP350</f>
        <v/>
      </c>
      <c r="E344" s="148" t="str">
        <f aca="false">Scoring!Z350</f>
        <v/>
      </c>
      <c r="F344" s="148" t="n">
        <f aca="false">Scoring!B350</f>
        <v>0</v>
      </c>
      <c r="G344" s="148" t="n">
        <f aca="false">Scoring!D350</f>
        <v>0</v>
      </c>
      <c r="H344" s="148" t="str">
        <f aca="false">Scoring!AR350</f>
        <v/>
      </c>
      <c r="I344" s="150" t="str">
        <f aca="false">Scoring!AQ350</f>
        <v/>
      </c>
    </row>
    <row r="345" customFormat="false" ht="15.75" hidden="false" customHeight="false" outlineLevel="0" collapsed="false">
      <c r="A345" s="148" t="str">
        <f aca="false">Scoring!AT351</f>
        <v/>
      </c>
      <c r="B345" s="148" t="str">
        <f aca="false">Scoring!AS351</f>
        <v/>
      </c>
      <c r="C345" s="148" t="n">
        <f aca="false">Scoring!C351</f>
        <v>0</v>
      </c>
      <c r="D345" s="149" t="str">
        <f aca="false">Scoring!AP351</f>
        <v/>
      </c>
      <c r="E345" s="148" t="str">
        <f aca="false">Scoring!Z351</f>
        <v/>
      </c>
      <c r="F345" s="148" t="n">
        <f aca="false">Scoring!B351</f>
        <v>0</v>
      </c>
      <c r="G345" s="148" t="n">
        <f aca="false">Scoring!D351</f>
        <v>0</v>
      </c>
      <c r="H345" s="148" t="str">
        <f aca="false">Scoring!AR351</f>
        <v/>
      </c>
      <c r="I345" s="150" t="str">
        <f aca="false">Scoring!AQ351</f>
        <v/>
      </c>
    </row>
    <row r="346" customFormat="false" ht="15.75" hidden="false" customHeight="false" outlineLevel="0" collapsed="false">
      <c r="A346" s="148" t="str">
        <f aca="false">Scoring!AT352</f>
        <v/>
      </c>
      <c r="B346" s="148" t="str">
        <f aca="false">Scoring!AS352</f>
        <v/>
      </c>
      <c r="C346" s="148" t="n">
        <f aca="false">Scoring!C352</f>
        <v>0</v>
      </c>
      <c r="D346" s="149" t="str">
        <f aca="false">Scoring!AP352</f>
        <v/>
      </c>
      <c r="E346" s="148" t="str">
        <f aca="false">Scoring!Z352</f>
        <v/>
      </c>
      <c r="F346" s="148" t="n">
        <f aca="false">Scoring!B352</f>
        <v>0</v>
      </c>
      <c r="G346" s="148" t="n">
        <f aca="false">Scoring!D352</f>
        <v>0</v>
      </c>
      <c r="H346" s="148" t="str">
        <f aca="false">Scoring!AR352</f>
        <v/>
      </c>
      <c r="I346" s="150" t="str">
        <f aca="false">Scoring!AQ352</f>
        <v/>
      </c>
    </row>
    <row r="347" customFormat="false" ht="15.75" hidden="false" customHeight="false" outlineLevel="0" collapsed="false">
      <c r="A347" s="148" t="str">
        <f aca="false">Scoring!AT353</f>
        <v/>
      </c>
      <c r="B347" s="148" t="str">
        <f aca="false">Scoring!AS353</f>
        <v/>
      </c>
      <c r="C347" s="148" t="n">
        <f aca="false">Scoring!C353</f>
        <v>0</v>
      </c>
      <c r="D347" s="149" t="str">
        <f aca="false">Scoring!AP353</f>
        <v/>
      </c>
      <c r="E347" s="148" t="str">
        <f aca="false">Scoring!Z353</f>
        <v/>
      </c>
      <c r="F347" s="148" t="n">
        <f aca="false">Scoring!B353</f>
        <v>0</v>
      </c>
      <c r="G347" s="148" t="n">
        <f aca="false">Scoring!D353</f>
        <v>0</v>
      </c>
      <c r="H347" s="148" t="str">
        <f aca="false">Scoring!AR353</f>
        <v/>
      </c>
      <c r="I347" s="150" t="str">
        <f aca="false">Scoring!AQ353</f>
        <v/>
      </c>
    </row>
    <row r="348" customFormat="false" ht="15.75" hidden="false" customHeight="false" outlineLevel="0" collapsed="false">
      <c r="A348" s="148" t="str">
        <f aca="false">Scoring!AT354</f>
        <v/>
      </c>
      <c r="B348" s="148" t="str">
        <f aca="false">Scoring!AS354</f>
        <v/>
      </c>
      <c r="C348" s="148" t="n">
        <f aca="false">Scoring!C354</f>
        <v>0</v>
      </c>
      <c r="D348" s="149" t="str">
        <f aca="false">Scoring!AP354</f>
        <v/>
      </c>
      <c r="E348" s="148" t="str">
        <f aca="false">Scoring!Z354</f>
        <v/>
      </c>
      <c r="F348" s="148" t="n">
        <f aca="false">Scoring!B354</f>
        <v>0</v>
      </c>
      <c r="G348" s="148" t="n">
        <f aca="false">Scoring!D354</f>
        <v>0</v>
      </c>
      <c r="H348" s="148" t="str">
        <f aca="false">Scoring!AR354</f>
        <v/>
      </c>
      <c r="I348" s="150" t="str">
        <f aca="false">Scoring!AQ354</f>
        <v/>
      </c>
    </row>
    <row r="349" customFormat="false" ht="15.75" hidden="false" customHeight="false" outlineLevel="0" collapsed="false">
      <c r="A349" s="148" t="str">
        <f aca="false">Scoring!AT355</f>
        <v/>
      </c>
      <c r="B349" s="148" t="str">
        <f aca="false">Scoring!AS355</f>
        <v/>
      </c>
      <c r="C349" s="148" t="n">
        <f aca="false">Scoring!C355</f>
        <v>0</v>
      </c>
      <c r="D349" s="149" t="str">
        <f aca="false">Scoring!AP355</f>
        <v/>
      </c>
      <c r="E349" s="148" t="str">
        <f aca="false">Scoring!Z355</f>
        <v/>
      </c>
      <c r="F349" s="148" t="n">
        <f aca="false">Scoring!B355</f>
        <v>0</v>
      </c>
      <c r="G349" s="148" t="n">
        <f aca="false">Scoring!D355</f>
        <v>0</v>
      </c>
      <c r="H349" s="148" t="str">
        <f aca="false">Scoring!AR355</f>
        <v/>
      </c>
      <c r="I349" s="150" t="str">
        <f aca="false">Scoring!AQ355</f>
        <v/>
      </c>
    </row>
    <row r="350" customFormat="false" ht="15.75" hidden="false" customHeight="false" outlineLevel="0" collapsed="false">
      <c r="A350" s="148" t="str">
        <f aca="false">Scoring!AT356</f>
        <v/>
      </c>
      <c r="B350" s="148" t="str">
        <f aca="false">Scoring!AS356</f>
        <v/>
      </c>
      <c r="C350" s="148" t="n">
        <f aca="false">Scoring!C356</f>
        <v>0</v>
      </c>
      <c r="D350" s="149" t="str">
        <f aca="false">Scoring!AP356</f>
        <v/>
      </c>
      <c r="E350" s="148" t="str">
        <f aca="false">Scoring!Z356</f>
        <v/>
      </c>
      <c r="F350" s="148" t="n">
        <f aca="false">Scoring!B356</f>
        <v>0</v>
      </c>
      <c r="G350" s="148" t="n">
        <f aca="false">Scoring!D356</f>
        <v>0</v>
      </c>
      <c r="H350" s="148" t="str">
        <f aca="false">Scoring!AR356</f>
        <v/>
      </c>
      <c r="I350" s="150" t="str">
        <f aca="false">Scoring!AQ356</f>
        <v/>
      </c>
    </row>
    <row r="351" customFormat="false" ht="15.75" hidden="false" customHeight="false" outlineLevel="0" collapsed="false">
      <c r="A351" s="148" t="str">
        <f aca="false">Scoring!AT357</f>
        <v/>
      </c>
      <c r="B351" s="148" t="str">
        <f aca="false">Scoring!AS357</f>
        <v/>
      </c>
      <c r="C351" s="148" t="n">
        <f aca="false">Scoring!C357</f>
        <v>0</v>
      </c>
      <c r="D351" s="149" t="str">
        <f aca="false">Scoring!AP357</f>
        <v/>
      </c>
      <c r="E351" s="148" t="str">
        <f aca="false">Scoring!Z357</f>
        <v/>
      </c>
      <c r="F351" s="148" t="n">
        <f aca="false">Scoring!B357</f>
        <v>0</v>
      </c>
      <c r="G351" s="148" t="n">
        <f aca="false">Scoring!D357</f>
        <v>0</v>
      </c>
      <c r="H351" s="148" t="str">
        <f aca="false">Scoring!AR357</f>
        <v/>
      </c>
      <c r="I351" s="150" t="str">
        <f aca="false">Scoring!AQ357</f>
        <v/>
      </c>
    </row>
    <row r="352" customFormat="false" ht="15.75" hidden="false" customHeight="false" outlineLevel="0" collapsed="false">
      <c r="A352" s="148" t="str">
        <f aca="false">Scoring!AT358</f>
        <v/>
      </c>
      <c r="B352" s="148" t="str">
        <f aca="false">Scoring!AS358</f>
        <v/>
      </c>
      <c r="C352" s="148" t="n">
        <f aca="false">Scoring!C358</f>
        <v>0</v>
      </c>
      <c r="D352" s="149" t="str">
        <f aca="false">Scoring!AP358</f>
        <v/>
      </c>
      <c r="E352" s="148" t="str">
        <f aca="false">Scoring!Z358</f>
        <v/>
      </c>
      <c r="F352" s="148" t="n">
        <f aca="false">Scoring!B358</f>
        <v>0</v>
      </c>
      <c r="G352" s="148" t="n">
        <f aca="false">Scoring!D358</f>
        <v>0</v>
      </c>
      <c r="H352" s="148" t="str">
        <f aca="false">Scoring!AR358</f>
        <v/>
      </c>
      <c r="I352" s="150" t="str">
        <f aca="false">Scoring!AQ358</f>
        <v/>
      </c>
    </row>
    <row r="353" customFormat="false" ht="15.75" hidden="false" customHeight="false" outlineLevel="0" collapsed="false">
      <c r="A353" s="148" t="str">
        <f aca="false">Scoring!AT359</f>
        <v/>
      </c>
      <c r="B353" s="148" t="str">
        <f aca="false">Scoring!AS359</f>
        <v/>
      </c>
      <c r="C353" s="148" t="n">
        <f aca="false">Scoring!C359</f>
        <v>0</v>
      </c>
      <c r="D353" s="149" t="str">
        <f aca="false">Scoring!AP359</f>
        <v/>
      </c>
      <c r="E353" s="148" t="str">
        <f aca="false">Scoring!Z359</f>
        <v/>
      </c>
      <c r="F353" s="148" t="n">
        <f aca="false">Scoring!B359</f>
        <v>0</v>
      </c>
      <c r="G353" s="148" t="n">
        <f aca="false">Scoring!D359</f>
        <v>0</v>
      </c>
      <c r="H353" s="148" t="str">
        <f aca="false">Scoring!AR359</f>
        <v/>
      </c>
      <c r="I353" s="150" t="str">
        <f aca="false">Scoring!AQ359</f>
        <v/>
      </c>
    </row>
    <row r="354" customFormat="false" ht="15.75" hidden="false" customHeight="false" outlineLevel="0" collapsed="false">
      <c r="A354" s="148" t="str">
        <f aca="false">Scoring!AT360</f>
        <v/>
      </c>
      <c r="B354" s="148" t="str">
        <f aca="false">Scoring!AS360</f>
        <v/>
      </c>
      <c r="C354" s="148" t="n">
        <f aca="false">Scoring!C360</f>
        <v>0</v>
      </c>
      <c r="D354" s="149" t="str">
        <f aca="false">Scoring!AP360</f>
        <v/>
      </c>
      <c r="E354" s="148" t="str">
        <f aca="false">Scoring!Z360</f>
        <v/>
      </c>
      <c r="F354" s="148" t="n">
        <f aca="false">Scoring!B360</f>
        <v>0</v>
      </c>
      <c r="G354" s="148" t="n">
        <f aca="false">Scoring!D360</f>
        <v>0</v>
      </c>
      <c r="H354" s="148" t="str">
        <f aca="false">Scoring!AR360</f>
        <v/>
      </c>
      <c r="I354" s="150" t="str">
        <f aca="false">Scoring!AQ360</f>
        <v/>
      </c>
    </row>
    <row r="355" customFormat="false" ht="15.75" hidden="false" customHeight="false" outlineLevel="0" collapsed="false">
      <c r="A355" s="148" t="str">
        <f aca="false">Scoring!AT361</f>
        <v/>
      </c>
      <c r="B355" s="148" t="str">
        <f aca="false">Scoring!AS361</f>
        <v/>
      </c>
      <c r="C355" s="148" t="n">
        <f aca="false">Scoring!C361</f>
        <v>0</v>
      </c>
      <c r="D355" s="149" t="str">
        <f aca="false">Scoring!AP361</f>
        <v/>
      </c>
      <c r="E355" s="148" t="str">
        <f aca="false">Scoring!Z361</f>
        <v/>
      </c>
      <c r="F355" s="148" t="n">
        <f aca="false">Scoring!B361</f>
        <v>0</v>
      </c>
      <c r="G355" s="148" t="n">
        <f aca="false">Scoring!D361</f>
        <v>0</v>
      </c>
      <c r="H355" s="148" t="str">
        <f aca="false">Scoring!AR361</f>
        <v/>
      </c>
      <c r="I355" s="150" t="str">
        <f aca="false">Scoring!AQ361</f>
        <v/>
      </c>
    </row>
    <row r="356" customFormat="false" ht="15.75" hidden="false" customHeight="false" outlineLevel="0" collapsed="false">
      <c r="A356" s="148" t="str">
        <f aca="false">Scoring!AT362</f>
        <v/>
      </c>
      <c r="B356" s="148" t="str">
        <f aca="false">Scoring!AS362</f>
        <v/>
      </c>
      <c r="C356" s="148" t="n">
        <f aca="false">Scoring!C362</f>
        <v>0</v>
      </c>
      <c r="D356" s="149" t="str">
        <f aca="false">Scoring!AP362</f>
        <v/>
      </c>
      <c r="E356" s="148" t="str">
        <f aca="false">Scoring!Z362</f>
        <v/>
      </c>
      <c r="F356" s="148" t="n">
        <f aca="false">Scoring!B362</f>
        <v>0</v>
      </c>
      <c r="G356" s="148" t="n">
        <f aca="false">Scoring!D362</f>
        <v>0</v>
      </c>
      <c r="H356" s="148" t="str">
        <f aca="false">Scoring!AR362</f>
        <v/>
      </c>
      <c r="I356" s="150" t="str">
        <f aca="false">Scoring!AQ362</f>
        <v/>
      </c>
    </row>
    <row r="357" customFormat="false" ht="15.75" hidden="false" customHeight="false" outlineLevel="0" collapsed="false">
      <c r="A357" s="148" t="str">
        <f aca="false">Scoring!AT363</f>
        <v/>
      </c>
      <c r="B357" s="148" t="str">
        <f aca="false">Scoring!AS363</f>
        <v/>
      </c>
      <c r="C357" s="148" t="n">
        <f aca="false">Scoring!C363</f>
        <v>0</v>
      </c>
      <c r="D357" s="149" t="str">
        <f aca="false">Scoring!AP363</f>
        <v/>
      </c>
      <c r="E357" s="148" t="str">
        <f aca="false">Scoring!Z363</f>
        <v/>
      </c>
      <c r="F357" s="148" t="n">
        <f aca="false">Scoring!B363</f>
        <v>0</v>
      </c>
      <c r="G357" s="148" t="n">
        <f aca="false">Scoring!D363</f>
        <v>0</v>
      </c>
      <c r="H357" s="148" t="str">
        <f aca="false">Scoring!AR363</f>
        <v/>
      </c>
      <c r="I357" s="150" t="str">
        <f aca="false">Scoring!AQ363</f>
        <v/>
      </c>
    </row>
    <row r="358" customFormat="false" ht="15.75" hidden="false" customHeight="false" outlineLevel="0" collapsed="false">
      <c r="A358" s="148" t="str">
        <f aca="false">Scoring!AT364</f>
        <v/>
      </c>
      <c r="B358" s="148" t="str">
        <f aca="false">Scoring!AS364</f>
        <v/>
      </c>
      <c r="C358" s="148" t="n">
        <f aca="false">Scoring!C364</f>
        <v>0</v>
      </c>
      <c r="D358" s="149" t="str">
        <f aca="false">Scoring!AP364</f>
        <v/>
      </c>
      <c r="E358" s="148" t="str">
        <f aca="false">Scoring!Z364</f>
        <v/>
      </c>
      <c r="F358" s="148" t="n">
        <f aca="false">Scoring!B364</f>
        <v>0</v>
      </c>
      <c r="G358" s="148" t="n">
        <f aca="false">Scoring!D364</f>
        <v>0</v>
      </c>
      <c r="H358" s="148" t="str">
        <f aca="false">Scoring!AR364</f>
        <v/>
      </c>
      <c r="I358" s="150" t="str">
        <f aca="false">Scoring!AQ364</f>
        <v/>
      </c>
    </row>
    <row r="359" customFormat="false" ht="15.75" hidden="false" customHeight="false" outlineLevel="0" collapsed="false">
      <c r="A359" s="148" t="str">
        <f aca="false">Scoring!AT365</f>
        <v/>
      </c>
      <c r="B359" s="148" t="str">
        <f aca="false">Scoring!AS365</f>
        <v/>
      </c>
      <c r="C359" s="148" t="n">
        <f aca="false">Scoring!C365</f>
        <v>0</v>
      </c>
      <c r="D359" s="149" t="str">
        <f aca="false">Scoring!AP365</f>
        <v/>
      </c>
      <c r="E359" s="148" t="str">
        <f aca="false">Scoring!Z365</f>
        <v/>
      </c>
      <c r="F359" s="148" t="n">
        <f aca="false">Scoring!B365</f>
        <v>0</v>
      </c>
      <c r="G359" s="148" t="n">
        <f aca="false">Scoring!D365</f>
        <v>0</v>
      </c>
      <c r="H359" s="148" t="str">
        <f aca="false">Scoring!AR365</f>
        <v/>
      </c>
      <c r="I359" s="150" t="str">
        <f aca="false">Scoring!AQ365</f>
        <v/>
      </c>
    </row>
    <row r="360" customFormat="false" ht="15.75" hidden="false" customHeight="false" outlineLevel="0" collapsed="false">
      <c r="A360" s="148" t="str">
        <f aca="false">Scoring!AT366</f>
        <v/>
      </c>
      <c r="B360" s="148" t="str">
        <f aca="false">Scoring!AS366</f>
        <v/>
      </c>
      <c r="C360" s="148" t="n">
        <f aca="false">Scoring!C366</f>
        <v>0</v>
      </c>
      <c r="D360" s="149" t="str">
        <f aca="false">Scoring!AP366</f>
        <v/>
      </c>
      <c r="E360" s="148" t="str">
        <f aca="false">Scoring!Z366</f>
        <v/>
      </c>
      <c r="F360" s="148" t="n">
        <f aca="false">Scoring!B366</f>
        <v>0</v>
      </c>
      <c r="G360" s="148" t="n">
        <f aca="false">Scoring!D366</f>
        <v>0</v>
      </c>
      <c r="H360" s="148" t="str">
        <f aca="false">Scoring!AR366</f>
        <v/>
      </c>
      <c r="I360" s="150" t="str">
        <f aca="false">Scoring!AQ366</f>
        <v/>
      </c>
    </row>
    <row r="361" customFormat="false" ht="15.75" hidden="false" customHeight="false" outlineLevel="0" collapsed="false">
      <c r="A361" s="148" t="str">
        <f aca="false">Scoring!AT367</f>
        <v/>
      </c>
      <c r="B361" s="148" t="str">
        <f aca="false">Scoring!AS367</f>
        <v/>
      </c>
      <c r="C361" s="148" t="n">
        <f aca="false">Scoring!C367</f>
        <v>0</v>
      </c>
      <c r="D361" s="149" t="str">
        <f aca="false">Scoring!AP367</f>
        <v/>
      </c>
      <c r="E361" s="148" t="str">
        <f aca="false">Scoring!Z367</f>
        <v/>
      </c>
      <c r="F361" s="148" t="n">
        <f aca="false">Scoring!B367</f>
        <v>0</v>
      </c>
      <c r="G361" s="148" t="n">
        <f aca="false">Scoring!D367</f>
        <v>0</v>
      </c>
      <c r="H361" s="148" t="str">
        <f aca="false">Scoring!AR367</f>
        <v/>
      </c>
      <c r="I361" s="150" t="str">
        <f aca="false">Scoring!AQ367</f>
        <v/>
      </c>
    </row>
    <row r="362" customFormat="false" ht="15.75" hidden="false" customHeight="false" outlineLevel="0" collapsed="false">
      <c r="A362" s="148" t="str">
        <f aca="false">Scoring!AT368</f>
        <v/>
      </c>
      <c r="B362" s="148" t="str">
        <f aca="false">Scoring!AS368</f>
        <v/>
      </c>
      <c r="C362" s="148" t="n">
        <f aca="false">Scoring!C368</f>
        <v>0</v>
      </c>
      <c r="D362" s="149" t="str">
        <f aca="false">Scoring!AP368</f>
        <v/>
      </c>
      <c r="E362" s="148" t="str">
        <f aca="false">Scoring!Z368</f>
        <v/>
      </c>
      <c r="F362" s="148" t="n">
        <f aca="false">Scoring!B368</f>
        <v>0</v>
      </c>
      <c r="G362" s="148" t="n">
        <f aca="false">Scoring!D368</f>
        <v>0</v>
      </c>
      <c r="H362" s="148" t="str">
        <f aca="false">Scoring!AR368</f>
        <v/>
      </c>
      <c r="I362" s="150" t="str">
        <f aca="false">Scoring!AQ368</f>
        <v/>
      </c>
    </row>
    <row r="363" customFormat="false" ht="15.75" hidden="false" customHeight="false" outlineLevel="0" collapsed="false">
      <c r="A363" s="148" t="str">
        <f aca="false">Scoring!AT369</f>
        <v/>
      </c>
      <c r="B363" s="148" t="str">
        <f aca="false">Scoring!AS369</f>
        <v/>
      </c>
      <c r="C363" s="148" t="n">
        <f aca="false">Scoring!C369</f>
        <v>0</v>
      </c>
      <c r="D363" s="149" t="str">
        <f aca="false">Scoring!AP369</f>
        <v/>
      </c>
      <c r="E363" s="148" t="str">
        <f aca="false">Scoring!Z369</f>
        <v/>
      </c>
      <c r="F363" s="148" t="n">
        <f aca="false">Scoring!B369</f>
        <v>0</v>
      </c>
      <c r="G363" s="148" t="n">
        <f aca="false">Scoring!D369</f>
        <v>0</v>
      </c>
      <c r="H363" s="148" t="str">
        <f aca="false">Scoring!AR369</f>
        <v/>
      </c>
      <c r="I363" s="150" t="str">
        <f aca="false">Scoring!AQ369</f>
        <v/>
      </c>
    </row>
    <row r="364" customFormat="false" ht="15.75" hidden="false" customHeight="false" outlineLevel="0" collapsed="false">
      <c r="A364" s="148" t="str">
        <f aca="false">Scoring!AT370</f>
        <v/>
      </c>
      <c r="B364" s="148" t="str">
        <f aca="false">Scoring!AS370</f>
        <v/>
      </c>
      <c r="C364" s="148" t="n">
        <f aca="false">Scoring!C370</f>
        <v>0</v>
      </c>
      <c r="D364" s="149" t="str">
        <f aca="false">Scoring!AP370</f>
        <v/>
      </c>
      <c r="E364" s="148" t="str">
        <f aca="false">Scoring!Z370</f>
        <v/>
      </c>
      <c r="F364" s="148" t="n">
        <f aca="false">Scoring!B370</f>
        <v>0</v>
      </c>
      <c r="G364" s="148" t="n">
        <f aca="false">Scoring!D370</f>
        <v>0</v>
      </c>
      <c r="H364" s="148" t="str">
        <f aca="false">Scoring!AR370</f>
        <v/>
      </c>
      <c r="I364" s="150" t="str">
        <f aca="false">Scoring!AQ370</f>
        <v/>
      </c>
    </row>
    <row r="365" customFormat="false" ht="15.75" hidden="false" customHeight="false" outlineLevel="0" collapsed="false">
      <c r="A365" s="148" t="str">
        <f aca="false">Scoring!AT371</f>
        <v/>
      </c>
      <c r="B365" s="148" t="str">
        <f aca="false">Scoring!AS371</f>
        <v/>
      </c>
      <c r="C365" s="148" t="n">
        <f aca="false">Scoring!C371</f>
        <v>0</v>
      </c>
      <c r="D365" s="149" t="str">
        <f aca="false">Scoring!AP371</f>
        <v/>
      </c>
      <c r="E365" s="148" t="str">
        <f aca="false">Scoring!Z371</f>
        <v/>
      </c>
      <c r="F365" s="148" t="n">
        <f aca="false">Scoring!B371</f>
        <v>0</v>
      </c>
      <c r="G365" s="148" t="n">
        <f aca="false">Scoring!D371</f>
        <v>0</v>
      </c>
      <c r="H365" s="148" t="str">
        <f aca="false">Scoring!AR371</f>
        <v/>
      </c>
      <c r="I365" s="150" t="str">
        <f aca="false">Scoring!AQ371</f>
        <v/>
      </c>
    </row>
    <row r="366" customFormat="false" ht="15.75" hidden="false" customHeight="false" outlineLevel="0" collapsed="false">
      <c r="A366" s="148" t="str">
        <f aca="false">Scoring!AT372</f>
        <v/>
      </c>
      <c r="B366" s="148" t="str">
        <f aca="false">Scoring!AS372</f>
        <v/>
      </c>
      <c r="C366" s="148" t="n">
        <f aca="false">Scoring!C372</f>
        <v>0</v>
      </c>
      <c r="D366" s="149" t="str">
        <f aca="false">Scoring!AP372</f>
        <v/>
      </c>
      <c r="E366" s="148" t="str">
        <f aca="false">Scoring!Z372</f>
        <v/>
      </c>
      <c r="F366" s="148" t="n">
        <f aca="false">Scoring!B372</f>
        <v>0</v>
      </c>
      <c r="G366" s="148" t="n">
        <f aca="false">Scoring!D372</f>
        <v>0</v>
      </c>
      <c r="H366" s="148" t="str">
        <f aca="false">Scoring!AR372</f>
        <v/>
      </c>
      <c r="I366" s="150" t="str">
        <f aca="false">Scoring!AQ372</f>
        <v/>
      </c>
    </row>
    <row r="367" customFormat="false" ht="15.75" hidden="false" customHeight="false" outlineLevel="0" collapsed="false">
      <c r="A367" s="148" t="str">
        <f aca="false">Scoring!AT373</f>
        <v/>
      </c>
      <c r="B367" s="148" t="str">
        <f aca="false">Scoring!AS373</f>
        <v/>
      </c>
      <c r="C367" s="148" t="n">
        <f aca="false">Scoring!C373</f>
        <v>0</v>
      </c>
      <c r="D367" s="149" t="str">
        <f aca="false">Scoring!AP373</f>
        <v/>
      </c>
      <c r="E367" s="148" t="str">
        <f aca="false">Scoring!Z373</f>
        <v/>
      </c>
      <c r="F367" s="148" t="n">
        <f aca="false">Scoring!B373</f>
        <v>0</v>
      </c>
      <c r="G367" s="148" t="n">
        <f aca="false">Scoring!D373</f>
        <v>0</v>
      </c>
      <c r="H367" s="148" t="str">
        <f aca="false">Scoring!AR373</f>
        <v/>
      </c>
      <c r="I367" s="150" t="str">
        <f aca="false">Scoring!AQ373</f>
        <v/>
      </c>
    </row>
    <row r="368" customFormat="false" ht="15.75" hidden="false" customHeight="false" outlineLevel="0" collapsed="false">
      <c r="A368" s="148" t="str">
        <f aca="false">Scoring!AT374</f>
        <v/>
      </c>
      <c r="B368" s="148" t="str">
        <f aca="false">Scoring!AS374</f>
        <v/>
      </c>
      <c r="C368" s="148" t="n">
        <f aca="false">Scoring!C374</f>
        <v>0</v>
      </c>
      <c r="D368" s="149" t="str">
        <f aca="false">Scoring!AP374</f>
        <v/>
      </c>
      <c r="E368" s="148" t="str">
        <f aca="false">Scoring!Z374</f>
        <v/>
      </c>
      <c r="F368" s="148" t="n">
        <f aca="false">Scoring!B374</f>
        <v>0</v>
      </c>
      <c r="G368" s="148" t="n">
        <f aca="false">Scoring!D374</f>
        <v>0</v>
      </c>
      <c r="H368" s="148" t="str">
        <f aca="false">Scoring!AR374</f>
        <v/>
      </c>
      <c r="I368" s="150" t="str">
        <f aca="false">Scoring!AQ374</f>
        <v/>
      </c>
    </row>
    <row r="369" customFormat="false" ht="15.75" hidden="false" customHeight="false" outlineLevel="0" collapsed="false">
      <c r="A369" s="148" t="str">
        <f aca="false">Scoring!AT375</f>
        <v/>
      </c>
      <c r="B369" s="148" t="str">
        <f aca="false">Scoring!AS375</f>
        <v/>
      </c>
      <c r="C369" s="148" t="n">
        <f aca="false">Scoring!C375</f>
        <v>0</v>
      </c>
      <c r="D369" s="149" t="str">
        <f aca="false">Scoring!AP375</f>
        <v/>
      </c>
      <c r="E369" s="148" t="str">
        <f aca="false">Scoring!Z375</f>
        <v/>
      </c>
      <c r="F369" s="148" t="n">
        <f aca="false">Scoring!B375</f>
        <v>0</v>
      </c>
      <c r="G369" s="148" t="n">
        <f aca="false">Scoring!D375</f>
        <v>0</v>
      </c>
      <c r="H369" s="148" t="str">
        <f aca="false">Scoring!AR375</f>
        <v/>
      </c>
      <c r="I369" s="150" t="str">
        <f aca="false">Scoring!AQ375</f>
        <v/>
      </c>
    </row>
    <row r="370" customFormat="false" ht="15.75" hidden="false" customHeight="false" outlineLevel="0" collapsed="false">
      <c r="A370" s="148" t="str">
        <f aca="false">Scoring!AT376</f>
        <v/>
      </c>
      <c r="B370" s="148" t="str">
        <f aca="false">Scoring!AS376</f>
        <v/>
      </c>
      <c r="C370" s="148" t="n">
        <f aca="false">Scoring!C376</f>
        <v>0</v>
      </c>
      <c r="D370" s="149" t="str">
        <f aca="false">Scoring!AP376</f>
        <v/>
      </c>
      <c r="E370" s="148" t="str">
        <f aca="false">Scoring!Z376</f>
        <v/>
      </c>
      <c r="F370" s="148" t="n">
        <f aca="false">Scoring!B376</f>
        <v>0</v>
      </c>
      <c r="G370" s="148" t="n">
        <f aca="false">Scoring!D376</f>
        <v>0</v>
      </c>
      <c r="H370" s="148" t="str">
        <f aca="false">Scoring!AR376</f>
        <v/>
      </c>
      <c r="I370" s="150" t="str">
        <f aca="false">Scoring!AQ376</f>
        <v/>
      </c>
    </row>
    <row r="371" customFormat="false" ht="15.75" hidden="false" customHeight="false" outlineLevel="0" collapsed="false">
      <c r="A371" s="148" t="str">
        <f aca="false">Scoring!AT377</f>
        <v/>
      </c>
      <c r="B371" s="148" t="str">
        <f aca="false">Scoring!AS377</f>
        <v/>
      </c>
      <c r="C371" s="148" t="n">
        <f aca="false">Scoring!C377</f>
        <v>0</v>
      </c>
      <c r="D371" s="149" t="str">
        <f aca="false">Scoring!AP377</f>
        <v/>
      </c>
      <c r="E371" s="148" t="str">
        <f aca="false">Scoring!Z377</f>
        <v/>
      </c>
      <c r="F371" s="148" t="n">
        <f aca="false">Scoring!B377</f>
        <v>0</v>
      </c>
      <c r="G371" s="148" t="n">
        <f aca="false">Scoring!D377</f>
        <v>0</v>
      </c>
      <c r="H371" s="148" t="str">
        <f aca="false">Scoring!AR377</f>
        <v/>
      </c>
      <c r="I371" s="150" t="str">
        <f aca="false">Scoring!AQ377</f>
        <v/>
      </c>
    </row>
    <row r="372" customFormat="false" ht="15.75" hidden="false" customHeight="false" outlineLevel="0" collapsed="false">
      <c r="A372" s="148" t="str">
        <f aca="false">Scoring!AT378</f>
        <v/>
      </c>
      <c r="B372" s="148" t="str">
        <f aca="false">Scoring!AS378</f>
        <v/>
      </c>
      <c r="C372" s="148" t="n">
        <f aca="false">Scoring!C378</f>
        <v>0</v>
      </c>
      <c r="D372" s="149" t="str">
        <f aca="false">Scoring!AP378</f>
        <v/>
      </c>
      <c r="E372" s="148" t="str">
        <f aca="false">Scoring!Z378</f>
        <v/>
      </c>
      <c r="F372" s="148" t="n">
        <f aca="false">Scoring!B378</f>
        <v>0</v>
      </c>
      <c r="G372" s="148" t="n">
        <f aca="false">Scoring!D378</f>
        <v>0</v>
      </c>
      <c r="H372" s="148" t="str">
        <f aca="false">Scoring!AR378</f>
        <v/>
      </c>
      <c r="I372" s="150" t="str">
        <f aca="false">Scoring!AQ378</f>
        <v/>
      </c>
    </row>
    <row r="373" customFormat="false" ht="15.75" hidden="false" customHeight="false" outlineLevel="0" collapsed="false">
      <c r="A373" s="148" t="str">
        <f aca="false">Scoring!AT379</f>
        <v/>
      </c>
      <c r="B373" s="148" t="str">
        <f aca="false">Scoring!AS379</f>
        <v/>
      </c>
      <c r="C373" s="148" t="n">
        <f aca="false">Scoring!C379</f>
        <v>0</v>
      </c>
      <c r="D373" s="149" t="str">
        <f aca="false">Scoring!AP379</f>
        <v/>
      </c>
      <c r="E373" s="148" t="str">
        <f aca="false">Scoring!Z379</f>
        <v/>
      </c>
      <c r="F373" s="148" t="n">
        <f aca="false">Scoring!B379</f>
        <v>0</v>
      </c>
      <c r="G373" s="148" t="n">
        <f aca="false">Scoring!D379</f>
        <v>0</v>
      </c>
      <c r="H373" s="148" t="str">
        <f aca="false">Scoring!AR379</f>
        <v/>
      </c>
      <c r="I373" s="150" t="str">
        <f aca="false">Scoring!AQ379</f>
        <v/>
      </c>
    </row>
    <row r="374" customFormat="false" ht="15.75" hidden="false" customHeight="false" outlineLevel="0" collapsed="false">
      <c r="A374" s="148" t="str">
        <f aca="false">Scoring!AT380</f>
        <v/>
      </c>
      <c r="B374" s="148" t="str">
        <f aca="false">Scoring!AS380</f>
        <v/>
      </c>
      <c r="C374" s="148" t="n">
        <f aca="false">Scoring!C380</f>
        <v>0</v>
      </c>
      <c r="D374" s="149" t="str">
        <f aca="false">Scoring!AP380</f>
        <v/>
      </c>
      <c r="E374" s="148" t="str">
        <f aca="false">Scoring!Z380</f>
        <v/>
      </c>
      <c r="F374" s="148" t="n">
        <f aca="false">Scoring!B380</f>
        <v>0</v>
      </c>
      <c r="G374" s="148" t="n">
        <f aca="false">Scoring!D380</f>
        <v>0</v>
      </c>
      <c r="H374" s="148" t="str">
        <f aca="false">Scoring!AR380</f>
        <v/>
      </c>
      <c r="I374" s="150" t="str">
        <f aca="false">Scoring!AQ380</f>
        <v/>
      </c>
    </row>
    <row r="375" customFormat="false" ht="15.75" hidden="false" customHeight="false" outlineLevel="0" collapsed="false">
      <c r="A375" s="148" t="str">
        <f aca="false">Scoring!AT381</f>
        <v/>
      </c>
      <c r="B375" s="148" t="str">
        <f aca="false">Scoring!AS381</f>
        <v/>
      </c>
      <c r="C375" s="148" t="n">
        <f aca="false">Scoring!C381</f>
        <v>0</v>
      </c>
      <c r="D375" s="149" t="str">
        <f aca="false">Scoring!AP381</f>
        <v/>
      </c>
      <c r="E375" s="148" t="str">
        <f aca="false">Scoring!Z381</f>
        <v/>
      </c>
      <c r="F375" s="148" t="n">
        <f aca="false">Scoring!B381</f>
        <v>0</v>
      </c>
      <c r="G375" s="148" t="n">
        <f aca="false">Scoring!D381</f>
        <v>0</v>
      </c>
      <c r="H375" s="148" t="str">
        <f aca="false">Scoring!AR381</f>
        <v/>
      </c>
      <c r="I375" s="150" t="str">
        <f aca="false">Scoring!AQ381</f>
        <v/>
      </c>
    </row>
    <row r="376" customFormat="false" ht="15.75" hidden="false" customHeight="false" outlineLevel="0" collapsed="false">
      <c r="A376" s="148" t="str">
        <f aca="false">Scoring!AT382</f>
        <v/>
      </c>
      <c r="B376" s="148" t="str">
        <f aca="false">Scoring!AS382</f>
        <v/>
      </c>
      <c r="C376" s="148" t="n">
        <f aca="false">Scoring!C382</f>
        <v>0</v>
      </c>
      <c r="D376" s="149" t="str">
        <f aca="false">Scoring!AP382</f>
        <v/>
      </c>
      <c r="E376" s="148" t="str">
        <f aca="false">Scoring!Z382</f>
        <v/>
      </c>
      <c r="F376" s="148" t="n">
        <f aca="false">Scoring!B382</f>
        <v>0</v>
      </c>
      <c r="G376" s="148" t="n">
        <f aca="false">Scoring!D382</f>
        <v>0</v>
      </c>
      <c r="H376" s="148" t="str">
        <f aca="false">Scoring!AR382</f>
        <v/>
      </c>
      <c r="I376" s="150" t="str">
        <f aca="false">Scoring!AQ382</f>
        <v/>
      </c>
    </row>
    <row r="377" customFormat="false" ht="15.75" hidden="false" customHeight="false" outlineLevel="0" collapsed="false">
      <c r="A377" s="148" t="str">
        <f aca="false">Scoring!AT383</f>
        <v/>
      </c>
      <c r="B377" s="148" t="str">
        <f aca="false">Scoring!AS383</f>
        <v/>
      </c>
      <c r="C377" s="148" t="n">
        <f aca="false">Scoring!C383</f>
        <v>0</v>
      </c>
      <c r="D377" s="149" t="str">
        <f aca="false">Scoring!AP383</f>
        <v/>
      </c>
      <c r="E377" s="148" t="str">
        <f aca="false">Scoring!Z383</f>
        <v/>
      </c>
      <c r="F377" s="148" t="n">
        <f aca="false">Scoring!B383</f>
        <v>0</v>
      </c>
      <c r="G377" s="148" t="n">
        <f aca="false">Scoring!D383</f>
        <v>0</v>
      </c>
      <c r="H377" s="148" t="str">
        <f aca="false">Scoring!AR383</f>
        <v/>
      </c>
      <c r="I377" s="150" t="str">
        <f aca="false">Scoring!AQ383</f>
        <v/>
      </c>
    </row>
    <row r="378" customFormat="false" ht="15.75" hidden="false" customHeight="false" outlineLevel="0" collapsed="false">
      <c r="A378" s="148" t="str">
        <f aca="false">Scoring!AT384</f>
        <v/>
      </c>
      <c r="B378" s="148" t="str">
        <f aca="false">Scoring!AS384</f>
        <v/>
      </c>
      <c r="C378" s="148" t="n">
        <f aca="false">Scoring!C384</f>
        <v>0</v>
      </c>
      <c r="D378" s="149" t="str">
        <f aca="false">Scoring!AP384</f>
        <v/>
      </c>
      <c r="E378" s="148" t="str">
        <f aca="false">Scoring!Z384</f>
        <v/>
      </c>
      <c r="F378" s="148" t="n">
        <f aca="false">Scoring!B384</f>
        <v>0</v>
      </c>
      <c r="G378" s="148" t="n">
        <f aca="false">Scoring!D384</f>
        <v>0</v>
      </c>
      <c r="H378" s="148" t="str">
        <f aca="false">Scoring!AR384</f>
        <v/>
      </c>
      <c r="I378" s="150" t="str">
        <f aca="false">Scoring!AQ384</f>
        <v/>
      </c>
    </row>
    <row r="379" customFormat="false" ht="15.75" hidden="false" customHeight="false" outlineLevel="0" collapsed="false">
      <c r="A379" s="148" t="str">
        <f aca="false">Scoring!AT385</f>
        <v/>
      </c>
      <c r="B379" s="148" t="str">
        <f aca="false">Scoring!AS385</f>
        <v/>
      </c>
      <c r="C379" s="148" t="n">
        <f aca="false">Scoring!C385</f>
        <v>0</v>
      </c>
      <c r="D379" s="149" t="str">
        <f aca="false">Scoring!AP385</f>
        <v/>
      </c>
      <c r="E379" s="148" t="str">
        <f aca="false">Scoring!Z385</f>
        <v/>
      </c>
      <c r="F379" s="148" t="n">
        <f aca="false">Scoring!B385</f>
        <v>0</v>
      </c>
      <c r="G379" s="148" t="n">
        <f aca="false">Scoring!D385</f>
        <v>0</v>
      </c>
      <c r="H379" s="148" t="str">
        <f aca="false">Scoring!AR385</f>
        <v/>
      </c>
      <c r="I379" s="150" t="str">
        <f aca="false">Scoring!AQ385</f>
        <v/>
      </c>
    </row>
    <row r="380" customFormat="false" ht="15.75" hidden="false" customHeight="false" outlineLevel="0" collapsed="false">
      <c r="A380" s="148" t="str">
        <f aca="false">Scoring!AT386</f>
        <v/>
      </c>
      <c r="B380" s="148" t="str">
        <f aca="false">Scoring!AS386</f>
        <v/>
      </c>
      <c r="C380" s="148" t="n">
        <f aca="false">Scoring!C386</f>
        <v>0</v>
      </c>
      <c r="D380" s="149" t="str">
        <f aca="false">Scoring!AP386</f>
        <v/>
      </c>
      <c r="E380" s="148" t="str">
        <f aca="false">Scoring!Z386</f>
        <v/>
      </c>
      <c r="F380" s="148" t="n">
        <f aca="false">Scoring!B386</f>
        <v>0</v>
      </c>
      <c r="G380" s="148" t="n">
        <f aca="false">Scoring!D386</f>
        <v>0</v>
      </c>
      <c r="H380" s="148" t="str">
        <f aca="false">Scoring!AR386</f>
        <v/>
      </c>
      <c r="I380" s="150" t="str">
        <f aca="false">Scoring!AQ386</f>
        <v/>
      </c>
    </row>
    <row r="381" customFormat="false" ht="15.75" hidden="false" customHeight="false" outlineLevel="0" collapsed="false">
      <c r="A381" s="148" t="str">
        <f aca="false">Scoring!AT387</f>
        <v/>
      </c>
      <c r="B381" s="148" t="str">
        <f aca="false">Scoring!AS387</f>
        <v/>
      </c>
      <c r="C381" s="148" t="n">
        <f aca="false">Scoring!C387</f>
        <v>0</v>
      </c>
      <c r="D381" s="149" t="str">
        <f aca="false">Scoring!AP387</f>
        <v/>
      </c>
      <c r="E381" s="148" t="str">
        <f aca="false">Scoring!Z387</f>
        <v/>
      </c>
      <c r="F381" s="148" t="n">
        <f aca="false">Scoring!B387</f>
        <v>0</v>
      </c>
      <c r="G381" s="148" t="n">
        <f aca="false">Scoring!D387</f>
        <v>0</v>
      </c>
      <c r="H381" s="148" t="str">
        <f aca="false">Scoring!AR387</f>
        <v/>
      </c>
      <c r="I381" s="150" t="str">
        <f aca="false">Scoring!AQ387</f>
        <v/>
      </c>
    </row>
    <row r="382" customFormat="false" ht="15.75" hidden="false" customHeight="false" outlineLevel="0" collapsed="false">
      <c r="A382" s="148" t="str">
        <f aca="false">Scoring!AT388</f>
        <v/>
      </c>
      <c r="B382" s="148" t="str">
        <f aca="false">Scoring!AS388</f>
        <v/>
      </c>
      <c r="C382" s="148" t="n">
        <f aca="false">Scoring!C388</f>
        <v>0</v>
      </c>
      <c r="D382" s="149" t="str">
        <f aca="false">Scoring!AP388</f>
        <v/>
      </c>
      <c r="E382" s="148" t="str">
        <f aca="false">Scoring!Z388</f>
        <v/>
      </c>
      <c r="F382" s="148" t="n">
        <f aca="false">Scoring!B388</f>
        <v>0</v>
      </c>
      <c r="G382" s="148" t="n">
        <f aca="false">Scoring!D388</f>
        <v>0</v>
      </c>
      <c r="H382" s="148" t="str">
        <f aca="false">Scoring!AR388</f>
        <v/>
      </c>
      <c r="I382" s="150" t="str">
        <f aca="false">Scoring!AQ388</f>
        <v/>
      </c>
    </row>
    <row r="383" customFormat="false" ht="15.75" hidden="false" customHeight="false" outlineLevel="0" collapsed="false">
      <c r="A383" s="148" t="str">
        <f aca="false">Scoring!AT389</f>
        <v/>
      </c>
      <c r="B383" s="148" t="str">
        <f aca="false">Scoring!AS389</f>
        <v/>
      </c>
      <c r="C383" s="148" t="n">
        <f aca="false">Scoring!C389</f>
        <v>0</v>
      </c>
      <c r="D383" s="149" t="str">
        <f aca="false">Scoring!AP389</f>
        <v/>
      </c>
      <c r="E383" s="148" t="str">
        <f aca="false">Scoring!Z389</f>
        <v/>
      </c>
      <c r="F383" s="148" t="n">
        <f aca="false">Scoring!B389</f>
        <v>0</v>
      </c>
      <c r="G383" s="148" t="n">
        <f aca="false">Scoring!D389</f>
        <v>0</v>
      </c>
      <c r="H383" s="148" t="str">
        <f aca="false">Scoring!AR389</f>
        <v/>
      </c>
      <c r="I383" s="150" t="str">
        <f aca="false">Scoring!AQ389</f>
        <v/>
      </c>
    </row>
    <row r="384" customFormat="false" ht="15.75" hidden="false" customHeight="false" outlineLevel="0" collapsed="false">
      <c r="A384" s="148" t="str">
        <f aca="false">Scoring!AT390</f>
        <v/>
      </c>
      <c r="B384" s="148" t="str">
        <f aca="false">Scoring!AS390</f>
        <v/>
      </c>
      <c r="C384" s="148" t="n">
        <f aca="false">Scoring!C390</f>
        <v>0</v>
      </c>
      <c r="D384" s="149" t="str">
        <f aca="false">Scoring!AP390</f>
        <v/>
      </c>
      <c r="E384" s="148" t="str">
        <f aca="false">Scoring!Z390</f>
        <v/>
      </c>
      <c r="F384" s="148" t="n">
        <f aca="false">Scoring!B390</f>
        <v>0</v>
      </c>
      <c r="G384" s="148" t="n">
        <f aca="false">Scoring!D390</f>
        <v>0</v>
      </c>
      <c r="H384" s="148" t="str">
        <f aca="false">Scoring!AR390</f>
        <v/>
      </c>
      <c r="I384" s="150" t="str">
        <f aca="false">Scoring!AQ390</f>
        <v/>
      </c>
    </row>
    <row r="385" customFormat="false" ht="15.75" hidden="false" customHeight="false" outlineLevel="0" collapsed="false">
      <c r="A385" s="148" t="str">
        <f aca="false">Scoring!AT391</f>
        <v/>
      </c>
      <c r="B385" s="148" t="str">
        <f aca="false">Scoring!AS391</f>
        <v/>
      </c>
      <c r="C385" s="148" t="n">
        <f aca="false">Scoring!C391</f>
        <v>0</v>
      </c>
      <c r="D385" s="149" t="str">
        <f aca="false">Scoring!AP391</f>
        <v/>
      </c>
      <c r="E385" s="148" t="str">
        <f aca="false">Scoring!Z391</f>
        <v/>
      </c>
      <c r="F385" s="148" t="n">
        <f aca="false">Scoring!B391</f>
        <v>0</v>
      </c>
      <c r="G385" s="148" t="n">
        <f aca="false">Scoring!D391</f>
        <v>0</v>
      </c>
      <c r="H385" s="148" t="str">
        <f aca="false">Scoring!AR391</f>
        <v/>
      </c>
      <c r="I385" s="150" t="str">
        <f aca="false">Scoring!AQ391</f>
        <v/>
      </c>
    </row>
    <row r="386" customFormat="false" ht="15.75" hidden="false" customHeight="false" outlineLevel="0" collapsed="false">
      <c r="A386" s="148" t="str">
        <f aca="false">Scoring!AT392</f>
        <v/>
      </c>
      <c r="B386" s="148" t="str">
        <f aca="false">Scoring!AS392</f>
        <v/>
      </c>
      <c r="C386" s="148" t="n">
        <f aca="false">Scoring!C392</f>
        <v>0</v>
      </c>
      <c r="D386" s="149" t="str">
        <f aca="false">Scoring!AP392</f>
        <v/>
      </c>
      <c r="E386" s="148" t="str">
        <f aca="false">Scoring!Z392</f>
        <v/>
      </c>
      <c r="F386" s="148" t="n">
        <f aca="false">Scoring!B392</f>
        <v>0</v>
      </c>
      <c r="G386" s="148" t="n">
        <f aca="false">Scoring!D392</f>
        <v>0</v>
      </c>
      <c r="H386" s="148" t="str">
        <f aca="false">Scoring!AR392</f>
        <v/>
      </c>
      <c r="I386" s="150" t="str">
        <f aca="false">Scoring!AQ392</f>
        <v/>
      </c>
    </row>
    <row r="387" customFormat="false" ht="15.75" hidden="false" customHeight="false" outlineLevel="0" collapsed="false">
      <c r="A387" s="148" t="str">
        <f aca="false">Scoring!AT393</f>
        <v/>
      </c>
      <c r="B387" s="148" t="str">
        <f aca="false">Scoring!AS393</f>
        <v/>
      </c>
      <c r="C387" s="148" t="n">
        <f aca="false">Scoring!C393</f>
        <v>0</v>
      </c>
      <c r="D387" s="149" t="str">
        <f aca="false">Scoring!AP393</f>
        <v/>
      </c>
      <c r="E387" s="148" t="str">
        <f aca="false">Scoring!Z393</f>
        <v/>
      </c>
      <c r="F387" s="148" t="n">
        <f aca="false">Scoring!B393</f>
        <v>0</v>
      </c>
      <c r="G387" s="148" t="n">
        <f aca="false">Scoring!D393</f>
        <v>0</v>
      </c>
      <c r="H387" s="148" t="str">
        <f aca="false">Scoring!AR393</f>
        <v/>
      </c>
      <c r="I387" s="150" t="str">
        <f aca="false">Scoring!AQ393</f>
        <v/>
      </c>
    </row>
    <row r="388" customFormat="false" ht="15.75" hidden="false" customHeight="false" outlineLevel="0" collapsed="false">
      <c r="A388" s="148" t="str">
        <f aca="false">Scoring!AT394</f>
        <v/>
      </c>
      <c r="B388" s="148" t="str">
        <f aca="false">Scoring!AS394</f>
        <v/>
      </c>
      <c r="C388" s="148" t="n">
        <f aca="false">Scoring!C394</f>
        <v>0</v>
      </c>
      <c r="D388" s="149" t="str">
        <f aca="false">Scoring!AP394</f>
        <v/>
      </c>
      <c r="E388" s="148" t="str">
        <f aca="false">Scoring!Z394</f>
        <v/>
      </c>
      <c r="F388" s="148" t="n">
        <f aca="false">Scoring!B394</f>
        <v>0</v>
      </c>
      <c r="G388" s="148" t="n">
        <f aca="false">Scoring!D394</f>
        <v>0</v>
      </c>
      <c r="H388" s="148" t="str">
        <f aca="false">Scoring!AR394</f>
        <v/>
      </c>
      <c r="I388" s="150" t="str">
        <f aca="false">Scoring!AQ394</f>
        <v/>
      </c>
    </row>
    <row r="389" customFormat="false" ht="15.75" hidden="false" customHeight="false" outlineLevel="0" collapsed="false">
      <c r="A389" s="148" t="str">
        <f aca="false">Scoring!AT395</f>
        <v/>
      </c>
      <c r="B389" s="148" t="str">
        <f aca="false">Scoring!AS395</f>
        <v/>
      </c>
      <c r="C389" s="148" t="n">
        <f aca="false">Scoring!C395</f>
        <v>0</v>
      </c>
      <c r="D389" s="149" t="str">
        <f aca="false">Scoring!AP395</f>
        <v/>
      </c>
      <c r="E389" s="148" t="str">
        <f aca="false">Scoring!Z395</f>
        <v/>
      </c>
      <c r="F389" s="148" t="n">
        <f aca="false">Scoring!B395</f>
        <v>0</v>
      </c>
      <c r="G389" s="148" t="n">
        <f aca="false">Scoring!D395</f>
        <v>0</v>
      </c>
      <c r="H389" s="148" t="str">
        <f aca="false">Scoring!AR395</f>
        <v/>
      </c>
      <c r="I389" s="150" t="str">
        <f aca="false">Scoring!AQ395</f>
        <v/>
      </c>
    </row>
    <row r="390" customFormat="false" ht="15.75" hidden="false" customHeight="false" outlineLevel="0" collapsed="false">
      <c r="A390" s="148" t="str">
        <f aca="false">Scoring!AT396</f>
        <v/>
      </c>
      <c r="B390" s="148" t="str">
        <f aca="false">Scoring!AS396</f>
        <v/>
      </c>
      <c r="C390" s="148" t="n">
        <f aca="false">Scoring!C396</f>
        <v>0</v>
      </c>
      <c r="D390" s="149" t="str">
        <f aca="false">Scoring!AP396</f>
        <v/>
      </c>
      <c r="E390" s="148" t="str">
        <f aca="false">Scoring!Z396</f>
        <v/>
      </c>
      <c r="F390" s="148" t="n">
        <f aca="false">Scoring!B396</f>
        <v>0</v>
      </c>
      <c r="G390" s="148" t="n">
        <f aca="false">Scoring!D396</f>
        <v>0</v>
      </c>
      <c r="H390" s="148" t="str">
        <f aca="false">Scoring!AR396</f>
        <v/>
      </c>
      <c r="I390" s="150" t="str">
        <f aca="false">Scoring!AQ396</f>
        <v/>
      </c>
    </row>
    <row r="391" customFormat="false" ht="15.75" hidden="false" customHeight="false" outlineLevel="0" collapsed="false">
      <c r="A391" s="148" t="str">
        <f aca="false">Scoring!AT397</f>
        <v/>
      </c>
      <c r="B391" s="148" t="str">
        <f aca="false">Scoring!AS397</f>
        <v/>
      </c>
      <c r="C391" s="148" t="n">
        <f aca="false">Scoring!C397</f>
        <v>0</v>
      </c>
      <c r="D391" s="149" t="str">
        <f aca="false">Scoring!AP397</f>
        <v/>
      </c>
      <c r="E391" s="148" t="str">
        <f aca="false">Scoring!Z397</f>
        <v/>
      </c>
      <c r="F391" s="148" t="n">
        <f aca="false">Scoring!B397</f>
        <v>0</v>
      </c>
      <c r="G391" s="148" t="n">
        <f aca="false">Scoring!D397</f>
        <v>0</v>
      </c>
      <c r="H391" s="148" t="str">
        <f aca="false">Scoring!AR397</f>
        <v/>
      </c>
      <c r="I391" s="150" t="str">
        <f aca="false">Scoring!AQ397</f>
        <v/>
      </c>
    </row>
    <row r="392" customFormat="false" ht="15.75" hidden="false" customHeight="false" outlineLevel="0" collapsed="false">
      <c r="A392" s="148" t="str">
        <f aca="false">Scoring!AT398</f>
        <v/>
      </c>
      <c r="B392" s="148" t="str">
        <f aca="false">Scoring!AS398</f>
        <v/>
      </c>
      <c r="C392" s="148" t="n">
        <f aca="false">Scoring!C398</f>
        <v>0</v>
      </c>
      <c r="D392" s="149" t="str">
        <f aca="false">Scoring!AP398</f>
        <v/>
      </c>
      <c r="E392" s="148" t="str">
        <f aca="false">Scoring!Z398</f>
        <v/>
      </c>
      <c r="F392" s="148" t="n">
        <f aca="false">Scoring!B398</f>
        <v>0</v>
      </c>
      <c r="G392" s="148" t="n">
        <f aca="false">Scoring!D398</f>
        <v>0</v>
      </c>
      <c r="H392" s="148" t="str">
        <f aca="false">Scoring!AR398</f>
        <v/>
      </c>
      <c r="I392" s="150" t="str">
        <f aca="false">Scoring!AQ398</f>
        <v/>
      </c>
    </row>
    <row r="393" customFormat="false" ht="15.75" hidden="false" customHeight="false" outlineLevel="0" collapsed="false">
      <c r="A393" s="148" t="str">
        <f aca="false">Scoring!AT399</f>
        <v/>
      </c>
      <c r="B393" s="148" t="str">
        <f aca="false">Scoring!AS399</f>
        <v/>
      </c>
      <c r="C393" s="148" t="n">
        <f aca="false">Scoring!C399</f>
        <v>0</v>
      </c>
      <c r="D393" s="149" t="str">
        <f aca="false">Scoring!AP399</f>
        <v/>
      </c>
      <c r="E393" s="148" t="str">
        <f aca="false">Scoring!Z399</f>
        <v/>
      </c>
      <c r="F393" s="148" t="n">
        <f aca="false">Scoring!B399</f>
        <v>0</v>
      </c>
      <c r="G393" s="148" t="n">
        <f aca="false">Scoring!D399</f>
        <v>0</v>
      </c>
      <c r="H393" s="148" t="str">
        <f aca="false">Scoring!AR399</f>
        <v/>
      </c>
      <c r="I393" s="150" t="str">
        <f aca="false">Scoring!AQ399</f>
        <v/>
      </c>
    </row>
    <row r="394" customFormat="false" ht="15.75" hidden="false" customHeight="false" outlineLevel="0" collapsed="false">
      <c r="A394" s="148" t="str">
        <f aca="false">Scoring!AT400</f>
        <v/>
      </c>
      <c r="B394" s="148" t="str">
        <f aca="false">Scoring!AS400</f>
        <v/>
      </c>
      <c r="C394" s="148" t="n">
        <f aca="false">Scoring!C400</f>
        <v>0</v>
      </c>
      <c r="D394" s="149" t="str">
        <f aca="false">Scoring!AP400</f>
        <v/>
      </c>
      <c r="E394" s="148" t="str">
        <f aca="false">Scoring!Z400</f>
        <v/>
      </c>
      <c r="F394" s="148" t="n">
        <f aca="false">Scoring!B400</f>
        <v>0</v>
      </c>
      <c r="G394" s="148" t="n">
        <f aca="false">Scoring!D400</f>
        <v>0</v>
      </c>
      <c r="H394" s="148" t="str">
        <f aca="false">Scoring!AR400</f>
        <v/>
      </c>
      <c r="I394" s="150" t="str">
        <f aca="false">Scoring!AQ400</f>
        <v/>
      </c>
    </row>
    <row r="395" customFormat="false" ht="15.75" hidden="false" customHeight="false" outlineLevel="0" collapsed="false">
      <c r="A395" s="148" t="str">
        <f aca="false">Scoring!AT401</f>
        <v/>
      </c>
      <c r="B395" s="148" t="str">
        <f aca="false">Scoring!AS401</f>
        <v/>
      </c>
      <c r="C395" s="148" t="n">
        <f aca="false">Scoring!C401</f>
        <v>0</v>
      </c>
      <c r="D395" s="149" t="str">
        <f aca="false">Scoring!AP401</f>
        <v/>
      </c>
      <c r="E395" s="148" t="str">
        <f aca="false">Scoring!Z401</f>
        <v/>
      </c>
      <c r="F395" s="148" t="n">
        <f aca="false">Scoring!B401</f>
        <v>0</v>
      </c>
      <c r="G395" s="148" t="n">
        <f aca="false">Scoring!D401</f>
        <v>0</v>
      </c>
      <c r="H395" s="148" t="str">
        <f aca="false">Scoring!AR401</f>
        <v/>
      </c>
      <c r="I395" s="150" t="str">
        <f aca="false">Scoring!AQ401</f>
        <v/>
      </c>
    </row>
    <row r="396" customFormat="false" ht="15.75" hidden="false" customHeight="false" outlineLevel="0" collapsed="false">
      <c r="A396" s="148" t="str">
        <f aca="false">Scoring!AT402</f>
        <v/>
      </c>
      <c r="B396" s="148" t="str">
        <f aca="false">Scoring!AS402</f>
        <v/>
      </c>
      <c r="C396" s="148" t="n">
        <f aca="false">Scoring!C402</f>
        <v>0</v>
      </c>
      <c r="D396" s="149" t="str">
        <f aca="false">Scoring!AP402</f>
        <v/>
      </c>
      <c r="E396" s="148" t="str">
        <f aca="false">Scoring!Z402</f>
        <v/>
      </c>
      <c r="F396" s="148" t="n">
        <f aca="false">Scoring!B402</f>
        <v>0</v>
      </c>
      <c r="G396" s="148" t="n">
        <f aca="false">Scoring!D402</f>
        <v>0</v>
      </c>
      <c r="H396" s="148" t="str">
        <f aca="false">Scoring!AR402</f>
        <v/>
      </c>
      <c r="I396" s="150" t="str">
        <f aca="false">Scoring!AQ402</f>
        <v/>
      </c>
    </row>
    <row r="397" customFormat="false" ht="15.75" hidden="false" customHeight="false" outlineLevel="0" collapsed="false">
      <c r="A397" s="148" t="str">
        <f aca="false">Scoring!AT403</f>
        <v/>
      </c>
      <c r="B397" s="148" t="str">
        <f aca="false">Scoring!AS403</f>
        <v/>
      </c>
      <c r="C397" s="148" t="n">
        <f aca="false">Scoring!C403</f>
        <v>0</v>
      </c>
      <c r="D397" s="149" t="str">
        <f aca="false">Scoring!AP403</f>
        <v/>
      </c>
      <c r="E397" s="148" t="str">
        <f aca="false">Scoring!Z403</f>
        <v/>
      </c>
      <c r="F397" s="148" t="n">
        <f aca="false">Scoring!B403</f>
        <v>0</v>
      </c>
      <c r="G397" s="148" t="n">
        <f aca="false">Scoring!D403</f>
        <v>0</v>
      </c>
      <c r="H397" s="148" t="str">
        <f aca="false">Scoring!AR403</f>
        <v/>
      </c>
      <c r="I397" s="150" t="str">
        <f aca="false">Scoring!AQ403</f>
        <v/>
      </c>
    </row>
    <row r="398" customFormat="false" ht="15.75" hidden="false" customHeight="false" outlineLevel="0" collapsed="false">
      <c r="A398" s="148" t="str">
        <f aca="false">Scoring!AT404</f>
        <v/>
      </c>
      <c r="B398" s="148" t="str">
        <f aca="false">Scoring!AS404</f>
        <v/>
      </c>
      <c r="C398" s="148" t="n">
        <f aca="false">Scoring!C404</f>
        <v>0</v>
      </c>
      <c r="D398" s="149" t="str">
        <f aca="false">Scoring!AP404</f>
        <v/>
      </c>
      <c r="E398" s="148" t="str">
        <f aca="false">Scoring!Z404</f>
        <v/>
      </c>
      <c r="F398" s="148" t="n">
        <f aca="false">Scoring!B404</f>
        <v>0</v>
      </c>
      <c r="G398" s="148" t="n">
        <f aca="false">Scoring!D404</f>
        <v>0</v>
      </c>
      <c r="H398" s="148" t="str">
        <f aca="false">Scoring!AR404</f>
        <v/>
      </c>
      <c r="I398" s="150" t="str">
        <f aca="false">Scoring!AQ404</f>
        <v/>
      </c>
    </row>
    <row r="399" customFormat="false" ht="15.75" hidden="false" customHeight="false" outlineLevel="0" collapsed="false">
      <c r="A399" s="148" t="str">
        <f aca="false">Scoring!AT405</f>
        <v/>
      </c>
      <c r="B399" s="148" t="str">
        <f aca="false">Scoring!AS405</f>
        <v/>
      </c>
      <c r="C399" s="148" t="n">
        <f aca="false">Scoring!C405</f>
        <v>0</v>
      </c>
      <c r="D399" s="149" t="str">
        <f aca="false">Scoring!AP405</f>
        <v/>
      </c>
      <c r="E399" s="148" t="str">
        <f aca="false">Scoring!Z405</f>
        <v/>
      </c>
      <c r="F399" s="148" t="n">
        <f aca="false">Scoring!B405</f>
        <v>0</v>
      </c>
      <c r="G399" s="148" t="n">
        <f aca="false">Scoring!D405</f>
        <v>0</v>
      </c>
      <c r="H399" s="148" t="str">
        <f aca="false">Scoring!AR405</f>
        <v/>
      </c>
      <c r="I399" s="150" t="str">
        <f aca="false">Scoring!AQ405</f>
        <v/>
      </c>
    </row>
    <row r="400" customFormat="false" ht="15.75" hidden="false" customHeight="false" outlineLevel="0" collapsed="false">
      <c r="A400" s="148" t="str">
        <f aca="false">Scoring!AT406</f>
        <v/>
      </c>
      <c r="B400" s="148" t="str">
        <f aca="false">Scoring!AS406</f>
        <v/>
      </c>
      <c r="C400" s="148" t="n">
        <f aca="false">Scoring!C406</f>
        <v>0</v>
      </c>
      <c r="D400" s="149" t="str">
        <f aca="false">Scoring!AP406</f>
        <v/>
      </c>
      <c r="E400" s="148" t="str">
        <f aca="false">Scoring!Z406</f>
        <v/>
      </c>
      <c r="F400" s="148" t="n">
        <f aca="false">Scoring!B406</f>
        <v>0</v>
      </c>
      <c r="G400" s="148" t="n">
        <f aca="false">Scoring!D406</f>
        <v>0</v>
      </c>
      <c r="H400" s="148" t="str">
        <f aca="false">Scoring!AR406</f>
        <v/>
      </c>
      <c r="I400" s="150" t="str">
        <f aca="false">Scoring!AQ406</f>
        <v/>
      </c>
    </row>
    <row r="401" customFormat="false" ht="15.75" hidden="false" customHeight="false" outlineLevel="0" collapsed="false">
      <c r="A401" s="148" t="str">
        <f aca="false">Scoring!AT407</f>
        <v/>
      </c>
      <c r="B401" s="148" t="str">
        <f aca="false">Scoring!AS407</f>
        <v/>
      </c>
      <c r="C401" s="148" t="n">
        <f aca="false">Scoring!C407</f>
        <v>0</v>
      </c>
      <c r="D401" s="149" t="str">
        <f aca="false">Scoring!AP407</f>
        <v/>
      </c>
      <c r="E401" s="148" t="str">
        <f aca="false">Scoring!Z407</f>
        <v/>
      </c>
      <c r="F401" s="148" t="n">
        <f aca="false">Scoring!B407</f>
        <v>0</v>
      </c>
      <c r="G401" s="148" t="n">
        <f aca="false">Scoring!D407</f>
        <v>0</v>
      </c>
      <c r="H401" s="148" t="str">
        <f aca="false">Scoring!AR407</f>
        <v/>
      </c>
      <c r="I401" s="150" t="str">
        <f aca="false">Scoring!AQ407</f>
        <v/>
      </c>
    </row>
    <row r="402" customFormat="false" ht="15.75" hidden="false" customHeight="false" outlineLevel="0" collapsed="false">
      <c r="A402" s="148" t="str">
        <f aca="false">Scoring!AT408</f>
        <v/>
      </c>
      <c r="B402" s="148" t="str">
        <f aca="false">Scoring!AS408</f>
        <v/>
      </c>
      <c r="C402" s="148" t="n">
        <f aca="false">Scoring!C408</f>
        <v>0</v>
      </c>
      <c r="D402" s="149" t="str">
        <f aca="false">Scoring!AP408</f>
        <v/>
      </c>
      <c r="E402" s="148" t="str">
        <f aca="false">Scoring!Z408</f>
        <v/>
      </c>
      <c r="F402" s="148" t="n">
        <f aca="false">Scoring!B408</f>
        <v>0</v>
      </c>
      <c r="G402" s="148" t="n">
        <f aca="false">Scoring!D408</f>
        <v>0</v>
      </c>
      <c r="H402" s="148" t="str">
        <f aca="false">Scoring!AR408</f>
        <v/>
      </c>
      <c r="I402" s="150" t="str">
        <f aca="false">Scoring!AQ408</f>
        <v/>
      </c>
    </row>
    <row r="403" customFormat="false" ht="15.75" hidden="false" customHeight="false" outlineLevel="0" collapsed="false">
      <c r="A403" s="148" t="str">
        <f aca="false">Scoring!AT409</f>
        <v/>
      </c>
      <c r="B403" s="148" t="str">
        <f aca="false">Scoring!AS409</f>
        <v/>
      </c>
      <c r="C403" s="148" t="n">
        <f aca="false">Scoring!C409</f>
        <v>0</v>
      </c>
      <c r="D403" s="149" t="str">
        <f aca="false">Scoring!AP409</f>
        <v/>
      </c>
      <c r="E403" s="148" t="str">
        <f aca="false">Scoring!Z409</f>
        <v/>
      </c>
      <c r="F403" s="148" t="n">
        <f aca="false">Scoring!B409</f>
        <v>0</v>
      </c>
      <c r="G403" s="148" t="n">
        <f aca="false">Scoring!D409</f>
        <v>0</v>
      </c>
      <c r="H403" s="148" t="str">
        <f aca="false">Scoring!AR409</f>
        <v/>
      </c>
      <c r="I403" s="150" t="str">
        <f aca="false">Scoring!AQ409</f>
        <v/>
      </c>
    </row>
    <row r="404" customFormat="false" ht="15.75" hidden="false" customHeight="false" outlineLevel="0" collapsed="false">
      <c r="A404" s="148" t="str">
        <f aca="false">Scoring!AT410</f>
        <v/>
      </c>
      <c r="B404" s="148" t="str">
        <f aca="false">Scoring!AS410</f>
        <v/>
      </c>
      <c r="C404" s="148" t="n">
        <f aca="false">Scoring!C410</f>
        <v>0</v>
      </c>
      <c r="D404" s="149" t="str">
        <f aca="false">Scoring!AP410</f>
        <v/>
      </c>
      <c r="E404" s="148" t="str">
        <f aca="false">Scoring!Z410</f>
        <v/>
      </c>
      <c r="F404" s="148" t="n">
        <f aca="false">Scoring!B410</f>
        <v>0</v>
      </c>
      <c r="G404" s="148" t="n">
        <f aca="false">Scoring!D410</f>
        <v>0</v>
      </c>
      <c r="H404" s="148" t="str">
        <f aca="false">Scoring!AR410</f>
        <v/>
      </c>
      <c r="I404" s="150" t="str">
        <f aca="false">Scoring!AQ410</f>
        <v/>
      </c>
    </row>
    <row r="405" customFormat="false" ht="15.75" hidden="false" customHeight="false" outlineLevel="0" collapsed="false">
      <c r="A405" s="148" t="str">
        <f aca="false">Scoring!AT411</f>
        <v/>
      </c>
      <c r="B405" s="148" t="str">
        <f aca="false">Scoring!AS411</f>
        <v/>
      </c>
      <c r="C405" s="148" t="n">
        <f aca="false">Scoring!C411</f>
        <v>0</v>
      </c>
      <c r="D405" s="149" t="str">
        <f aca="false">Scoring!AP411</f>
        <v/>
      </c>
      <c r="E405" s="148" t="str">
        <f aca="false">Scoring!Z411</f>
        <v/>
      </c>
      <c r="F405" s="148" t="n">
        <f aca="false">Scoring!B411</f>
        <v>0</v>
      </c>
      <c r="G405" s="148" t="n">
        <f aca="false">Scoring!D411</f>
        <v>0</v>
      </c>
      <c r="H405" s="148" t="str">
        <f aca="false">Scoring!AR411</f>
        <v/>
      </c>
      <c r="I405" s="150" t="str">
        <f aca="false">Scoring!AQ411</f>
        <v/>
      </c>
    </row>
    <row r="406" customFormat="false" ht="15.75" hidden="false" customHeight="false" outlineLevel="0" collapsed="false">
      <c r="A406" s="148" t="str">
        <f aca="false">Scoring!AT412</f>
        <v/>
      </c>
      <c r="B406" s="148" t="str">
        <f aca="false">Scoring!AS412</f>
        <v/>
      </c>
      <c r="C406" s="148" t="n">
        <f aca="false">Scoring!C412</f>
        <v>0</v>
      </c>
      <c r="D406" s="149" t="str">
        <f aca="false">Scoring!AP412</f>
        <v/>
      </c>
      <c r="E406" s="148" t="str">
        <f aca="false">Scoring!Z412</f>
        <v/>
      </c>
      <c r="F406" s="148" t="n">
        <f aca="false">Scoring!B412</f>
        <v>0</v>
      </c>
      <c r="G406" s="148" t="n">
        <f aca="false">Scoring!D412</f>
        <v>0</v>
      </c>
      <c r="H406" s="148" t="str">
        <f aca="false">Scoring!AR412</f>
        <v/>
      </c>
      <c r="I406" s="150" t="str">
        <f aca="false">Scoring!AQ412</f>
        <v/>
      </c>
    </row>
    <row r="407" customFormat="false" ht="15.75" hidden="false" customHeight="false" outlineLevel="0" collapsed="false">
      <c r="A407" s="148" t="str">
        <f aca="false">Scoring!AT413</f>
        <v/>
      </c>
      <c r="B407" s="148" t="str">
        <f aca="false">Scoring!AS413</f>
        <v/>
      </c>
      <c r="C407" s="148" t="n">
        <f aca="false">Scoring!C413</f>
        <v>0</v>
      </c>
      <c r="D407" s="149" t="str">
        <f aca="false">Scoring!AP413</f>
        <v/>
      </c>
      <c r="E407" s="148" t="str">
        <f aca="false">Scoring!Z413</f>
        <v/>
      </c>
      <c r="F407" s="148" t="n">
        <f aca="false">Scoring!B413</f>
        <v>0</v>
      </c>
      <c r="G407" s="148" t="n">
        <f aca="false">Scoring!D413</f>
        <v>0</v>
      </c>
      <c r="H407" s="148" t="str">
        <f aca="false">Scoring!AR413</f>
        <v/>
      </c>
      <c r="I407" s="150" t="str">
        <f aca="false">Scoring!AQ413</f>
        <v/>
      </c>
    </row>
    <row r="408" customFormat="false" ht="15.75" hidden="false" customHeight="false" outlineLevel="0" collapsed="false">
      <c r="A408" s="148" t="str">
        <f aca="false">Scoring!AT414</f>
        <v/>
      </c>
      <c r="B408" s="148" t="str">
        <f aca="false">Scoring!AS414</f>
        <v/>
      </c>
      <c r="C408" s="148" t="n">
        <f aca="false">Scoring!C414</f>
        <v>0</v>
      </c>
      <c r="D408" s="149" t="str">
        <f aca="false">Scoring!AP414</f>
        <v/>
      </c>
      <c r="E408" s="148" t="str">
        <f aca="false">Scoring!Z414</f>
        <v/>
      </c>
      <c r="F408" s="148" t="n">
        <f aca="false">Scoring!B414</f>
        <v>0</v>
      </c>
      <c r="G408" s="148" t="n">
        <f aca="false">Scoring!D414</f>
        <v>0</v>
      </c>
      <c r="H408" s="148" t="str">
        <f aca="false">Scoring!AR414</f>
        <v/>
      </c>
      <c r="I408" s="150" t="str">
        <f aca="false">Scoring!AQ414</f>
        <v/>
      </c>
    </row>
    <row r="409" customFormat="false" ht="15.75" hidden="false" customHeight="false" outlineLevel="0" collapsed="false">
      <c r="A409" s="148" t="str">
        <f aca="false">Scoring!AT415</f>
        <v/>
      </c>
      <c r="B409" s="148" t="str">
        <f aca="false">Scoring!AS415</f>
        <v/>
      </c>
      <c r="C409" s="148" t="n">
        <f aca="false">Scoring!C415</f>
        <v>0</v>
      </c>
      <c r="D409" s="149" t="str">
        <f aca="false">Scoring!AP415</f>
        <v/>
      </c>
      <c r="E409" s="148" t="str">
        <f aca="false">Scoring!Z415</f>
        <v/>
      </c>
      <c r="F409" s="148" t="n">
        <f aca="false">Scoring!B415</f>
        <v>0</v>
      </c>
      <c r="G409" s="148" t="n">
        <f aca="false">Scoring!D415</f>
        <v>0</v>
      </c>
      <c r="H409" s="148" t="str">
        <f aca="false">Scoring!AR415</f>
        <v/>
      </c>
      <c r="I409" s="150" t="str">
        <f aca="false">Scoring!AQ415</f>
        <v/>
      </c>
    </row>
    <row r="410" customFormat="false" ht="15.75" hidden="false" customHeight="false" outlineLevel="0" collapsed="false">
      <c r="A410" s="148" t="str">
        <f aca="false">Scoring!AT416</f>
        <v/>
      </c>
      <c r="B410" s="148" t="str">
        <f aca="false">Scoring!AS416</f>
        <v/>
      </c>
      <c r="C410" s="148" t="n">
        <f aca="false">Scoring!C416</f>
        <v>0</v>
      </c>
      <c r="D410" s="149" t="str">
        <f aca="false">Scoring!AP416</f>
        <v/>
      </c>
      <c r="E410" s="148" t="str">
        <f aca="false">Scoring!Z416</f>
        <v/>
      </c>
      <c r="F410" s="148" t="n">
        <f aca="false">Scoring!B416</f>
        <v>0</v>
      </c>
      <c r="G410" s="148" t="n">
        <f aca="false">Scoring!D416</f>
        <v>0</v>
      </c>
      <c r="H410" s="148" t="str">
        <f aca="false">Scoring!AR416</f>
        <v/>
      </c>
      <c r="I410" s="150" t="str">
        <f aca="false">Scoring!AQ416</f>
        <v/>
      </c>
    </row>
    <row r="411" customFormat="false" ht="15.75" hidden="false" customHeight="false" outlineLevel="0" collapsed="false">
      <c r="A411" s="148" t="str">
        <f aca="false">Scoring!AT417</f>
        <v/>
      </c>
      <c r="B411" s="148" t="str">
        <f aca="false">Scoring!AS417</f>
        <v/>
      </c>
      <c r="C411" s="148" t="n">
        <f aca="false">Scoring!C417</f>
        <v>0</v>
      </c>
      <c r="D411" s="149" t="str">
        <f aca="false">Scoring!AP417</f>
        <v/>
      </c>
      <c r="E411" s="148" t="str">
        <f aca="false">Scoring!Z417</f>
        <v/>
      </c>
      <c r="F411" s="148" t="n">
        <f aca="false">Scoring!B417</f>
        <v>0</v>
      </c>
      <c r="G411" s="148" t="n">
        <f aca="false">Scoring!D417</f>
        <v>0</v>
      </c>
      <c r="H411" s="148" t="str">
        <f aca="false">Scoring!AR417</f>
        <v/>
      </c>
      <c r="I411" s="150" t="str">
        <f aca="false">Scoring!AQ417</f>
        <v/>
      </c>
    </row>
    <row r="412" customFormat="false" ht="15.75" hidden="false" customHeight="false" outlineLevel="0" collapsed="false">
      <c r="A412" s="148" t="str">
        <f aca="false">Scoring!AT418</f>
        <v/>
      </c>
      <c r="B412" s="148" t="str">
        <f aca="false">Scoring!AS418</f>
        <v/>
      </c>
      <c r="C412" s="148" t="n">
        <f aca="false">Scoring!C418</f>
        <v>0</v>
      </c>
      <c r="D412" s="149" t="str">
        <f aca="false">Scoring!AP418</f>
        <v/>
      </c>
      <c r="E412" s="148" t="str">
        <f aca="false">Scoring!Z418</f>
        <v/>
      </c>
      <c r="F412" s="148" t="n">
        <f aca="false">Scoring!B418</f>
        <v>0</v>
      </c>
      <c r="G412" s="148" t="n">
        <f aca="false">Scoring!D418</f>
        <v>0</v>
      </c>
      <c r="H412" s="148" t="str">
        <f aca="false">Scoring!AR418</f>
        <v/>
      </c>
      <c r="I412" s="150" t="str">
        <f aca="false">Scoring!AQ418</f>
        <v/>
      </c>
    </row>
    <row r="413" customFormat="false" ht="15.75" hidden="false" customHeight="false" outlineLevel="0" collapsed="false">
      <c r="A413" s="148" t="str">
        <f aca="false">Scoring!AT419</f>
        <v/>
      </c>
      <c r="B413" s="148" t="str">
        <f aca="false">Scoring!AS419</f>
        <v/>
      </c>
      <c r="C413" s="148" t="n">
        <f aca="false">Scoring!C419</f>
        <v>0</v>
      </c>
      <c r="D413" s="149" t="str">
        <f aca="false">Scoring!AP419</f>
        <v/>
      </c>
      <c r="E413" s="148" t="str">
        <f aca="false">Scoring!Z419</f>
        <v/>
      </c>
      <c r="F413" s="148" t="n">
        <f aca="false">Scoring!B419</f>
        <v>0</v>
      </c>
      <c r="G413" s="148" t="n">
        <f aca="false">Scoring!D419</f>
        <v>0</v>
      </c>
      <c r="H413" s="148" t="str">
        <f aca="false">Scoring!AR419</f>
        <v/>
      </c>
      <c r="I413" s="150" t="str">
        <f aca="false">Scoring!AQ419</f>
        <v/>
      </c>
    </row>
    <row r="414" customFormat="false" ht="15.75" hidden="false" customHeight="false" outlineLevel="0" collapsed="false">
      <c r="A414" s="148" t="str">
        <f aca="false">Scoring!AT420</f>
        <v/>
      </c>
      <c r="B414" s="148" t="str">
        <f aca="false">Scoring!AS420</f>
        <v/>
      </c>
      <c r="C414" s="148" t="n">
        <f aca="false">Scoring!C420</f>
        <v>0</v>
      </c>
      <c r="D414" s="149" t="str">
        <f aca="false">Scoring!AP420</f>
        <v/>
      </c>
      <c r="E414" s="148" t="str">
        <f aca="false">Scoring!Z420</f>
        <v/>
      </c>
      <c r="F414" s="148" t="n">
        <f aca="false">Scoring!B420</f>
        <v>0</v>
      </c>
      <c r="G414" s="148" t="n">
        <f aca="false">Scoring!D420</f>
        <v>0</v>
      </c>
      <c r="H414" s="148" t="str">
        <f aca="false">Scoring!AR420</f>
        <v/>
      </c>
      <c r="I414" s="150" t="str">
        <f aca="false">Scoring!AQ420</f>
        <v/>
      </c>
    </row>
    <row r="415" customFormat="false" ht="15.75" hidden="false" customHeight="false" outlineLevel="0" collapsed="false">
      <c r="A415" s="148" t="str">
        <f aca="false">Scoring!AT421</f>
        <v/>
      </c>
      <c r="B415" s="148" t="str">
        <f aca="false">Scoring!AS421</f>
        <v/>
      </c>
      <c r="C415" s="148" t="n">
        <f aca="false">Scoring!C421</f>
        <v>0</v>
      </c>
      <c r="D415" s="149" t="str">
        <f aca="false">Scoring!AP421</f>
        <v/>
      </c>
      <c r="E415" s="148" t="str">
        <f aca="false">Scoring!Z421</f>
        <v/>
      </c>
      <c r="F415" s="148" t="n">
        <f aca="false">Scoring!B421</f>
        <v>0</v>
      </c>
      <c r="G415" s="148" t="n">
        <f aca="false">Scoring!D421</f>
        <v>0</v>
      </c>
      <c r="H415" s="148" t="str">
        <f aca="false">Scoring!AR421</f>
        <v/>
      </c>
      <c r="I415" s="150" t="str">
        <f aca="false">Scoring!AQ421</f>
        <v/>
      </c>
    </row>
    <row r="416" customFormat="false" ht="15.75" hidden="false" customHeight="false" outlineLevel="0" collapsed="false">
      <c r="A416" s="148" t="str">
        <f aca="false">Scoring!AT422</f>
        <v/>
      </c>
      <c r="B416" s="148" t="str">
        <f aca="false">Scoring!AS422</f>
        <v/>
      </c>
      <c r="C416" s="148" t="n">
        <f aca="false">Scoring!C422</f>
        <v>0</v>
      </c>
      <c r="D416" s="149" t="str">
        <f aca="false">Scoring!AP422</f>
        <v/>
      </c>
      <c r="E416" s="148" t="str">
        <f aca="false">Scoring!Z422</f>
        <v/>
      </c>
      <c r="F416" s="148" t="n">
        <f aca="false">Scoring!B422</f>
        <v>0</v>
      </c>
      <c r="G416" s="148" t="n">
        <f aca="false">Scoring!D422</f>
        <v>0</v>
      </c>
      <c r="H416" s="148" t="str">
        <f aca="false">Scoring!AR422</f>
        <v/>
      </c>
      <c r="I416" s="150" t="str">
        <f aca="false">Scoring!AQ422</f>
        <v/>
      </c>
    </row>
    <row r="417" customFormat="false" ht="15.75" hidden="false" customHeight="false" outlineLevel="0" collapsed="false">
      <c r="A417" s="148" t="str">
        <f aca="false">Scoring!AT423</f>
        <v/>
      </c>
      <c r="B417" s="148" t="str">
        <f aca="false">Scoring!AS423</f>
        <v/>
      </c>
      <c r="C417" s="148" t="n">
        <f aca="false">Scoring!C423</f>
        <v>0</v>
      </c>
      <c r="D417" s="149" t="str">
        <f aca="false">Scoring!AP423</f>
        <v/>
      </c>
      <c r="E417" s="148" t="str">
        <f aca="false">Scoring!Z423</f>
        <v/>
      </c>
      <c r="F417" s="148" t="n">
        <f aca="false">Scoring!B423</f>
        <v>0</v>
      </c>
      <c r="G417" s="148" t="n">
        <f aca="false">Scoring!D423</f>
        <v>0</v>
      </c>
      <c r="H417" s="148" t="str">
        <f aca="false">Scoring!AR423</f>
        <v/>
      </c>
      <c r="I417" s="150" t="str">
        <f aca="false">Scoring!AQ423</f>
        <v/>
      </c>
    </row>
    <row r="418" customFormat="false" ht="15.75" hidden="false" customHeight="false" outlineLevel="0" collapsed="false">
      <c r="A418" s="148" t="str">
        <f aca="false">Scoring!AT424</f>
        <v/>
      </c>
      <c r="B418" s="148" t="str">
        <f aca="false">Scoring!AS424</f>
        <v/>
      </c>
      <c r="C418" s="148" t="n">
        <f aca="false">Scoring!C424</f>
        <v>0</v>
      </c>
      <c r="D418" s="149" t="str">
        <f aca="false">Scoring!AP424</f>
        <v/>
      </c>
      <c r="E418" s="148" t="str">
        <f aca="false">Scoring!Z424</f>
        <v/>
      </c>
      <c r="F418" s="148" t="n">
        <f aca="false">Scoring!B424</f>
        <v>0</v>
      </c>
      <c r="G418" s="148" t="n">
        <f aca="false">Scoring!D424</f>
        <v>0</v>
      </c>
      <c r="H418" s="148" t="str">
        <f aca="false">Scoring!AR424</f>
        <v/>
      </c>
      <c r="I418" s="150" t="str">
        <f aca="false">Scoring!AQ424</f>
        <v/>
      </c>
    </row>
    <row r="419" customFormat="false" ht="15.75" hidden="false" customHeight="false" outlineLevel="0" collapsed="false">
      <c r="A419" s="148" t="str">
        <f aca="false">Scoring!AT425</f>
        <v/>
      </c>
      <c r="B419" s="148" t="str">
        <f aca="false">Scoring!AS425</f>
        <v/>
      </c>
      <c r="C419" s="148" t="n">
        <f aca="false">Scoring!C425</f>
        <v>0</v>
      </c>
      <c r="D419" s="149" t="str">
        <f aca="false">Scoring!AP425</f>
        <v/>
      </c>
      <c r="E419" s="148" t="str">
        <f aca="false">Scoring!Z425</f>
        <v/>
      </c>
      <c r="F419" s="148" t="n">
        <f aca="false">Scoring!B425</f>
        <v>0</v>
      </c>
      <c r="G419" s="148" t="n">
        <f aca="false">Scoring!D425</f>
        <v>0</v>
      </c>
      <c r="H419" s="148" t="str">
        <f aca="false">Scoring!AR425</f>
        <v/>
      </c>
      <c r="I419" s="150" t="str">
        <f aca="false">Scoring!AQ425</f>
        <v/>
      </c>
    </row>
    <row r="420" customFormat="false" ht="15.75" hidden="false" customHeight="false" outlineLevel="0" collapsed="false">
      <c r="A420" s="148" t="str">
        <f aca="false">Scoring!AT426</f>
        <v/>
      </c>
      <c r="B420" s="148" t="str">
        <f aca="false">Scoring!AS426</f>
        <v/>
      </c>
      <c r="C420" s="148" t="n">
        <f aca="false">Scoring!C426</f>
        <v>0</v>
      </c>
      <c r="D420" s="149" t="str">
        <f aca="false">Scoring!AP426</f>
        <v/>
      </c>
      <c r="E420" s="148" t="str">
        <f aca="false">Scoring!Z426</f>
        <v/>
      </c>
      <c r="F420" s="148" t="n">
        <f aca="false">Scoring!B426</f>
        <v>0</v>
      </c>
      <c r="G420" s="148" t="n">
        <f aca="false">Scoring!D426</f>
        <v>0</v>
      </c>
      <c r="H420" s="148" t="str">
        <f aca="false">Scoring!AR426</f>
        <v/>
      </c>
      <c r="I420" s="150" t="str">
        <f aca="false">Scoring!AQ426</f>
        <v/>
      </c>
    </row>
    <row r="421" customFormat="false" ht="15.75" hidden="false" customHeight="false" outlineLevel="0" collapsed="false">
      <c r="A421" s="148" t="str">
        <f aca="false">Scoring!AT427</f>
        <v/>
      </c>
      <c r="B421" s="148" t="str">
        <f aca="false">Scoring!AS427</f>
        <v/>
      </c>
      <c r="C421" s="148" t="n">
        <f aca="false">Scoring!C427</f>
        <v>0</v>
      </c>
      <c r="D421" s="149" t="str">
        <f aca="false">Scoring!AP427</f>
        <v/>
      </c>
      <c r="E421" s="148" t="str">
        <f aca="false">Scoring!Z427</f>
        <v/>
      </c>
      <c r="F421" s="148" t="n">
        <f aca="false">Scoring!B427</f>
        <v>0</v>
      </c>
      <c r="G421" s="148" t="n">
        <f aca="false">Scoring!D427</f>
        <v>0</v>
      </c>
      <c r="H421" s="148" t="str">
        <f aca="false">Scoring!AR427</f>
        <v/>
      </c>
      <c r="I421" s="150" t="str">
        <f aca="false">Scoring!AQ427</f>
        <v/>
      </c>
    </row>
    <row r="422" customFormat="false" ht="15.75" hidden="false" customHeight="false" outlineLevel="0" collapsed="false">
      <c r="A422" s="148" t="str">
        <f aca="false">Scoring!AT428</f>
        <v/>
      </c>
      <c r="B422" s="148" t="str">
        <f aca="false">Scoring!AS428</f>
        <v/>
      </c>
      <c r="C422" s="148" t="n">
        <f aca="false">Scoring!C428</f>
        <v>0</v>
      </c>
      <c r="D422" s="149" t="str">
        <f aca="false">Scoring!AP428</f>
        <v/>
      </c>
      <c r="E422" s="148" t="str">
        <f aca="false">Scoring!Z428</f>
        <v/>
      </c>
      <c r="F422" s="148" t="n">
        <f aca="false">Scoring!B428</f>
        <v>0</v>
      </c>
      <c r="G422" s="148" t="n">
        <f aca="false">Scoring!D428</f>
        <v>0</v>
      </c>
      <c r="H422" s="148" t="str">
        <f aca="false">Scoring!AR428</f>
        <v/>
      </c>
      <c r="I422" s="150" t="str">
        <f aca="false">Scoring!AQ428</f>
        <v/>
      </c>
    </row>
    <row r="423" customFormat="false" ht="15.75" hidden="false" customHeight="false" outlineLevel="0" collapsed="false">
      <c r="A423" s="148" t="str">
        <f aca="false">Scoring!AT429</f>
        <v/>
      </c>
      <c r="B423" s="148" t="str">
        <f aca="false">Scoring!AS429</f>
        <v/>
      </c>
      <c r="C423" s="148" t="n">
        <f aca="false">Scoring!C429</f>
        <v>0</v>
      </c>
      <c r="D423" s="149" t="str">
        <f aca="false">Scoring!AP429</f>
        <v/>
      </c>
      <c r="E423" s="148" t="str">
        <f aca="false">Scoring!Z429</f>
        <v/>
      </c>
      <c r="F423" s="148" t="n">
        <f aca="false">Scoring!B429</f>
        <v>0</v>
      </c>
      <c r="G423" s="148" t="n">
        <f aca="false">Scoring!D429</f>
        <v>0</v>
      </c>
      <c r="H423" s="148" t="str">
        <f aca="false">Scoring!AR429</f>
        <v/>
      </c>
      <c r="I423" s="150" t="str">
        <f aca="false">Scoring!AQ429</f>
        <v/>
      </c>
    </row>
    <row r="424" customFormat="false" ht="15.75" hidden="false" customHeight="false" outlineLevel="0" collapsed="false">
      <c r="A424" s="148" t="str">
        <f aca="false">Scoring!AT430</f>
        <v/>
      </c>
      <c r="B424" s="148" t="str">
        <f aca="false">Scoring!AS430</f>
        <v/>
      </c>
      <c r="C424" s="148" t="n">
        <f aca="false">Scoring!C430</f>
        <v>0</v>
      </c>
      <c r="D424" s="149" t="str">
        <f aca="false">Scoring!AP430</f>
        <v/>
      </c>
      <c r="E424" s="148" t="str">
        <f aca="false">Scoring!Z430</f>
        <v/>
      </c>
      <c r="F424" s="148" t="n">
        <f aca="false">Scoring!B430</f>
        <v>0</v>
      </c>
      <c r="G424" s="148" t="n">
        <f aca="false">Scoring!D430</f>
        <v>0</v>
      </c>
      <c r="H424" s="148" t="str">
        <f aca="false">Scoring!AR430</f>
        <v/>
      </c>
      <c r="I424" s="150" t="str">
        <f aca="false">Scoring!AQ430</f>
        <v/>
      </c>
    </row>
    <row r="425" customFormat="false" ht="15.75" hidden="false" customHeight="false" outlineLevel="0" collapsed="false">
      <c r="A425" s="148" t="str">
        <f aca="false">Scoring!AT431</f>
        <v/>
      </c>
      <c r="B425" s="148" t="str">
        <f aca="false">Scoring!AS431</f>
        <v/>
      </c>
      <c r="C425" s="148" t="n">
        <f aca="false">Scoring!C431</f>
        <v>0</v>
      </c>
      <c r="D425" s="149" t="str">
        <f aca="false">Scoring!AP431</f>
        <v/>
      </c>
      <c r="E425" s="148" t="str">
        <f aca="false">Scoring!Z431</f>
        <v/>
      </c>
      <c r="F425" s="148" t="n">
        <f aca="false">Scoring!B431</f>
        <v>0</v>
      </c>
      <c r="G425" s="148" t="n">
        <f aca="false">Scoring!D431</f>
        <v>0</v>
      </c>
      <c r="H425" s="148" t="str">
        <f aca="false">Scoring!AR431</f>
        <v/>
      </c>
      <c r="I425" s="150" t="str">
        <f aca="false">Scoring!AQ431</f>
        <v/>
      </c>
    </row>
    <row r="426" customFormat="false" ht="15.75" hidden="false" customHeight="false" outlineLevel="0" collapsed="false">
      <c r="A426" s="148" t="str">
        <f aca="false">Scoring!AT432</f>
        <v/>
      </c>
      <c r="B426" s="148" t="str">
        <f aca="false">Scoring!AS432</f>
        <v/>
      </c>
      <c r="C426" s="148" t="n">
        <f aca="false">Scoring!C432</f>
        <v>0</v>
      </c>
      <c r="D426" s="149" t="str">
        <f aca="false">Scoring!AP432</f>
        <v/>
      </c>
      <c r="E426" s="148" t="str">
        <f aca="false">Scoring!Z432</f>
        <v/>
      </c>
      <c r="F426" s="148" t="n">
        <f aca="false">Scoring!B432</f>
        <v>0</v>
      </c>
      <c r="G426" s="148" t="n">
        <f aca="false">Scoring!D432</f>
        <v>0</v>
      </c>
      <c r="H426" s="148" t="str">
        <f aca="false">Scoring!AR432</f>
        <v/>
      </c>
      <c r="I426" s="150" t="str">
        <f aca="false">Scoring!AQ432</f>
        <v/>
      </c>
    </row>
    <row r="427" customFormat="false" ht="15.75" hidden="false" customHeight="false" outlineLevel="0" collapsed="false">
      <c r="A427" s="148" t="str">
        <f aca="false">Scoring!AT433</f>
        <v/>
      </c>
      <c r="B427" s="148" t="str">
        <f aca="false">Scoring!AS433</f>
        <v/>
      </c>
      <c r="C427" s="148" t="n">
        <f aca="false">Scoring!C433</f>
        <v>0</v>
      </c>
      <c r="D427" s="149" t="str">
        <f aca="false">Scoring!AP433</f>
        <v/>
      </c>
      <c r="E427" s="148" t="str">
        <f aca="false">Scoring!Z433</f>
        <v/>
      </c>
      <c r="F427" s="148" t="n">
        <f aca="false">Scoring!B433</f>
        <v>0</v>
      </c>
      <c r="G427" s="148" t="n">
        <f aca="false">Scoring!D433</f>
        <v>0</v>
      </c>
      <c r="H427" s="148" t="str">
        <f aca="false">Scoring!AR433</f>
        <v/>
      </c>
      <c r="I427" s="150" t="str">
        <f aca="false">Scoring!AQ433</f>
        <v/>
      </c>
    </row>
    <row r="428" customFormat="false" ht="15.75" hidden="false" customHeight="false" outlineLevel="0" collapsed="false">
      <c r="A428" s="148" t="str">
        <f aca="false">Scoring!AT434</f>
        <v/>
      </c>
      <c r="B428" s="148" t="str">
        <f aca="false">Scoring!AS434</f>
        <v/>
      </c>
      <c r="C428" s="148" t="n">
        <f aca="false">Scoring!C434</f>
        <v>0</v>
      </c>
      <c r="D428" s="149" t="str">
        <f aca="false">Scoring!AP434</f>
        <v/>
      </c>
      <c r="E428" s="148" t="str">
        <f aca="false">Scoring!Z434</f>
        <v/>
      </c>
      <c r="F428" s="148" t="n">
        <f aca="false">Scoring!B434</f>
        <v>0</v>
      </c>
      <c r="G428" s="148" t="n">
        <f aca="false">Scoring!D434</f>
        <v>0</v>
      </c>
      <c r="H428" s="148" t="str">
        <f aca="false">Scoring!AR434</f>
        <v/>
      </c>
      <c r="I428" s="150" t="str">
        <f aca="false">Scoring!AQ434</f>
        <v/>
      </c>
    </row>
    <row r="429" customFormat="false" ht="15.75" hidden="false" customHeight="false" outlineLevel="0" collapsed="false">
      <c r="A429" s="148" t="str">
        <f aca="false">Scoring!AT435</f>
        <v/>
      </c>
      <c r="B429" s="148" t="str">
        <f aca="false">Scoring!AS435</f>
        <v/>
      </c>
      <c r="C429" s="148" t="n">
        <f aca="false">Scoring!C435</f>
        <v>0</v>
      </c>
      <c r="D429" s="149" t="str">
        <f aca="false">Scoring!AP435</f>
        <v/>
      </c>
      <c r="E429" s="148" t="str">
        <f aca="false">Scoring!Z435</f>
        <v/>
      </c>
      <c r="F429" s="148" t="n">
        <f aca="false">Scoring!B435</f>
        <v>0</v>
      </c>
      <c r="G429" s="148" t="n">
        <f aca="false">Scoring!D435</f>
        <v>0</v>
      </c>
      <c r="H429" s="148" t="str">
        <f aca="false">Scoring!AR435</f>
        <v/>
      </c>
      <c r="I429" s="150" t="str">
        <f aca="false">Scoring!AQ435</f>
        <v/>
      </c>
    </row>
    <row r="430" customFormat="false" ht="15.75" hidden="false" customHeight="false" outlineLevel="0" collapsed="false">
      <c r="A430" s="148" t="str">
        <f aca="false">Scoring!AT436</f>
        <v/>
      </c>
      <c r="B430" s="148" t="str">
        <f aca="false">Scoring!AS436</f>
        <v/>
      </c>
      <c r="C430" s="148" t="n">
        <f aca="false">Scoring!C436</f>
        <v>0</v>
      </c>
      <c r="D430" s="149" t="str">
        <f aca="false">Scoring!AP436</f>
        <v/>
      </c>
      <c r="E430" s="148" t="str">
        <f aca="false">Scoring!Z436</f>
        <v/>
      </c>
      <c r="F430" s="148" t="n">
        <f aca="false">Scoring!B436</f>
        <v>0</v>
      </c>
      <c r="G430" s="148" t="n">
        <f aca="false">Scoring!D436</f>
        <v>0</v>
      </c>
      <c r="H430" s="148" t="str">
        <f aca="false">Scoring!AR436</f>
        <v/>
      </c>
      <c r="I430" s="150" t="str">
        <f aca="false">Scoring!AQ436</f>
        <v/>
      </c>
    </row>
    <row r="431" customFormat="false" ht="15.75" hidden="false" customHeight="false" outlineLevel="0" collapsed="false">
      <c r="A431" s="148" t="str">
        <f aca="false">Scoring!AT437</f>
        <v/>
      </c>
      <c r="B431" s="148" t="str">
        <f aca="false">Scoring!AS437</f>
        <v/>
      </c>
      <c r="C431" s="148" t="n">
        <f aca="false">Scoring!C437</f>
        <v>0</v>
      </c>
      <c r="D431" s="149" t="str">
        <f aca="false">Scoring!AP437</f>
        <v/>
      </c>
      <c r="E431" s="148" t="str">
        <f aca="false">Scoring!Z437</f>
        <v/>
      </c>
      <c r="F431" s="148" t="n">
        <f aca="false">Scoring!B437</f>
        <v>0</v>
      </c>
      <c r="G431" s="148" t="n">
        <f aca="false">Scoring!D437</f>
        <v>0</v>
      </c>
      <c r="H431" s="148" t="str">
        <f aca="false">Scoring!AR437</f>
        <v/>
      </c>
      <c r="I431" s="150" t="str">
        <f aca="false">Scoring!AQ437</f>
        <v/>
      </c>
    </row>
    <row r="432" customFormat="false" ht="15.75" hidden="false" customHeight="false" outlineLevel="0" collapsed="false">
      <c r="A432" s="148" t="str">
        <f aca="false">Scoring!AT438</f>
        <v/>
      </c>
      <c r="B432" s="148" t="str">
        <f aca="false">Scoring!AS438</f>
        <v/>
      </c>
      <c r="C432" s="148" t="n">
        <f aca="false">Scoring!C438</f>
        <v>0</v>
      </c>
      <c r="D432" s="149" t="str">
        <f aca="false">Scoring!AP438</f>
        <v/>
      </c>
      <c r="E432" s="148" t="str">
        <f aca="false">Scoring!Z438</f>
        <v/>
      </c>
      <c r="F432" s="148" t="n">
        <f aca="false">Scoring!B438</f>
        <v>0</v>
      </c>
      <c r="G432" s="148" t="n">
        <f aca="false">Scoring!D438</f>
        <v>0</v>
      </c>
      <c r="H432" s="148" t="str">
        <f aca="false">Scoring!AR438</f>
        <v/>
      </c>
      <c r="I432" s="150" t="str">
        <f aca="false">Scoring!AQ438</f>
        <v/>
      </c>
    </row>
    <row r="433" customFormat="false" ht="15.75" hidden="false" customHeight="false" outlineLevel="0" collapsed="false">
      <c r="A433" s="148" t="str">
        <f aca="false">Scoring!AT439</f>
        <v/>
      </c>
      <c r="B433" s="148" t="str">
        <f aca="false">Scoring!AS439</f>
        <v/>
      </c>
      <c r="C433" s="148" t="n">
        <f aca="false">Scoring!C439</f>
        <v>0</v>
      </c>
      <c r="D433" s="149" t="str">
        <f aca="false">Scoring!AP439</f>
        <v/>
      </c>
      <c r="E433" s="148" t="str">
        <f aca="false">Scoring!Z439</f>
        <v/>
      </c>
      <c r="F433" s="148" t="n">
        <f aca="false">Scoring!B439</f>
        <v>0</v>
      </c>
      <c r="G433" s="148" t="n">
        <f aca="false">Scoring!D439</f>
        <v>0</v>
      </c>
      <c r="H433" s="148" t="str">
        <f aca="false">Scoring!AR439</f>
        <v/>
      </c>
      <c r="I433" s="150" t="str">
        <f aca="false">Scoring!AQ439</f>
        <v/>
      </c>
    </row>
    <row r="434" customFormat="false" ht="15.75" hidden="false" customHeight="false" outlineLevel="0" collapsed="false">
      <c r="A434" s="148" t="str">
        <f aca="false">Scoring!AT440</f>
        <v/>
      </c>
      <c r="B434" s="148" t="str">
        <f aca="false">Scoring!AS440</f>
        <v/>
      </c>
      <c r="C434" s="148" t="n">
        <f aca="false">Scoring!C440</f>
        <v>0</v>
      </c>
      <c r="D434" s="149" t="str">
        <f aca="false">Scoring!AP440</f>
        <v/>
      </c>
      <c r="E434" s="148" t="str">
        <f aca="false">Scoring!Z440</f>
        <v/>
      </c>
      <c r="F434" s="148" t="n">
        <f aca="false">Scoring!B440</f>
        <v>0</v>
      </c>
      <c r="G434" s="148" t="n">
        <f aca="false">Scoring!D440</f>
        <v>0</v>
      </c>
      <c r="H434" s="148" t="str">
        <f aca="false">Scoring!AR440</f>
        <v/>
      </c>
      <c r="I434" s="150" t="str">
        <f aca="false">Scoring!AQ440</f>
        <v/>
      </c>
    </row>
    <row r="435" customFormat="false" ht="15.75" hidden="false" customHeight="false" outlineLevel="0" collapsed="false">
      <c r="A435" s="148" t="str">
        <f aca="false">Scoring!AT441</f>
        <v/>
      </c>
      <c r="B435" s="148" t="str">
        <f aca="false">Scoring!AS441</f>
        <v/>
      </c>
      <c r="C435" s="148" t="n">
        <f aca="false">Scoring!C441</f>
        <v>0</v>
      </c>
      <c r="D435" s="149" t="str">
        <f aca="false">Scoring!AP441</f>
        <v/>
      </c>
      <c r="E435" s="148" t="str">
        <f aca="false">Scoring!Z441</f>
        <v/>
      </c>
      <c r="F435" s="148" t="n">
        <f aca="false">Scoring!B441</f>
        <v>0</v>
      </c>
      <c r="G435" s="148" t="n">
        <f aca="false">Scoring!D441</f>
        <v>0</v>
      </c>
      <c r="H435" s="148" t="str">
        <f aca="false">Scoring!AR441</f>
        <v/>
      </c>
      <c r="I435" s="150" t="str">
        <f aca="false">Scoring!AQ441</f>
        <v/>
      </c>
    </row>
    <row r="436" customFormat="false" ht="15.75" hidden="false" customHeight="false" outlineLevel="0" collapsed="false">
      <c r="A436" s="148" t="str">
        <f aca="false">Scoring!AT442</f>
        <v/>
      </c>
      <c r="B436" s="148" t="str">
        <f aca="false">Scoring!AS442</f>
        <v/>
      </c>
      <c r="C436" s="148" t="n">
        <f aca="false">Scoring!C442</f>
        <v>0</v>
      </c>
      <c r="D436" s="149" t="str">
        <f aca="false">Scoring!AP442</f>
        <v/>
      </c>
      <c r="E436" s="148" t="str">
        <f aca="false">Scoring!Z442</f>
        <v/>
      </c>
      <c r="F436" s="148" t="n">
        <f aca="false">Scoring!B442</f>
        <v>0</v>
      </c>
      <c r="G436" s="148" t="n">
        <f aca="false">Scoring!D442</f>
        <v>0</v>
      </c>
      <c r="H436" s="148" t="str">
        <f aca="false">Scoring!AR442</f>
        <v/>
      </c>
      <c r="I436" s="150" t="str">
        <f aca="false">Scoring!AQ442</f>
        <v/>
      </c>
    </row>
    <row r="437" customFormat="false" ht="15.75" hidden="false" customHeight="false" outlineLevel="0" collapsed="false">
      <c r="A437" s="148" t="str">
        <f aca="false">Scoring!AT443</f>
        <v/>
      </c>
      <c r="B437" s="148" t="str">
        <f aca="false">Scoring!AS443</f>
        <v/>
      </c>
      <c r="C437" s="148" t="n">
        <f aca="false">Scoring!C443</f>
        <v>0</v>
      </c>
      <c r="D437" s="149" t="str">
        <f aca="false">Scoring!AP443</f>
        <v/>
      </c>
      <c r="E437" s="148" t="str">
        <f aca="false">Scoring!Z443</f>
        <v/>
      </c>
      <c r="F437" s="148" t="n">
        <f aca="false">Scoring!B443</f>
        <v>0</v>
      </c>
      <c r="G437" s="148" t="n">
        <f aca="false">Scoring!D443</f>
        <v>0</v>
      </c>
      <c r="H437" s="148" t="str">
        <f aca="false">Scoring!AR443</f>
        <v/>
      </c>
      <c r="I437" s="150" t="str">
        <f aca="false">Scoring!AQ443</f>
        <v/>
      </c>
    </row>
    <row r="438" customFormat="false" ht="15.75" hidden="false" customHeight="false" outlineLevel="0" collapsed="false">
      <c r="A438" s="148" t="str">
        <f aca="false">Scoring!AT444</f>
        <v/>
      </c>
      <c r="B438" s="148" t="str">
        <f aca="false">Scoring!AS444</f>
        <v/>
      </c>
      <c r="C438" s="148" t="n">
        <f aca="false">Scoring!C444</f>
        <v>0</v>
      </c>
      <c r="D438" s="149" t="str">
        <f aca="false">Scoring!AP444</f>
        <v/>
      </c>
      <c r="E438" s="148" t="str">
        <f aca="false">Scoring!Z444</f>
        <v/>
      </c>
      <c r="F438" s="148" t="n">
        <f aca="false">Scoring!B444</f>
        <v>0</v>
      </c>
      <c r="G438" s="148" t="n">
        <f aca="false">Scoring!D444</f>
        <v>0</v>
      </c>
      <c r="H438" s="148" t="str">
        <f aca="false">Scoring!AR444</f>
        <v/>
      </c>
      <c r="I438" s="150" t="str">
        <f aca="false">Scoring!AQ444</f>
        <v/>
      </c>
    </row>
    <row r="439" customFormat="false" ht="15.75" hidden="false" customHeight="false" outlineLevel="0" collapsed="false">
      <c r="A439" s="148" t="str">
        <f aca="false">Scoring!AT445</f>
        <v/>
      </c>
      <c r="B439" s="148" t="str">
        <f aca="false">Scoring!AS445</f>
        <v/>
      </c>
      <c r="C439" s="148" t="n">
        <f aca="false">Scoring!C445</f>
        <v>0</v>
      </c>
      <c r="D439" s="149" t="str">
        <f aca="false">Scoring!AP445</f>
        <v/>
      </c>
      <c r="E439" s="148" t="str">
        <f aca="false">Scoring!Z445</f>
        <v/>
      </c>
      <c r="F439" s="148" t="n">
        <f aca="false">Scoring!B445</f>
        <v>0</v>
      </c>
      <c r="G439" s="148" t="n">
        <f aca="false">Scoring!D445</f>
        <v>0</v>
      </c>
      <c r="H439" s="148" t="str">
        <f aca="false">Scoring!AR445</f>
        <v/>
      </c>
      <c r="I439" s="150" t="str">
        <f aca="false">Scoring!AQ445</f>
        <v/>
      </c>
    </row>
    <row r="440" customFormat="false" ht="15.75" hidden="false" customHeight="false" outlineLevel="0" collapsed="false">
      <c r="A440" s="148" t="str">
        <f aca="false">Scoring!AT446</f>
        <v/>
      </c>
      <c r="B440" s="148" t="str">
        <f aca="false">Scoring!AS446</f>
        <v/>
      </c>
      <c r="C440" s="148" t="n">
        <f aca="false">Scoring!C446</f>
        <v>0</v>
      </c>
      <c r="D440" s="149" t="str">
        <f aca="false">Scoring!AP446</f>
        <v/>
      </c>
      <c r="E440" s="148" t="str">
        <f aca="false">Scoring!Z446</f>
        <v/>
      </c>
      <c r="F440" s="148" t="n">
        <f aca="false">Scoring!B446</f>
        <v>0</v>
      </c>
      <c r="G440" s="148" t="n">
        <f aca="false">Scoring!D446</f>
        <v>0</v>
      </c>
      <c r="H440" s="148" t="str">
        <f aca="false">Scoring!AR446</f>
        <v/>
      </c>
      <c r="I440" s="150" t="str">
        <f aca="false">Scoring!AQ446</f>
        <v/>
      </c>
    </row>
    <row r="441" customFormat="false" ht="15.75" hidden="false" customHeight="false" outlineLevel="0" collapsed="false">
      <c r="A441" s="148" t="str">
        <f aca="false">Scoring!AT447</f>
        <v/>
      </c>
      <c r="B441" s="148" t="str">
        <f aca="false">Scoring!AS447</f>
        <v/>
      </c>
      <c r="C441" s="148" t="n">
        <f aca="false">Scoring!C447</f>
        <v>0</v>
      </c>
      <c r="D441" s="149" t="str">
        <f aca="false">Scoring!AP447</f>
        <v/>
      </c>
      <c r="E441" s="148" t="str">
        <f aca="false">Scoring!Z447</f>
        <v/>
      </c>
      <c r="F441" s="148" t="n">
        <f aca="false">Scoring!B447</f>
        <v>0</v>
      </c>
      <c r="G441" s="148" t="n">
        <f aca="false">Scoring!D447</f>
        <v>0</v>
      </c>
      <c r="H441" s="148" t="str">
        <f aca="false">Scoring!AR447</f>
        <v/>
      </c>
      <c r="I441" s="150" t="str">
        <f aca="false">Scoring!AQ447</f>
        <v/>
      </c>
    </row>
    <row r="442" customFormat="false" ht="15.75" hidden="false" customHeight="false" outlineLevel="0" collapsed="false">
      <c r="A442" s="148" t="str">
        <f aca="false">Scoring!AT448</f>
        <v/>
      </c>
      <c r="B442" s="148" t="str">
        <f aca="false">Scoring!AS448</f>
        <v/>
      </c>
      <c r="C442" s="148" t="n">
        <f aca="false">Scoring!C448</f>
        <v>0</v>
      </c>
      <c r="D442" s="149" t="str">
        <f aca="false">Scoring!AP448</f>
        <v/>
      </c>
      <c r="E442" s="148" t="str">
        <f aca="false">Scoring!Z448</f>
        <v/>
      </c>
      <c r="F442" s="148" t="n">
        <f aca="false">Scoring!B448</f>
        <v>0</v>
      </c>
      <c r="G442" s="148" t="n">
        <f aca="false">Scoring!D448</f>
        <v>0</v>
      </c>
      <c r="H442" s="148" t="str">
        <f aca="false">Scoring!AR448</f>
        <v/>
      </c>
      <c r="I442" s="150" t="str">
        <f aca="false">Scoring!AQ448</f>
        <v/>
      </c>
    </row>
    <row r="443" customFormat="false" ht="15.75" hidden="false" customHeight="false" outlineLevel="0" collapsed="false">
      <c r="A443" s="148" t="str">
        <f aca="false">Scoring!AT449</f>
        <v/>
      </c>
      <c r="B443" s="148" t="str">
        <f aca="false">Scoring!AS449</f>
        <v/>
      </c>
      <c r="C443" s="148" t="n">
        <f aca="false">Scoring!C449</f>
        <v>0</v>
      </c>
      <c r="D443" s="149" t="str">
        <f aca="false">Scoring!AP449</f>
        <v/>
      </c>
      <c r="E443" s="148" t="str">
        <f aca="false">Scoring!Z449</f>
        <v/>
      </c>
      <c r="F443" s="148" t="n">
        <f aca="false">Scoring!B449</f>
        <v>0</v>
      </c>
      <c r="G443" s="148" t="n">
        <f aca="false">Scoring!D449</f>
        <v>0</v>
      </c>
      <c r="H443" s="148" t="str">
        <f aca="false">Scoring!AR449</f>
        <v/>
      </c>
      <c r="I443" s="150" t="str">
        <f aca="false">Scoring!AQ449</f>
        <v/>
      </c>
    </row>
    <row r="444" customFormat="false" ht="15.75" hidden="false" customHeight="false" outlineLevel="0" collapsed="false">
      <c r="A444" s="148" t="str">
        <f aca="false">Scoring!AT450</f>
        <v/>
      </c>
      <c r="B444" s="148" t="str">
        <f aca="false">Scoring!AS450</f>
        <v/>
      </c>
      <c r="C444" s="148" t="n">
        <f aca="false">Scoring!C450</f>
        <v>0</v>
      </c>
      <c r="D444" s="149" t="str">
        <f aca="false">Scoring!AP450</f>
        <v/>
      </c>
      <c r="E444" s="148" t="str">
        <f aca="false">Scoring!Z450</f>
        <v/>
      </c>
      <c r="F444" s="148" t="n">
        <f aca="false">Scoring!B450</f>
        <v>0</v>
      </c>
      <c r="G444" s="148" t="n">
        <f aca="false">Scoring!D450</f>
        <v>0</v>
      </c>
      <c r="H444" s="148" t="str">
        <f aca="false">Scoring!AR450</f>
        <v/>
      </c>
      <c r="I444" s="150" t="str">
        <f aca="false">Scoring!AQ450</f>
        <v/>
      </c>
    </row>
    <row r="445" customFormat="false" ht="15.75" hidden="false" customHeight="false" outlineLevel="0" collapsed="false">
      <c r="A445" s="148" t="str">
        <f aca="false">Scoring!AT451</f>
        <v/>
      </c>
      <c r="B445" s="148" t="str">
        <f aca="false">Scoring!AS451</f>
        <v/>
      </c>
      <c r="C445" s="148" t="n">
        <f aca="false">Scoring!C451</f>
        <v>0</v>
      </c>
      <c r="D445" s="149" t="str">
        <f aca="false">Scoring!AP451</f>
        <v/>
      </c>
      <c r="E445" s="148" t="str">
        <f aca="false">Scoring!Z451</f>
        <v/>
      </c>
      <c r="F445" s="148" t="n">
        <f aca="false">Scoring!B451</f>
        <v>0</v>
      </c>
      <c r="G445" s="148" t="n">
        <f aca="false">Scoring!D451</f>
        <v>0</v>
      </c>
      <c r="H445" s="148" t="str">
        <f aca="false">Scoring!AR451</f>
        <v/>
      </c>
      <c r="I445" s="150" t="str">
        <f aca="false">Scoring!AQ451</f>
        <v/>
      </c>
    </row>
    <row r="446" customFormat="false" ht="15.75" hidden="false" customHeight="false" outlineLevel="0" collapsed="false">
      <c r="A446" s="148" t="str">
        <f aca="false">Scoring!AT452</f>
        <v/>
      </c>
      <c r="B446" s="148" t="str">
        <f aca="false">Scoring!AS452</f>
        <v/>
      </c>
      <c r="C446" s="148" t="n">
        <f aca="false">Scoring!C452</f>
        <v>0</v>
      </c>
      <c r="D446" s="149" t="str">
        <f aca="false">Scoring!AP452</f>
        <v/>
      </c>
      <c r="E446" s="148" t="str">
        <f aca="false">Scoring!Z452</f>
        <v/>
      </c>
      <c r="F446" s="148" t="n">
        <f aca="false">Scoring!B452</f>
        <v>0</v>
      </c>
      <c r="G446" s="148" t="n">
        <f aca="false">Scoring!D452</f>
        <v>0</v>
      </c>
      <c r="H446" s="148" t="str">
        <f aca="false">Scoring!AR452</f>
        <v/>
      </c>
      <c r="I446" s="150" t="str">
        <f aca="false">Scoring!AQ452</f>
        <v/>
      </c>
    </row>
    <row r="447" customFormat="false" ht="15.75" hidden="false" customHeight="false" outlineLevel="0" collapsed="false">
      <c r="A447" s="148" t="str">
        <f aca="false">Scoring!AT453</f>
        <v/>
      </c>
      <c r="B447" s="148" t="str">
        <f aca="false">Scoring!AS453</f>
        <v/>
      </c>
      <c r="C447" s="148" t="n">
        <f aca="false">Scoring!C453</f>
        <v>0</v>
      </c>
      <c r="D447" s="149" t="str">
        <f aca="false">Scoring!AP453</f>
        <v/>
      </c>
      <c r="E447" s="148" t="str">
        <f aca="false">Scoring!Z453</f>
        <v/>
      </c>
      <c r="F447" s="148" t="n">
        <f aca="false">Scoring!B453</f>
        <v>0</v>
      </c>
      <c r="G447" s="148" t="n">
        <f aca="false">Scoring!D453</f>
        <v>0</v>
      </c>
      <c r="H447" s="148" t="str">
        <f aca="false">Scoring!AR453</f>
        <v/>
      </c>
      <c r="I447" s="150" t="str">
        <f aca="false">Scoring!AQ453</f>
        <v/>
      </c>
    </row>
    <row r="448" customFormat="false" ht="15.75" hidden="false" customHeight="false" outlineLevel="0" collapsed="false">
      <c r="A448" s="148" t="str">
        <f aca="false">Scoring!AT454</f>
        <v/>
      </c>
      <c r="B448" s="148" t="str">
        <f aca="false">Scoring!AS454</f>
        <v/>
      </c>
      <c r="C448" s="148" t="n">
        <f aca="false">Scoring!C454</f>
        <v>0</v>
      </c>
      <c r="D448" s="149" t="str">
        <f aca="false">Scoring!AP454</f>
        <v/>
      </c>
      <c r="E448" s="148" t="str">
        <f aca="false">Scoring!Z454</f>
        <v/>
      </c>
      <c r="F448" s="148" t="n">
        <f aca="false">Scoring!B454</f>
        <v>0</v>
      </c>
      <c r="G448" s="148" t="n">
        <f aca="false">Scoring!D454</f>
        <v>0</v>
      </c>
      <c r="H448" s="148" t="str">
        <f aca="false">Scoring!AR454</f>
        <v/>
      </c>
      <c r="I448" s="150" t="str">
        <f aca="false">Scoring!AQ454</f>
        <v/>
      </c>
    </row>
    <row r="449" customFormat="false" ht="15.75" hidden="false" customHeight="false" outlineLevel="0" collapsed="false">
      <c r="A449" s="148" t="str">
        <f aca="false">Scoring!AT455</f>
        <v/>
      </c>
      <c r="B449" s="148" t="str">
        <f aca="false">Scoring!AS455</f>
        <v/>
      </c>
      <c r="C449" s="148" t="n">
        <f aca="false">Scoring!C455</f>
        <v>0</v>
      </c>
      <c r="D449" s="149" t="str">
        <f aca="false">Scoring!AP455</f>
        <v/>
      </c>
      <c r="E449" s="148" t="str">
        <f aca="false">Scoring!Z455</f>
        <v/>
      </c>
      <c r="F449" s="148" t="n">
        <f aca="false">Scoring!B455</f>
        <v>0</v>
      </c>
      <c r="G449" s="148" t="n">
        <f aca="false">Scoring!D455</f>
        <v>0</v>
      </c>
      <c r="H449" s="148" t="str">
        <f aca="false">Scoring!AR455</f>
        <v/>
      </c>
      <c r="I449" s="150" t="str">
        <f aca="false">Scoring!AQ455</f>
        <v/>
      </c>
    </row>
    <row r="450" customFormat="false" ht="15.75" hidden="false" customHeight="false" outlineLevel="0" collapsed="false">
      <c r="A450" s="148" t="str">
        <f aca="false">Scoring!AT456</f>
        <v/>
      </c>
      <c r="B450" s="148" t="str">
        <f aca="false">Scoring!AS456</f>
        <v/>
      </c>
      <c r="C450" s="148" t="n">
        <f aca="false">Scoring!C456</f>
        <v>0</v>
      </c>
      <c r="D450" s="149" t="str">
        <f aca="false">Scoring!AP456</f>
        <v/>
      </c>
      <c r="E450" s="148" t="str">
        <f aca="false">Scoring!Z456</f>
        <v/>
      </c>
      <c r="F450" s="148" t="n">
        <f aca="false">Scoring!B456</f>
        <v>0</v>
      </c>
      <c r="G450" s="148" t="n">
        <f aca="false">Scoring!D456</f>
        <v>0</v>
      </c>
      <c r="H450" s="148" t="str">
        <f aca="false">Scoring!AR456</f>
        <v/>
      </c>
      <c r="I450" s="150" t="str">
        <f aca="false">Scoring!AQ456</f>
        <v/>
      </c>
    </row>
    <row r="451" customFormat="false" ht="15.75" hidden="false" customHeight="false" outlineLevel="0" collapsed="false">
      <c r="A451" s="148" t="str">
        <f aca="false">Scoring!AT457</f>
        <v/>
      </c>
      <c r="B451" s="148" t="str">
        <f aca="false">Scoring!AS457</f>
        <v/>
      </c>
      <c r="C451" s="148" t="n">
        <f aca="false">Scoring!C457</f>
        <v>0</v>
      </c>
      <c r="D451" s="149" t="str">
        <f aca="false">Scoring!AP457</f>
        <v/>
      </c>
      <c r="E451" s="148" t="str">
        <f aca="false">Scoring!Z457</f>
        <v/>
      </c>
      <c r="F451" s="148" t="n">
        <f aca="false">Scoring!B457</f>
        <v>0</v>
      </c>
      <c r="G451" s="148" t="n">
        <f aca="false">Scoring!D457</f>
        <v>0</v>
      </c>
      <c r="H451" s="148" t="str">
        <f aca="false">Scoring!AR457</f>
        <v/>
      </c>
      <c r="I451" s="150" t="str">
        <f aca="false">Scoring!AQ457</f>
        <v/>
      </c>
    </row>
    <row r="452" customFormat="false" ht="15.75" hidden="false" customHeight="false" outlineLevel="0" collapsed="false">
      <c r="A452" s="148" t="str">
        <f aca="false">Scoring!AT458</f>
        <v/>
      </c>
      <c r="B452" s="148" t="str">
        <f aca="false">Scoring!AS458</f>
        <v/>
      </c>
      <c r="C452" s="148" t="n">
        <f aca="false">Scoring!C458</f>
        <v>0</v>
      </c>
      <c r="D452" s="149" t="str">
        <f aca="false">Scoring!AP458</f>
        <v/>
      </c>
      <c r="E452" s="148" t="str">
        <f aca="false">Scoring!Z458</f>
        <v/>
      </c>
      <c r="F452" s="148" t="n">
        <f aca="false">Scoring!B458</f>
        <v>0</v>
      </c>
      <c r="G452" s="148" t="n">
        <f aca="false">Scoring!D458</f>
        <v>0</v>
      </c>
      <c r="H452" s="148" t="str">
        <f aca="false">Scoring!AR458</f>
        <v/>
      </c>
      <c r="I452" s="150" t="str">
        <f aca="false">Scoring!AQ458</f>
        <v/>
      </c>
    </row>
    <row r="453" customFormat="false" ht="15.75" hidden="false" customHeight="false" outlineLevel="0" collapsed="false">
      <c r="A453" s="148" t="str">
        <f aca="false">Scoring!AT459</f>
        <v/>
      </c>
      <c r="B453" s="148" t="str">
        <f aca="false">Scoring!AS459</f>
        <v/>
      </c>
      <c r="C453" s="148" t="n">
        <f aca="false">Scoring!C459</f>
        <v>0</v>
      </c>
      <c r="D453" s="149" t="str">
        <f aca="false">Scoring!AP459</f>
        <v/>
      </c>
      <c r="E453" s="148" t="str">
        <f aca="false">Scoring!Z459</f>
        <v/>
      </c>
      <c r="F453" s="148" t="n">
        <f aca="false">Scoring!B459</f>
        <v>0</v>
      </c>
      <c r="G453" s="148" t="n">
        <f aca="false">Scoring!D459</f>
        <v>0</v>
      </c>
      <c r="H453" s="148" t="str">
        <f aca="false">Scoring!AR459</f>
        <v/>
      </c>
      <c r="I453" s="150" t="str">
        <f aca="false">Scoring!AQ459</f>
        <v/>
      </c>
    </row>
    <row r="454" customFormat="false" ht="15.75" hidden="false" customHeight="false" outlineLevel="0" collapsed="false">
      <c r="A454" s="148" t="str">
        <f aca="false">Scoring!AT460</f>
        <v/>
      </c>
      <c r="B454" s="148" t="str">
        <f aca="false">Scoring!AS460</f>
        <v/>
      </c>
      <c r="C454" s="148" t="n">
        <f aca="false">Scoring!C460</f>
        <v>0</v>
      </c>
      <c r="D454" s="149" t="str">
        <f aca="false">Scoring!AP460</f>
        <v/>
      </c>
      <c r="E454" s="148" t="str">
        <f aca="false">Scoring!Z460</f>
        <v/>
      </c>
      <c r="F454" s="148" t="n">
        <f aca="false">Scoring!B460</f>
        <v>0</v>
      </c>
      <c r="G454" s="148" t="n">
        <f aca="false">Scoring!D460</f>
        <v>0</v>
      </c>
      <c r="H454" s="148" t="str">
        <f aca="false">Scoring!AR460</f>
        <v/>
      </c>
      <c r="I454" s="150" t="str">
        <f aca="false">Scoring!AQ460</f>
        <v/>
      </c>
    </row>
    <row r="455" customFormat="false" ht="15.75" hidden="false" customHeight="false" outlineLevel="0" collapsed="false">
      <c r="A455" s="148" t="str">
        <f aca="false">Scoring!AT461</f>
        <v/>
      </c>
      <c r="B455" s="148" t="str">
        <f aca="false">Scoring!AS461</f>
        <v/>
      </c>
      <c r="C455" s="148" t="n">
        <f aca="false">Scoring!C461</f>
        <v>0</v>
      </c>
      <c r="D455" s="149" t="str">
        <f aca="false">Scoring!AP461</f>
        <v/>
      </c>
      <c r="E455" s="148" t="str">
        <f aca="false">Scoring!Z461</f>
        <v/>
      </c>
      <c r="F455" s="148" t="n">
        <f aca="false">Scoring!B461</f>
        <v>0</v>
      </c>
      <c r="G455" s="148" t="n">
        <f aca="false">Scoring!D461</f>
        <v>0</v>
      </c>
      <c r="H455" s="148" t="str">
        <f aca="false">Scoring!AR461</f>
        <v/>
      </c>
      <c r="I455" s="150" t="str">
        <f aca="false">Scoring!AQ461</f>
        <v/>
      </c>
    </row>
    <row r="456" customFormat="false" ht="15.75" hidden="false" customHeight="false" outlineLevel="0" collapsed="false">
      <c r="A456" s="148" t="str">
        <f aca="false">Scoring!AT462</f>
        <v/>
      </c>
      <c r="B456" s="148" t="str">
        <f aca="false">Scoring!AS462</f>
        <v/>
      </c>
      <c r="C456" s="148" t="n">
        <f aca="false">Scoring!C462</f>
        <v>0</v>
      </c>
      <c r="D456" s="149" t="str">
        <f aca="false">Scoring!AP462</f>
        <v/>
      </c>
      <c r="E456" s="148" t="str">
        <f aca="false">Scoring!Z462</f>
        <v/>
      </c>
      <c r="F456" s="148" t="n">
        <f aca="false">Scoring!B462</f>
        <v>0</v>
      </c>
      <c r="G456" s="148" t="n">
        <f aca="false">Scoring!D462</f>
        <v>0</v>
      </c>
      <c r="H456" s="148" t="str">
        <f aca="false">Scoring!AR462</f>
        <v/>
      </c>
      <c r="I456" s="150" t="str">
        <f aca="false">Scoring!AQ462</f>
        <v/>
      </c>
    </row>
    <row r="457" customFormat="false" ht="15.75" hidden="false" customHeight="false" outlineLevel="0" collapsed="false">
      <c r="A457" s="148" t="str">
        <f aca="false">Scoring!AT463</f>
        <v/>
      </c>
      <c r="B457" s="148" t="str">
        <f aca="false">Scoring!AS463</f>
        <v/>
      </c>
      <c r="C457" s="148" t="n">
        <f aca="false">Scoring!C463</f>
        <v>0</v>
      </c>
      <c r="D457" s="149" t="str">
        <f aca="false">Scoring!AP463</f>
        <v/>
      </c>
      <c r="E457" s="148" t="str">
        <f aca="false">Scoring!Z463</f>
        <v/>
      </c>
      <c r="F457" s="148" t="n">
        <f aca="false">Scoring!B463</f>
        <v>0</v>
      </c>
      <c r="G457" s="148" t="n">
        <f aca="false">Scoring!D463</f>
        <v>0</v>
      </c>
      <c r="H457" s="148" t="str">
        <f aca="false">Scoring!AR463</f>
        <v/>
      </c>
      <c r="I457" s="150" t="str">
        <f aca="false">Scoring!AQ463</f>
        <v/>
      </c>
    </row>
    <row r="458" customFormat="false" ht="15.75" hidden="false" customHeight="false" outlineLevel="0" collapsed="false">
      <c r="A458" s="148" t="str">
        <f aca="false">Scoring!AT464</f>
        <v/>
      </c>
      <c r="B458" s="148" t="str">
        <f aca="false">Scoring!AS464</f>
        <v/>
      </c>
      <c r="C458" s="148" t="n">
        <f aca="false">Scoring!C464</f>
        <v>0</v>
      </c>
      <c r="D458" s="149" t="str">
        <f aca="false">Scoring!AP464</f>
        <v/>
      </c>
      <c r="E458" s="148" t="str">
        <f aca="false">Scoring!Z464</f>
        <v/>
      </c>
      <c r="F458" s="148" t="n">
        <f aca="false">Scoring!B464</f>
        <v>0</v>
      </c>
      <c r="G458" s="148" t="n">
        <f aca="false">Scoring!D464</f>
        <v>0</v>
      </c>
      <c r="H458" s="148" t="str">
        <f aca="false">Scoring!AR464</f>
        <v/>
      </c>
      <c r="I458" s="150" t="str">
        <f aca="false">Scoring!AQ464</f>
        <v/>
      </c>
    </row>
    <row r="459" customFormat="false" ht="15.75" hidden="false" customHeight="false" outlineLevel="0" collapsed="false">
      <c r="A459" s="148" t="str">
        <f aca="false">Scoring!AT465</f>
        <v/>
      </c>
      <c r="B459" s="148" t="str">
        <f aca="false">Scoring!AS465</f>
        <v/>
      </c>
      <c r="C459" s="148" t="n">
        <f aca="false">Scoring!C465</f>
        <v>0</v>
      </c>
      <c r="D459" s="149" t="str">
        <f aca="false">Scoring!AP465</f>
        <v/>
      </c>
      <c r="E459" s="148" t="str">
        <f aca="false">Scoring!Z465</f>
        <v/>
      </c>
      <c r="F459" s="148" t="n">
        <f aca="false">Scoring!B465</f>
        <v>0</v>
      </c>
      <c r="G459" s="148" t="n">
        <f aca="false">Scoring!D465</f>
        <v>0</v>
      </c>
      <c r="H459" s="148" t="str">
        <f aca="false">Scoring!AR465</f>
        <v/>
      </c>
      <c r="I459" s="150" t="str">
        <f aca="false">Scoring!AQ465</f>
        <v/>
      </c>
    </row>
    <row r="460" customFormat="false" ht="15.75" hidden="false" customHeight="false" outlineLevel="0" collapsed="false">
      <c r="A460" s="148" t="str">
        <f aca="false">Scoring!AT466</f>
        <v/>
      </c>
      <c r="B460" s="148" t="str">
        <f aca="false">Scoring!AS466</f>
        <v/>
      </c>
      <c r="C460" s="148" t="n">
        <f aca="false">Scoring!C466</f>
        <v>0</v>
      </c>
      <c r="D460" s="149" t="str">
        <f aca="false">Scoring!AP466</f>
        <v/>
      </c>
      <c r="E460" s="148" t="str">
        <f aca="false">Scoring!Z466</f>
        <v/>
      </c>
      <c r="F460" s="148" t="n">
        <f aca="false">Scoring!B466</f>
        <v>0</v>
      </c>
      <c r="G460" s="148" t="n">
        <f aca="false">Scoring!D466</f>
        <v>0</v>
      </c>
      <c r="H460" s="148" t="str">
        <f aca="false">Scoring!AR466</f>
        <v/>
      </c>
      <c r="I460" s="150" t="str">
        <f aca="false">Scoring!AQ466</f>
        <v/>
      </c>
    </row>
    <row r="461" customFormat="false" ht="15.75" hidden="false" customHeight="false" outlineLevel="0" collapsed="false">
      <c r="A461" s="148" t="str">
        <f aca="false">Scoring!AT467</f>
        <v/>
      </c>
      <c r="B461" s="148" t="str">
        <f aca="false">Scoring!AS467</f>
        <v/>
      </c>
      <c r="C461" s="148" t="n">
        <f aca="false">Scoring!C467</f>
        <v>0</v>
      </c>
      <c r="D461" s="149" t="str">
        <f aca="false">Scoring!AP467</f>
        <v/>
      </c>
      <c r="E461" s="148" t="str">
        <f aca="false">Scoring!Z467</f>
        <v/>
      </c>
      <c r="F461" s="148" t="n">
        <f aca="false">Scoring!B467</f>
        <v>0</v>
      </c>
      <c r="G461" s="148" t="n">
        <f aca="false">Scoring!D467</f>
        <v>0</v>
      </c>
      <c r="H461" s="148" t="str">
        <f aca="false">Scoring!AR467</f>
        <v/>
      </c>
      <c r="I461" s="150" t="str">
        <f aca="false">Scoring!AQ467</f>
        <v/>
      </c>
    </row>
    <row r="462" customFormat="false" ht="15.75" hidden="false" customHeight="false" outlineLevel="0" collapsed="false">
      <c r="A462" s="148" t="str">
        <f aca="false">Scoring!AT468</f>
        <v/>
      </c>
      <c r="B462" s="148" t="str">
        <f aca="false">Scoring!AS468</f>
        <v/>
      </c>
      <c r="C462" s="148" t="n">
        <f aca="false">Scoring!C468</f>
        <v>0</v>
      </c>
      <c r="D462" s="149" t="str">
        <f aca="false">Scoring!AP468</f>
        <v/>
      </c>
      <c r="E462" s="148" t="str">
        <f aca="false">Scoring!Z468</f>
        <v/>
      </c>
      <c r="F462" s="148" t="n">
        <f aca="false">Scoring!B468</f>
        <v>0</v>
      </c>
      <c r="G462" s="148" t="n">
        <f aca="false">Scoring!D468</f>
        <v>0</v>
      </c>
      <c r="H462" s="148" t="str">
        <f aca="false">Scoring!AR468</f>
        <v/>
      </c>
      <c r="I462" s="150" t="str">
        <f aca="false">Scoring!AQ468</f>
        <v/>
      </c>
    </row>
    <row r="463" customFormat="false" ht="15.75" hidden="false" customHeight="false" outlineLevel="0" collapsed="false">
      <c r="A463" s="148" t="str">
        <f aca="false">Scoring!AT469</f>
        <v/>
      </c>
      <c r="B463" s="148" t="str">
        <f aca="false">Scoring!AS469</f>
        <v/>
      </c>
      <c r="C463" s="148" t="n">
        <f aca="false">Scoring!C469</f>
        <v>0</v>
      </c>
      <c r="D463" s="149" t="str">
        <f aca="false">Scoring!AP469</f>
        <v/>
      </c>
      <c r="E463" s="148" t="str">
        <f aca="false">Scoring!Z469</f>
        <v/>
      </c>
      <c r="F463" s="148" t="n">
        <f aca="false">Scoring!B469</f>
        <v>0</v>
      </c>
      <c r="G463" s="148" t="n">
        <f aca="false">Scoring!D469</f>
        <v>0</v>
      </c>
      <c r="H463" s="148" t="str">
        <f aca="false">Scoring!AR469</f>
        <v/>
      </c>
      <c r="I463" s="150" t="str">
        <f aca="false">Scoring!AQ469</f>
        <v/>
      </c>
    </row>
    <row r="464" customFormat="false" ht="15.75" hidden="false" customHeight="false" outlineLevel="0" collapsed="false">
      <c r="A464" s="148" t="str">
        <f aca="false">Scoring!AT470</f>
        <v/>
      </c>
      <c r="B464" s="148" t="str">
        <f aca="false">Scoring!AS470</f>
        <v/>
      </c>
      <c r="C464" s="148" t="n">
        <f aca="false">Scoring!C470</f>
        <v>0</v>
      </c>
      <c r="D464" s="149" t="str">
        <f aca="false">Scoring!AP470</f>
        <v/>
      </c>
      <c r="E464" s="148" t="str">
        <f aca="false">Scoring!Z470</f>
        <v/>
      </c>
      <c r="F464" s="148" t="n">
        <f aca="false">Scoring!B470</f>
        <v>0</v>
      </c>
      <c r="G464" s="148" t="n">
        <f aca="false">Scoring!D470</f>
        <v>0</v>
      </c>
      <c r="H464" s="148" t="str">
        <f aca="false">Scoring!AR470</f>
        <v/>
      </c>
      <c r="I464" s="150" t="str">
        <f aca="false">Scoring!AQ470</f>
        <v/>
      </c>
    </row>
    <row r="465" customFormat="false" ht="15.75" hidden="false" customHeight="false" outlineLevel="0" collapsed="false">
      <c r="A465" s="148" t="str">
        <f aca="false">Scoring!AT471</f>
        <v/>
      </c>
      <c r="B465" s="148" t="str">
        <f aca="false">Scoring!AS471</f>
        <v/>
      </c>
      <c r="C465" s="148" t="n">
        <f aca="false">Scoring!C471</f>
        <v>0</v>
      </c>
      <c r="D465" s="149" t="str">
        <f aca="false">Scoring!AP471</f>
        <v/>
      </c>
      <c r="E465" s="148" t="str">
        <f aca="false">Scoring!Z471</f>
        <v/>
      </c>
      <c r="F465" s="148" t="n">
        <f aca="false">Scoring!B471</f>
        <v>0</v>
      </c>
      <c r="G465" s="148" t="n">
        <f aca="false">Scoring!D471</f>
        <v>0</v>
      </c>
      <c r="H465" s="148" t="str">
        <f aca="false">Scoring!AR471</f>
        <v/>
      </c>
      <c r="I465" s="150" t="str">
        <f aca="false">Scoring!AQ471</f>
        <v/>
      </c>
    </row>
    <row r="466" customFormat="false" ht="15.75" hidden="false" customHeight="false" outlineLevel="0" collapsed="false">
      <c r="A466" s="148" t="str">
        <f aca="false">Scoring!AT472</f>
        <v/>
      </c>
      <c r="B466" s="148" t="str">
        <f aca="false">Scoring!AS472</f>
        <v/>
      </c>
      <c r="C466" s="148" t="n">
        <f aca="false">Scoring!C472</f>
        <v>0</v>
      </c>
      <c r="D466" s="149" t="str">
        <f aca="false">Scoring!AP472</f>
        <v/>
      </c>
      <c r="E466" s="148" t="str">
        <f aca="false">Scoring!Z472</f>
        <v/>
      </c>
      <c r="F466" s="148" t="n">
        <f aca="false">Scoring!B472</f>
        <v>0</v>
      </c>
      <c r="G466" s="148" t="n">
        <f aca="false">Scoring!D472</f>
        <v>0</v>
      </c>
      <c r="H466" s="148" t="str">
        <f aca="false">Scoring!AR472</f>
        <v/>
      </c>
      <c r="I466" s="150" t="str">
        <f aca="false">Scoring!AQ472</f>
        <v/>
      </c>
    </row>
    <row r="467" customFormat="false" ht="15.75" hidden="false" customHeight="false" outlineLevel="0" collapsed="false">
      <c r="A467" s="148" t="str">
        <f aca="false">Scoring!AT473</f>
        <v/>
      </c>
      <c r="B467" s="148" t="str">
        <f aca="false">Scoring!AS473</f>
        <v/>
      </c>
      <c r="C467" s="148" t="n">
        <f aca="false">Scoring!C473</f>
        <v>0</v>
      </c>
      <c r="D467" s="149" t="str">
        <f aca="false">Scoring!AP473</f>
        <v/>
      </c>
      <c r="E467" s="148" t="str">
        <f aca="false">Scoring!Z473</f>
        <v/>
      </c>
      <c r="F467" s="148" t="n">
        <f aca="false">Scoring!B473</f>
        <v>0</v>
      </c>
      <c r="G467" s="148" t="n">
        <f aca="false">Scoring!D473</f>
        <v>0</v>
      </c>
      <c r="H467" s="148" t="str">
        <f aca="false">Scoring!AR473</f>
        <v/>
      </c>
      <c r="I467" s="150" t="str">
        <f aca="false">Scoring!AQ473</f>
        <v/>
      </c>
    </row>
    <row r="468" customFormat="false" ht="15.75" hidden="false" customHeight="false" outlineLevel="0" collapsed="false">
      <c r="A468" s="148" t="str">
        <f aca="false">Scoring!AT474</f>
        <v/>
      </c>
      <c r="B468" s="148" t="str">
        <f aca="false">Scoring!AS474</f>
        <v/>
      </c>
      <c r="C468" s="148" t="n">
        <f aca="false">Scoring!C474</f>
        <v>0</v>
      </c>
      <c r="D468" s="149" t="str">
        <f aca="false">Scoring!AP474</f>
        <v/>
      </c>
      <c r="E468" s="148" t="str">
        <f aca="false">Scoring!Z474</f>
        <v/>
      </c>
      <c r="F468" s="148" t="n">
        <f aca="false">Scoring!B474</f>
        <v>0</v>
      </c>
      <c r="G468" s="148" t="n">
        <f aca="false">Scoring!D474</f>
        <v>0</v>
      </c>
      <c r="H468" s="148" t="str">
        <f aca="false">Scoring!AR474</f>
        <v/>
      </c>
      <c r="I468" s="150" t="str">
        <f aca="false">Scoring!AQ474</f>
        <v/>
      </c>
    </row>
    <row r="469" customFormat="false" ht="15.75" hidden="false" customHeight="false" outlineLevel="0" collapsed="false">
      <c r="A469" s="148" t="str">
        <f aca="false">Scoring!AT475</f>
        <v/>
      </c>
      <c r="B469" s="148" t="str">
        <f aca="false">Scoring!AS475</f>
        <v/>
      </c>
      <c r="C469" s="148" t="n">
        <f aca="false">Scoring!C475</f>
        <v>0</v>
      </c>
      <c r="D469" s="149" t="str">
        <f aca="false">Scoring!AP475</f>
        <v/>
      </c>
      <c r="E469" s="148" t="str">
        <f aca="false">Scoring!Z475</f>
        <v/>
      </c>
      <c r="F469" s="148" t="n">
        <f aca="false">Scoring!B475</f>
        <v>0</v>
      </c>
      <c r="G469" s="148" t="n">
        <f aca="false">Scoring!D475</f>
        <v>0</v>
      </c>
      <c r="H469" s="148" t="str">
        <f aca="false">Scoring!AR475</f>
        <v/>
      </c>
      <c r="I469" s="150" t="str">
        <f aca="false">Scoring!AQ475</f>
        <v/>
      </c>
    </row>
    <row r="470" customFormat="false" ht="15.75" hidden="false" customHeight="false" outlineLevel="0" collapsed="false">
      <c r="A470" s="148" t="str">
        <f aca="false">Scoring!AT476</f>
        <v/>
      </c>
      <c r="B470" s="148" t="str">
        <f aca="false">Scoring!AS476</f>
        <v/>
      </c>
      <c r="C470" s="148" t="n">
        <f aca="false">Scoring!C476</f>
        <v>0</v>
      </c>
      <c r="D470" s="149" t="str">
        <f aca="false">Scoring!AP476</f>
        <v/>
      </c>
      <c r="E470" s="148" t="str">
        <f aca="false">Scoring!Z476</f>
        <v/>
      </c>
      <c r="F470" s="148" t="n">
        <f aca="false">Scoring!B476</f>
        <v>0</v>
      </c>
      <c r="G470" s="148" t="n">
        <f aca="false">Scoring!D476</f>
        <v>0</v>
      </c>
      <c r="H470" s="148" t="str">
        <f aca="false">Scoring!AR476</f>
        <v/>
      </c>
      <c r="I470" s="150" t="str">
        <f aca="false">Scoring!AQ476</f>
        <v/>
      </c>
    </row>
    <row r="471" customFormat="false" ht="15.75" hidden="false" customHeight="false" outlineLevel="0" collapsed="false">
      <c r="A471" s="148" t="str">
        <f aca="false">Scoring!AT477</f>
        <v/>
      </c>
      <c r="B471" s="148" t="str">
        <f aca="false">Scoring!AS477</f>
        <v/>
      </c>
      <c r="C471" s="148" t="n">
        <f aca="false">Scoring!C477</f>
        <v>0</v>
      </c>
      <c r="D471" s="149" t="str">
        <f aca="false">Scoring!AP477</f>
        <v/>
      </c>
      <c r="E471" s="148" t="str">
        <f aca="false">Scoring!Z477</f>
        <v/>
      </c>
      <c r="F471" s="148" t="n">
        <f aca="false">Scoring!B477</f>
        <v>0</v>
      </c>
      <c r="G471" s="148" t="n">
        <f aca="false">Scoring!D477</f>
        <v>0</v>
      </c>
      <c r="H471" s="148" t="str">
        <f aca="false">Scoring!AR477</f>
        <v/>
      </c>
      <c r="I471" s="150" t="str">
        <f aca="false">Scoring!AQ477</f>
        <v/>
      </c>
    </row>
    <row r="472" customFormat="false" ht="15.75" hidden="false" customHeight="false" outlineLevel="0" collapsed="false">
      <c r="A472" s="148" t="str">
        <f aca="false">Scoring!AT478</f>
        <v/>
      </c>
      <c r="B472" s="148" t="str">
        <f aca="false">Scoring!AS478</f>
        <v/>
      </c>
      <c r="C472" s="148" t="n">
        <f aca="false">Scoring!C478</f>
        <v>0</v>
      </c>
      <c r="D472" s="149" t="str">
        <f aca="false">Scoring!AP478</f>
        <v/>
      </c>
      <c r="E472" s="148" t="str">
        <f aca="false">Scoring!Z478</f>
        <v/>
      </c>
      <c r="F472" s="148" t="n">
        <f aca="false">Scoring!B478</f>
        <v>0</v>
      </c>
      <c r="G472" s="148" t="n">
        <f aca="false">Scoring!D478</f>
        <v>0</v>
      </c>
      <c r="H472" s="148" t="str">
        <f aca="false">Scoring!AR478</f>
        <v/>
      </c>
      <c r="I472" s="150" t="str">
        <f aca="false">Scoring!AQ478</f>
        <v/>
      </c>
    </row>
    <row r="473" customFormat="false" ht="15.75" hidden="false" customHeight="false" outlineLevel="0" collapsed="false">
      <c r="A473" s="148" t="str">
        <f aca="false">Scoring!AT479</f>
        <v/>
      </c>
      <c r="B473" s="148" t="str">
        <f aca="false">Scoring!AS479</f>
        <v/>
      </c>
      <c r="C473" s="148" t="n">
        <f aca="false">Scoring!C479</f>
        <v>0</v>
      </c>
      <c r="D473" s="149" t="str">
        <f aca="false">Scoring!AP479</f>
        <v/>
      </c>
      <c r="E473" s="148" t="str">
        <f aca="false">Scoring!Z479</f>
        <v/>
      </c>
      <c r="F473" s="148" t="n">
        <f aca="false">Scoring!B479</f>
        <v>0</v>
      </c>
      <c r="G473" s="148" t="n">
        <f aca="false">Scoring!D479</f>
        <v>0</v>
      </c>
      <c r="H473" s="148" t="str">
        <f aca="false">Scoring!AR479</f>
        <v/>
      </c>
      <c r="I473" s="150" t="str">
        <f aca="false">Scoring!AQ479</f>
        <v/>
      </c>
    </row>
    <row r="474" customFormat="false" ht="15.75" hidden="false" customHeight="false" outlineLevel="0" collapsed="false">
      <c r="A474" s="148" t="str">
        <f aca="false">Scoring!AT480</f>
        <v/>
      </c>
      <c r="B474" s="148" t="str">
        <f aca="false">Scoring!AS480</f>
        <v/>
      </c>
      <c r="C474" s="148" t="n">
        <f aca="false">Scoring!C480</f>
        <v>0</v>
      </c>
      <c r="D474" s="149" t="str">
        <f aca="false">Scoring!AP480</f>
        <v/>
      </c>
      <c r="E474" s="148" t="str">
        <f aca="false">Scoring!Z480</f>
        <v/>
      </c>
      <c r="F474" s="148" t="n">
        <f aca="false">Scoring!B480</f>
        <v>0</v>
      </c>
      <c r="G474" s="148" t="n">
        <f aca="false">Scoring!D480</f>
        <v>0</v>
      </c>
      <c r="H474" s="148" t="str">
        <f aca="false">Scoring!AR480</f>
        <v/>
      </c>
      <c r="I474" s="150" t="str">
        <f aca="false">Scoring!AQ480</f>
        <v/>
      </c>
    </row>
    <row r="475" customFormat="false" ht="15.75" hidden="false" customHeight="false" outlineLevel="0" collapsed="false">
      <c r="A475" s="148" t="str">
        <f aca="false">Scoring!AT481</f>
        <v/>
      </c>
      <c r="B475" s="148" t="str">
        <f aca="false">Scoring!AS481</f>
        <v/>
      </c>
      <c r="C475" s="148" t="n">
        <f aca="false">Scoring!C481</f>
        <v>0</v>
      </c>
      <c r="D475" s="149" t="str">
        <f aca="false">Scoring!AP481</f>
        <v/>
      </c>
      <c r="E475" s="148" t="str">
        <f aca="false">Scoring!Z481</f>
        <v/>
      </c>
      <c r="F475" s="148" t="n">
        <f aca="false">Scoring!B481</f>
        <v>0</v>
      </c>
      <c r="G475" s="148" t="n">
        <f aca="false">Scoring!D481</f>
        <v>0</v>
      </c>
      <c r="H475" s="148" t="str">
        <f aca="false">Scoring!AR481</f>
        <v/>
      </c>
      <c r="I475" s="150" t="str">
        <f aca="false">Scoring!AQ481</f>
        <v/>
      </c>
    </row>
    <row r="476" customFormat="false" ht="15.75" hidden="false" customHeight="false" outlineLevel="0" collapsed="false">
      <c r="A476" s="148" t="str">
        <f aca="false">Scoring!AT482</f>
        <v/>
      </c>
      <c r="B476" s="148" t="str">
        <f aca="false">Scoring!AS482</f>
        <v/>
      </c>
      <c r="C476" s="148" t="n">
        <f aca="false">Scoring!C482</f>
        <v>0</v>
      </c>
      <c r="D476" s="149" t="str">
        <f aca="false">Scoring!AP482</f>
        <v/>
      </c>
      <c r="E476" s="148" t="str">
        <f aca="false">Scoring!Z482</f>
        <v/>
      </c>
      <c r="F476" s="148" t="n">
        <f aca="false">Scoring!B482</f>
        <v>0</v>
      </c>
      <c r="G476" s="148" t="n">
        <f aca="false">Scoring!D482</f>
        <v>0</v>
      </c>
      <c r="H476" s="148" t="str">
        <f aca="false">Scoring!AR482</f>
        <v/>
      </c>
      <c r="I476" s="150" t="str">
        <f aca="false">Scoring!AQ482</f>
        <v/>
      </c>
    </row>
    <row r="477" customFormat="false" ht="15.75" hidden="false" customHeight="false" outlineLevel="0" collapsed="false">
      <c r="A477" s="148" t="str">
        <f aca="false">Scoring!AT483</f>
        <v/>
      </c>
      <c r="B477" s="148" t="str">
        <f aca="false">Scoring!AS483</f>
        <v/>
      </c>
      <c r="C477" s="148" t="n">
        <f aca="false">Scoring!C483</f>
        <v>0</v>
      </c>
      <c r="D477" s="149" t="str">
        <f aca="false">Scoring!AP483</f>
        <v/>
      </c>
      <c r="E477" s="148" t="str">
        <f aca="false">Scoring!Z483</f>
        <v/>
      </c>
      <c r="F477" s="148" t="n">
        <f aca="false">Scoring!B483</f>
        <v>0</v>
      </c>
      <c r="G477" s="148" t="n">
        <f aca="false">Scoring!D483</f>
        <v>0</v>
      </c>
      <c r="H477" s="148" t="str">
        <f aca="false">Scoring!AR483</f>
        <v/>
      </c>
      <c r="I477" s="150" t="str">
        <f aca="false">Scoring!AQ483</f>
        <v/>
      </c>
    </row>
    <row r="478" customFormat="false" ht="15.75" hidden="false" customHeight="false" outlineLevel="0" collapsed="false">
      <c r="A478" s="148" t="str">
        <f aca="false">Scoring!AT484</f>
        <v/>
      </c>
      <c r="B478" s="148" t="str">
        <f aca="false">Scoring!AS484</f>
        <v/>
      </c>
      <c r="C478" s="148" t="n">
        <f aca="false">Scoring!C484</f>
        <v>0</v>
      </c>
      <c r="D478" s="149" t="str">
        <f aca="false">Scoring!AP484</f>
        <v/>
      </c>
      <c r="E478" s="148" t="str">
        <f aca="false">Scoring!Z484</f>
        <v/>
      </c>
      <c r="F478" s="148" t="n">
        <f aca="false">Scoring!B484</f>
        <v>0</v>
      </c>
      <c r="G478" s="148" t="n">
        <f aca="false">Scoring!D484</f>
        <v>0</v>
      </c>
      <c r="H478" s="148" t="str">
        <f aca="false">Scoring!AR484</f>
        <v/>
      </c>
      <c r="I478" s="150" t="str">
        <f aca="false">Scoring!AQ484</f>
        <v/>
      </c>
    </row>
    <row r="479" customFormat="false" ht="15.75" hidden="false" customHeight="false" outlineLevel="0" collapsed="false">
      <c r="A479" s="148" t="str">
        <f aca="false">Scoring!AT485</f>
        <v/>
      </c>
      <c r="B479" s="148" t="str">
        <f aca="false">Scoring!AS485</f>
        <v/>
      </c>
      <c r="C479" s="148" t="n">
        <f aca="false">Scoring!C485</f>
        <v>0</v>
      </c>
      <c r="D479" s="149" t="str">
        <f aca="false">Scoring!AP485</f>
        <v/>
      </c>
      <c r="E479" s="148" t="str">
        <f aca="false">Scoring!Z485</f>
        <v/>
      </c>
      <c r="F479" s="148" t="n">
        <f aca="false">Scoring!B485</f>
        <v>0</v>
      </c>
      <c r="G479" s="148" t="n">
        <f aca="false">Scoring!D485</f>
        <v>0</v>
      </c>
      <c r="H479" s="148" t="str">
        <f aca="false">Scoring!AR485</f>
        <v/>
      </c>
      <c r="I479" s="150" t="str">
        <f aca="false">Scoring!AQ485</f>
        <v/>
      </c>
    </row>
    <row r="480" customFormat="false" ht="15.75" hidden="false" customHeight="false" outlineLevel="0" collapsed="false">
      <c r="A480" s="148" t="str">
        <f aca="false">Scoring!AT486</f>
        <v/>
      </c>
      <c r="B480" s="148" t="str">
        <f aca="false">Scoring!AS486</f>
        <v/>
      </c>
      <c r="C480" s="148" t="n">
        <f aca="false">Scoring!C486</f>
        <v>0</v>
      </c>
      <c r="D480" s="149" t="str">
        <f aca="false">Scoring!AP486</f>
        <v/>
      </c>
      <c r="E480" s="148" t="str">
        <f aca="false">Scoring!Z486</f>
        <v/>
      </c>
      <c r="F480" s="148" t="n">
        <f aca="false">Scoring!B486</f>
        <v>0</v>
      </c>
      <c r="G480" s="148" t="n">
        <f aca="false">Scoring!D486</f>
        <v>0</v>
      </c>
      <c r="H480" s="148" t="str">
        <f aca="false">Scoring!AR486</f>
        <v/>
      </c>
      <c r="I480" s="150" t="str">
        <f aca="false">Scoring!AQ486</f>
        <v/>
      </c>
    </row>
    <row r="481" customFormat="false" ht="15.75" hidden="false" customHeight="false" outlineLevel="0" collapsed="false">
      <c r="A481" s="148" t="str">
        <f aca="false">Scoring!AT487</f>
        <v/>
      </c>
      <c r="B481" s="148" t="str">
        <f aca="false">Scoring!AS487</f>
        <v/>
      </c>
      <c r="C481" s="148" t="n">
        <f aca="false">Scoring!C487</f>
        <v>0</v>
      </c>
      <c r="D481" s="149" t="str">
        <f aca="false">Scoring!AP487</f>
        <v/>
      </c>
      <c r="E481" s="148" t="str">
        <f aca="false">Scoring!Z487</f>
        <v/>
      </c>
      <c r="F481" s="148" t="n">
        <f aca="false">Scoring!B487</f>
        <v>0</v>
      </c>
      <c r="G481" s="148" t="n">
        <f aca="false">Scoring!D487</f>
        <v>0</v>
      </c>
      <c r="H481" s="148" t="str">
        <f aca="false">Scoring!AR487</f>
        <v/>
      </c>
      <c r="I481" s="150" t="str">
        <f aca="false">Scoring!AQ487</f>
        <v/>
      </c>
    </row>
    <row r="482" customFormat="false" ht="15.75" hidden="false" customHeight="false" outlineLevel="0" collapsed="false">
      <c r="A482" s="148" t="str">
        <f aca="false">Scoring!AT488</f>
        <v/>
      </c>
      <c r="B482" s="148" t="str">
        <f aca="false">Scoring!AS488</f>
        <v/>
      </c>
      <c r="C482" s="148" t="n">
        <f aca="false">Scoring!C488</f>
        <v>0</v>
      </c>
      <c r="D482" s="149" t="str">
        <f aca="false">Scoring!AP488</f>
        <v/>
      </c>
      <c r="E482" s="148" t="str">
        <f aca="false">Scoring!Z488</f>
        <v/>
      </c>
      <c r="F482" s="148" t="n">
        <f aca="false">Scoring!B488</f>
        <v>0</v>
      </c>
      <c r="G482" s="148" t="n">
        <f aca="false">Scoring!D488</f>
        <v>0</v>
      </c>
      <c r="H482" s="148" t="str">
        <f aca="false">Scoring!AR488</f>
        <v/>
      </c>
      <c r="I482" s="150" t="str">
        <f aca="false">Scoring!AQ488</f>
        <v/>
      </c>
    </row>
    <row r="483" customFormat="false" ht="15.75" hidden="false" customHeight="false" outlineLevel="0" collapsed="false">
      <c r="A483" s="148" t="str">
        <f aca="false">Scoring!AT489</f>
        <v/>
      </c>
      <c r="B483" s="148" t="str">
        <f aca="false">Scoring!AS489</f>
        <v/>
      </c>
      <c r="C483" s="148" t="n">
        <f aca="false">Scoring!C489</f>
        <v>0</v>
      </c>
      <c r="D483" s="149" t="str">
        <f aca="false">Scoring!AP489</f>
        <v/>
      </c>
      <c r="E483" s="148" t="str">
        <f aca="false">Scoring!Z489</f>
        <v/>
      </c>
      <c r="F483" s="148" t="n">
        <f aca="false">Scoring!B489</f>
        <v>0</v>
      </c>
      <c r="G483" s="148" t="n">
        <f aca="false">Scoring!D489</f>
        <v>0</v>
      </c>
      <c r="H483" s="148" t="str">
        <f aca="false">Scoring!AR489</f>
        <v/>
      </c>
      <c r="I483" s="150" t="str">
        <f aca="false">Scoring!AQ489</f>
        <v/>
      </c>
    </row>
    <row r="484" customFormat="false" ht="15.75" hidden="false" customHeight="false" outlineLevel="0" collapsed="false">
      <c r="A484" s="148" t="str">
        <f aca="false">Scoring!AT490</f>
        <v/>
      </c>
      <c r="B484" s="148" t="str">
        <f aca="false">Scoring!AS490</f>
        <v/>
      </c>
      <c r="C484" s="148" t="n">
        <f aca="false">Scoring!C490</f>
        <v>0</v>
      </c>
      <c r="D484" s="149" t="str">
        <f aca="false">Scoring!AP490</f>
        <v/>
      </c>
      <c r="E484" s="148" t="str">
        <f aca="false">Scoring!Z490</f>
        <v/>
      </c>
      <c r="F484" s="148" t="n">
        <f aca="false">Scoring!B490</f>
        <v>0</v>
      </c>
      <c r="G484" s="148" t="n">
        <f aca="false">Scoring!D490</f>
        <v>0</v>
      </c>
      <c r="H484" s="148" t="str">
        <f aca="false">Scoring!AR490</f>
        <v/>
      </c>
      <c r="I484" s="150" t="str">
        <f aca="false">Scoring!AQ490</f>
        <v/>
      </c>
    </row>
    <row r="485" customFormat="false" ht="15.75" hidden="false" customHeight="false" outlineLevel="0" collapsed="false">
      <c r="A485" s="148" t="str">
        <f aca="false">Scoring!AT491</f>
        <v/>
      </c>
      <c r="B485" s="148" t="str">
        <f aca="false">Scoring!AS491</f>
        <v/>
      </c>
      <c r="C485" s="148" t="n">
        <f aca="false">Scoring!C491</f>
        <v>0</v>
      </c>
      <c r="D485" s="149" t="str">
        <f aca="false">Scoring!AP491</f>
        <v/>
      </c>
      <c r="E485" s="148" t="str">
        <f aca="false">Scoring!Z491</f>
        <v/>
      </c>
      <c r="F485" s="148" t="n">
        <f aca="false">Scoring!B491</f>
        <v>0</v>
      </c>
      <c r="G485" s="148" t="n">
        <f aca="false">Scoring!D491</f>
        <v>0</v>
      </c>
      <c r="H485" s="148" t="str">
        <f aca="false">Scoring!AR491</f>
        <v/>
      </c>
      <c r="I485" s="150" t="str">
        <f aca="false">Scoring!AQ491</f>
        <v/>
      </c>
    </row>
    <row r="486" customFormat="false" ht="15.75" hidden="false" customHeight="false" outlineLevel="0" collapsed="false">
      <c r="A486" s="148" t="str">
        <f aca="false">Scoring!AT492</f>
        <v/>
      </c>
      <c r="B486" s="148" t="str">
        <f aca="false">Scoring!AS492</f>
        <v/>
      </c>
      <c r="C486" s="148" t="n">
        <f aca="false">Scoring!C492</f>
        <v>0</v>
      </c>
      <c r="D486" s="149" t="str">
        <f aca="false">Scoring!AP492</f>
        <v/>
      </c>
      <c r="E486" s="148" t="str">
        <f aca="false">Scoring!Z492</f>
        <v/>
      </c>
      <c r="F486" s="148" t="n">
        <f aca="false">Scoring!B492</f>
        <v>0</v>
      </c>
      <c r="G486" s="148" t="n">
        <f aca="false">Scoring!D492</f>
        <v>0</v>
      </c>
      <c r="H486" s="148" t="str">
        <f aca="false">Scoring!AR492</f>
        <v/>
      </c>
      <c r="I486" s="150" t="str">
        <f aca="false">Scoring!AQ492</f>
        <v/>
      </c>
    </row>
    <row r="487" customFormat="false" ht="15.75" hidden="false" customHeight="false" outlineLevel="0" collapsed="false">
      <c r="A487" s="148" t="str">
        <f aca="false">Scoring!AT493</f>
        <v/>
      </c>
      <c r="B487" s="148" t="str">
        <f aca="false">Scoring!AS493</f>
        <v/>
      </c>
      <c r="C487" s="148" t="n">
        <f aca="false">Scoring!C493</f>
        <v>0</v>
      </c>
      <c r="D487" s="149" t="str">
        <f aca="false">Scoring!AP493</f>
        <v/>
      </c>
      <c r="E487" s="148" t="str">
        <f aca="false">Scoring!Z493</f>
        <v/>
      </c>
      <c r="F487" s="148" t="n">
        <f aca="false">Scoring!B493</f>
        <v>0</v>
      </c>
      <c r="G487" s="148" t="n">
        <f aca="false">Scoring!D493</f>
        <v>0</v>
      </c>
      <c r="H487" s="148" t="str">
        <f aca="false">Scoring!AR493</f>
        <v/>
      </c>
      <c r="I487" s="150" t="str">
        <f aca="false">Scoring!AQ493</f>
        <v/>
      </c>
    </row>
    <row r="488" customFormat="false" ht="15.75" hidden="false" customHeight="false" outlineLevel="0" collapsed="false">
      <c r="A488" s="148" t="str">
        <f aca="false">Scoring!AT494</f>
        <v/>
      </c>
      <c r="B488" s="148" t="str">
        <f aca="false">Scoring!AS494</f>
        <v/>
      </c>
      <c r="C488" s="148" t="n">
        <f aca="false">Scoring!C494</f>
        <v>0</v>
      </c>
      <c r="D488" s="149" t="str">
        <f aca="false">Scoring!AP494</f>
        <v/>
      </c>
      <c r="E488" s="148" t="str">
        <f aca="false">Scoring!Z494</f>
        <v/>
      </c>
      <c r="F488" s="148" t="n">
        <f aca="false">Scoring!B494</f>
        <v>0</v>
      </c>
      <c r="G488" s="148" t="n">
        <f aca="false">Scoring!D494</f>
        <v>0</v>
      </c>
      <c r="H488" s="148" t="str">
        <f aca="false">Scoring!AR494</f>
        <v/>
      </c>
      <c r="I488" s="150" t="str">
        <f aca="false">Scoring!AQ494</f>
        <v/>
      </c>
    </row>
    <row r="489" customFormat="false" ht="15.75" hidden="false" customHeight="false" outlineLevel="0" collapsed="false">
      <c r="A489" s="148" t="str">
        <f aca="false">Scoring!AT495</f>
        <v/>
      </c>
      <c r="B489" s="148" t="str">
        <f aca="false">Scoring!AS495</f>
        <v/>
      </c>
      <c r="C489" s="148" t="n">
        <f aca="false">Scoring!C495</f>
        <v>0</v>
      </c>
      <c r="D489" s="149" t="str">
        <f aca="false">Scoring!AP495</f>
        <v/>
      </c>
      <c r="E489" s="148" t="str">
        <f aca="false">Scoring!Z495</f>
        <v/>
      </c>
      <c r="F489" s="148" t="n">
        <f aca="false">Scoring!B495</f>
        <v>0</v>
      </c>
      <c r="G489" s="148" t="n">
        <f aca="false">Scoring!D495</f>
        <v>0</v>
      </c>
      <c r="H489" s="148" t="str">
        <f aca="false">Scoring!AR495</f>
        <v/>
      </c>
      <c r="I489" s="150" t="str">
        <f aca="false">Scoring!AQ495</f>
        <v/>
      </c>
    </row>
    <row r="490" customFormat="false" ht="15.75" hidden="false" customHeight="false" outlineLevel="0" collapsed="false">
      <c r="A490" s="148" t="str">
        <f aca="false">Scoring!AT496</f>
        <v/>
      </c>
      <c r="B490" s="148" t="str">
        <f aca="false">Scoring!AS496</f>
        <v/>
      </c>
      <c r="C490" s="148" t="n">
        <f aca="false">Scoring!C496</f>
        <v>0</v>
      </c>
      <c r="D490" s="149" t="str">
        <f aca="false">Scoring!AP496</f>
        <v/>
      </c>
      <c r="E490" s="148" t="str">
        <f aca="false">Scoring!Z496</f>
        <v/>
      </c>
      <c r="F490" s="148" t="n">
        <f aca="false">Scoring!B496</f>
        <v>0</v>
      </c>
      <c r="G490" s="148" t="n">
        <f aca="false">Scoring!D496</f>
        <v>0</v>
      </c>
      <c r="H490" s="148" t="str">
        <f aca="false">Scoring!AR496</f>
        <v/>
      </c>
      <c r="I490" s="150" t="str">
        <f aca="false">Scoring!AQ496</f>
        <v/>
      </c>
    </row>
    <row r="491" customFormat="false" ht="15.75" hidden="false" customHeight="false" outlineLevel="0" collapsed="false">
      <c r="A491" s="148" t="str">
        <f aca="false">Scoring!AT497</f>
        <v/>
      </c>
      <c r="B491" s="148" t="str">
        <f aca="false">Scoring!AS497</f>
        <v/>
      </c>
      <c r="C491" s="148" t="n">
        <f aca="false">Scoring!C497</f>
        <v>0</v>
      </c>
      <c r="D491" s="149" t="str">
        <f aca="false">Scoring!AP497</f>
        <v/>
      </c>
      <c r="E491" s="148" t="str">
        <f aca="false">Scoring!Z497</f>
        <v/>
      </c>
      <c r="F491" s="148" t="n">
        <f aca="false">Scoring!B497</f>
        <v>0</v>
      </c>
      <c r="G491" s="148" t="n">
        <f aca="false">Scoring!D497</f>
        <v>0</v>
      </c>
      <c r="H491" s="148" t="str">
        <f aca="false">Scoring!AR497</f>
        <v/>
      </c>
      <c r="I491" s="150" t="str">
        <f aca="false">Scoring!AQ497</f>
        <v/>
      </c>
    </row>
    <row r="492" customFormat="false" ht="15.75" hidden="false" customHeight="false" outlineLevel="0" collapsed="false">
      <c r="A492" s="148" t="str">
        <f aca="false">Scoring!AT498</f>
        <v/>
      </c>
      <c r="B492" s="148" t="str">
        <f aca="false">Scoring!AS498</f>
        <v/>
      </c>
      <c r="C492" s="148" t="n">
        <f aca="false">Scoring!C498</f>
        <v>0</v>
      </c>
      <c r="D492" s="149" t="str">
        <f aca="false">Scoring!AP498</f>
        <v/>
      </c>
      <c r="E492" s="148" t="str">
        <f aca="false">Scoring!Z498</f>
        <v/>
      </c>
      <c r="F492" s="148" t="n">
        <f aca="false">Scoring!B498</f>
        <v>0</v>
      </c>
      <c r="G492" s="148" t="n">
        <f aca="false">Scoring!D498</f>
        <v>0</v>
      </c>
      <c r="H492" s="148" t="str">
        <f aca="false">Scoring!AR498</f>
        <v/>
      </c>
      <c r="I492" s="150" t="str">
        <f aca="false">Scoring!AQ498</f>
        <v/>
      </c>
    </row>
    <row r="493" customFormat="false" ht="15.75" hidden="false" customHeight="false" outlineLevel="0" collapsed="false">
      <c r="A493" s="148" t="str">
        <f aca="false">Scoring!AT499</f>
        <v/>
      </c>
      <c r="B493" s="148" t="str">
        <f aca="false">Scoring!AS499</f>
        <v/>
      </c>
      <c r="C493" s="148" t="n">
        <f aca="false">Scoring!C499</f>
        <v>0</v>
      </c>
      <c r="D493" s="149" t="str">
        <f aca="false">Scoring!AP499</f>
        <v/>
      </c>
      <c r="E493" s="148" t="str">
        <f aca="false">Scoring!Z499</f>
        <v/>
      </c>
      <c r="F493" s="148" t="n">
        <f aca="false">Scoring!B499</f>
        <v>0</v>
      </c>
      <c r="G493" s="148" t="n">
        <f aca="false">Scoring!D499</f>
        <v>0</v>
      </c>
      <c r="H493" s="148" t="str">
        <f aca="false">Scoring!AR499</f>
        <v/>
      </c>
      <c r="I493" s="150" t="str">
        <f aca="false">Scoring!AQ499</f>
        <v/>
      </c>
    </row>
    <row r="494" customFormat="false" ht="15.75" hidden="false" customHeight="false" outlineLevel="0" collapsed="false">
      <c r="A494" s="148" t="str">
        <f aca="false">Scoring!AT500</f>
        <v/>
      </c>
      <c r="B494" s="148" t="str">
        <f aca="false">Scoring!AS500</f>
        <v/>
      </c>
      <c r="C494" s="148" t="n">
        <f aca="false">Scoring!C500</f>
        <v>0</v>
      </c>
      <c r="D494" s="149" t="str">
        <f aca="false">Scoring!AP500</f>
        <v/>
      </c>
      <c r="E494" s="148" t="str">
        <f aca="false">Scoring!Z500</f>
        <v/>
      </c>
      <c r="F494" s="148" t="n">
        <f aca="false">Scoring!B500</f>
        <v>0</v>
      </c>
      <c r="G494" s="148" t="n">
        <f aca="false">Scoring!D500</f>
        <v>0</v>
      </c>
      <c r="H494" s="148" t="str">
        <f aca="false">Scoring!AR500</f>
        <v/>
      </c>
      <c r="I494" s="150" t="str">
        <f aca="false">Scoring!AQ500</f>
        <v/>
      </c>
    </row>
    <row r="495" customFormat="false" ht="15.75" hidden="false" customHeight="false" outlineLevel="0" collapsed="false">
      <c r="A495" s="148" t="str">
        <f aca="false">Scoring!AT501</f>
        <v/>
      </c>
      <c r="B495" s="148" t="str">
        <f aca="false">Scoring!AS501</f>
        <v/>
      </c>
      <c r="C495" s="148" t="n">
        <f aca="false">Scoring!C501</f>
        <v>0</v>
      </c>
      <c r="D495" s="149" t="str">
        <f aca="false">Scoring!AP501</f>
        <v/>
      </c>
      <c r="E495" s="148" t="str">
        <f aca="false">Scoring!Z501</f>
        <v/>
      </c>
      <c r="F495" s="148" t="n">
        <f aca="false">Scoring!B501</f>
        <v>0</v>
      </c>
      <c r="G495" s="148" t="n">
        <f aca="false">Scoring!D501</f>
        <v>0</v>
      </c>
      <c r="H495" s="148" t="str">
        <f aca="false">Scoring!AR501</f>
        <v/>
      </c>
      <c r="I495" s="150" t="str">
        <f aca="false">Scoring!AQ501</f>
        <v/>
      </c>
    </row>
    <row r="496" customFormat="false" ht="15.75" hidden="false" customHeight="false" outlineLevel="0" collapsed="false">
      <c r="A496" s="148" t="str">
        <f aca="false">Scoring!AT502</f>
        <v/>
      </c>
      <c r="B496" s="148" t="str">
        <f aca="false">Scoring!AS502</f>
        <v/>
      </c>
      <c r="C496" s="148" t="n">
        <f aca="false">Scoring!C502</f>
        <v>0</v>
      </c>
      <c r="D496" s="149" t="str">
        <f aca="false">Scoring!AP502</f>
        <v/>
      </c>
      <c r="E496" s="148" t="str">
        <f aca="false">Scoring!Z502</f>
        <v/>
      </c>
      <c r="F496" s="148" t="n">
        <f aca="false">Scoring!B502</f>
        <v>0</v>
      </c>
      <c r="G496" s="148" t="n">
        <f aca="false">Scoring!D502</f>
        <v>0</v>
      </c>
      <c r="H496" s="148" t="str">
        <f aca="false">Scoring!AR502</f>
        <v/>
      </c>
      <c r="I496" s="150" t="str">
        <f aca="false">Scoring!AQ502</f>
        <v/>
      </c>
    </row>
    <row r="497" customFormat="false" ht="15.75" hidden="false" customHeight="false" outlineLevel="0" collapsed="false">
      <c r="A497" s="148" t="str">
        <f aca="false">Scoring!AT503</f>
        <v/>
      </c>
      <c r="B497" s="148" t="str">
        <f aca="false">Scoring!AS503</f>
        <v/>
      </c>
      <c r="C497" s="148" t="n">
        <f aca="false">Scoring!C503</f>
        <v>0</v>
      </c>
      <c r="D497" s="149" t="str">
        <f aca="false">Scoring!AP503</f>
        <v/>
      </c>
      <c r="E497" s="148" t="str">
        <f aca="false">Scoring!Z503</f>
        <v/>
      </c>
      <c r="F497" s="148" t="n">
        <f aca="false">Scoring!B503</f>
        <v>0</v>
      </c>
      <c r="G497" s="148" t="n">
        <f aca="false">Scoring!D503</f>
        <v>0</v>
      </c>
      <c r="H497" s="148" t="str">
        <f aca="false">Scoring!AR503</f>
        <v/>
      </c>
      <c r="I497" s="150" t="str">
        <f aca="false">Scoring!AQ503</f>
        <v/>
      </c>
    </row>
    <row r="498" customFormat="false" ht="15.75" hidden="false" customHeight="false" outlineLevel="0" collapsed="false">
      <c r="A498" s="148" t="str">
        <f aca="false">Scoring!AT504</f>
        <v/>
      </c>
      <c r="B498" s="148" t="str">
        <f aca="false">Scoring!AS504</f>
        <v/>
      </c>
      <c r="C498" s="148" t="n">
        <f aca="false">Scoring!C504</f>
        <v>0</v>
      </c>
      <c r="D498" s="149" t="str">
        <f aca="false">Scoring!AP504</f>
        <v/>
      </c>
      <c r="E498" s="148" t="str">
        <f aca="false">Scoring!Z504</f>
        <v/>
      </c>
      <c r="F498" s="148" t="n">
        <f aca="false">Scoring!B504</f>
        <v>0</v>
      </c>
      <c r="G498" s="148" t="n">
        <f aca="false">Scoring!D504</f>
        <v>0</v>
      </c>
      <c r="H498" s="148" t="str">
        <f aca="false">Scoring!AR504</f>
        <v/>
      </c>
      <c r="I498" s="150" t="str">
        <f aca="false">Scoring!AQ504</f>
        <v/>
      </c>
    </row>
    <row r="499" customFormat="false" ht="15.75" hidden="false" customHeight="false" outlineLevel="0" collapsed="false">
      <c r="A499" s="148" t="str">
        <f aca="false">Scoring!AT505</f>
        <v/>
      </c>
      <c r="B499" s="148" t="str">
        <f aca="false">Scoring!AS505</f>
        <v/>
      </c>
      <c r="C499" s="148" t="n">
        <f aca="false">Scoring!C505</f>
        <v>0</v>
      </c>
      <c r="D499" s="149" t="str">
        <f aca="false">Scoring!AP505</f>
        <v/>
      </c>
      <c r="E499" s="148" t="str">
        <f aca="false">Scoring!Z505</f>
        <v/>
      </c>
      <c r="F499" s="148" t="n">
        <f aca="false">Scoring!B505</f>
        <v>0</v>
      </c>
      <c r="G499" s="148" t="n">
        <f aca="false">Scoring!D505</f>
        <v>0</v>
      </c>
      <c r="H499" s="148" t="str">
        <f aca="false">Scoring!AR505</f>
        <v/>
      </c>
      <c r="I499" s="150" t="str">
        <f aca="false">Scoring!AQ505</f>
        <v/>
      </c>
    </row>
    <row r="500" customFormat="false" ht="15.75" hidden="false" customHeight="false" outlineLevel="0" collapsed="false">
      <c r="A500" s="148" t="str">
        <f aca="false">Scoring!AT506</f>
        <v/>
      </c>
      <c r="B500" s="148" t="str">
        <f aca="false">Scoring!AS506</f>
        <v/>
      </c>
      <c r="C500" s="148" t="n">
        <f aca="false">Scoring!C506</f>
        <v>0</v>
      </c>
      <c r="D500" s="149" t="str">
        <f aca="false">Scoring!AP506</f>
        <v/>
      </c>
      <c r="E500" s="148" t="str">
        <f aca="false">Scoring!Z506</f>
        <v/>
      </c>
      <c r="F500" s="148" t="n">
        <f aca="false">Scoring!B506</f>
        <v>0</v>
      </c>
      <c r="G500" s="148" t="n">
        <f aca="false">Scoring!D506</f>
        <v>0</v>
      </c>
      <c r="H500" s="148" t="str">
        <f aca="false">Scoring!AR506</f>
        <v/>
      </c>
      <c r="I500" s="150" t="str">
        <f aca="false">Scoring!AQ506</f>
        <v/>
      </c>
    </row>
    <row r="501" customFormat="false" ht="15.75" hidden="false" customHeight="false" outlineLevel="0" collapsed="false">
      <c r="A501" s="148" t="str">
        <f aca="false">Scoring!AT507</f>
        <v/>
      </c>
      <c r="B501" s="148" t="str">
        <f aca="false">Scoring!AS507</f>
        <v/>
      </c>
      <c r="C501" s="148" t="n">
        <f aca="false">Scoring!C507</f>
        <v>0</v>
      </c>
      <c r="D501" s="149" t="str">
        <f aca="false">Scoring!AP507</f>
        <v/>
      </c>
      <c r="E501" s="148" t="str">
        <f aca="false">Scoring!Z507</f>
        <v/>
      </c>
      <c r="F501" s="148" t="n">
        <f aca="false">Scoring!B507</f>
        <v>0</v>
      </c>
      <c r="G501" s="148" t="n">
        <f aca="false">Scoring!D507</f>
        <v>0</v>
      </c>
      <c r="H501" s="148" t="str">
        <f aca="false">Scoring!AR507</f>
        <v/>
      </c>
      <c r="I501" s="150" t="str">
        <f aca="false">Scoring!AQ507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2026-09-30T22:56:11Z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